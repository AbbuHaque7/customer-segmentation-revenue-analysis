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bdul Haque\"/>
    </mc:Choice>
  </mc:AlternateContent>
  <xr:revisionPtr revIDLastSave="0" documentId="13_ncr:1_{DCE2BC3D-DD00-4525-BF60-6574930D1F23}" xr6:coauthVersionLast="47" xr6:coauthVersionMax="47" xr10:uidLastSave="{00000000-0000-0000-0000-000000000000}"/>
  <bookViews>
    <workbookView xWindow="-120" yWindow="-120" windowWidth="20730" windowHeight="11040" xr2:uid="{69AA2D39-5F7B-4EA7-ACB3-A0CEA7193CB3}"/>
  </bookViews>
  <sheets>
    <sheet name="customer_segmentation_Project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 s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 s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 s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 s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 s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 s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 s="1"/>
  <c r="H1273" i="1" a="1"/>
  <c r="H1273" i="1" s="1"/>
  <c r="H1274" i="1" a="1"/>
  <c r="H1274" i="1" s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 s="1"/>
  <c r="H1281" i="1" a="1"/>
  <c r="H1281" i="1" s="1"/>
  <c r="H1282" i="1" a="1"/>
  <c r="H1282" i="1" s="1"/>
  <c r="H1283" i="1" a="1"/>
  <c r="H1283" i="1" s="1"/>
  <c r="H1284" i="1" a="1"/>
  <c r="H1284" i="1" s="1"/>
  <c r="H1285" i="1" a="1"/>
  <c r="H1285" i="1" s="1"/>
  <c r="H1286" i="1" a="1"/>
  <c r="H1286" i="1" s="1"/>
  <c r="H1287" i="1" a="1"/>
  <c r="H1287" i="1" s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 s="1"/>
  <c r="H1293" i="1" a="1"/>
  <c r="H1293" i="1" s="1"/>
  <c r="H1294" i="1" a="1"/>
  <c r="H1294" i="1" s="1"/>
  <c r="H1295" i="1" a="1"/>
  <c r="H1295" i="1" s="1"/>
  <c r="H1296" i="1" a="1"/>
  <c r="H1296" i="1" s="1"/>
  <c r="H1297" i="1" a="1"/>
  <c r="H1297" i="1" s="1"/>
  <c r="H1298" i="1" a="1"/>
  <c r="H1298" i="1" s="1"/>
  <c r="H1299" i="1" a="1"/>
  <c r="H1299" i="1" s="1"/>
  <c r="H1300" i="1" a="1"/>
  <c r="H1300" i="1" s="1"/>
  <c r="H1301" i="1" a="1"/>
  <c r="H1301" i="1" s="1"/>
  <c r="H1302" i="1" a="1"/>
  <c r="H1302" i="1" s="1"/>
  <c r="H1303" i="1" a="1"/>
  <c r="H1303" i="1" s="1"/>
  <c r="H1304" i="1" a="1"/>
  <c r="H1304" i="1" s="1"/>
  <c r="H1305" i="1" a="1"/>
  <c r="H1305" i="1" s="1"/>
  <c r="H1306" i="1" a="1"/>
  <c r="H1306" i="1" s="1"/>
  <c r="H1307" i="1" a="1"/>
  <c r="H1307" i="1" s="1"/>
  <c r="H1308" i="1" a="1"/>
  <c r="H1308" i="1" s="1"/>
  <c r="H1309" i="1" a="1"/>
  <c r="H1309" i="1" s="1"/>
  <c r="H1310" i="1" a="1"/>
  <c r="H1310" i="1" s="1"/>
  <c r="H1311" i="1" a="1"/>
  <c r="H1311" i="1" s="1"/>
  <c r="H1312" i="1" a="1"/>
  <c r="H1312" i="1" s="1"/>
  <c r="H1313" i="1" a="1"/>
  <c r="H1313" i="1" s="1"/>
  <c r="H1314" i="1" a="1"/>
  <c r="H1314" i="1" s="1"/>
  <c r="H1315" i="1" a="1"/>
  <c r="H1315" i="1" s="1"/>
  <c r="H1316" i="1" a="1"/>
  <c r="H1316" i="1" s="1"/>
  <c r="H1317" i="1" a="1"/>
  <c r="H1317" i="1" s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 s="1"/>
  <c r="H1323" i="1" a="1"/>
  <c r="H1323" i="1" s="1"/>
  <c r="H1324" i="1" a="1"/>
  <c r="H1324" i="1" s="1"/>
  <c r="H1325" i="1" a="1"/>
  <c r="H1325" i="1" s="1"/>
  <c r="H1326" i="1" a="1"/>
  <c r="H1326" i="1" s="1"/>
  <c r="H1327" i="1" a="1"/>
  <c r="H1327" i="1" s="1"/>
  <c r="H1328" i="1" a="1"/>
  <c r="H1328" i="1" s="1"/>
  <c r="H1329" i="1" a="1"/>
  <c r="H1329" i="1" s="1"/>
  <c r="H1330" i="1" a="1"/>
  <c r="H1330" i="1" s="1"/>
  <c r="H1331" i="1" a="1"/>
  <c r="H1331" i="1" s="1"/>
  <c r="H1332" i="1" a="1"/>
  <c r="H1332" i="1" s="1"/>
  <c r="H1333" i="1" a="1"/>
  <c r="H1333" i="1" s="1"/>
  <c r="H1334" i="1" a="1"/>
  <c r="H1334" i="1" s="1"/>
  <c r="H1335" i="1" a="1"/>
  <c r="H1335" i="1" s="1"/>
  <c r="H1336" i="1" a="1"/>
  <c r="H1336" i="1" s="1"/>
  <c r="H1337" i="1" a="1"/>
  <c r="H1337" i="1" s="1"/>
  <c r="H1338" i="1" a="1"/>
  <c r="H1338" i="1" s="1"/>
  <c r="H1339" i="1" a="1"/>
  <c r="H1339" i="1" s="1"/>
  <c r="H1340" i="1" a="1"/>
  <c r="H1340" i="1" s="1"/>
  <c r="H1341" i="1" a="1"/>
  <c r="H1341" i="1" s="1"/>
  <c r="H1342" i="1" a="1"/>
  <c r="H1342" i="1" s="1"/>
  <c r="H1343" i="1" a="1"/>
  <c r="H1343" i="1" s="1"/>
  <c r="H1344" i="1" a="1"/>
  <c r="H1344" i="1" s="1"/>
  <c r="H1345" i="1" a="1"/>
  <c r="H1345" i="1" s="1"/>
  <c r="H1346" i="1" a="1"/>
  <c r="H1346" i="1" s="1"/>
  <c r="H1347" i="1" a="1"/>
  <c r="H1347" i="1" s="1"/>
  <c r="H1348" i="1" a="1"/>
  <c r="H1348" i="1" s="1"/>
  <c r="H1349" i="1" a="1"/>
  <c r="H1349" i="1" s="1"/>
  <c r="H1350" i="1" a="1"/>
  <c r="H1350" i="1" s="1"/>
  <c r="H1351" i="1" a="1"/>
  <c r="H1351" i="1" s="1"/>
  <c r="H1352" i="1" a="1"/>
  <c r="H1352" i="1" s="1"/>
  <c r="H1353" i="1" a="1"/>
  <c r="H1353" i="1" s="1"/>
  <c r="H1354" i="1" a="1"/>
  <c r="H1354" i="1" s="1"/>
  <c r="H1355" i="1" a="1"/>
  <c r="H1355" i="1" s="1"/>
  <c r="H1356" i="1" a="1"/>
  <c r="H1356" i="1" s="1"/>
  <c r="H1357" i="1" a="1"/>
  <c r="H1357" i="1" s="1"/>
  <c r="H1358" i="1" a="1"/>
  <c r="H1358" i="1" s="1"/>
  <c r="H1359" i="1" a="1"/>
  <c r="H1359" i="1" s="1"/>
  <c r="H1360" i="1" a="1"/>
  <c r="H1360" i="1" s="1"/>
  <c r="H1361" i="1" a="1"/>
  <c r="H1361" i="1" s="1"/>
  <c r="H1362" i="1" a="1"/>
  <c r="H1362" i="1" s="1"/>
  <c r="H1363" i="1" a="1"/>
  <c r="H1363" i="1" s="1"/>
  <c r="H1364" i="1" a="1"/>
  <c r="H1364" i="1" s="1"/>
  <c r="H1365" i="1" a="1"/>
  <c r="H1365" i="1" s="1"/>
  <c r="H1366" i="1" a="1"/>
  <c r="H1366" i="1" s="1"/>
  <c r="H1367" i="1" a="1"/>
  <c r="H1367" i="1" s="1"/>
  <c r="H1368" i="1" a="1"/>
  <c r="H1368" i="1" s="1"/>
  <c r="H1369" i="1" a="1"/>
  <c r="H1369" i="1" s="1"/>
  <c r="H1370" i="1" a="1"/>
  <c r="H1370" i="1" s="1"/>
  <c r="H1371" i="1" a="1"/>
  <c r="H1371" i="1" s="1"/>
  <c r="H1372" i="1" a="1"/>
  <c r="H1372" i="1" s="1"/>
  <c r="H1373" i="1" a="1"/>
  <c r="H1373" i="1" s="1"/>
  <c r="H1374" i="1" a="1"/>
  <c r="H1374" i="1" s="1"/>
  <c r="H1375" i="1" a="1"/>
  <c r="H1375" i="1" s="1"/>
  <c r="H1376" i="1" a="1"/>
  <c r="H1376" i="1" s="1"/>
  <c r="H1377" i="1" a="1"/>
  <c r="H1377" i="1" s="1"/>
  <c r="H1378" i="1" a="1"/>
  <c r="H1378" i="1" s="1"/>
  <c r="H1379" i="1" a="1"/>
  <c r="H1379" i="1" s="1"/>
  <c r="H1380" i="1" a="1"/>
  <c r="H1380" i="1" s="1"/>
  <c r="H1381" i="1" a="1"/>
  <c r="H1381" i="1" s="1"/>
  <c r="H1382" i="1" a="1"/>
  <c r="H1382" i="1" s="1"/>
  <c r="H1383" i="1" a="1"/>
  <c r="H1383" i="1" s="1"/>
  <c r="H1384" i="1" a="1"/>
  <c r="H1384" i="1" s="1"/>
  <c r="H1385" i="1" a="1"/>
  <c r="H1385" i="1" s="1"/>
  <c r="H1386" i="1" a="1"/>
  <c r="H1386" i="1" s="1"/>
  <c r="H1387" i="1" a="1"/>
  <c r="H1387" i="1" s="1"/>
  <c r="H1388" i="1" a="1"/>
  <c r="H1388" i="1" s="1"/>
  <c r="H1389" i="1" a="1"/>
  <c r="H1389" i="1" s="1"/>
  <c r="H1390" i="1" a="1"/>
  <c r="H1390" i="1" s="1"/>
  <c r="H1391" i="1" a="1"/>
  <c r="H1391" i="1" s="1"/>
  <c r="H1392" i="1" a="1"/>
  <c r="H1392" i="1" s="1"/>
  <c r="H1393" i="1" a="1"/>
  <c r="H1393" i="1" s="1"/>
  <c r="H1394" i="1" a="1"/>
  <c r="H1394" i="1" s="1"/>
  <c r="H1395" i="1" a="1"/>
  <c r="H1395" i="1" s="1"/>
  <c r="H1396" i="1" a="1"/>
  <c r="H1396" i="1" s="1"/>
  <c r="H1397" i="1" a="1"/>
  <c r="H1397" i="1" s="1"/>
  <c r="H1398" i="1" a="1"/>
  <c r="H1398" i="1" s="1"/>
  <c r="H1399" i="1" a="1"/>
  <c r="H1399" i="1" s="1"/>
  <c r="H1400" i="1" a="1"/>
  <c r="H1400" i="1" s="1"/>
  <c r="H1401" i="1" a="1"/>
  <c r="H1401" i="1" s="1"/>
  <c r="H1402" i="1" a="1"/>
  <c r="H1402" i="1" s="1"/>
  <c r="H1403" i="1" a="1"/>
  <c r="H1403" i="1" s="1"/>
  <c r="H1404" i="1" a="1"/>
  <c r="H1404" i="1" s="1"/>
  <c r="H1405" i="1" a="1"/>
  <c r="H1405" i="1" s="1"/>
  <c r="H1406" i="1" a="1"/>
  <c r="H1406" i="1" s="1"/>
  <c r="H1407" i="1" a="1"/>
  <c r="H1407" i="1" s="1"/>
  <c r="H1408" i="1" a="1"/>
  <c r="H1408" i="1" s="1"/>
  <c r="H1409" i="1" a="1"/>
  <c r="H1409" i="1" s="1"/>
  <c r="H1410" i="1" a="1"/>
  <c r="H1410" i="1" s="1"/>
  <c r="H1411" i="1" a="1"/>
  <c r="H1411" i="1" s="1"/>
  <c r="H1412" i="1" a="1"/>
  <c r="H1412" i="1" s="1"/>
  <c r="H1413" i="1" a="1"/>
  <c r="H1413" i="1" s="1"/>
  <c r="H1414" i="1" a="1"/>
  <c r="H1414" i="1" s="1"/>
  <c r="H1415" i="1" a="1"/>
  <c r="H1415" i="1" s="1"/>
  <c r="H1416" i="1" a="1"/>
  <c r="H1416" i="1" s="1"/>
  <c r="H1417" i="1" a="1"/>
  <c r="H1417" i="1" s="1"/>
  <c r="H1418" i="1" a="1"/>
  <c r="H1418" i="1" s="1"/>
  <c r="H1419" i="1" a="1"/>
  <c r="H1419" i="1" s="1"/>
  <c r="H1420" i="1" a="1"/>
  <c r="H1420" i="1" s="1"/>
  <c r="H1421" i="1" a="1"/>
  <c r="H1421" i="1" s="1"/>
  <c r="H1422" i="1" a="1"/>
  <c r="H1422" i="1" s="1"/>
  <c r="H1423" i="1" a="1"/>
  <c r="H1423" i="1" s="1"/>
  <c r="H1424" i="1" a="1"/>
  <c r="H1424" i="1" s="1"/>
  <c r="H1425" i="1" a="1"/>
  <c r="H1425" i="1" s="1"/>
  <c r="H1426" i="1" a="1"/>
  <c r="H1426" i="1" s="1"/>
  <c r="H1427" i="1" a="1"/>
  <c r="H1427" i="1" s="1"/>
  <c r="H1428" i="1" a="1"/>
  <c r="H1428" i="1" s="1"/>
  <c r="H1429" i="1" a="1"/>
  <c r="H1429" i="1" s="1"/>
  <c r="H1430" i="1" a="1"/>
  <c r="H1430" i="1" s="1"/>
  <c r="H1431" i="1" a="1"/>
  <c r="H1431" i="1" s="1"/>
  <c r="H1432" i="1" a="1"/>
  <c r="H1432" i="1" s="1"/>
  <c r="H1433" i="1" a="1"/>
  <c r="H1433" i="1" s="1"/>
  <c r="H1434" i="1" a="1"/>
  <c r="H1434" i="1" s="1"/>
  <c r="H1435" i="1" a="1"/>
  <c r="H1435" i="1" s="1"/>
  <c r="H1436" i="1" a="1"/>
  <c r="H1436" i="1" s="1"/>
  <c r="H1437" i="1" a="1"/>
  <c r="H1437" i="1" s="1"/>
  <c r="H1438" i="1" a="1"/>
  <c r="H1438" i="1" s="1"/>
  <c r="H1439" i="1" a="1"/>
  <c r="H1439" i="1" s="1"/>
  <c r="H1440" i="1" a="1"/>
  <c r="H1440" i="1" s="1"/>
  <c r="H1441" i="1" a="1"/>
  <c r="H1441" i="1" s="1"/>
  <c r="H1442" i="1" a="1"/>
  <c r="H1442" i="1" s="1"/>
  <c r="H1443" i="1" a="1"/>
  <c r="H1443" i="1" s="1"/>
  <c r="H1444" i="1" a="1"/>
  <c r="H1444" i="1" s="1"/>
  <c r="H1445" i="1" a="1"/>
  <c r="H1445" i="1" s="1"/>
  <c r="H1446" i="1" a="1"/>
  <c r="H1446" i="1" s="1"/>
  <c r="H1447" i="1" a="1"/>
  <c r="H1447" i="1" s="1"/>
  <c r="H1448" i="1" a="1"/>
  <c r="H1448" i="1" s="1"/>
  <c r="H1449" i="1" a="1"/>
  <c r="H1449" i="1" s="1"/>
  <c r="H1450" i="1" a="1"/>
  <c r="H1450" i="1" s="1"/>
  <c r="H1451" i="1" a="1"/>
  <c r="H1451" i="1" s="1"/>
  <c r="H1452" i="1" a="1"/>
  <c r="H1452" i="1" s="1"/>
  <c r="H1453" i="1" a="1"/>
  <c r="H1453" i="1" s="1"/>
  <c r="H1454" i="1" a="1"/>
  <c r="H1454" i="1" s="1"/>
  <c r="H1455" i="1" a="1"/>
  <c r="H1455" i="1" s="1"/>
  <c r="H1456" i="1" a="1"/>
  <c r="H1456" i="1" s="1"/>
  <c r="H1457" i="1" a="1"/>
  <c r="H1457" i="1" s="1"/>
  <c r="H1458" i="1" a="1"/>
  <c r="H1458" i="1" s="1"/>
  <c r="H1459" i="1" a="1"/>
  <c r="H1459" i="1" s="1"/>
  <c r="H1460" i="1" a="1"/>
  <c r="H1460" i="1" s="1"/>
  <c r="H1461" i="1" a="1"/>
  <c r="H1461" i="1" s="1"/>
  <c r="H1462" i="1" a="1"/>
  <c r="H1462" i="1" s="1"/>
  <c r="H1463" i="1" a="1"/>
  <c r="H1463" i="1" s="1"/>
  <c r="H1464" i="1" a="1"/>
  <c r="H1464" i="1" s="1"/>
  <c r="H1465" i="1" a="1"/>
  <c r="H1465" i="1" s="1"/>
  <c r="H1466" i="1" a="1"/>
  <c r="H1466" i="1" s="1"/>
  <c r="H1467" i="1" a="1"/>
  <c r="H1467" i="1" s="1"/>
  <c r="H1468" i="1" a="1"/>
  <c r="H1468" i="1" s="1"/>
  <c r="H1469" i="1" a="1"/>
  <c r="H1469" i="1" s="1"/>
  <c r="H1470" i="1" a="1"/>
  <c r="H1470" i="1" s="1"/>
  <c r="H1471" i="1" a="1"/>
  <c r="H1471" i="1" s="1"/>
  <c r="H1472" i="1" a="1"/>
  <c r="H1472" i="1" s="1"/>
  <c r="H1473" i="1" a="1"/>
  <c r="H1473" i="1" s="1"/>
  <c r="H1474" i="1" a="1"/>
  <c r="H1474" i="1" s="1"/>
  <c r="H1475" i="1" a="1"/>
  <c r="H1475" i="1" s="1"/>
  <c r="H1476" i="1" a="1"/>
  <c r="H1476" i="1" s="1"/>
  <c r="H1477" i="1" a="1"/>
  <c r="H1477" i="1" s="1"/>
  <c r="H1478" i="1" a="1"/>
  <c r="H1478" i="1" s="1"/>
  <c r="H1479" i="1" a="1"/>
  <c r="H1479" i="1" s="1"/>
  <c r="H1480" i="1" a="1"/>
  <c r="H1480" i="1" s="1"/>
  <c r="H1481" i="1" a="1"/>
  <c r="H1481" i="1" s="1"/>
  <c r="H1482" i="1" a="1"/>
  <c r="H1482" i="1" s="1"/>
  <c r="H1483" i="1" a="1"/>
  <c r="H1483" i="1" s="1"/>
  <c r="H1484" i="1" a="1"/>
  <c r="H1484" i="1" s="1"/>
  <c r="H1485" i="1" a="1"/>
  <c r="H1485" i="1" s="1"/>
  <c r="H1486" i="1" a="1"/>
  <c r="H1486" i="1" s="1"/>
  <c r="H1487" i="1" a="1"/>
  <c r="H1487" i="1" s="1"/>
  <c r="H1488" i="1" a="1"/>
  <c r="H1488" i="1" s="1"/>
  <c r="H1489" i="1" a="1"/>
  <c r="H1489" i="1" s="1"/>
  <c r="H1490" i="1" a="1"/>
  <c r="H1490" i="1" s="1"/>
  <c r="H1491" i="1" a="1"/>
  <c r="H1491" i="1" s="1"/>
  <c r="H1492" i="1" a="1"/>
  <c r="H1492" i="1" s="1"/>
  <c r="H1493" i="1" a="1"/>
  <c r="H1493" i="1" s="1"/>
  <c r="H1494" i="1" a="1"/>
  <c r="H1494" i="1" s="1"/>
  <c r="H1495" i="1" a="1"/>
  <c r="H1495" i="1" s="1"/>
  <c r="H1496" i="1" a="1"/>
  <c r="H1496" i="1" s="1"/>
  <c r="H1497" i="1" a="1"/>
  <c r="H1497" i="1" s="1"/>
  <c r="H1498" i="1" a="1"/>
  <c r="H1498" i="1" s="1"/>
  <c r="H1499" i="1" a="1"/>
  <c r="H1499" i="1" s="1"/>
  <c r="H1500" i="1" a="1"/>
  <c r="H1500" i="1" s="1"/>
  <c r="H1501" i="1" a="1"/>
  <c r="H1501" i="1" s="1"/>
  <c r="H1502" i="1" a="1"/>
  <c r="H1502" i="1" s="1"/>
  <c r="H1503" i="1" a="1"/>
  <c r="H1503" i="1" s="1"/>
  <c r="H1504" i="1" a="1"/>
  <c r="H1504" i="1" s="1"/>
  <c r="H1505" i="1" a="1"/>
  <c r="H1505" i="1" s="1"/>
  <c r="H1506" i="1" a="1"/>
  <c r="H1506" i="1" s="1"/>
  <c r="H1507" i="1" a="1"/>
  <c r="H1507" i="1" s="1"/>
  <c r="H1508" i="1" a="1"/>
  <c r="H1508" i="1" s="1"/>
  <c r="H1509" i="1" a="1"/>
  <c r="H1509" i="1" s="1"/>
  <c r="H1510" i="1" a="1"/>
  <c r="H1510" i="1" s="1"/>
  <c r="H1511" i="1" a="1"/>
  <c r="H1511" i="1" s="1"/>
  <c r="H1512" i="1" a="1"/>
  <c r="H1512" i="1" s="1"/>
  <c r="H1513" i="1" a="1"/>
  <c r="H1513" i="1" s="1"/>
  <c r="H1514" i="1" a="1"/>
  <c r="H1514" i="1" s="1"/>
  <c r="H1515" i="1" a="1"/>
  <c r="H1515" i="1" s="1"/>
  <c r="H1516" i="1" a="1"/>
  <c r="H1516" i="1" s="1"/>
  <c r="H1517" i="1" a="1"/>
  <c r="H1517" i="1" s="1"/>
  <c r="H1518" i="1" a="1"/>
  <c r="H1518" i="1" s="1"/>
  <c r="H1519" i="1" a="1"/>
  <c r="H1519" i="1" s="1"/>
  <c r="H1520" i="1" a="1"/>
  <c r="H1520" i="1" s="1"/>
  <c r="H1521" i="1" a="1"/>
  <c r="H1521" i="1" s="1"/>
  <c r="H1522" i="1" a="1"/>
  <c r="H1522" i="1" s="1"/>
  <c r="H1523" i="1" a="1"/>
  <c r="H1523" i="1" s="1"/>
  <c r="H1524" i="1" a="1"/>
  <c r="H1524" i="1" s="1"/>
  <c r="H1525" i="1" a="1"/>
  <c r="H1525" i="1" s="1"/>
  <c r="H1526" i="1" a="1"/>
  <c r="H1526" i="1" s="1"/>
  <c r="H1527" i="1" a="1"/>
  <c r="H1527" i="1" s="1"/>
  <c r="H1528" i="1" a="1"/>
  <c r="H1528" i="1" s="1"/>
  <c r="H1529" i="1" a="1"/>
  <c r="H1529" i="1" s="1"/>
  <c r="H1530" i="1" a="1"/>
  <c r="H1530" i="1" s="1"/>
  <c r="H1531" i="1" a="1"/>
  <c r="H1531" i="1" s="1"/>
  <c r="H1532" i="1" a="1"/>
  <c r="H1532" i="1" s="1"/>
  <c r="H1533" i="1" a="1"/>
  <c r="H1533" i="1" s="1"/>
  <c r="H1534" i="1" a="1"/>
  <c r="H1534" i="1" s="1"/>
  <c r="H1535" i="1" a="1"/>
  <c r="H1535" i="1" s="1"/>
  <c r="H1536" i="1" a="1"/>
  <c r="H1536" i="1" s="1"/>
  <c r="H1537" i="1" a="1"/>
  <c r="H1537" i="1" s="1"/>
  <c r="H1538" i="1" a="1"/>
  <c r="H1538" i="1" s="1"/>
  <c r="H1539" i="1" a="1"/>
  <c r="H1539" i="1" s="1"/>
  <c r="H1540" i="1" a="1"/>
  <c r="H1540" i="1" s="1"/>
  <c r="H1541" i="1" a="1"/>
  <c r="H1541" i="1" s="1"/>
  <c r="H1542" i="1" a="1"/>
  <c r="H1542" i="1" s="1"/>
  <c r="H1543" i="1" a="1"/>
  <c r="H1543" i="1" s="1"/>
  <c r="H1544" i="1" a="1"/>
  <c r="H1544" i="1" s="1"/>
  <c r="H1545" i="1" a="1"/>
  <c r="H1545" i="1" s="1"/>
  <c r="H1546" i="1" a="1"/>
  <c r="H1546" i="1" s="1"/>
  <c r="H1547" i="1" a="1"/>
  <c r="H1547" i="1" s="1"/>
  <c r="H1548" i="1" a="1"/>
  <c r="H1548" i="1" s="1"/>
  <c r="H1549" i="1" a="1"/>
  <c r="H1549" i="1" s="1"/>
  <c r="H1550" i="1" a="1"/>
  <c r="H1550" i="1" s="1"/>
  <c r="H1551" i="1" a="1"/>
  <c r="H1551" i="1" s="1"/>
  <c r="H1552" i="1" a="1"/>
  <c r="H1552" i="1" s="1"/>
  <c r="H1553" i="1" a="1"/>
  <c r="H1553" i="1" s="1"/>
  <c r="H1554" i="1" a="1"/>
  <c r="H1554" i="1" s="1"/>
  <c r="H1555" i="1" a="1"/>
  <c r="H1555" i="1" s="1"/>
  <c r="H1556" i="1" a="1"/>
  <c r="H1556" i="1" s="1"/>
  <c r="H1557" i="1" a="1"/>
  <c r="H1557" i="1" s="1"/>
  <c r="H1558" i="1" a="1"/>
  <c r="H1558" i="1" s="1"/>
  <c r="H1559" i="1" a="1"/>
  <c r="H1559" i="1" s="1"/>
  <c r="H1560" i="1" a="1"/>
  <c r="H1560" i="1" s="1"/>
  <c r="H1561" i="1" a="1"/>
  <c r="H1561" i="1" s="1"/>
  <c r="H1562" i="1" a="1"/>
  <c r="H1562" i="1" s="1"/>
  <c r="H1563" i="1" a="1"/>
  <c r="H1563" i="1" s="1"/>
  <c r="H1564" i="1" a="1"/>
  <c r="H1564" i="1" s="1"/>
  <c r="H1565" i="1" a="1"/>
  <c r="H1565" i="1" s="1"/>
  <c r="H1566" i="1" a="1"/>
  <c r="H1566" i="1" s="1"/>
  <c r="H1567" i="1" a="1"/>
  <c r="H1567" i="1" s="1"/>
  <c r="H1568" i="1" a="1"/>
  <c r="H1568" i="1" s="1"/>
  <c r="H1569" i="1" a="1"/>
  <c r="H1569" i="1" s="1"/>
  <c r="H1570" i="1" a="1"/>
  <c r="H1570" i="1" s="1"/>
  <c r="H1571" i="1" a="1"/>
  <c r="H1571" i="1" s="1"/>
  <c r="H1572" i="1" a="1"/>
  <c r="H1572" i="1" s="1"/>
  <c r="H1573" i="1" a="1"/>
  <c r="H1573" i="1" s="1"/>
  <c r="H1574" i="1" a="1"/>
  <c r="H1574" i="1" s="1"/>
  <c r="H1575" i="1" a="1"/>
  <c r="H1575" i="1" s="1"/>
  <c r="H1576" i="1" a="1"/>
  <c r="H1576" i="1" s="1"/>
  <c r="H1577" i="1" a="1"/>
  <c r="H1577" i="1" s="1"/>
  <c r="H1578" i="1" a="1"/>
  <c r="H1578" i="1" s="1"/>
  <c r="H1579" i="1" a="1"/>
  <c r="H1579" i="1" s="1"/>
  <c r="H1580" i="1" a="1"/>
  <c r="H1580" i="1" s="1"/>
  <c r="H1581" i="1" a="1"/>
  <c r="H1581" i="1" s="1"/>
  <c r="H1582" i="1" a="1"/>
  <c r="H1582" i="1" s="1"/>
  <c r="H1583" i="1" a="1"/>
  <c r="H1583" i="1" s="1"/>
  <c r="H1584" i="1" a="1"/>
  <c r="H1584" i="1" s="1"/>
  <c r="H1585" i="1" a="1"/>
  <c r="H1585" i="1" s="1"/>
  <c r="H1586" i="1" a="1"/>
  <c r="H1586" i="1" s="1"/>
  <c r="H1587" i="1" a="1"/>
  <c r="H1587" i="1" s="1"/>
  <c r="H1588" i="1" a="1"/>
  <c r="H1588" i="1" s="1"/>
  <c r="H1589" i="1" a="1"/>
  <c r="H1589" i="1" s="1"/>
  <c r="H1590" i="1" a="1"/>
  <c r="H1590" i="1" s="1"/>
  <c r="H1591" i="1" a="1"/>
  <c r="H1591" i="1" s="1"/>
  <c r="H1592" i="1" a="1"/>
  <c r="H1592" i="1" s="1"/>
  <c r="H1593" i="1" a="1"/>
  <c r="H1593" i="1" s="1"/>
  <c r="H1594" i="1" a="1"/>
  <c r="H1594" i="1" s="1"/>
  <c r="H1595" i="1" a="1"/>
  <c r="H1595" i="1" s="1"/>
  <c r="H1596" i="1" a="1"/>
  <c r="H1596" i="1" s="1"/>
  <c r="H1597" i="1" a="1"/>
  <c r="H1597" i="1" s="1"/>
  <c r="H1598" i="1" a="1"/>
  <c r="H1598" i="1" s="1"/>
  <c r="H1599" i="1" a="1"/>
  <c r="H1599" i="1" s="1"/>
  <c r="H1600" i="1" a="1"/>
  <c r="H1600" i="1" s="1"/>
  <c r="H1601" i="1" a="1"/>
  <c r="H1601" i="1" s="1"/>
  <c r="H1602" i="1" a="1"/>
  <c r="H1602" i="1" s="1"/>
  <c r="H1603" i="1" a="1"/>
  <c r="H1603" i="1" s="1"/>
  <c r="H1604" i="1" a="1"/>
  <c r="H1604" i="1" s="1"/>
  <c r="H1605" i="1" a="1"/>
  <c r="H1605" i="1" s="1"/>
  <c r="H1606" i="1" a="1"/>
  <c r="H1606" i="1" s="1"/>
  <c r="H1607" i="1" a="1"/>
  <c r="H1607" i="1" s="1"/>
  <c r="H1608" i="1" a="1"/>
  <c r="H1608" i="1" s="1"/>
  <c r="H1609" i="1" a="1"/>
  <c r="H1609" i="1" s="1"/>
  <c r="H1610" i="1" a="1"/>
  <c r="H1610" i="1" s="1"/>
  <c r="H1611" i="1" a="1"/>
  <c r="H1611" i="1" s="1"/>
  <c r="H1612" i="1" a="1"/>
  <c r="H1612" i="1" s="1"/>
  <c r="H1613" i="1" a="1"/>
  <c r="H1613" i="1" s="1"/>
  <c r="H1614" i="1" a="1"/>
  <c r="H1614" i="1" s="1"/>
  <c r="H1615" i="1" a="1"/>
  <c r="H1615" i="1" s="1"/>
  <c r="H1616" i="1" a="1"/>
  <c r="H1616" i="1" s="1"/>
  <c r="H1617" i="1" a="1"/>
  <c r="H1617" i="1" s="1"/>
  <c r="H1618" i="1" a="1"/>
  <c r="H1618" i="1" s="1"/>
  <c r="H1619" i="1" a="1"/>
  <c r="H1619" i="1" s="1"/>
  <c r="H1620" i="1" a="1"/>
  <c r="H1620" i="1" s="1"/>
  <c r="H1621" i="1" a="1"/>
  <c r="H1621" i="1" s="1"/>
  <c r="H1622" i="1" a="1"/>
  <c r="H1622" i="1" s="1"/>
  <c r="H1623" i="1" a="1"/>
  <c r="H1623" i="1" s="1"/>
  <c r="H1624" i="1" a="1"/>
  <c r="H1624" i="1" s="1"/>
  <c r="H1625" i="1" a="1"/>
  <c r="H1625" i="1" s="1"/>
  <c r="H1626" i="1" a="1"/>
  <c r="H1626" i="1" s="1"/>
  <c r="H1627" i="1" a="1"/>
  <c r="H1627" i="1" s="1"/>
  <c r="H1628" i="1" a="1"/>
  <c r="H1628" i="1" s="1"/>
  <c r="H1629" i="1" a="1"/>
  <c r="H1629" i="1" s="1"/>
  <c r="H1630" i="1" a="1"/>
  <c r="H1630" i="1" s="1"/>
  <c r="H1631" i="1" a="1"/>
  <c r="H1631" i="1" s="1"/>
  <c r="H1632" i="1" a="1"/>
  <c r="H1632" i="1" s="1"/>
  <c r="H1633" i="1" a="1"/>
  <c r="H1633" i="1" s="1"/>
  <c r="H1634" i="1" a="1"/>
  <c r="H1634" i="1" s="1"/>
  <c r="H1635" i="1" a="1"/>
  <c r="H1635" i="1" s="1"/>
  <c r="H1636" i="1" a="1"/>
  <c r="H1636" i="1" s="1"/>
  <c r="H1637" i="1" a="1"/>
  <c r="H1637" i="1" s="1"/>
  <c r="H1638" i="1" a="1"/>
  <c r="H1638" i="1" s="1"/>
  <c r="H1639" i="1" a="1"/>
  <c r="H1639" i="1" s="1"/>
  <c r="H1640" i="1" a="1"/>
  <c r="H1640" i="1" s="1"/>
  <c r="H1641" i="1" a="1"/>
  <c r="H1641" i="1" s="1"/>
  <c r="H1642" i="1" a="1"/>
  <c r="H1642" i="1" s="1"/>
  <c r="H1643" i="1" a="1"/>
  <c r="H1643" i="1" s="1"/>
  <c r="H1644" i="1" a="1"/>
  <c r="H1644" i="1" s="1"/>
  <c r="H1645" i="1" a="1"/>
  <c r="H1645" i="1" s="1"/>
  <c r="H1646" i="1" a="1"/>
  <c r="H1646" i="1" s="1"/>
  <c r="H1647" i="1" a="1"/>
  <c r="H1647" i="1" s="1"/>
  <c r="H1648" i="1" a="1"/>
  <c r="H1648" i="1" s="1"/>
  <c r="H1649" i="1" a="1"/>
  <c r="H1649" i="1" s="1"/>
  <c r="H1650" i="1" a="1"/>
  <c r="H1650" i="1" s="1"/>
  <c r="H1651" i="1" a="1"/>
  <c r="H1651" i="1" s="1"/>
  <c r="H1652" i="1" a="1"/>
  <c r="H1652" i="1" s="1"/>
  <c r="H1653" i="1" a="1"/>
  <c r="H1653" i="1" s="1"/>
  <c r="H1654" i="1" a="1"/>
  <c r="H1654" i="1" s="1"/>
  <c r="H1655" i="1" a="1"/>
  <c r="H1655" i="1" s="1"/>
  <c r="H1656" i="1" a="1"/>
  <c r="H1656" i="1" s="1"/>
  <c r="H1657" i="1" a="1"/>
  <c r="H1657" i="1" s="1"/>
  <c r="H1658" i="1" a="1"/>
  <c r="H1658" i="1" s="1"/>
  <c r="H1659" i="1" a="1"/>
  <c r="H1659" i="1" s="1"/>
  <c r="H1660" i="1" a="1"/>
  <c r="H1660" i="1" s="1"/>
  <c r="H1661" i="1" a="1"/>
  <c r="H1661" i="1" s="1"/>
  <c r="H1662" i="1" a="1"/>
  <c r="H1662" i="1" s="1"/>
  <c r="H1663" i="1" a="1"/>
  <c r="H1663" i="1" s="1"/>
  <c r="H1664" i="1" a="1"/>
  <c r="H1664" i="1" s="1"/>
  <c r="H1665" i="1" a="1"/>
  <c r="H1665" i="1" s="1"/>
  <c r="H1666" i="1" a="1"/>
  <c r="H1666" i="1" s="1"/>
  <c r="H1667" i="1" a="1"/>
  <c r="H1667" i="1" s="1"/>
  <c r="H1668" i="1" a="1"/>
  <c r="H1668" i="1" s="1"/>
  <c r="H1669" i="1" a="1"/>
  <c r="H1669" i="1" s="1"/>
  <c r="H1670" i="1" a="1"/>
  <c r="H1670" i="1" s="1"/>
  <c r="H1671" i="1" a="1"/>
  <c r="H1671" i="1" s="1"/>
  <c r="H1672" i="1" a="1"/>
  <c r="H1672" i="1" s="1"/>
  <c r="H1673" i="1" a="1"/>
  <c r="H1673" i="1" s="1"/>
  <c r="H1674" i="1" a="1"/>
  <c r="H1674" i="1" s="1"/>
  <c r="H1675" i="1" a="1"/>
  <c r="H1675" i="1" s="1"/>
  <c r="H1676" i="1" a="1"/>
  <c r="H1676" i="1" s="1"/>
  <c r="H1677" i="1" a="1"/>
  <c r="H1677" i="1" s="1"/>
  <c r="H1678" i="1" a="1"/>
  <c r="H1678" i="1" s="1"/>
  <c r="H1679" i="1" a="1"/>
  <c r="H1679" i="1" s="1"/>
  <c r="H1680" i="1" a="1"/>
  <c r="H1680" i="1" s="1"/>
  <c r="H1681" i="1" a="1"/>
  <c r="H1681" i="1" s="1"/>
  <c r="H1682" i="1" a="1"/>
  <c r="H1682" i="1" s="1"/>
  <c r="H1683" i="1" a="1"/>
  <c r="H1683" i="1" s="1"/>
  <c r="H1684" i="1" a="1"/>
  <c r="H1684" i="1" s="1"/>
  <c r="H1685" i="1" a="1"/>
  <c r="H1685" i="1" s="1"/>
  <c r="H1686" i="1" a="1"/>
  <c r="H1686" i="1" s="1"/>
  <c r="H1687" i="1" a="1"/>
  <c r="H1687" i="1" s="1"/>
  <c r="H1688" i="1" a="1"/>
  <c r="H1688" i="1" s="1"/>
  <c r="H1689" i="1" a="1"/>
  <c r="H1689" i="1" s="1"/>
  <c r="H1690" i="1" a="1"/>
  <c r="H1690" i="1" s="1"/>
  <c r="H1691" i="1" a="1"/>
  <c r="H1691" i="1" s="1"/>
  <c r="H1692" i="1" a="1"/>
  <c r="H1692" i="1" s="1"/>
  <c r="H1693" i="1" a="1"/>
  <c r="H1693" i="1" s="1"/>
  <c r="H1694" i="1" a="1"/>
  <c r="H1694" i="1" s="1"/>
  <c r="H1695" i="1" a="1"/>
  <c r="H1695" i="1" s="1"/>
  <c r="H1696" i="1" a="1"/>
  <c r="H1696" i="1" s="1"/>
  <c r="H1697" i="1" a="1"/>
  <c r="H1697" i="1" s="1"/>
  <c r="H1698" i="1" a="1"/>
  <c r="H1698" i="1" s="1"/>
  <c r="H1699" i="1" a="1"/>
  <c r="H1699" i="1" s="1"/>
  <c r="H1700" i="1" a="1"/>
  <c r="H1700" i="1" s="1"/>
  <c r="H1701" i="1" a="1"/>
  <c r="H1701" i="1" s="1"/>
  <c r="H1702" i="1" a="1"/>
  <c r="H1702" i="1" s="1"/>
  <c r="H1703" i="1" a="1"/>
  <c r="H1703" i="1" s="1"/>
  <c r="H1704" i="1" a="1"/>
  <c r="H1704" i="1" s="1"/>
  <c r="H1705" i="1" a="1"/>
  <c r="H1705" i="1" s="1"/>
  <c r="H1706" i="1" a="1"/>
  <c r="H1706" i="1" s="1"/>
  <c r="H1707" i="1" a="1"/>
  <c r="H1707" i="1" s="1"/>
  <c r="H1708" i="1" a="1"/>
  <c r="H1708" i="1" s="1"/>
  <c r="H1709" i="1" a="1"/>
  <c r="H1709" i="1" s="1"/>
  <c r="H1710" i="1" a="1"/>
  <c r="H1710" i="1" s="1"/>
  <c r="H1711" i="1" a="1"/>
  <c r="H1711" i="1" s="1"/>
  <c r="H1712" i="1" a="1"/>
  <c r="H1712" i="1" s="1"/>
  <c r="H1713" i="1" a="1"/>
  <c r="H1713" i="1" s="1"/>
  <c r="H1714" i="1" a="1"/>
  <c r="H1714" i="1" s="1"/>
  <c r="H1715" i="1" a="1"/>
  <c r="H1715" i="1" s="1"/>
  <c r="H1716" i="1" a="1"/>
  <c r="H1716" i="1" s="1"/>
  <c r="H1717" i="1" a="1"/>
  <c r="H1717" i="1" s="1"/>
  <c r="H1718" i="1" a="1"/>
  <c r="H1718" i="1" s="1"/>
  <c r="H1719" i="1" a="1"/>
  <c r="H1719" i="1" s="1"/>
  <c r="H1720" i="1" a="1"/>
  <c r="H1720" i="1" s="1"/>
  <c r="H1721" i="1" a="1"/>
  <c r="H1721" i="1" s="1"/>
  <c r="H1722" i="1" a="1"/>
  <c r="H1722" i="1" s="1"/>
  <c r="H1723" i="1" a="1"/>
  <c r="H1723" i="1" s="1"/>
  <c r="H1724" i="1" a="1"/>
  <c r="H1724" i="1" s="1"/>
  <c r="H1725" i="1" a="1"/>
  <c r="H1725" i="1" s="1"/>
  <c r="H1726" i="1" a="1"/>
  <c r="H1726" i="1" s="1"/>
  <c r="H1727" i="1" a="1"/>
  <c r="H1727" i="1" s="1"/>
  <c r="H1728" i="1" a="1"/>
  <c r="H1728" i="1" s="1"/>
  <c r="H1729" i="1" a="1"/>
  <c r="H1729" i="1" s="1"/>
  <c r="H1730" i="1" a="1"/>
  <c r="H1730" i="1" s="1"/>
  <c r="H1731" i="1" a="1"/>
  <c r="H1731" i="1" s="1"/>
  <c r="H1732" i="1" a="1"/>
  <c r="H1732" i="1" s="1"/>
  <c r="H1733" i="1" a="1"/>
  <c r="H1733" i="1" s="1"/>
  <c r="H1734" i="1" a="1"/>
  <c r="H1734" i="1" s="1"/>
  <c r="H1735" i="1" a="1"/>
  <c r="H1735" i="1" s="1"/>
  <c r="H1736" i="1" a="1"/>
  <c r="H1736" i="1" s="1"/>
  <c r="H1737" i="1" a="1"/>
  <c r="H1737" i="1" s="1"/>
  <c r="H1738" i="1" a="1"/>
  <c r="H1738" i="1" s="1"/>
  <c r="H1739" i="1" a="1"/>
  <c r="H1739" i="1" s="1"/>
  <c r="H1740" i="1" a="1"/>
  <c r="H1740" i="1" s="1"/>
  <c r="H1741" i="1" a="1"/>
  <c r="H1741" i="1" s="1"/>
  <c r="H1742" i="1" a="1"/>
  <c r="H1742" i="1" s="1"/>
  <c r="H1743" i="1" a="1"/>
  <c r="H1743" i="1" s="1"/>
  <c r="H1744" i="1" a="1"/>
  <c r="H1744" i="1" s="1"/>
  <c r="H1745" i="1" a="1"/>
  <c r="H1745" i="1" s="1"/>
  <c r="H1746" i="1" a="1"/>
  <c r="H1746" i="1" s="1"/>
  <c r="H1747" i="1" a="1"/>
  <c r="H1747" i="1" s="1"/>
  <c r="H1748" i="1" a="1"/>
  <c r="H1748" i="1" s="1"/>
  <c r="H1749" i="1" a="1"/>
  <c r="H1749" i="1" s="1"/>
  <c r="H1750" i="1" a="1"/>
  <c r="H1750" i="1" s="1"/>
  <c r="H1751" i="1" a="1"/>
  <c r="H1751" i="1" s="1"/>
  <c r="H1752" i="1" a="1"/>
  <c r="H1752" i="1" s="1"/>
  <c r="H1753" i="1" a="1"/>
  <c r="H1753" i="1" s="1"/>
  <c r="H1754" i="1" a="1"/>
  <c r="H1754" i="1" s="1"/>
  <c r="H1755" i="1" a="1"/>
  <c r="H1755" i="1" s="1"/>
  <c r="H1756" i="1" a="1"/>
  <c r="H1756" i="1" s="1"/>
  <c r="H1757" i="1" a="1"/>
  <c r="H1757" i="1" s="1"/>
  <c r="H1758" i="1" a="1"/>
  <c r="H1758" i="1" s="1"/>
  <c r="H1759" i="1" a="1"/>
  <c r="H1759" i="1" s="1"/>
  <c r="H1760" i="1" a="1"/>
  <c r="H1760" i="1" s="1"/>
  <c r="H1761" i="1" a="1"/>
  <c r="H1761" i="1" s="1"/>
  <c r="H1762" i="1" a="1"/>
  <c r="H1762" i="1" s="1"/>
  <c r="H1763" i="1" a="1"/>
  <c r="H1763" i="1" s="1"/>
  <c r="H1764" i="1" a="1"/>
  <c r="H1764" i="1" s="1"/>
  <c r="H1765" i="1" a="1"/>
  <c r="H1765" i="1" s="1"/>
  <c r="H1766" i="1" a="1"/>
  <c r="H1766" i="1" s="1"/>
  <c r="H1767" i="1" a="1"/>
  <c r="H1767" i="1" s="1"/>
  <c r="H1768" i="1" a="1"/>
  <c r="H1768" i="1" s="1"/>
  <c r="H1769" i="1" a="1"/>
  <c r="H1769" i="1" s="1"/>
  <c r="H1770" i="1" a="1"/>
  <c r="H1770" i="1" s="1"/>
  <c r="H1771" i="1" a="1"/>
  <c r="H1771" i="1" s="1"/>
  <c r="H1772" i="1" a="1"/>
  <c r="H1772" i="1" s="1"/>
  <c r="H1773" i="1" a="1"/>
  <c r="H1773" i="1" s="1"/>
  <c r="H1774" i="1" a="1"/>
  <c r="H1774" i="1" s="1"/>
  <c r="H1775" i="1" a="1"/>
  <c r="H1775" i="1" s="1"/>
  <c r="H1776" i="1" a="1"/>
  <c r="H1776" i="1" s="1"/>
  <c r="H1777" i="1" a="1"/>
  <c r="H1777" i="1" s="1"/>
  <c r="H1778" i="1" a="1"/>
  <c r="H1778" i="1" s="1"/>
  <c r="H1779" i="1" a="1"/>
  <c r="H1779" i="1" s="1"/>
  <c r="H1780" i="1" a="1"/>
  <c r="H1780" i="1" s="1"/>
  <c r="H1781" i="1" a="1"/>
  <c r="H1781" i="1" s="1"/>
  <c r="H1782" i="1" a="1"/>
  <c r="H1782" i="1" s="1"/>
  <c r="H1783" i="1" a="1"/>
  <c r="H1783" i="1" s="1"/>
  <c r="H1784" i="1" a="1"/>
  <c r="H1784" i="1" s="1"/>
  <c r="H1785" i="1" a="1"/>
  <c r="H1785" i="1" s="1"/>
  <c r="H1786" i="1" a="1"/>
  <c r="H1786" i="1" s="1"/>
  <c r="H1787" i="1" a="1"/>
  <c r="H1787" i="1" s="1"/>
  <c r="H1788" i="1" a="1"/>
  <c r="H1788" i="1" s="1"/>
  <c r="H1789" i="1" a="1"/>
  <c r="H1789" i="1" s="1"/>
  <c r="H1790" i="1" a="1"/>
  <c r="H1790" i="1" s="1"/>
  <c r="H1791" i="1" a="1"/>
  <c r="H1791" i="1" s="1"/>
  <c r="H1792" i="1" a="1"/>
  <c r="H1792" i="1" s="1"/>
  <c r="H1793" i="1" a="1"/>
  <c r="H1793" i="1" s="1"/>
  <c r="H1794" i="1" a="1"/>
  <c r="H1794" i="1" s="1"/>
  <c r="H1795" i="1" a="1"/>
  <c r="H1795" i="1" s="1"/>
  <c r="H1796" i="1" a="1"/>
  <c r="H1796" i="1" s="1"/>
  <c r="H1797" i="1" a="1"/>
  <c r="H1797" i="1" s="1"/>
  <c r="H1798" i="1" a="1"/>
  <c r="H1798" i="1" s="1"/>
  <c r="H1799" i="1" a="1"/>
  <c r="H1799" i="1" s="1"/>
  <c r="H1800" i="1" a="1"/>
  <c r="H1800" i="1" s="1"/>
  <c r="H1801" i="1" a="1"/>
  <c r="H1801" i="1" s="1"/>
  <c r="H1802" i="1" a="1"/>
  <c r="H1802" i="1" s="1"/>
  <c r="H1803" i="1" a="1"/>
  <c r="H1803" i="1" s="1"/>
  <c r="H1804" i="1" a="1"/>
  <c r="H1804" i="1" s="1"/>
  <c r="H1805" i="1" a="1"/>
  <c r="H1805" i="1" s="1"/>
  <c r="H1806" i="1" a="1"/>
  <c r="H1806" i="1" s="1"/>
  <c r="H1807" i="1" a="1"/>
  <c r="H1807" i="1" s="1"/>
  <c r="H1808" i="1" a="1"/>
  <c r="H1808" i="1" s="1"/>
  <c r="H1809" i="1" a="1"/>
  <c r="H1809" i="1" s="1"/>
  <c r="H1810" i="1" a="1"/>
  <c r="H1810" i="1" s="1"/>
  <c r="H1811" i="1" a="1"/>
  <c r="H1811" i="1" s="1"/>
  <c r="H1812" i="1" a="1"/>
  <c r="H1812" i="1" s="1"/>
  <c r="H1813" i="1" a="1"/>
  <c r="H1813" i="1" s="1"/>
  <c r="H1814" i="1" a="1"/>
  <c r="H1814" i="1" s="1"/>
  <c r="H1815" i="1" a="1"/>
  <c r="H1815" i="1" s="1"/>
  <c r="H1816" i="1" a="1"/>
  <c r="H1816" i="1" s="1"/>
  <c r="H1817" i="1" a="1"/>
  <c r="H1817" i="1" s="1"/>
  <c r="H1818" i="1" a="1"/>
  <c r="H1818" i="1" s="1"/>
  <c r="H1819" i="1" a="1"/>
  <c r="H1819" i="1" s="1"/>
  <c r="H1820" i="1" a="1"/>
  <c r="H1820" i="1" s="1"/>
  <c r="H1821" i="1" a="1"/>
  <c r="H1821" i="1" s="1"/>
  <c r="H1822" i="1" a="1"/>
  <c r="H1822" i="1" s="1"/>
  <c r="H1823" i="1" a="1"/>
  <c r="H1823" i="1" s="1"/>
  <c r="H1824" i="1" a="1"/>
  <c r="H1824" i="1" s="1"/>
  <c r="H1825" i="1" a="1"/>
  <c r="H1825" i="1" s="1"/>
  <c r="H1826" i="1" a="1"/>
  <c r="H1826" i="1" s="1"/>
  <c r="H1827" i="1" a="1"/>
  <c r="H1827" i="1" s="1"/>
  <c r="H1828" i="1" a="1"/>
  <c r="H1828" i="1" s="1"/>
  <c r="H1829" i="1" a="1"/>
  <c r="H1829" i="1" s="1"/>
  <c r="H1830" i="1" a="1"/>
  <c r="H1830" i="1" s="1"/>
  <c r="H1831" i="1" a="1"/>
  <c r="H1831" i="1" s="1"/>
  <c r="H1832" i="1" a="1"/>
  <c r="H1832" i="1" s="1"/>
  <c r="H1833" i="1" a="1"/>
  <c r="H1833" i="1" s="1"/>
  <c r="H1834" i="1" a="1"/>
  <c r="H1834" i="1" s="1"/>
  <c r="H1835" i="1" a="1"/>
  <c r="H1835" i="1" s="1"/>
  <c r="H1836" i="1" a="1"/>
  <c r="H1836" i="1" s="1"/>
  <c r="H1837" i="1" a="1"/>
  <c r="H1837" i="1" s="1"/>
  <c r="H1838" i="1" a="1"/>
  <c r="H1838" i="1" s="1"/>
  <c r="H1839" i="1" a="1"/>
  <c r="H1839" i="1" s="1"/>
  <c r="H1840" i="1" a="1"/>
  <c r="H1840" i="1" s="1"/>
  <c r="H1841" i="1" a="1"/>
  <c r="H1841" i="1" s="1"/>
  <c r="H1842" i="1" a="1"/>
  <c r="H1842" i="1" s="1"/>
  <c r="H1843" i="1" a="1"/>
  <c r="H1843" i="1" s="1"/>
  <c r="H1844" i="1" a="1"/>
  <c r="H1844" i="1" s="1"/>
  <c r="H1845" i="1" a="1"/>
  <c r="H1845" i="1" s="1"/>
  <c r="H1846" i="1" a="1"/>
  <c r="H1846" i="1" s="1"/>
  <c r="H1847" i="1" a="1"/>
  <c r="H1847" i="1" s="1"/>
  <c r="H1848" i="1" a="1"/>
  <c r="H1848" i="1" s="1"/>
  <c r="H1849" i="1" a="1"/>
  <c r="H1849" i="1" s="1"/>
  <c r="H1850" i="1" a="1"/>
  <c r="H1850" i="1" s="1"/>
  <c r="H1851" i="1" a="1"/>
  <c r="H1851" i="1" s="1"/>
  <c r="H1852" i="1" a="1"/>
  <c r="H1852" i="1" s="1"/>
  <c r="H1853" i="1" a="1"/>
  <c r="H1853" i="1" s="1"/>
  <c r="H1854" i="1" a="1"/>
  <c r="H1854" i="1" s="1"/>
  <c r="H1855" i="1" a="1"/>
  <c r="H1855" i="1" s="1"/>
  <c r="H1856" i="1" a="1"/>
  <c r="H1856" i="1" s="1"/>
  <c r="H1857" i="1" a="1"/>
  <c r="H1857" i="1" s="1"/>
  <c r="H1858" i="1" a="1"/>
  <c r="H1858" i="1" s="1"/>
  <c r="H1859" i="1" a="1"/>
  <c r="H1859" i="1" s="1"/>
  <c r="H1860" i="1" a="1"/>
  <c r="H1860" i="1" s="1"/>
  <c r="H1861" i="1" a="1"/>
  <c r="H1861" i="1" s="1"/>
  <c r="H1862" i="1" a="1"/>
  <c r="H1862" i="1" s="1"/>
  <c r="H1863" i="1" a="1"/>
  <c r="H1863" i="1" s="1"/>
  <c r="H1864" i="1" a="1"/>
  <c r="H1864" i="1" s="1"/>
  <c r="H1865" i="1" a="1"/>
  <c r="H1865" i="1" s="1"/>
  <c r="H1866" i="1" a="1"/>
  <c r="H1866" i="1" s="1"/>
  <c r="H1867" i="1" a="1"/>
  <c r="H1867" i="1" s="1"/>
  <c r="H1868" i="1" a="1"/>
  <c r="H1868" i="1" s="1"/>
  <c r="H1869" i="1" a="1"/>
  <c r="H1869" i="1" s="1"/>
  <c r="H1870" i="1" a="1"/>
  <c r="H1870" i="1" s="1"/>
  <c r="H1871" i="1" a="1"/>
  <c r="H1871" i="1" s="1"/>
  <c r="H1872" i="1" a="1"/>
  <c r="H1872" i="1" s="1"/>
  <c r="H1873" i="1" a="1"/>
  <c r="H1873" i="1" s="1"/>
  <c r="H1874" i="1" a="1"/>
  <c r="H1874" i="1" s="1"/>
  <c r="H1875" i="1" a="1"/>
  <c r="H1875" i="1" s="1"/>
  <c r="H1876" i="1" a="1"/>
  <c r="H1876" i="1" s="1"/>
  <c r="H1877" i="1" a="1"/>
  <c r="H1877" i="1" s="1"/>
  <c r="H1878" i="1" a="1"/>
  <c r="H1878" i="1" s="1"/>
  <c r="H1879" i="1" a="1"/>
  <c r="H1879" i="1" s="1"/>
  <c r="H1880" i="1" a="1"/>
  <c r="H1880" i="1" s="1"/>
  <c r="H1881" i="1" a="1"/>
  <c r="H1881" i="1" s="1"/>
  <c r="H1882" i="1" a="1"/>
  <c r="H1882" i="1" s="1"/>
  <c r="H1883" i="1" a="1"/>
  <c r="H1883" i="1" s="1"/>
  <c r="H1884" i="1" a="1"/>
  <c r="H1884" i="1" s="1"/>
  <c r="H1885" i="1" a="1"/>
  <c r="H1885" i="1" s="1"/>
  <c r="H1886" i="1" a="1"/>
  <c r="H1886" i="1" s="1"/>
  <c r="H1887" i="1" a="1"/>
  <c r="H1887" i="1" s="1"/>
  <c r="H1888" i="1" a="1"/>
  <c r="H1888" i="1" s="1"/>
  <c r="H1889" i="1" a="1"/>
  <c r="H1889" i="1" s="1"/>
  <c r="H1890" i="1" a="1"/>
  <c r="H1890" i="1" s="1"/>
  <c r="H1891" i="1" a="1"/>
  <c r="H1891" i="1" s="1"/>
  <c r="H1892" i="1" a="1"/>
  <c r="H1892" i="1" s="1"/>
  <c r="H1893" i="1" a="1"/>
  <c r="H1893" i="1" s="1"/>
  <c r="H1894" i="1" a="1"/>
  <c r="H1894" i="1" s="1"/>
  <c r="H1895" i="1" a="1"/>
  <c r="H1895" i="1" s="1"/>
  <c r="H1896" i="1" a="1"/>
  <c r="H1896" i="1" s="1"/>
  <c r="H1897" i="1" a="1"/>
  <c r="H1897" i="1" s="1"/>
  <c r="H1898" i="1" a="1"/>
  <c r="H1898" i="1" s="1"/>
  <c r="H1899" i="1" a="1"/>
  <c r="H1899" i="1" s="1"/>
  <c r="H1900" i="1" a="1"/>
  <c r="H1900" i="1" s="1"/>
  <c r="H1901" i="1" a="1"/>
  <c r="H1901" i="1" s="1"/>
  <c r="H1902" i="1" a="1"/>
  <c r="H1902" i="1" s="1"/>
  <c r="H1903" i="1" a="1"/>
  <c r="H1903" i="1" s="1"/>
  <c r="H1904" i="1" a="1"/>
  <c r="H1904" i="1" s="1"/>
  <c r="H1905" i="1" a="1"/>
  <c r="H1905" i="1" s="1"/>
  <c r="H1906" i="1" a="1"/>
  <c r="H1906" i="1" s="1"/>
  <c r="H1907" i="1" a="1"/>
  <c r="H1907" i="1" s="1"/>
  <c r="H1908" i="1" a="1"/>
  <c r="H1908" i="1" s="1"/>
  <c r="H1909" i="1" a="1"/>
  <c r="H1909" i="1" s="1"/>
  <c r="H1910" i="1" a="1"/>
  <c r="H1910" i="1" s="1"/>
  <c r="H1911" i="1" a="1"/>
  <c r="H1911" i="1" s="1"/>
  <c r="H1912" i="1" a="1"/>
  <c r="H1912" i="1" s="1"/>
  <c r="H1913" i="1" a="1"/>
  <c r="H1913" i="1" s="1"/>
  <c r="H1914" i="1" a="1"/>
  <c r="H1914" i="1" s="1"/>
  <c r="H1915" i="1" a="1"/>
  <c r="H1915" i="1" s="1"/>
  <c r="H1916" i="1" a="1"/>
  <c r="H1916" i="1" s="1"/>
  <c r="H1917" i="1" a="1"/>
  <c r="H1917" i="1" s="1"/>
  <c r="H1918" i="1" a="1"/>
  <c r="H1918" i="1" s="1"/>
  <c r="H1919" i="1" a="1"/>
  <c r="H1919" i="1" s="1"/>
  <c r="H1920" i="1" a="1"/>
  <c r="H1920" i="1" s="1"/>
  <c r="H1921" i="1" a="1"/>
  <c r="H1921" i="1" s="1"/>
  <c r="H1922" i="1" a="1"/>
  <c r="H1922" i="1" s="1"/>
  <c r="H1923" i="1" a="1"/>
  <c r="H1923" i="1" s="1"/>
  <c r="H1924" i="1" a="1"/>
  <c r="H1924" i="1" s="1"/>
  <c r="H1925" i="1" a="1"/>
  <c r="H1925" i="1" s="1"/>
  <c r="H1926" i="1" a="1"/>
  <c r="H1926" i="1" s="1"/>
  <c r="H1927" i="1" a="1"/>
  <c r="H1927" i="1" s="1"/>
  <c r="H1928" i="1" a="1"/>
  <c r="H1928" i="1" s="1"/>
  <c r="H1929" i="1" a="1"/>
  <c r="H1929" i="1" s="1"/>
  <c r="H1930" i="1" a="1"/>
  <c r="H1930" i="1" s="1"/>
  <c r="H1931" i="1" a="1"/>
  <c r="H1931" i="1" s="1"/>
  <c r="H1932" i="1" a="1"/>
  <c r="H1932" i="1" s="1"/>
  <c r="H1933" i="1" a="1"/>
  <c r="H1933" i="1" s="1"/>
  <c r="H1934" i="1" a="1"/>
  <c r="H1934" i="1" s="1"/>
  <c r="H1935" i="1" a="1"/>
  <c r="H1935" i="1" s="1"/>
  <c r="H1936" i="1" a="1"/>
  <c r="H1936" i="1" s="1"/>
  <c r="H1937" i="1" a="1"/>
  <c r="H1937" i="1" s="1"/>
  <c r="H1938" i="1" a="1"/>
  <c r="H1938" i="1" s="1"/>
  <c r="H1939" i="1" a="1"/>
  <c r="H1939" i="1" s="1"/>
  <c r="H1940" i="1" a="1"/>
  <c r="H1940" i="1" s="1"/>
  <c r="H1941" i="1" a="1"/>
  <c r="H1941" i="1" s="1"/>
  <c r="H1942" i="1" a="1"/>
  <c r="H1942" i="1" s="1"/>
  <c r="H1943" i="1" a="1"/>
  <c r="H1943" i="1" s="1"/>
  <c r="H1944" i="1" a="1"/>
  <c r="H1944" i="1" s="1"/>
  <c r="H1945" i="1" a="1"/>
  <c r="H1945" i="1" s="1"/>
  <c r="H1946" i="1" a="1"/>
  <c r="H1946" i="1" s="1"/>
  <c r="H1947" i="1" a="1"/>
  <c r="H1947" i="1" s="1"/>
  <c r="H1948" i="1" a="1"/>
  <c r="H1948" i="1" s="1"/>
  <c r="H1949" i="1" a="1"/>
  <c r="H1949" i="1" s="1"/>
  <c r="H1950" i="1" a="1"/>
  <c r="H1950" i="1" s="1"/>
  <c r="H1951" i="1" a="1"/>
  <c r="H1951" i="1" s="1"/>
  <c r="H1952" i="1" a="1"/>
  <c r="H1952" i="1" s="1"/>
  <c r="H1953" i="1" a="1"/>
  <c r="H1953" i="1" s="1"/>
  <c r="H1954" i="1" a="1"/>
  <c r="H1954" i="1" s="1"/>
  <c r="H1955" i="1" a="1"/>
  <c r="H1955" i="1" s="1"/>
  <c r="H1956" i="1" a="1"/>
  <c r="H1956" i="1" s="1"/>
  <c r="H1957" i="1" a="1"/>
  <c r="H1957" i="1" s="1"/>
  <c r="H1958" i="1" a="1"/>
  <c r="H1958" i="1" s="1"/>
  <c r="H1959" i="1" a="1"/>
  <c r="H1959" i="1" s="1"/>
  <c r="H1960" i="1" a="1"/>
  <c r="H1960" i="1" s="1"/>
  <c r="H1961" i="1" a="1"/>
  <c r="H1961" i="1" s="1"/>
  <c r="H1962" i="1" a="1"/>
  <c r="H1962" i="1" s="1"/>
  <c r="H1963" i="1" a="1"/>
  <c r="H1963" i="1" s="1"/>
  <c r="H1964" i="1" a="1"/>
  <c r="H1964" i="1" s="1"/>
  <c r="H1965" i="1" a="1"/>
  <c r="H1965" i="1" s="1"/>
  <c r="H1966" i="1" a="1"/>
  <c r="H1966" i="1" s="1"/>
  <c r="H1967" i="1" a="1"/>
  <c r="H1967" i="1" s="1"/>
  <c r="H1968" i="1" a="1"/>
  <c r="H1968" i="1" s="1"/>
  <c r="H1969" i="1" a="1"/>
  <c r="H1969" i="1" s="1"/>
  <c r="H1970" i="1" a="1"/>
  <c r="H1970" i="1" s="1"/>
  <c r="H1971" i="1" a="1"/>
  <c r="H1971" i="1" s="1"/>
  <c r="H1972" i="1" a="1"/>
  <c r="H1972" i="1" s="1"/>
  <c r="H1973" i="1" a="1"/>
  <c r="H1973" i="1" s="1"/>
  <c r="H1974" i="1" a="1"/>
  <c r="H1974" i="1" s="1"/>
  <c r="H1975" i="1" a="1"/>
  <c r="H1975" i="1" s="1"/>
  <c r="H1976" i="1" a="1"/>
  <c r="H1976" i="1" s="1"/>
  <c r="H1977" i="1" a="1"/>
  <c r="H1977" i="1" s="1"/>
  <c r="H1978" i="1" a="1"/>
  <c r="H1978" i="1" s="1"/>
  <c r="H1979" i="1" a="1"/>
  <c r="H1979" i="1" s="1"/>
  <c r="H1980" i="1" a="1"/>
  <c r="H1980" i="1" s="1"/>
  <c r="H1981" i="1" a="1"/>
  <c r="H1981" i="1" s="1"/>
  <c r="H1982" i="1" a="1"/>
  <c r="H1982" i="1" s="1"/>
  <c r="H1983" i="1" a="1"/>
  <c r="H1983" i="1" s="1"/>
  <c r="H1984" i="1" a="1"/>
  <c r="H1984" i="1" s="1"/>
  <c r="H1985" i="1" a="1"/>
  <c r="H1985" i="1" s="1"/>
  <c r="H1986" i="1" a="1"/>
  <c r="H1986" i="1" s="1"/>
  <c r="H1987" i="1" a="1"/>
  <c r="H1987" i="1" s="1"/>
  <c r="H1988" i="1" a="1"/>
  <c r="H1988" i="1" s="1"/>
  <c r="H1989" i="1" a="1"/>
  <c r="H1989" i="1" s="1"/>
  <c r="H1990" i="1" a="1"/>
  <c r="H1990" i="1" s="1"/>
  <c r="H1991" i="1" a="1"/>
  <c r="H1991" i="1" s="1"/>
  <c r="H1992" i="1" a="1"/>
  <c r="H1992" i="1" s="1"/>
  <c r="H1993" i="1" a="1"/>
  <c r="H1993" i="1" s="1"/>
  <c r="H1994" i="1" a="1"/>
  <c r="H1994" i="1" s="1"/>
  <c r="H1995" i="1" a="1"/>
  <c r="H1995" i="1" s="1"/>
  <c r="H1996" i="1" a="1"/>
  <c r="H1996" i="1" s="1"/>
  <c r="H1997" i="1" a="1"/>
  <c r="H1997" i="1" s="1"/>
  <c r="H1998" i="1" a="1"/>
  <c r="H1998" i="1" s="1"/>
  <c r="H1999" i="1" a="1"/>
  <c r="H1999" i="1" s="1"/>
  <c r="H2000" i="1" a="1"/>
  <c r="H2000" i="1" s="1"/>
  <c r="H2001" i="1" a="1"/>
  <c r="H2001" i="1" s="1"/>
  <c r="H2002" i="1" a="1"/>
  <c r="H2002" i="1" s="1"/>
  <c r="H2003" i="1" a="1"/>
  <c r="H2003" i="1" s="1"/>
  <c r="H2004" i="1" a="1"/>
  <c r="H2004" i="1" s="1"/>
  <c r="H2005" i="1" a="1"/>
  <c r="H2005" i="1" s="1"/>
  <c r="H2006" i="1" a="1"/>
  <c r="H2006" i="1" s="1"/>
  <c r="H2007" i="1" a="1"/>
  <c r="H2007" i="1" s="1"/>
  <c r="H2008" i="1" a="1"/>
  <c r="H2008" i="1" s="1"/>
  <c r="H2009" i="1" a="1"/>
  <c r="H2009" i="1" s="1"/>
  <c r="H2010" i="1" a="1"/>
  <c r="H2010" i="1" s="1"/>
  <c r="H2011" i="1" a="1"/>
  <c r="H2011" i="1" s="1"/>
  <c r="H2012" i="1" a="1"/>
  <c r="H2012" i="1" s="1"/>
  <c r="H2013" i="1" a="1"/>
  <c r="H2013" i="1" s="1"/>
  <c r="H2014" i="1" a="1"/>
  <c r="H2014" i="1" s="1"/>
  <c r="H2015" i="1" a="1"/>
  <c r="H2015" i="1" s="1"/>
  <c r="H2016" i="1" a="1"/>
  <c r="H2016" i="1" s="1"/>
  <c r="H2017" i="1" a="1"/>
  <c r="H2017" i="1" s="1"/>
  <c r="H2018" i="1" a="1"/>
  <c r="H2018" i="1" s="1"/>
  <c r="H2019" i="1" a="1"/>
  <c r="H2019" i="1" s="1"/>
  <c r="H2020" i="1" a="1"/>
  <c r="H2020" i="1" s="1"/>
  <c r="H2021" i="1" a="1"/>
  <c r="H2021" i="1" s="1"/>
  <c r="H2022" i="1" a="1"/>
  <c r="H2022" i="1" s="1"/>
  <c r="H2023" i="1" a="1"/>
  <c r="H2023" i="1" s="1"/>
  <c r="H2024" i="1" a="1"/>
  <c r="H2024" i="1" s="1"/>
  <c r="H2025" i="1" a="1"/>
  <c r="H2025" i="1" s="1"/>
  <c r="H2026" i="1" a="1"/>
  <c r="H2026" i="1" s="1"/>
  <c r="H2027" i="1" a="1"/>
  <c r="H2027" i="1" s="1"/>
  <c r="H2028" i="1" a="1"/>
  <c r="H2028" i="1" s="1"/>
  <c r="H2029" i="1" a="1"/>
  <c r="H2029" i="1" s="1"/>
  <c r="H2030" i="1" a="1"/>
  <c r="H2030" i="1" s="1"/>
  <c r="H2031" i="1" a="1"/>
  <c r="H2031" i="1" s="1"/>
  <c r="H2032" i="1" a="1"/>
  <c r="H2032" i="1" s="1"/>
  <c r="H2033" i="1" a="1"/>
  <c r="H2033" i="1" s="1"/>
  <c r="H2034" i="1" a="1"/>
  <c r="H2034" i="1" s="1"/>
  <c r="H2035" i="1" a="1"/>
  <c r="H2035" i="1" s="1"/>
  <c r="H2036" i="1" a="1"/>
  <c r="H2036" i="1" s="1"/>
  <c r="H2037" i="1" a="1"/>
  <c r="H2037" i="1" s="1"/>
  <c r="H2038" i="1" a="1"/>
  <c r="H2038" i="1" s="1"/>
  <c r="H2039" i="1" a="1"/>
  <c r="H2039" i="1" s="1"/>
  <c r="H2040" i="1" a="1"/>
  <c r="H2040" i="1" s="1"/>
  <c r="H2041" i="1" a="1"/>
  <c r="H2041" i="1" s="1"/>
  <c r="H2042" i="1" a="1"/>
  <c r="H2042" i="1" s="1"/>
  <c r="H2043" i="1" a="1"/>
  <c r="H2043" i="1" s="1"/>
  <c r="H2044" i="1" a="1"/>
  <c r="H2044" i="1" s="1"/>
  <c r="H2045" i="1" a="1"/>
  <c r="H2045" i="1" s="1"/>
  <c r="H2046" i="1" a="1"/>
  <c r="H2046" i="1" s="1"/>
  <c r="H2047" i="1" a="1"/>
  <c r="H2047" i="1" s="1"/>
  <c r="H2048" i="1" a="1"/>
  <c r="H2048" i="1" s="1"/>
  <c r="H2049" i="1" a="1"/>
  <c r="H2049" i="1" s="1"/>
  <c r="H2050" i="1" a="1"/>
  <c r="H2050" i="1" s="1"/>
  <c r="H2051" i="1" a="1"/>
  <c r="H2051" i="1" s="1"/>
  <c r="H2052" i="1" a="1"/>
  <c r="H2052" i="1" s="1"/>
  <c r="H2053" i="1" a="1"/>
  <c r="H2053" i="1" s="1"/>
  <c r="H2054" i="1" a="1"/>
  <c r="H2054" i="1" s="1"/>
  <c r="H2055" i="1" a="1"/>
  <c r="H2055" i="1" s="1"/>
  <c r="H2056" i="1" a="1"/>
  <c r="H2056" i="1" s="1"/>
  <c r="H2057" i="1" a="1"/>
  <c r="H2057" i="1" s="1"/>
  <c r="H2058" i="1" a="1"/>
  <c r="H2058" i="1" s="1"/>
  <c r="H2059" i="1" a="1"/>
  <c r="H2059" i="1" s="1"/>
  <c r="H2060" i="1" a="1"/>
  <c r="H2060" i="1" s="1"/>
  <c r="H2061" i="1" a="1"/>
  <c r="H2061" i="1" s="1"/>
  <c r="H2062" i="1" a="1"/>
  <c r="H2062" i="1" s="1"/>
  <c r="H2063" i="1" a="1"/>
  <c r="H2063" i="1" s="1"/>
  <c r="H2064" i="1" a="1"/>
  <c r="H2064" i="1" s="1"/>
  <c r="H2065" i="1" a="1"/>
  <c r="H2065" i="1" s="1"/>
  <c r="H2066" i="1" a="1"/>
  <c r="H2066" i="1" s="1"/>
  <c r="H2067" i="1" a="1"/>
  <c r="H2067" i="1" s="1"/>
  <c r="H2068" i="1" a="1"/>
  <c r="H2068" i="1" s="1"/>
  <c r="H2069" i="1" a="1"/>
  <c r="H2069" i="1" s="1"/>
  <c r="H2070" i="1" a="1"/>
  <c r="H2070" i="1" s="1"/>
  <c r="H2071" i="1" a="1"/>
  <c r="H2071" i="1" s="1"/>
  <c r="H2072" i="1" a="1"/>
  <c r="H2072" i="1" s="1"/>
  <c r="H2073" i="1" a="1"/>
  <c r="H2073" i="1" s="1"/>
  <c r="H2074" i="1" a="1"/>
  <c r="H2074" i="1" s="1"/>
  <c r="H2075" i="1" a="1"/>
  <c r="H2075" i="1" s="1"/>
  <c r="H2076" i="1" a="1"/>
  <c r="H2076" i="1" s="1"/>
  <c r="H2077" i="1" a="1"/>
  <c r="H2077" i="1" s="1"/>
  <c r="H2078" i="1" a="1"/>
  <c r="H2078" i="1" s="1"/>
  <c r="H2079" i="1" a="1"/>
  <c r="H2079" i="1" s="1"/>
  <c r="H2080" i="1" a="1"/>
  <c r="H2080" i="1" s="1"/>
  <c r="H2081" i="1" a="1"/>
  <c r="H2081" i="1" s="1"/>
  <c r="H2082" i="1" a="1"/>
  <c r="H2082" i="1" s="1"/>
  <c r="H2083" i="1" a="1"/>
  <c r="H2083" i="1" s="1"/>
  <c r="H2084" i="1" a="1"/>
  <c r="H2084" i="1" s="1"/>
  <c r="H2085" i="1" a="1"/>
  <c r="H2085" i="1" s="1"/>
  <c r="H2086" i="1" a="1"/>
  <c r="H2086" i="1" s="1"/>
  <c r="H2087" i="1" a="1"/>
  <c r="H2087" i="1" s="1"/>
  <c r="H2088" i="1" a="1"/>
  <c r="H2088" i="1" s="1"/>
  <c r="H2089" i="1" a="1"/>
  <c r="H2089" i="1" s="1"/>
  <c r="H2090" i="1" a="1"/>
  <c r="H2090" i="1" s="1"/>
  <c r="H2091" i="1" a="1"/>
  <c r="H2091" i="1" s="1"/>
  <c r="H2092" i="1" a="1"/>
  <c r="H2092" i="1" s="1"/>
  <c r="H2093" i="1" a="1"/>
  <c r="H2093" i="1" s="1"/>
  <c r="H2094" i="1" a="1"/>
  <c r="H2094" i="1" s="1"/>
  <c r="H2095" i="1" a="1"/>
  <c r="H2095" i="1" s="1"/>
  <c r="H2096" i="1" a="1"/>
  <c r="H2096" i="1" s="1"/>
  <c r="H2097" i="1" a="1"/>
  <c r="H2097" i="1" s="1"/>
  <c r="H2098" i="1" a="1"/>
  <c r="H2098" i="1" s="1"/>
  <c r="H2099" i="1" a="1"/>
  <c r="H2099" i="1" s="1"/>
  <c r="H2100" i="1" a="1"/>
  <c r="H2100" i="1" s="1"/>
  <c r="H2101" i="1" a="1"/>
  <c r="H2101" i="1" s="1"/>
  <c r="H2102" i="1" a="1"/>
  <c r="H2102" i="1" s="1"/>
  <c r="H2103" i="1" a="1"/>
  <c r="H2103" i="1" s="1"/>
  <c r="H2104" i="1" a="1"/>
  <c r="H2104" i="1" s="1"/>
  <c r="H2105" i="1" a="1"/>
  <c r="H2105" i="1" s="1"/>
  <c r="H2106" i="1" a="1"/>
  <c r="H2106" i="1" s="1"/>
  <c r="H2107" i="1" a="1"/>
  <c r="H2107" i="1" s="1"/>
  <c r="H2108" i="1" a="1"/>
  <c r="H2108" i="1" s="1"/>
  <c r="H2109" i="1" a="1"/>
  <c r="H2109" i="1" s="1"/>
  <c r="H2110" i="1" a="1"/>
  <c r="H2110" i="1" s="1"/>
  <c r="H2111" i="1" a="1"/>
  <c r="H2111" i="1" s="1"/>
  <c r="H2112" i="1" a="1"/>
  <c r="H2112" i="1" s="1"/>
  <c r="H2113" i="1" a="1"/>
  <c r="H2113" i="1" s="1"/>
  <c r="H2114" i="1" a="1"/>
  <c r="H2114" i="1" s="1"/>
  <c r="H2115" i="1" a="1"/>
  <c r="H2115" i="1" s="1"/>
  <c r="H2116" i="1" a="1"/>
  <c r="H2116" i="1" s="1"/>
  <c r="H2117" i="1" a="1"/>
  <c r="H2117" i="1" s="1"/>
  <c r="H2118" i="1" a="1"/>
  <c r="H2118" i="1" s="1"/>
  <c r="H2119" i="1" a="1"/>
  <c r="H2119" i="1" s="1"/>
  <c r="H2120" i="1" a="1"/>
  <c r="H2120" i="1" s="1"/>
  <c r="H2121" i="1" a="1"/>
  <c r="H2121" i="1" s="1"/>
  <c r="H2122" i="1" a="1"/>
  <c r="H2122" i="1" s="1"/>
  <c r="H2123" i="1" a="1"/>
  <c r="H2123" i="1" s="1"/>
  <c r="H2124" i="1" a="1"/>
  <c r="H2124" i="1" s="1"/>
  <c r="H2125" i="1" a="1"/>
  <c r="H2125" i="1" s="1"/>
  <c r="H2126" i="1" a="1"/>
  <c r="H2126" i="1" s="1"/>
  <c r="H2127" i="1" a="1"/>
  <c r="H2127" i="1" s="1"/>
  <c r="H2128" i="1" a="1"/>
  <c r="H2128" i="1" s="1"/>
  <c r="H2129" i="1" a="1"/>
  <c r="H2129" i="1" s="1"/>
  <c r="H2130" i="1" a="1"/>
  <c r="H2130" i="1" s="1"/>
  <c r="H2131" i="1" a="1"/>
  <c r="H2131" i="1" s="1"/>
  <c r="H2132" i="1" a="1"/>
  <c r="H2132" i="1" s="1"/>
  <c r="H2133" i="1" a="1"/>
  <c r="H2133" i="1" s="1"/>
  <c r="H2134" i="1" a="1"/>
  <c r="H2134" i="1" s="1"/>
  <c r="H2135" i="1" a="1"/>
  <c r="H2135" i="1" s="1"/>
  <c r="H2136" i="1" a="1"/>
  <c r="H2136" i="1" s="1"/>
  <c r="H2137" i="1" a="1"/>
  <c r="H2137" i="1" s="1"/>
  <c r="H2138" i="1" a="1"/>
  <c r="H2138" i="1" s="1"/>
  <c r="H2139" i="1" a="1"/>
  <c r="H2139" i="1" s="1"/>
  <c r="H2140" i="1" a="1"/>
  <c r="H2140" i="1" s="1"/>
  <c r="H2141" i="1" a="1"/>
  <c r="H2141" i="1" s="1"/>
  <c r="H2142" i="1" a="1"/>
  <c r="H2142" i="1" s="1"/>
  <c r="H2143" i="1" a="1"/>
  <c r="H2143" i="1" s="1"/>
  <c r="H2144" i="1" a="1"/>
  <c r="H2144" i="1" s="1"/>
  <c r="H2145" i="1" a="1"/>
  <c r="H2145" i="1" s="1"/>
  <c r="H2146" i="1" a="1"/>
  <c r="H2146" i="1" s="1"/>
  <c r="H2147" i="1" a="1"/>
  <c r="H2147" i="1" s="1"/>
  <c r="H2148" i="1" a="1"/>
  <c r="H2148" i="1" s="1"/>
  <c r="H2149" i="1" a="1"/>
  <c r="H2149" i="1" s="1"/>
  <c r="H2150" i="1" a="1"/>
  <c r="H2150" i="1" s="1"/>
  <c r="H2151" i="1" a="1"/>
  <c r="H2151" i="1" s="1"/>
  <c r="H2152" i="1" a="1"/>
  <c r="H2152" i="1" s="1"/>
  <c r="H2153" i="1" a="1"/>
  <c r="H2153" i="1" s="1"/>
  <c r="H2154" i="1" a="1"/>
  <c r="H2154" i="1" s="1"/>
  <c r="H2155" i="1" a="1"/>
  <c r="H2155" i="1" s="1"/>
  <c r="H2156" i="1" a="1"/>
  <c r="H2156" i="1" s="1"/>
  <c r="H2157" i="1" a="1"/>
  <c r="H2157" i="1" s="1"/>
  <c r="H2158" i="1" a="1"/>
  <c r="H2158" i="1" s="1"/>
  <c r="H2159" i="1" a="1"/>
  <c r="H2159" i="1" s="1"/>
  <c r="H2160" i="1" a="1"/>
  <c r="H2160" i="1" s="1"/>
  <c r="H2161" i="1" a="1"/>
  <c r="H2161" i="1" s="1"/>
  <c r="H2162" i="1" a="1"/>
  <c r="H2162" i="1" s="1"/>
  <c r="H2163" i="1" a="1"/>
  <c r="H2163" i="1" s="1"/>
  <c r="H2164" i="1" a="1"/>
  <c r="H2164" i="1" s="1"/>
  <c r="H2165" i="1" a="1"/>
  <c r="H2165" i="1" s="1"/>
  <c r="H2166" i="1" a="1"/>
  <c r="H2166" i="1" s="1"/>
  <c r="H2167" i="1" a="1"/>
  <c r="H2167" i="1" s="1"/>
  <c r="H2168" i="1" a="1"/>
  <c r="H2168" i="1" s="1"/>
  <c r="H2169" i="1" a="1"/>
  <c r="H2169" i="1" s="1"/>
  <c r="H2170" i="1" a="1"/>
  <c r="H2170" i="1" s="1"/>
  <c r="H2171" i="1" a="1"/>
  <c r="H2171" i="1" s="1"/>
  <c r="H2172" i="1" a="1"/>
  <c r="H2172" i="1" s="1"/>
  <c r="H2173" i="1" a="1"/>
  <c r="H2173" i="1" s="1"/>
  <c r="H2174" i="1" a="1"/>
  <c r="H2174" i="1" s="1"/>
  <c r="H2175" i="1" a="1"/>
  <c r="H2175" i="1" s="1"/>
  <c r="H2176" i="1" a="1"/>
  <c r="H2176" i="1" s="1"/>
  <c r="H2177" i="1" a="1"/>
  <c r="H2177" i="1" s="1"/>
  <c r="H2178" i="1" a="1"/>
  <c r="H2178" i="1" s="1"/>
  <c r="H2179" i="1" a="1"/>
  <c r="H2179" i="1" s="1"/>
  <c r="H2180" i="1" a="1"/>
  <c r="H2180" i="1" s="1"/>
  <c r="H2181" i="1" a="1"/>
  <c r="H2181" i="1" s="1"/>
  <c r="H2182" i="1" a="1"/>
  <c r="H2182" i="1" s="1"/>
  <c r="H2183" i="1" a="1"/>
  <c r="H2183" i="1" s="1"/>
  <c r="H2184" i="1" a="1"/>
  <c r="H2184" i="1" s="1"/>
  <c r="H2185" i="1" a="1"/>
  <c r="H2185" i="1" s="1"/>
  <c r="H2186" i="1" a="1"/>
  <c r="H2186" i="1" s="1"/>
  <c r="H2187" i="1" a="1"/>
  <c r="H2187" i="1" s="1"/>
  <c r="H2188" i="1" a="1"/>
  <c r="H2188" i="1" s="1"/>
  <c r="H2189" i="1" a="1"/>
  <c r="H2189" i="1" s="1"/>
  <c r="H2190" i="1" a="1"/>
  <c r="H2190" i="1" s="1"/>
  <c r="H2191" i="1" a="1"/>
  <c r="H2191" i="1" s="1"/>
  <c r="H2192" i="1" a="1"/>
  <c r="H2192" i="1" s="1"/>
  <c r="H2193" i="1" a="1"/>
  <c r="H2193" i="1" s="1"/>
  <c r="H2194" i="1" a="1"/>
  <c r="H2194" i="1" s="1"/>
  <c r="H2195" i="1" a="1"/>
  <c r="H2195" i="1" s="1"/>
  <c r="H2196" i="1" a="1"/>
  <c r="H2196" i="1" s="1"/>
  <c r="H2197" i="1" a="1"/>
  <c r="H2197" i="1" s="1"/>
  <c r="H2198" i="1" a="1"/>
  <c r="H2198" i="1" s="1"/>
  <c r="H2199" i="1" a="1"/>
  <c r="H2199" i="1" s="1"/>
  <c r="H2200" i="1" a="1"/>
  <c r="H2200" i="1" s="1"/>
  <c r="H2201" i="1" a="1"/>
  <c r="H2201" i="1" s="1"/>
  <c r="H2202" i="1" a="1"/>
  <c r="H2202" i="1" s="1"/>
  <c r="H2203" i="1" a="1"/>
  <c r="H2203" i="1" s="1"/>
  <c r="H2204" i="1" a="1"/>
  <c r="H2204" i="1" s="1"/>
  <c r="H2205" i="1" a="1"/>
  <c r="H2205" i="1" s="1"/>
  <c r="H2206" i="1" a="1"/>
  <c r="H2206" i="1" s="1"/>
  <c r="H2207" i="1" a="1"/>
  <c r="H2207" i="1" s="1"/>
  <c r="H2208" i="1" a="1"/>
  <c r="H2208" i="1" s="1"/>
  <c r="H2209" i="1" a="1"/>
  <c r="H2209" i="1" s="1"/>
  <c r="H2210" i="1" a="1"/>
  <c r="H2210" i="1" s="1"/>
  <c r="H2211" i="1" a="1"/>
  <c r="H2211" i="1" s="1"/>
  <c r="H2212" i="1" a="1"/>
  <c r="H2212" i="1" s="1"/>
  <c r="H2213" i="1" a="1"/>
  <c r="H2213" i="1" s="1"/>
  <c r="H2214" i="1" a="1"/>
  <c r="H2214" i="1" s="1"/>
  <c r="H2215" i="1" a="1"/>
  <c r="H2215" i="1" s="1"/>
  <c r="H2216" i="1" a="1"/>
  <c r="H2216" i="1" s="1"/>
  <c r="H2217" i="1" a="1"/>
  <c r="H2217" i="1" s="1"/>
  <c r="H2218" i="1" a="1"/>
  <c r="H2218" i="1" s="1"/>
  <c r="H2219" i="1" a="1"/>
  <c r="H2219" i="1" s="1"/>
  <c r="H2220" i="1" a="1"/>
  <c r="H2220" i="1" s="1"/>
  <c r="H2221" i="1" a="1"/>
  <c r="H2221" i="1" s="1"/>
  <c r="H2222" i="1" a="1"/>
  <c r="H2222" i="1" s="1"/>
  <c r="H2223" i="1" a="1"/>
  <c r="H2223" i="1" s="1"/>
  <c r="H2224" i="1" a="1"/>
  <c r="H2224" i="1" s="1"/>
  <c r="H2225" i="1" a="1"/>
  <c r="H2225" i="1" s="1"/>
  <c r="H2226" i="1" a="1"/>
  <c r="H2226" i="1" s="1"/>
  <c r="H2227" i="1" a="1"/>
  <c r="H2227" i="1" s="1"/>
  <c r="H2228" i="1" a="1"/>
  <c r="H2228" i="1" s="1"/>
  <c r="H2229" i="1" a="1"/>
  <c r="H2229" i="1" s="1"/>
  <c r="H2230" i="1" a="1"/>
  <c r="H2230" i="1" s="1"/>
  <c r="H2231" i="1" a="1"/>
  <c r="H2231" i="1" s="1"/>
  <c r="H2232" i="1" a="1"/>
  <c r="H2232" i="1" s="1"/>
  <c r="H2233" i="1" a="1"/>
  <c r="H2233" i="1" s="1"/>
  <c r="H2234" i="1" a="1"/>
  <c r="H2234" i="1" s="1"/>
  <c r="H2235" i="1" a="1"/>
  <c r="H2235" i="1" s="1"/>
  <c r="H2236" i="1" a="1"/>
  <c r="H2236" i="1" s="1"/>
  <c r="H2237" i="1" a="1"/>
  <c r="H2237" i="1" s="1"/>
  <c r="H2238" i="1" a="1"/>
  <c r="H2238" i="1" s="1"/>
  <c r="H2239" i="1" a="1"/>
  <c r="H2239" i="1" s="1"/>
  <c r="H2240" i="1" a="1"/>
  <c r="H2240" i="1" s="1"/>
  <c r="H2241" i="1" a="1"/>
  <c r="H2241" i="1" s="1"/>
  <c r="H2242" i="1" a="1"/>
  <c r="H2242" i="1" s="1"/>
  <c r="H2243" i="1" a="1"/>
  <c r="H2243" i="1" s="1"/>
  <c r="H2244" i="1" a="1"/>
  <c r="H2244" i="1" s="1"/>
  <c r="H2245" i="1" a="1"/>
  <c r="H2245" i="1" s="1"/>
  <c r="H2246" i="1" a="1"/>
  <c r="H2246" i="1" s="1"/>
  <c r="H2247" i="1" a="1"/>
  <c r="H2247" i="1" s="1"/>
  <c r="H2248" i="1" a="1"/>
  <c r="H2248" i="1" s="1"/>
  <c r="H2249" i="1" a="1"/>
  <c r="H2249" i="1" s="1"/>
  <c r="H2250" i="1" a="1"/>
  <c r="H2250" i="1" s="1"/>
  <c r="H2251" i="1" a="1"/>
  <c r="H2251" i="1" s="1"/>
  <c r="H2252" i="1" a="1"/>
  <c r="H2252" i="1" s="1"/>
  <c r="H2253" i="1" a="1"/>
  <c r="H2253" i="1" s="1"/>
  <c r="H2254" i="1" a="1"/>
  <c r="H2254" i="1" s="1"/>
  <c r="H2255" i="1" a="1"/>
  <c r="H2255" i="1" s="1"/>
  <c r="H2256" i="1" a="1"/>
  <c r="H2256" i="1" s="1"/>
  <c r="H2257" i="1" a="1"/>
  <c r="H2257" i="1" s="1"/>
  <c r="H2258" i="1" a="1"/>
  <c r="H2258" i="1" s="1"/>
  <c r="H2259" i="1" a="1"/>
  <c r="H2259" i="1" s="1"/>
  <c r="H2260" i="1" a="1"/>
  <c r="H2260" i="1" s="1"/>
  <c r="H2261" i="1" a="1"/>
  <c r="H2261" i="1" s="1"/>
  <c r="H2262" i="1" a="1"/>
  <c r="H2262" i="1" s="1"/>
  <c r="H2263" i="1" a="1"/>
  <c r="H2263" i="1" s="1"/>
  <c r="H2264" i="1" a="1"/>
  <c r="H2264" i="1" s="1"/>
  <c r="H2265" i="1" a="1"/>
  <c r="H2265" i="1" s="1"/>
  <c r="H2266" i="1" a="1"/>
  <c r="H2266" i="1" s="1"/>
  <c r="H2267" i="1" a="1"/>
  <c r="H2267" i="1" s="1"/>
  <c r="H2268" i="1" a="1"/>
  <c r="H2268" i="1" s="1"/>
  <c r="H2269" i="1" a="1"/>
  <c r="H2269" i="1" s="1"/>
  <c r="H2270" i="1" a="1"/>
  <c r="H2270" i="1" s="1"/>
  <c r="H2271" i="1" a="1"/>
  <c r="H2271" i="1" s="1"/>
  <c r="H2272" i="1" a="1"/>
  <c r="H2272" i="1" s="1"/>
  <c r="H2273" i="1" a="1"/>
  <c r="H2273" i="1" s="1"/>
  <c r="H2274" i="1" a="1"/>
  <c r="H2274" i="1" s="1"/>
  <c r="H2275" i="1" a="1"/>
  <c r="H2275" i="1" s="1"/>
  <c r="H2276" i="1" a="1"/>
  <c r="H2276" i="1" s="1"/>
  <c r="H2277" i="1" a="1"/>
  <c r="H2277" i="1" s="1"/>
  <c r="H2278" i="1" a="1"/>
  <c r="H2278" i="1" s="1"/>
  <c r="H2279" i="1" a="1"/>
  <c r="H2279" i="1" s="1"/>
  <c r="H2280" i="1" a="1"/>
  <c r="H2280" i="1" s="1"/>
  <c r="H2281" i="1" a="1"/>
  <c r="H2281" i="1" s="1"/>
  <c r="H2282" i="1" a="1"/>
  <c r="H2282" i="1" s="1"/>
  <c r="H2283" i="1" a="1"/>
  <c r="H2283" i="1" s="1"/>
  <c r="H2284" i="1" a="1"/>
  <c r="H2284" i="1" s="1"/>
  <c r="H2285" i="1" a="1"/>
  <c r="H2285" i="1" s="1"/>
  <c r="H2286" i="1" a="1"/>
  <c r="H2286" i="1" s="1"/>
  <c r="H2287" i="1" a="1"/>
  <c r="H2287" i="1" s="1"/>
  <c r="H2288" i="1" a="1"/>
  <c r="H2288" i="1" s="1"/>
  <c r="H2289" i="1" a="1"/>
  <c r="H2289" i="1" s="1"/>
  <c r="H2290" i="1" a="1"/>
  <c r="H2290" i="1" s="1"/>
  <c r="H2291" i="1" a="1"/>
  <c r="H2291" i="1" s="1"/>
  <c r="H2292" i="1" a="1"/>
  <c r="H2292" i="1" s="1"/>
  <c r="H2293" i="1" a="1"/>
  <c r="H2293" i="1" s="1"/>
  <c r="H2294" i="1" a="1"/>
  <c r="H2294" i="1" s="1"/>
  <c r="H2295" i="1" a="1"/>
  <c r="H2295" i="1" s="1"/>
  <c r="H2296" i="1" a="1"/>
  <c r="H2296" i="1" s="1"/>
  <c r="H2297" i="1" a="1"/>
  <c r="H2297" i="1" s="1"/>
  <c r="H2298" i="1" a="1"/>
  <c r="H2298" i="1" s="1"/>
  <c r="H2299" i="1" a="1"/>
  <c r="H2299" i="1" s="1"/>
  <c r="H2300" i="1" a="1"/>
  <c r="H2300" i="1" s="1"/>
  <c r="H2301" i="1" a="1"/>
  <c r="H2301" i="1" s="1"/>
  <c r="H2302" i="1" a="1"/>
  <c r="H2302" i="1" s="1"/>
  <c r="H2303" i="1" a="1"/>
  <c r="H2303" i="1" s="1"/>
  <c r="H2304" i="1" a="1"/>
  <c r="H2304" i="1" s="1"/>
  <c r="H2305" i="1" a="1"/>
  <c r="H2305" i="1" s="1"/>
  <c r="H2306" i="1" a="1"/>
  <c r="H2306" i="1" s="1"/>
  <c r="H2307" i="1" a="1"/>
  <c r="H2307" i="1" s="1"/>
  <c r="H2308" i="1" a="1"/>
  <c r="H2308" i="1" s="1"/>
  <c r="H2309" i="1" a="1"/>
  <c r="H2309" i="1" s="1"/>
  <c r="H2310" i="1" a="1"/>
  <c r="H2310" i="1" s="1"/>
  <c r="H2311" i="1" a="1"/>
  <c r="H2311" i="1" s="1"/>
  <c r="H2312" i="1" a="1"/>
  <c r="H2312" i="1" s="1"/>
  <c r="H2313" i="1" a="1"/>
  <c r="H2313" i="1" s="1"/>
  <c r="H2314" i="1" a="1"/>
  <c r="H2314" i="1" s="1"/>
  <c r="H2315" i="1" a="1"/>
  <c r="H2315" i="1" s="1"/>
  <c r="H2316" i="1" a="1"/>
  <c r="H2316" i="1" s="1"/>
  <c r="H2317" i="1" a="1"/>
  <c r="H2317" i="1" s="1"/>
  <c r="H2318" i="1" a="1"/>
  <c r="H2318" i="1" s="1"/>
  <c r="H2319" i="1" a="1"/>
  <c r="H2319" i="1" s="1"/>
  <c r="H2320" i="1" a="1"/>
  <c r="H2320" i="1" s="1"/>
  <c r="H2321" i="1" a="1"/>
  <c r="H2321" i="1" s="1"/>
  <c r="H2322" i="1" a="1"/>
  <c r="H2322" i="1" s="1"/>
  <c r="H2323" i="1" a="1"/>
  <c r="H2323" i="1" s="1"/>
  <c r="H2324" i="1" a="1"/>
  <c r="H2324" i="1" s="1"/>
  <c r="H2325" i="1" a="1"/>
  <c r="H2325" i="1" s="1"/>
  <c r="H2326" i="1" a="1"/>
  <c r="H2326" i="1" s="1"/>
  <c r="H2327" i="1" a="1"/>
  <c r="H2327" i="1" s="1"/>
  <c r="H2328" i="1" a="1"/>
  <c r="H2328" i="1" s="1"/>
  <c r="H2329" i="1" a="1"/>
  <c r="H2329" i="1" s="1"/>
  <c r="H2330" i="1" a="1"/>
  <c r="H2330" i="1" s="1"/>
  <c r="H2331" i="1" a="1"/>
  <c r="H2331" i="1" s="1"/>
  <c r="H2332" i="1" a="1"/>
  <c r="H2332" i="1" s="1"/>
  <c r="H2333" i="1" a="1"/>
  <c r="H2333" i="1" s="1"/>
  <c r="H2334" i="1" a="1"/>
  <c r="H2334" i="1" s="1"/>
  <c r="H2335" i="1" a="1"/>
  <c r="H2335" i="1" s="1"/>
  <c r="H2336" i="1" a="1"/>
  <c r="H2336" i="1" s="1"/>
  <c r="H2337" i="1" a="1"/>
  <c r="H2337" i="1" s="1"/>
  <c r="H2338" i="1" a="1"/>
  <c r="H2338" i="1" s="1"/>
  <c r="H2339" i="1" a="1"/>
  <c r="H2339" i="1" s="1"/>
  <c r="H2340" i="1" a="1"/>
  <c r="H2340" i="1" s="1"/>
  <c r="H2341" i="1" a="1"/>
  <c r="H2341" i="1" s="1"/>
  <c r="H2342" i="1" a="1"/>
  <c r="H2342" i="1" s="1"/>
  <c r="H2343" i="1" a="1"/>
  <c r="H2343" i="1" s="1"/>
  <c r="H2344" i="1" a="1"/>
  <c r="H2344" i="1" s="1"/>
  <c r="H2345" i="1" a="1"/>
  <c r="H2345" i="1" s="1"/>
  <c r="H2346" i="1" a="1"/>
  <c r="H2346" i="1" s="1"/>
  <c r="H2347" i="1" a="1"/>
  <c r="H2347" i="1" s="1"/>
  <c r="H2348" i="1" a="1"/>
  <c r="H2348" i="1" s="1"/>
  <c r="H2349" i="1" a="1"/>
  <c r="H2349" i="1" s="1"/>
  <c r="H2350" i="1" a="1"/>
  <c r="H2350" i="1" s="1"/>
  <c r="H2351" i="1" a="1"/>
  <c r="H2351" i="1" s="1"/>
  <c r="H2352" i="1" a="1"/>
  <c r="H2352" i="1" s="1"/>
  <c r="H2353" i="1" a="1"/>
  <c r="H2353" i="1" s="1"/>
  <c r="H2354" i="1" a="1"/>
  <c r="H2354" i="1" s="1"/>
  <c r="H2355" i="1" a="1"/>
  <c r="H2355" i="1" s="1"/>
  <c r="H2356" i="1" a="1"/>
  <c r="H2356" i="1" s="1"/>
  <c r="H2357" i="1" a="1"/>
  <c r="H2357" i="1" s="1"/>
  <c r="H2358" i="1" a="1"/>
  <c r="H2358" i="1" s="1"/>
  <c r="H2359" i="1" a="1"/>
  <c r="H2359" i="1" s="1"/>
  <c r="H2360" i="1" a="1"/>
  <c r="H2360" i="1" s="1"/>
  <c r="H2361" i="1" a="1"/>
  <c r="H2361" i="1" s="1"/>
  <c r="H2362" i="1" a="1"/>
  <c r="H2362" i="1" s="1"/>
  <c r="H2363" i="1" a="1"/>
  <c r="H2363" i="1" s="1"/>
  <c r="H2364" i="1" a="1"/>
  <c r="H2364" i="1" s="1"/>
  <c r="H2365" i="1" a="1"/>
  <c r="H2365" i="1" s="1"/>
  <c r="H2366" i="1" a="1"/>
  <c r="H2366" i="1" s="1"/>
  <c r="H2367" i="1" a="1"/>
  <c r="H2367" i="1" s="1"/>
  <c r="H2368" i="1" a="1"/>
  <c r="H2368" i="1" s="1"/>
  <c r="H2369" i="1" a="1"/>
  <c r="H2369" i="1" s="1"/>
  <c r="H2370" i="1" a="1"/>
  <c r="H2370" i="1" s="1"/>
  <c r="H2371" i="1" a="1"/>
  <c r="H2371" i="1" s="1"/>
  <c r="H2372" i="1" a="1"/>
  <c r="H2372" i="1" s="1"/>
  <c r="H2373" i="1" a="1"/>
  <c r="H2373" i="1" s="1"/>
  <c r="H2374" i="1" a="1"/>
  <c r="H2374" i="1" s="1"/>
  <c r="H2375" i="1" a="1"/>
  <c r="H2375" i="1" s="1"/>
  <c r="H2376" i="1" a="1"/>
  <c r="H2376" i="1" s="1"/>
  <c r="H2377" i="1" a="1"/>
  <c r="H2377" i="1" s="1"/>
  <c r="H2378" i="1" a="1"/>
  <c r="H2378" i="1" s="1"/>
  <c r="H2379" i="1" a="1"/>
  <c r="H2379" i="1" s="1"/>
  <c r="H2380" i="1" a="1"/>
  <c r="H2380" i="1" s="1"/>
  <c r="H2381" i="1" a="1"/>
  <c r="H2381" i="1" s="1"/>
  <c r="H2382" i="1" a="1"/>
  <c r="H2382" i="1" s="1"/>
  <c r="H2383" i="1" a="1"/>
  <c r="H2383" i="1" s="1"/>
  <c r="H2384" i="1" a="1"/>
  <c r="H2384" i="1" s="1"/>
  <c r="H2385" i="1" a="1"/>
  <c r="H2385" i="1" s="1"/>
  <c r="H2386" i="1" a="1"/>
  <c r="H2386" i="1" s="1"/>
  <c r="H2387" i="1" a="1"/>
  <c r="H2387" i="1" s="1"/>
  <c r="H2388" i="1" a="1"/>
  <c r="H2388" i="1" s="1"/>
  <c r="H2389" i="1" a="1"/>
  <c r="H2389" i="1" s="1"/>
  <c r="H2390" i="1" a="1"/>
  <c r="H2390" i="1" s="1"/>
  <c r="H2391" i="1" a="1"/>
  <c r="H2391" i="1" s="1"/>
  <c r="H2392" i="1" a="1"/>
  <c r="H2392" i="1" s="1"/>
  <c r="H2393" i="1" a="1"/>
  <c r="H2393" i="1" s="1"/>
  <c r="H2394" i="1" a="1"/>
  <c r="H2394" i="1" s="1"/>
  <c r="H2395" i="1" a="1"/>
  <c r="H2395" i="1" s="1"/>
  <c r="H2396" i="1" a="1"/>
  <c r="H2396" i="1" s="1"/>
  <c r="H2397" i="1" a="1"/>
  <c r="H2397" i="1" s="1"/>
  <c r="H2398" i="1" a="1"/>
  <c r="H2398" i="1" s="1"/>
  <c r="H2399" i="1" a="1"/>
  <c r="H2399" i="1" s="1"/>
  <c r="H2400" i="1" a="1"/>
  <c r="H2400" i="1" s="1"/>
  <c r="H2401" i="1" a="1"/>
  <c r="H2401" i="1" s="1"/>
  <c r="H2402" i="1" a="1"/>
  <c r="H2402" i="1" s="1"/>
  <c r="H2403" i="1" a="1"/>
  <c r="H2403" i="1" s="1"/>
  <c r="H2404" i="1" a="1"/>
  <c r="H2404" i="1" s="1"/>
  <c r="H2405" i="1" a="1"/>
  <c r="H2405" i="1" s="1"/>
  <c r="H2406" i="1" a="1"/>
  <c r="H2406" i="1" s="1"/>
  <c r="H2407" i="1" a="1"/>
  <c r="H2407" i="1" s="1"/>
  <c r="H2408" i="1" a="1"/>
  <c r="H2408" i="1" s="1"/>
  <c r="H2409" i="1" a="1"/>
  <c r="H2409" i="1" s="1"/>
  <c r="H2410" i="1" a="1"/>
  <c r="H2410" i="1" s="1"/>
  <c r="H2411" i="1" a="1"/>
  <c r="H2411" i="1" s="1"/>
  <c r="H2412" i="1" a="1"/>
  <c r="H2412" i="1" s="1"/>
  <c r="H2413" i="1" a="1"/>
  <c r="H2413" i="1" s="1"/>
  <c r="H2414" i="1" a="1"/>
  <c r="H2414" i="1" s="1"/>
  <c r="H2415" i="1" a="1"/>
  <c r="H2415" i="1" s="1"/>
  <c r="H2416" i="1" a="1"/>
  <c r="H2416" i="1" s="1"/>
  <c r="H2417" i="1" a="1"/>
  <c r="H2417" i="1" s="1"/>
  <c r="H2418" i="1" a="1"/>
  <c r="H2418" i="1" s="1"/>
  <c r="H2419" i="1" a="1"/>
  <c r="H2419" i="1" s="1"/>
  <c r="H2420" i="1" a="1"/>
  <c r="H2420" i="1" s="1"/>
  <c r="H2421" i="1" a="1"/>
  <c r="H2421" i="1" s="1"/>
  <c r="H2422" i="1" a="1"/>
  <c r="H2422" i="1" s="1"/>
  <c r="H2423" i="1" a="1"/>
  <c r="H2423" i="1" s="1"/>
  <c r="H2424" i="1" a="1"/>
  <c r="H2424" i="1" s="1"/>
  <c r="H2425" i="1" a="1"/>
  <c r="H2425" i="1" s="1"/>
  <c r="H2426" i="1" a="1"/>
  <c r="H2426" i="1" s="1"/>
  <c r="H2427" i="1" a="1"/>
  <c r="H2427" i="1" s="1"/>
  <c r="H2428" i="1" a="1"/>
  <c r="H2428" i="1" s="1"/>
  <c r="H2429" i="1" a="1"/>
  <c r="H2429" i="1" s="1"/>
  <c r="H2430" i="1" a="1"/>
  <c r="H2430" i="1" s="1"/>
  <c r="H2431" i="1" a="1"/>
  <c r="H2431" i="1" s="1"/>
  <c r="H2432" i="1" a="1"/>
  <c r="H2432" i="1" s="1"/>
  <c r="H2433" i="1" a="1"/>
  <c r="H2433" i="1" s="1"/>
  <c r="H2434" i="1" a="1"/>
  <c r="H2434" i="1" s="1"/>
  <c r="H2435" i="1" a="1"/>
  <c r="H2435" i="1" s="1"/>
  <c r="H2436" i="1" a="1"/>
  <c r="H2436" i="1" s="1"/>
  <c r="H2437" i="1" a="1"/>
  <c r="H2437" i="1" s="1"/>
  <c r="H2438" i="1" a="1"/>
  <c r="H2438" i="1" s="1"/>
  <c r="H2439" i="1" a="1"/>
  <c r="H2439" i="1" s="1"/>
  <c r="H2440" i="1" a="1"/>
  <c r="H2440" i="1" s="1"/>
  <c r="H2441" i="1" a="1"/>
  <c r="H2441" i="1" s="1"/>
  <c r="H2442" i="1" a="1"/>
  <c r="H2442" i="1" s="1"/>
  <c r="H2443" i="1" a="1"/>
  <c r="H2443" i="1" s="1"/>
  <c r="H2444" i="1" a="1"/>
  <c r="H2444" i="1" s="1"/>
  <c r="H2445" i="1" a="1"/>
  <c r="H2445" i="1" s="1"/>
  <c r="H2446" i="1" a="1"/>
  <c r="H2446" i="1" s="1"/>
  <c r="H2447" i="1" a="1"/>
  <c r="H2447" i="1" s="1"/>
  <c r="H2448" i="1" a="1"/>
  <c r="H2448" i="1" s="1"/>
  <c r="H2449" i="1" a="1"/>
  <c r="H2449" i="1" s="1"/>
  <c r="H2450" i="1" a="1"/>
  <c r="H2450" i="1" s="1"/>
  <c r="H2451" i="1" a="1"/>
  <c r="H2451" i="1" s="1"/>
  <c r="H2452" i="1" a="1"/>
  <c r="H2452" i="1" s="1"/>
  <c r="H2453" i="1" a="1"/>
  <c r="H2453" i="1" s="1"/>
  <c r="H2454" i="1" a="1"/>
  <c r="H2454" i="1" s="1"/>
  <c r="H2455" i="1" a="1"/>
  <c r="H2455" i="1" s="1"/>
  <c r="H2456" i="1" a="1"/>
  <c r="H2456" i="1" s="1"/>
  <c r="H2457" i="1" a="1"/>
  <c r="H2457" i="1" s="1"/>
  <c r="H2458" i="1" a="1"/>
  <c r="H2458" i="1" s="1"/>
  <c r="H2459" i="1" a="1"/>
  <c r="H2459" i="1" s="1"/>
  <c r="H2460" i="1" a="1"/>
  <c r="H2460" i="1" s="1"/>
  <c r="H2461" i="1" a="1"/>
  <c r="H2461" i="1" s="1"/>
  <c r="H2462" i="1" a="1"/>
  <c r="H2462" i="1" s="1"/>
  <c r="H2463" i="1" a="1"/>
  <c r="H2463" i="1" s="1"/>
  <c r="H2464" i="1" a="1"/>
  <c r="H2464" i="1" s="1"/>
  <c r="H2465" i="1" a="1"/>
  <c r="H2465" i="1" s="1"/>
  <c r="H2466" i="1" a="1"/>
  <c r="H2466" i="1" s="1"/>
  <c r="H2467" i="1" a="1"/>
  <c r="H2467" i="1" s="1"/>
  <c r="H2468" i="1" a="1"/>
  <c r="H2468" i="1" s="1"/>
  <c r="H2469" i="1" a="1"/>
  <c r="H2469" i="1" s="1"/>
  <c r="H2470" i="1" a="1"/>
  <c r="H2470" i="1" s="1"/>
  <c r="H2471" i="1" a="1"/>
  <c r="H2471" i="1" s="1"/>
  <c r="H2472" i="1" a="1"/>
  <c r="H2472" i="1" s="1"/>
  <c r="H2473" i="1" a="1"/>
  <c r="H2473" i="1" s="1"/>
  <c r="H2474" i="1" a="1"/>
  <c r="H2474" i="1" s="1"/>
  <c r="H2475" i="1" a="1"/>
  <c r="H2475" i="1" s="1"/>
  <c r="H2476" i="1" a="1"/>
  <c r="H2476" i="1" s="1"/>
  <c r="H2477" i="1" a="1"/>
  <c r="H2477" i="1" s="1"/>
  <c r="H2478" i="1" a="1"/>
  <c r="H2478" i="1" s="1"/>
  <c r="H2479" i="1" a="1"/>
  <c r="H2479" i="1" s="1"/>
  <c r="H2480" i="1" a="1"/>
  <c r="H2480" i="1" s="1"/>
  <c r="H2481" i="1" a="1"/>
  <c r="H2481" i="1" s="1"/>
  <c r="H2482" i="1" a="1"/>
  <c r="H2482" i="1" s="1"/>
  <c r="H2483" i="1" a="1"/>
  <c r="H2483" i="1" s="1"/>
  <c r="H2484" i="1" a="1"/>
  <c r="H2484" i="1" s="1"/>
  <c r="H2485" i="1" a="1"/>
  <c r="H2485" i="1" s="1"/>
  <c r="H2486" i="1" a="1"/>
  <c r="H2486" i="1" s="1"/>
  <c r="H2487" i="1" a="1"/>
  <c r="H2487" i="1" s="1"/>
  <c r="H2488" i="1" a="1"/>
  <c r="H2488" i="1" s="1"/>
  <c r="H2489" i="1" a="1"/>
  <c r="H2489" i="1" s="1"/>
  <c r="H2490" i="1" a="1"/>
  <c r="H2490" i="1" s="1"/>
  <c r="H2491" i="1" a="1"/>
  <c r="H2491" i="1" s="1"/>
  <c r="H2492" i="1" a="1"/>
  <c r="H2492" i="1" s="1"/>
  <c r="H2493" i="1" a="1"/>
  <c r="H2493" i="1" s="1"/>
  <c r="H2494" i="1" a="1"/>
  <c r="H2494" i="1" s="1"/>
  <c r="H2495" i="1" a="1"/>
  <c r="H2495" i="1" s="1"/>
  <c r="H2496" i="1" a="1"/>
  <c r="H2496" i="1" s="1"/>
  <c r="H2497" i="1" a="1"/>
  <c r="H2497" i="1" s="1"/>
  <c r="H2498" i="1" a="1"/>
  <c r="H2498" i="1" s="1"/>
  <c r="H2499" i="1" a="1"/>
  <c r="H2499" i="1" s="1"/>
  <c r="H2500" i="1" a="1"/>
  <c r="H2500" i="1" s="1"/>
  <c r="H2501" i="1" a="1"/>
  <c r="H2501" i="1" s="1"/>
  <c r="H2502" i="1" a="1"/>
  <c r="H2502" i="1" s="1"/>
  <c r="H2503" i="1" a="1"/>
  <c r="H2503" i="1" s="1"/>
  <c r="H2504" i="1" a="1"/>
  <c r="H2504" i="1" s="1"/>
  <c r="H2505" i="1" a="1"/>
  <c r="H2505" i="1" s="1"/>
  <c r="H2506" i="1" a="1"/>
  <c r="H2506" i="1" s="1"/>
  <c r="H2507" i="1" a="1"/>
  <c r="H2507" i="1" s="1"/>
  <c r="H2508" i="1" a="1"/>
  <c r="H2508" i="1" s="1"/>
  <c r="H2509" i="1" a="1"/>
  <c r="H2509" i="1" s="1"/>
  <c r="H2510" i="1" a="1"/>
  <c r="H2510" i="1" s="1"/>
  <c r="H2511" i="1" a="1"/>
  <c r="H2511" i="1" s="1"/>
  <c r="H2512" i="1" a="1"/>
  <c r="H2512" i="1" s="1"/>
  <c r="H2513" i="1" a="1"/>
  <c r="H2513" i="1" s="1"/>
  <c r="H2514" i="1" a="1"/>
  <c r="H2514" i="1" s="1"/>
  <c r="H2515" i="1" a="1"/>
  <c r="H2515" i="1" s="1"/>
  <c r="H2516" i="1" a="1"/>
  <c r="H2516" i="1" s="1"/>
  <c r="H2517" i="1" a="1"/>
  <c r="H2517" i="1" s="1"/>
  <c r="H2518" i="1" a="1"/>
  <c r="H2518" i="1" s="1"/>
  <c r="H2519" i="1" a="1"/>
  <c r="H2519" i="1" s="1"/>
  <c r="H2520" i="1" a="1"/>
  <c r="H2520" i="1" s="1"/>
  <c r="H2521" i="1" a="1"/>
  <c r="H2521" i="1" s="1"/>
  <c r="H2522" i="1" a="1"/>
  <c r="H2522" i="1" s="1"/>
  <c r="H2523" i="1" a="1"/>
  <c r="H2523" i="1" s="1"/>
  <c r="H2524" i="1" a="1"/>
  <c r="H2524" i="1" s="1"/>
  <c r="H2525" i="1" a="1"/>
  <c r="H2525" i="1" s="1"/>
  <c r="H2526" i="1" a="1"/>
  <c r="H2526" i="1" s="1"/>
  <c r="H2527" i="1" a="1"/>
  <c r="H2527" i="1" s="1"/>
  <c r="H2528" i="1" a="1"/>
  <c r="H2528" i="1" s="1"/>
  <c r="H2529" i="1" a="1"/>
  <c r="H2529" i="1" s="1"/>
  <c r="H2530" i="1" a="1"/>
  <c r="H2530" i="1" s="1"/>
  <c r="H2531" i="1" a="1"/>
  <c r="H2531" i="1" s="1"/>
  <c r="H2532" i="1" a="1"/>
  <c r="H2532" i="1" s="1"/>
  <c r="H2533" i="1" a="1"/>
  <c r="H2533" i="1" s="1"/>
  <c r="H2534" i="1" a="1"/>
  <c r="H2534" i="1" s="1"/>
  <c r="H2535" i="1" a="1"/>
  <c r="H2535" i="1" s="1"/>
  <c r="H2536" i="1" a="1"/>
  <c r="H2536" i="1" s="1"/>
  <c r="H2537" i="1" a="1"/>
  <c r="H2537" i="1" s="1"/>
  <c r="H2538" i="1" a="1"/>
  <c r="H2538" i="1" s="1"/>
  <c r="H2539" i="1" a="1"/>
  <c r="H2539" i="1" s="1"/>
  <c r="H2540" i="1" a="1"/>
  <c r="H2540" i="1" s="1"/>
  <c r="H2541" i="1" a="1"/>
  <c r="H2541" i="1" s="1"/>
  <c r="H2542" i="1" a="1"/>
  <c r="H2542" i="1" s="1"/>
  <c r="H2543" i="1" a="1"/>
  <c r="H2543" i="1" s="1"/>
  <c r="H2544" i="1" a="1"/>
  <c r="H2544" i="1" s="1"/>
  <c r="H2545" i="1" a="1"/>
  <c r="H2545" i="1" s="1"/>
  <c r="H2546" i="1" a="1"/>
  <c r="H2546" i="1" s="1"/>
  <c r="H2547" i="1" a="1"/>
  <c r="H2547" i="1" s="1"/>
  <c r="H2548" i="1" a="1"/>
  <c r="H2548" i="1" s="1"/>
  <c r="H2549" i="1" a="1"/>
  <c r="H2549" i="1" s="1"/>
  <c r="H2550" i="1" a="1"/>
  <c r="H2550" i="1" s="1"/>
  <c r="H2551" i="1" a="1"/>
  <c r="H2551" i="1" s="1"/>
  <c r="H2552" i="1" a="1"/>
  <c r="H2552" i="1" s="1"/>
  <c r="H2553" i="1" a="1"/>
  <c r="H2553" i="1" s="1"/>
  <c r="H2554" i="1" a="1"/>
  <c r="H2554" i="1" s="1"/>
  <c r="H2555" i="1" a="1"/>
  <c r="H2555" i="1" s="1"/>
  <c r="H2556" i="1" a="1"/>
  <c r="H2556" i="1" s="1"/>
  <c r="H2557" i="1" a="1"/>
  <c r="H2557" i="1" s="1"/>
  <c r="H2558" i="1" a="1"/>
  <c r="H2558" i="1" s="1"/>
  <c r="H2559" i="1" a="1"/>
  <c r="H2559" i="1" s="1"/>
  <c r="H2560" i="1" a="1"/>
  <c r="H2560" i="1" s="1"/>
  <c r="H2561" i="1" a="1"/>
  <c r="H2561" i="1" s="1"/>
  <c r="H2562" i="1" a="1"/>
  <c r="H2562" i="1" s="1"/>
  <c r="H2563" i="1" a="1"/>
  <c r="H2563" i="1" s="1"/>
  <c r="H2564" i="1" a="1"/>
  <c r="H2564" i="1" s="1"/>
  <c r="H2565" i="1" a="1"/>
  <c r="H2565" i="1" s="1"/>
  <c r="H2566" i="1" a="1"/>
  <c r="H2566" i="1" s="1"/>
  <c r="H2567" i="1" a="1"/>
  <c r="H2567" i="1" s="1"/>
  <c r="H2568" i="1" a="1"/>
  <c r="H2568" i="1" s="1"/>
  <c r="H2569" i="1" a="1"/>
  <c r="H2569" i="1" s="1"/>
  <c r="H2570" i="1" a="1"/>
  <c r="H2570" i="1" s="1"/>
  <c r="H2571" i="1" a="1"/>
  <c r="H2571" i="1" s="1"/>
  <c r="H2572" i="1" a="1"/>
  <c r="H2572" i="1" s="1"/>
  <c r="H2573" i="1" a="1"/>
  <c r="H2573" i="1" s="1"/>
  <c r="H2574" i="1" a="1"/>
  <c r="H2574" i="1" s="1"/>
  <c r="H2575" i="1" a="1"/>
  <c r="H2575" i="1" s="1"/>
  <c r="H2576" i="1" a="1"/>
  <c r="H2576" i="1" s="1"/>
  <c r="H2577" i="1" a="1"/>
  <c r="H2577" i="1" s="1"/>
  <c r="H2578" i="1" a="1"/>
  <c r="H2578" i="1" s="1"/>
  <c r="H2579" i="1" a="1"/>
  <c r="H2579" i="1" s="1"/>
  <c r="H2580" i="1" a="1"/>
  <c r="H2580" i="1" s="1"/>
  <c r="H2581" i="1" a="1"/>
  <c r="H2581" i="1" s="1"/>
  <c r="H2582" i="1" a="1"/>
  <c r="H2582" i="1" s="1"/>
  <c r="H2583" i="1" a="1"/>
  <c r="H2583" i="1" s="1"/>
  <c r="H2584" i="1" a="1"/>
  <c r="H2584" i="1" s="1"/>
  <c r="H2585" i="1" a="1"/>
  <c r="H2585" i="1" s="1"/>
  <c r="H2586" i="1" a="1"/>
  <c r="H2586" i="1" s="1"/>
  <c r="H2587" i="1" a="1"/>
  <c r="H2587" i="1" s="1"/>
  <c r="H2588" i="1" a="1"/>
  <c r="H2588" i="1" s="1"/>
  <c r="H2589" i="1" a="1"/>
  <c r="H2589" i="1" s="1"/>
  <c r="H2590" i="1" a="1"/>
  <c r="H2590" i="1" s="1"/>
  <c r="H2591" i="1" a="1"/>
  <c r="H2591" i="1" s="1"/>
  <c r="H2592" i="1" a="1"/>
  <c r="H2592" i="1" s="1"/>
  <c r="H2593" i="1" a="1"/>
  <c r="H2593" i="1" s="1"/>
  <c r="H2594" i="1" a="1"/>
  <c r="H2594" i="1" s="1"/>
  <c r="H2595" i="1" a="1"/>
  <c r="H2595" i="1" s="1"/>
  <c r="H2596" i="1" a="1"/>
  <c r="H2596" i="1" s="1"/>
  <c r="H2597" i="1" a="1"/>
  <c r="H2597" i="1" s="1"/>
  <c r="H2598" i="1" a="1"/>
  <c r="H2598" i="1" s="1"/>
  <c r="H2599" i="1" a="1"/>
  <c r="H2599" i="1" s="1"/>
  <c r="H2600" i="1" a="1"/>
  <c r="H2600" i="1" s="1"/>
  <c r="H2601" i="1" a="1"/>
  <c r="H2601" i="1" s="1"/>
  <c r="H2602" i="1" a="1"/>
  <c r="H2602" i="1" s="1"/>
  <c r="H2603" i="1" a="1"/>
  <c r="H2603" i="1" s="1"/>
  <c r="H2604" i="1" a="1"/>
  <c r="H2604" i="1" s="1"/>
  <c r="H2605" i="1" a="1"/>
  <c r="H2605" i="1" s="1"/>
  <c r="H2606" i="1" a="1"/>
  <c r="H2606" i="1" s="1"/>
  <c r="H2607" i="1" a="1"/>
  <c r="H2607" i="1" s="1"/>
  <c r="H2608" i="1" a="1"/>
  <c r="H2608" i="1" s="1"/>
  <c r="H2609" i="1" a="1"/>
  <c r="H2609" i="1" s="1"/>
  <c r="H2610" i="1" a="1"/>
  <c r="H2610" i="1" s="1"/>
  <c r="H2611" i="1" a="1"/>
  <c r="H2611" i="1" s="1"/>
  <c r="H2612" i="1" a="1"/>
  <c r="H2612" i="1" s="1"/>
  <c r="H2613" i="1" a="1"/>
  <c r="H2613" i="1" s="1"/>
  <c r="H2614" i="1" a="1"/>
  <c r="H2614" i="1" s="1"/>
  <c r="H2615" i="1" a="1"/>
  <c r="H2615" i="1" s="1"/>
  <c r="H2616" i="1" a="1"/>
  <c r="H2616" i="1" s="1"/>
  <c r="H2617" i="1" a="1"/>
  <c r="H2617" i="1" s="1"/>
  <c r="H2618" i="1" a="1"/>
  <c r="H2618" i="1" s="1"/>
  <c r="H2619" i="1" a="1"/>
  <c r="H2619" i="1" s="1"/>
  <c r="H2620" i="1" a="1"/>
  <c r="H2620" i="1" s="1"/>
  <c r="H2621" i="1" a="1"/>
  <c r="H2621" i="1" s="1"/>
  <c r="H2622" i="1" a="1"/>
  <c r="H2622" i="1" s="1"/>
  <c r="H2623" i="1" a="1"/>
  <c r="H2623" i="1" s="1"/>
  <c r="H2624" i="1" a="1"/>
  <c r="H2624" i="1" s="1"/>
  <c r="H2625" i="1" a="1"/>
  <c r="H2625" i="1" s="1"/>
  <c r="H2626" i="1" a="1"/>
  <c r="H2626" i="1" s="1"/>
  <c r="H2627" i="1" a="1"/>
  <c r="H2627" i="1" s="1"/>
  <c r="H2628" i="1" a="1"/>
  <c r="H2628" i="1" s="1"/>
  <c r="H2629" i="1" a="1"/>
  <c r="H2629" i="1" s="1"/>
  <c r="H2630" i="1" a="1"/>
  <c r="H2630" i="1" s="1"/>
  <c r="H2631" i="1" a="1"/>
  <c r="H2631" i="1" s="1"/>
  <c r="H2632" i="1" a="1"/>
  <c r="H2632" i="1" s="1"/>
  <c r="H2633" i="1" a="1"/>
  <c r="H2633" i="1" s="1"/>
  <c r="H2634" i="1" a="1"/>
  <c r="H2634" i="1" s="1"/>
  <c r="H2635" i="1" a="1"/>
  <c r="H2635" i="1" s="1"/>
  <c r="H2636" i="1" a="1"/>
  <c r="H2636" i="1" s="1"/>
  <c r="H2637" i="1" a="1"/>
  <c r="H2637" i="1" s="1"/>
  <c r="H2638" i="1" a="1"/>
  <c r="H2638" i="1" s="1"/>
  <c r="H2639" i="1" a="1"/>
  <c r="H2639" i="1" s="1"/>
  <c r="H2640" i="1" a="1"/>
  <c r="H2640" i="1" s="1"/>
  <c r="H2641" i="1" a="1"/>
  <c r="H2641" i="1" s="1"/>
  <c r="H2642" i="1" a="1"/>
  <c r="H2642" i="1" s="1"/>
  <c r="H2643" i="1" a="1"/>
  <c r="H2643" i="1" s="1"/>
  <c r="H2644" i="1" a="1"/>
  <c r="H2644" i="1" s="1"/>
  <c r="H2645" i="1" a="1"/>
  <c r="H2645" i="1" s="1"/>
  <c r="H2646" i="1" a="1"/>
  <c r="H2646" i="1" s="1"/>
  <c r="H2647" i="1" a="1"/>
  <c r="H2647" i="1" s="1"/>
  <c r="H2648" i="1" a="1"/>
  <c r="H2648" i="1" s="1"/>
  <c r="H2649" i="1" a="1"/>
  <c r="H2649" i="1" s="1"/>
  <c r="H2650" i="1" a="1"/>
  <c r="H2650" i="1" s="1"/>
  <c r="H2651" i="1" a="1"/>
  <c r="H2651" i="1" s="1"/>
  <c r="H2652" i="1" a="1"/>
  <c r="H2652" i="1" s="1"/>
  <c r="H2653" i="1" a="1"/>
  <c r="H2653" i="1" s="1"/>
  <c r="H2654" i="1" a="1"/>
  <c r="H2654" i="1" s="1"/>
  <c r="H2655" i="1" a="1"/>
  <c r="H2655" i="1" s="1"/>
  <c r="H2656" i="1" a="1"/>
  <c r="H2656" i="1" s="1"/>
  <c r="H2657" i="1" a="1"/>
  <c r="H2657" i="1" s="1"/>
  <c r="H2658" i="1" a="1"/>
  <c r="H2658" i="1" s="1"/>
  <c r="H2659" i="1" a="1"/>
  <c r="H2659" i="1" s="1"/>
  <c r="H2660" i="1" a="1"/>
  <c r="H2660" i="1" s="1"/>
  <c r="H2661" i="1" a="1"/>
  <c r="H2661" i="1" s="1"/>
  <c r="H2662" i="1" a="1"/>
  <c r="H2662" i="1" s="1"/>
  <c r="H2663" i="1" a="1"/>
  <c r="H2663" i="1" s="1"/>
  <c r="H2664" i="1" a="1"/>
  <c r="H2664" i="1" s="1"/>
  <c r="H2665" i="1" a="1"/>
  <c r="H2665" i="1" s="1"/>
  <c r="H2666" i="1" a="1"/>
  <c r="H2666" i="1" s="1"/>
  <c r="H2667" i="1" a="1"/>
  <c r="H2667" i="1" s="1"/>
  <c r="H2668" i="1" a="1"/>
  <c r="H2668" i="1" s="1"/>
  <c r="H2669" i="1" a="1"/>
  <c r="H2669" i="1" s="1"/>
  <c r="H2670" i="1" a="1"/>
  <c r="H2670" i="1" s="1"/>
  <c r="H2671" i="1" a="1"/>
  <c r="H2671" i="1" s="1"/>
  <c r="H2672" i="1" a="1"/>
  <c r="H2672" i="1" s="1"/>
  <c r="H2673" i="1" a="1"/>
  <c r="H2673" i="1" s="1"/>
  <c r="H2674" i="1" a="1"/>
  <c r="H2674" i="1" s="1"/>
  <c r="H2675" i="1" a="1"/>
  <c r="H2675" i="1" s="1"/>
  <c r="H2676" i="1" a="1"/>
  <c r="H2676" i="1" s="1"/>
  <c r="H2677" i="1" a="1"/>
  <c r="H2677" i="1" s="1"/>
  <c r="H2678" i="1" a="1"/>
  <c r="H2678" i="1" s="1"/>
  <c r="H2679" i="1" a="1"/>
  <c r="H2679" i="1" s="1"/>
  <c r="H2680" i="1" a="1"/>
  <c r="H2680" i="1" s="1"/>
  <c r="H2681" i="1" a="1"/>
  <c r="H2681" i="1" s="1"/>
  <c r="H2682" i="1" a="1"/>
  <c r="H2682" i="1" s="1"/>
  <c r="H2683" i="1" a="1"/>
  <c r="H2683" i="1" s="1"/>
  <c r="H2684" i="1" a="1"/>
  <c r="H2684" i="1" s="1"/>
  <c r="H2685" i="1" a="1"/>
  <c r="H2685" i="1" s="1"/>
  <c r="H2686" i="1" a="1"/>
  <c r="H2686" i="1" s="1"/>
  <c r="H2687" i="1" a="1"/>
  <c r="H2687" i="1" s="1"/>
  <c r="H2688" i="1" a="1"/>
  <c r="H2688" i="1" s="1"/>
  <c r="H2689" i="1" a="1"/>
  <c r="H2689" i="1" s="1"/>
  <c r="H2690" i="1" a="1"/>
  <c r="H2690" i="1" s="1"/>
  <c r="H2691" i="1" a="1"/>
  <c r="H2691" i="1" s="1"/>
  <c r="H2692" i="1" a="1"/>
  <c r="H2692" i="1" s="1"/>
  <c r="H2693" i="1" a="1"/>
  <c r="H2693" i="1" s="1"/>
  <c r="H2694" i="1" a="1"/>
  <c r="H2694" i="1" s="1"/>
  <c r="H2695" i="1" a="1"/>
  <c r="H2695" i="1" s="1"/>
  <c r="H2696" i="1" a="1"/>
  <c r="H2696" i="1" s="1"/>
  <c r="H2697" i="1" a="1"/>
  <c r="H2697" i="1" s="1"/>
  <c r="H2698" i="1" a="1"/>
  <c r="H2698" i="1" s="1"/>
  <c r="H2699" i="1" a="1"/>
  <c r="H2699" i="1" s="1"/>
  <c r="H2700" i="1" a="1"/>
  <c r="H2700" i="1" s="1"/>
  <c r="H2701" i="1" a="1"/>
  <c r="H2701" i="1" s="1"/>
  <c r="H2702" i="1" a="1"/>
  <c r="H2702" i="1" s="1"/>
  <c r="H2703" i="1" a="1"/>
  <c r="H2703" i="1" s="1"/>
  <c r="H2704" i="1" a="1"/>
  <c r="H2704" i="1" s="1"/>
  <c r="H2705" i="1" a="1"/>
  <c r="H2705" i="1" s="1"/>
  <c r="H2706" i="1" a="1"/>
  <c r="H2706" i="1" s="1"/>
  <c r="H2707" i="1" a="1"/>
  <c r="H2707" i="1" s="1"/>
  <c r="H2708" i="1" a="1"/>
  <c r="H2708" i="1" s="1"/>
  <c r="H2709" i="1" a="1"/>
  <c r="H2709" i="1" s="1"/>
  <c r="H2710" i="1" a="1"/>
  <c r="H2710" i="1" s="1"/>
  <c r="H2711" i="1" a="1"/>
  <c r="H2711" i="1" s="1"/>
  <c r="H2712" i="1" a="1"/>
  <c r="H2712" i="1" s="1"/>
  <c r="H2713" i="1" a="1"/>
  <c r="H2713" i="1" s="1"/>
  <c r="H2714" i="1" a="1"/>
  <c r="H2714" i="1" s="1"/>
  <c r="H2715" i="1" a="1"/>
  <c r="H2715" i="1" s="1"/>
  <c r="H2716" i="1" a="1"/>
  <c r="H2716" i="1" s="1"/>
  <c r="H2717" i="1" a="1"/>
  <c r="H2717" i="1" s="1"/>
  <c r="H2718" i="1" a="1"/>
  <c r="H2718" i="1" s="1"/>
  <c r="H2719" i="1" a="1"/>
  <c r="H2719" i="1" s="1"/>
  <c r="H2720" i="1" a="1"/>
  <c r="H2720" i="1" s="1"/>
  <c r="H2721" i="1" a="1"/>
  <c r="H2721" i="1" s="1"/>
  <c r="H2722" i="1" a="1"/>
  <c r="H2722" i="1" s="1"/>
  <c r="H2723" i="1" a="1"/>
  <c r="H2723" i="1" s="1"/>
  <c r="H2724" i="1" a="1"/>
  <c r="H2724" i="1" s="1"/>
  <c r="H2725" i="1" a="1"/>
  <c r="H2725" i="1" s="1"/>
  <c r="H2726" i="1" a="1"/>
  <c r="H2726" i="1" s="1"/>
  <c r="H2727" i="1" a="1"/>
  <c r="H2727" i="1" s="1"/>
  <c r="H2728" i="1" a="1"/>
  <c r="H2728" i="1" s="1"/>
  <c r="H2729" i="1" a="1"/>
  <c r="H2729" i="1" s="1"/>
  <c r="H2730" i="1" a="1"/>
  <c r="H2730" i="1" s="1"/>
  <c r="H2731" i="1" a="1"/>
  <c r="H2731" i="1" s="1"/>
  <c r="H2732" i="1" a="1"/>
  <c r="H2732" i="1" s="1"/>
  <c r="H2733" i="1" a="1"/>
  <c r="H2733" i="1" s="1"/>
  <c r="H2734" i="1" a="1"/>
  <c r="H2734" i="1" s="1"/>
  <c r="H2735" i="1" a="1"/>
  <c r="H2735" i="1" s="1"/>
  <c r="H2736" i="1" a="1"/>
  <c r="H2736" i="1" s="1"/>
  <c r="H2737" i="1" a="1"/>
  <c r="H2737" i="1" s="1"/>
  <c r="H2738" i="1" a="1"/>
  <c r="H2738" i="1" s="1"/>
  <c r="H2739" i="1" a="1"/>
  <c r="H2739" i="1" s="1"/>
  <c r="H2740" i="1" a="1"/>
  <c r="H2740" i="1" s="1"/>
  <c r="H2741" i="1" a="1"/>
  <c r="H2741" i="1" s="1"/>
  <c r="H2742" i="1" a="1"/>
  <c r="H2742" i="1" s="1"/>
  <c r="H2743" i="1" a="1"/>
  <c r="H2743" i="1" s="1"/>
  <c r="H2744" i="1" a="1"/>
  <c r="H2744" i="1" s="1"/>
  <c r="H2745" i="1" a="1"/>
  <c r="H2745" i="1" s="1"/>
  <c r="H2746" i="1" a="1"/>
  <c r="H2746" i="1" s="1"/>
  <c r="H2747" i="1" a="1"/>
  <c r="H2747" i="1" s="1"/>
  <c r="H2748" i="1" a="1"/>
  <c r="H2748" i="1" s="1"/>
  <c r="H2749" i="1" a="1"/>
  <c r="H2749" i="1" s="1"/>
  <c r="H2750" i="1" a="1"/>
  <c r="H2750" i="1" s="1"/>
  <c r="H2751" i="1" a="1"/>
  <c r="H2751" i="1" s="1"/>
  <c r="H2752" i="1" a="1"/>
  <c r="H2752" i="1" s="1"/>
  <c r="H2753" i="1" a="1"/>
  <c r="H2753" i="1" s="1"/>
  <c r="H2754" i="1" a="1"/>
  <c r="H2754" i="1" s="1"/>
  <c r="H2755" i="1" a="1"/>
  <c r="H2755" i="1" s="1"/>
  <c r="H2756" i="1" a="1"/>
  <c r="H2756" i="1" s="1"/>
  <c r="H2757" i="1" a="1"/>
  <c r="H2757" i="1" s="1"/>
  <c r="H2758" i="1" a="1"/>
  <c r="H2758" i="1" s="1"/>
  <c r="H2759" i="1" a="1"/>
  <c r="H2759" i="1" s="1"/>
  <c r="H2760" i="1" a="1"/>
  <c r="H2760" i="1" s="1"/>
  <c r="H2761" i="1" a="1"/>
  <c r="H2761" i="1" s="1"/>
  <c r="H2762" i="1" a="1"/>
  <c r="H2762" i="1" s="1"/>
  <c r="H2763" i="1" a="1"/>
  <c r="H2763" i="1" s="1"/>
  <c r="H2764" i="1" a="1"/>
  <c r="H2764" i="1" s="1"/>
  <c r="H2765" i="1" a="1"/>
  <c r="H2765" i="1" s="1"/>
  <c r="H2766" i="1" a="1"/>
  <c r="H2766" i="1" s="1"/>
  <c r="H2767" i="1" a="1"/>
  <c r="H2767" i="1" s="1"/>
  <c r="H2768" i="1" a="1"/>
  <c r="H2768" i="1" s="1"/>
  <c r="H2769" i="1" a="1"/>
  <c r="H2769" i="1" s="1"/>
  <c r="H2770" i="1" a="1"/>
  <c r="H2770" i="1" s="1"/>
  <c r="H2771" i="1" a="1"/>
  <c r="H2771" i="1" s="1"/>
  <c r="H2772" i="1" a="1"/>
  <c r="H2772" i="1" s="1"/>
  <c r="H2773" i="1" a="1"/>
  <c r="H2773" i="1" s="1"/>
  <c r="H2774" i="1" a="1"/>
  <c r="H2774" i="1" s="1"/>
  <c r="H2775" i="1" a="1"/>
  <c r="H2775" i="1" s="1"/>
  <c r="H2776" i="1" a="1"/>
  <c r="H2776" i="1" s="1"/>
  <c r="H2777" i="1" a="1"/>
  <c r="H2777" i="1" s="1"/>
  <c r="H2778" i="1" a="1"/>
  <c r="H2778" i="1" s="1"/>
  <c r="H2779" i="1" a="1"/>
  <c r="H2779" i="1" s="1"/>
  <c r="H2780" i="1" a="1"/>
  <c r="H2780" i="1" s="1"/>
  <c r="H2781" i="1" a="1"/>
  <c r="H2781" i="1" s="1"/>
  <c r="H2782" i="1" a="1"/>
  <c r="H2782" i="1" s="1"/>
  <c r="H2783" i="1" a="1"/>
  <c r="H2783" i="1" s="1"/>
  <c r="H2784" i="1" a="1"/>
  <c r="H2784" i="1" s="1"/>
  <c r="H2785" i="1" a="1"/>
  <c r="H2785" i="1" s="1"/>
  <c r="H2786" i="1" a="1"/>
  <c r="H2786" i="1" s="1"/>
  <c r="H2787" i="1" a="1"/>
  <c r="H2787" i="1" s="1"/>
  <c r="H2788" i="1" a="1"/>
  <c r="H2788" i="1" s="1"/>
  <c r="H2789" i="1" a="1"/>
  <c r="H2789" i="1" s="1"/>
  <c r="H2790" i="1" a="1"/>
  <c r="H2790" i="1" s="1"/>
  <c r="H2791" i="1" a="1"/>
  <c r="H2791" i="1" s="1"/>
  <c r="H2792" i="1" a="1"/>
  <c r="H2792" i="1" s="1"/>
  <c r="H2793" i="1" a="1"/>
  <c r="H2793" i="1" s="1"/>
  <c r="H2794" i="1" a="1"/>
  <c r="H2794" i="1" s="1"/>
  <c r="H2795" i="1" a="1"/>
  <c r="H2795" i="1" s="1"/>
  <c r="H2796" i="1" a="1"/>
  <c r="H2796" i="1" s="1"/>
  <c r="H2797" i="1" a="1"/>
  <c r="H2797" i="1" s="1"/>
  <c r="H2798" i="1" a="1"/>
  <c r="H2798" i="1" s="1"/>
  <c r="H2799" i="1" a="1"/>
  <c r="H2799" i="1" s="1"/>
  <c r="H2800" i="1" a="1"/>
  <c r="H2800" i="1" s="1"/>
  <c r="H2801" i="1" a="1"/>
  <c r="H2801" i="1" s="1"/>
  <c r="H2802" i="1" a="1"/>
  <c r="H2802" i="1" s="1"/>
  <c r="H2803" i="1" a="1"/>
  <c r="H2803" i="1" s="1"/>
  <c r="H2804" i="1" a="1"/>
  <c r="H2804" i="1" s="1"/>
  <c r="H2805" i="1" a="1"/>
  <c r="H2805" i="1" s="1"/>
  <c r="H2806" i="1" a="1"/>
  <c r="H2806" i="1" s="1"/>
  <c r="H2807" i="1" a="1"/>
  <c r="H2807" i="1" s="1"/>
  <c r="H2808" i="1" a="1"/>
  <c r="H2808" i="1" s="1"/>
  <c r="H2809" i="1" a="1"/>
  <c r="H2809" i="1" s="1"/>
  <c r="H2810" i="1" a="1"/>
  <c r="H2810" i="1" s="1"/>
  <c r="H2811" i="1" a="1"/>
  <c r="H2811" i="1" s="1"/>
  <c r="H2812" i="1" a="1"/>
  <c r="H2812" i="1" s="1"/>
  <c r="H2813" i="1" a="1"/>
  <c r="H2813" i="1" s="1"/>
  <c r="H2814" i="1" a="1"/>
  <c r="H2814" i="1" s="1"/>
  <c r="H2815" i="1" a="1"/>
  <c r="H2815" i="1" s="1"/>
  <c r="H2816" i="1" a="1"/>
  <c r="H2816" i="1" s="1"/>
  <c r="H2817" i="1" a="1"/>
  <c r="H2817" i="1" s="1"/>
  <c r="H2818" i="1" a="1"/>
  <c r="H2818" i="1" s="1"/>
  <c r="H2819" i="1" a="1"/>
  <c r="H2819" i="1" s="1"/>
  <c r="H2820" i="1" a="1"/>
  <c r="H2820" i="1" s="1"/>
  <c r="H2821" i="1" a="1"/>
  <c r="H2821" i="1" s="1"/>
  <c r="H2822" i="1" a="1"/>
  <c r="H2822" i="1" s="1"/>
  <c r="H2823" i="1" a="1"/>
  <c r="H2823" i="1" s="1"/>
  <c r="H2824" i="1" a="1"/>
  <c r="H2824" i="1" s="1"/>
  <c r="H2825" i="1" a="1"/>
  <c r="H2825" i="1" s="1"/>
  <c r="H2826" i="1" a="1"/>
  <c r="H2826" i="1" s="1"/>
  <c r="H2827" i="1" a="1"/>
  <c r="H2827" i="1" s="1"/>
  <c r="H2828" i="1" a="1"/>
  <c r="H2828" i="1" s="1"/>
  <c r="H2829" i="1" a="1"/>
  <c r="H2829" i="1" s="1"/>
  <c r="H2830" i="1" a="1"/>
  <c r="H2830" i="1" s="1"/>
  <c r="H2831" i="1" a="1"/>
  <c r="H2831" i="1" s="1"/>
  <c r="H2832" i="1" a="1"/>
  <c r="H2832" i="1" s="1"/>
  <c r="H2833" i="1" a="1"/>
  <c r="H2833" i="1" s="1"/>
  <c r="H2834" i="1" a="1"/>
  <c r="H2834" i="1" s="1"/>
  <c r="H2835" i="1" a="1"/>
  <c r="H2835" i="1" s="1"/>
  <c r="H2836" i="1" a="1"/>
  <c r="H2836" i="1" s="1"/>
  <c r="H2837" i="1" a="1"/>
  <c r="H2837" i="1" s="1"/>
  <c r="H2838" i="1" a="1"/>
  <c r="H2838" i="1" s="1"/>
  <c r="H2839" i="1" a="1"/>
  <c r="H2839" i="1" s="1"/>
  <c r="H2840" i="1" a="1"/>
  <c r="H2840" i="1" s="1"/>
  <c r="H2841" i="1" a="1"/>
  <c r="H2841" i="1" s="1"/>
  <c r="H2842" i="1" a="1"/>
  <c r="H2842" i="1" s="1"/>
  <c r="H2843" i="1" a="1"/>
  <c r="H2843" i="1" s="1"/>
  <c r="H2844" i="1" a="1"/>
  <c r="H2844" i="1" s="1"/>
  <c r="H2845" i="1" a="1"/>
  <c r="H2845" i="1" s="1"/>
  <c r="H2846" i="1" a="1"/>
  <c r="H2846" i="1" s="1"/>
  <c r="H2847" i="1" a="1"/>
  <c r="H2847" i="1" s="1"/>
  <c r="H2848" i="1" a="1"/>
  <c r="H2848" i="1" s="1"/>
  <c r="H2849" i="1" a="1"/>
  <c r="H2849" i="1" s="1"/>
  <c r="H2850" i="1" a="1"/>
  <c r="H2850" i="1" s="1"/>
  <c r="H2851" i="1" a="1"/>
  <c r="H2851" i="1" s="1"/>
  <c r="H2852" i="1" a="1"/>
  <c r="H2852" i="1" s="1"/>
  <c r="H2853" i="1" a="1"/>
  <c r="H2853" i="1" s="1"/>
  <c r="H2854" i="1" a="1"/>
  <c r="H2854" i="1" s="1"/>
  <c r="H2855" i="1" a="1"/>
  <c r="H2855" i="1" s="1"/>
  <c r="H2856" i="1" a="1"/>
  <c r="H2856" i="1" s="1"/>
  <c r="H2857" i="1" a="1"/>
  <c r="H2857" i="1" s="1"/>
  <c r="H2858" i="1" a="1"/>
  <c r="H2858" i="1" s="1"/>
  <c r="H2859" i="1" a="1"/>
  <c r="H2859" i="1" s="1"/>
  <c r="H2860" i="1" a="1"/>
  <c r="H2860" i="1" s="1"/>
  <c r="H2861" i="1" a="1"/>
  <c r="H2861" i="1" s="1"/>
  <c r="H2862" i="1" a="1"/>
  <c r="H2862" i="1" s="1"/>
  <c r="H2863" i="1" a="1"/>
  <c r="H2863" i="1" s="1"/>
  <c r="H2864" i="1" a="1"/>
  <c r="H2864" i="1" s="1"/>
  <c r="H2865" i="1" a="1"/>
  <c r="H2865" i="1" s="1"/>
  <c r="H2866" i="1" a="1"/>
  <c r="H2866" i="1" s="1"/>
  <c r="H2867" i="1" a="1"/>
  <c r="H2867" i="1" s="1"/>
  <c r="H2868" i="1" a="1"/>
  <c r="H2868" i="1" s="1"/>
  <c r="H2869" i="1" a="1"/>
  <c r="H2869" i="1" s="1"/>
  <c r="H2870" i="1" a="1"/>
  <c r="H2870" i="1" s="1"/>
  <c r="H2871" i="1" a="1"/>
  <c r="H2871" i="1" s="1"/>
  <c r="H2872" i="1" a="1"/>
  <c r="H2872" i="1" s="1"/>
  <c r="H2873" i="1" a="1"/>
  <c r="H2873" i="1" s="1"/>
  <c r="H2874" i="1" a="1"/>
  <c r="H2874" i="1" s="1"/>
  <c r="H2875" i="1" a="1"/>
  <c r="H2875" i="1" s="1"/>
  <c r="H2876" i="1" a="1"/>
  <c r="H2876" i="1" s="1"/>
  <c r="H2877" i="1" a="1"/>
  <c r="H2877" i="1" s="1"/>
  <c r="H2878" i="1" a="1"/>
  <c r="H2878" i="1" s="1"/>
  <c r="H2879" i="1" a="1"/>
  <c r="H2879" i="1" s="1"/>
  <c r="H2880" i="1" a="1"/>
  <c r="H2880" i="1" s="1"/>
  <c r="H2881" i="1" a="1"/>
  <c r="H2881" i="1" s="1"/>
  <c r="H2882" i="1" a="1"/>
  <c r="H2882" i="1" s="1"/>
  <c r="H2883" i="1" a="1"/>
  <c r="H2883" i="1" s="1"/>
  <c r="H2884" i="1" a="1"/>
  <c r="H2884" i="1" s="1"/>
  <c r="H2885" i="1" a="1"/>
  <c r="H2885" i="1" s="1"/>
  <c r="H2886" i="1" a="1"/>
  <c r="H2886" i="1" s="1"/>
  <c r="H2887" i="1" a="1"/>
  <c r="H2887" i="1" s="1"/>
  <c r="H2888" i="1" a="1"/>
  <c r="H2888" i="1" s="1"/>
  <c r="H2889" i="1" a="1"/>
  <c r="H2889" i="1" s="1"/>
  <c r="H2890" i="1" a="1"/>
  <c r="H2890" i="1" s="1"/>
  <c r="H2891" i="1" a="1"/>
  <c r="H2891" i="1" s="1"/>
  <c r="H2892" i="1" a="1"/>
  <c r="H2892" i="1" s="1"/>
  <c r="H2893" i="1" a="1"/>
  <c r="H2893" i="1" s="1"/>
  <c r="H2894" i="1" a="1"/>
  <c r="H2894" i="1" s="1"/>
  <c r="H2895" i="1" a="1"/>
  <c r="H2895" i="1" s="1"/>
  <c r="H2896" i="1" a="1"/>
  <c r="H2896" i="1" s="1"/>
  <c r="H2897" i="1" a="1"/>
  <c r="H2897" i="1" s="1"/>
  <c r="H2898" i="1" a="1"/>
  <c r="H2898" i="1" s="1"/>
  <c r="H2899" i="1" a="1"/>
  <c r="H2899" i="1" s="1"/>
  <c r="H2900" i="1" a="1"/>
  <c r="H2900" i="1" s="1"/>
  <c r="H2901" i="1" a="1"/>
  <c r="H2901" i="1" s="1"/>
  <c r="H2902" i="1" a="1"/>
  <c r="H2902" i="1" s="1"/>
  <c r="H2903" i="1" a="1"/>
  <c r="H2903" i="1" s="1"/>
  <c r="H2904" i="1" a="1"/>
  <c r="H2904" i="1" s="1"/>
  <c r="H2905" i="1" a="1"/>
  <c r="H2905" i="1" s="1"/>
  <c r="H2906" i="1" a="1"/>
  <c r="H2906" i="1" s="1"/>
  <c r="H2907" i="1" a="1"/>
  <c r="H2907" i="1" s="1"/>
  <c r="H2908" i="1" a="1"/>
  <c r="H2908" i="1" s="1"/>
  <c r="H2909" i="1" a="1"/>
  <c r="H2909" i="1" s="1"/>
  <c r="H2910" i="1" a="1"/>
  <c r="H2910" i="1" s="1"/>
  <c r="H2911" i="1" a="1"/>
  <c r="H2911" i="1" s="1"/>
  <c r="H2912" i="1" a="1"/>
  <c r="H2912" i="1" s="1"/>
  <c r="H2913" i="1" a="1"/>
  <c r="H2913" i="1" s="1"/>
  <c r="H2914" i="1" a="1"/>
  <c r="H2914" i="1" s="1"/>
  <c r="H2915" i="1" a="1"/>
  <c r="H2915" i="1" s="1"/>
  <c r="H2916" i="1" a="1"/>
  <c r="H2916" i="1" s="1"/>
  <c r="H2917" i="1" a="1"/>
  <c r="H2917" i="1" s="1"/>
  <c r="H2918" i="1" a="1"/>
  <c r="H2918" i="1" s="1"/>
  <c r="H2919" i="1" a="1"/>
  <c r="H2919" i="1" s="1"/>
  <c r="H2920" i="1" a="1"/>
  <c r="H2920" i="1" s="1"/>
  <c r="H2921" i="1" a="1"/>
  <c r="H2921" i="1" s="1"/>
  <c r="H2922" i="1" a="1"/>
  <c r="H2922" i="1" s="1"/>
  <c r="H2923" i="1" a="1"/>
  <c r="H2923" i="1" s="1"/>
  <c r="H2924" i="1" a="1"/>
  <c r="H2924" i="1" s="1"/>
  <c r="H2925" i="1" a="1"/>
  <c r="H2925" i="1" s="1"/>
  <c r="H2926" i="1" a="1"/>
  <c r="H2926" i="1" s="1"/>
  <c r="H2927" i="1" a="1"/>
  <c r="H2927" i="1" s="1"/>
  <c r="H2928" i="1" a="1"/>
  <c r="H2928" i="1" s="1"/>
  <c r="H2929" i="1" a="1"/>
  <c r="H2929" i="1" s="1"/>
  <c r="H2930" i="1" a="1"/>
  <c r="H2930" i="1" s="1"/>
  <c r="H2931" i="1" a="1"/>
  <c r="H2931" i="1" s="1"/>
  <c r="H2932" i="1" a="1"/>
  <c r="H2932" i="1" s="1"/>
  <c r="H2933" i="1" a="1"/>
  <c r="H2933" i="1" s="1"/>
  <c r="H2934" i="1" a="1"/>
  <c r="H2934" i="1" s="1"/>
  <c r="H2935" i="1" a="1"/>
  <c r="H2935" i="1" s="1"/>
  <c r="H2936" i="1" a="1"/>
  <c r="H2936" i="1" s="1"/>
  <c r="H2937" i="1" a="1"/>
  <c r="H2937" i="1" s="1"/>
  <c r="H2938" i="1" a="1"/>
  <c r="H2938" i="1" s="1"/>
  <c r="H2939" i="1" a="1"/>
  <c r="H2939" i="1" s="1"/>
  <c r="H2940" i="1" a="1"/>
  <c r="H2940" i="1" s="1"/>
  <c r="H2941" i="1" a="1"/>
  <c r="H2941" i="1" s="1"/>
  <c r="H2942" i="1" a="1"/>
  <c r="H2942" i="1" s="1"/>
  <c r="H2943" i="1" a="1"/>
  <c r="H2943" i="1" s="1"/>
  <c r="H2944" i="1" a="1"/>
  <c r="H2944" i="1" s="1"/>
  <c r="H2945" i="1" a="1"/>
  <c r="H2945" i="1" s="1"/>
  <c r="H2946" i="1" a="1"/>
  <c r="H2946" i="1" s="1"/>
  <c r="H2947" i="1" a="1"/>
  <c r="H2947" i="1" s="1"/>
  <c r="H2948" i="1" a="1"/>
  <c r="H2948" i="1" s="1"/>
  <c r="H2949" i="1" a="1"/>
  <c r="H2949" i="1" s="1"/>
  <c r="H2950" i="1" a="1"/>
  <c r="H2950" i="1" s="1"/>
  <c r="H2951" i="1" a="1"/>
  <c r="H2951" i="1" s="1"/>
  <c r="H2952" i="1" a="1"/>
  <c r="H2952" i="1" s="1"/>
  <c r="H2953" i="1" a="1"/>
  <c r="H2953" i="1" s="1"/>
  <c r="H2954" i="1" a="1"/>
  <c r="H2954" i="1" s="1"/>
  <c r="H2955" i="1" a="1"/>
  <c r="H2955" i="1" s="1"/>
  <c r="H2956" i="1" a="1"/>
  <c r="H2956" i="1" s="1"/>
  <c r="H2957" i="1" a="1"/>
  <c r="H2957" i="1" s="1"/>
  <c r="H2958" i="1" a="1"/>
  <c r="H2958" i="1" s="1"/>
  <c r="H2959" i="1" a="1"/>
  <c r="H2959" i="1" s="1"/>
  <c r="H2960" i="1" a="1"/>
  <c r="H2960" i="1" s="1"/>
  <c r="H2961" i="1" a="1"/>
  <c r="H2961" i="1" s="1"/>
  <c r="H2962" i="1" a="1"/>
  <c r="H2962" i="1" s="1"/>
  <c r="H2963" i="1" a="1"/>
  <c r="H2963" i="1" s="1"/>
  <c r="H2964" i="1" a="1"/>
  <c r="H2964" i="1" s="1"/>
  <c r="H2965" i="1" a="1"/>
  <c r="H2965" i="1" s="1"/>
  <c r="H2966" i="1" a="1"/>
  <c r="H2966" i="1" s="1"/>
  <c r="H2967" i="1" a="1"/>
  <c r="H2967" i="1" s="1"/>
  <c r="H2968" i="1" a="1"/>
  <c r="H2968" i="1" s="1"/>
  <c r="H2969" i="1" a="1"/>
  <c r="H2969" i="1" s="1"/>
  <c r="H2970" i="1" a="1"/>
  <c r="H2970" i="1" s="1"/>
  <c r="H2971" i="1" a="1"/>
  <c r="H2971" i="1" s="1"/>
  <c r="H2972" i="1" a="1"/>
  <c r="H2972" i="1" s="1"/>
  <c r="H2973" i="1" a="1"/>
  <c r="H2973" i="1" s="1"/>
  <c r="H2974" i="1" a="1"/>
  <c r="H2974" i="1" s="1"/>
  <c r="H2975" i="1" a="1"/>
  <c r="H2975" i="1" s="1"/>
  <c r="H2976" i="1" a="1"/>
  <c r="H2976" i="1" s="1"/>
  <c r="H2977" i="1" a="1"/>
  <c r="H2977" i="1" s="1"/>
  <c r="H2978" i="1" a="1"/>
  <c r="H2978" i="1" s="1"/>
  <c r="H2979" i="1" a="1"/>
  <c r="H2979" i="1" s="1"/>
  <c r="H2980" i="1" a="1"/>
  <c r="H2980" i="1" s="1"/>
  <c r="H2981" i="1" a="1"/>
  <c r="H2981" i="1" s="1"/>
  <c r="H2982" i="1" a="1"/>
  <c r="H2982" i="1" s="1"/>
  <c r="H2983" i="1" a="1"/>
  <c r="H2983" i="1" s="1"/>
  <c r="H2984" i="1" a="1"/>
  <c r="H2984" i="1" s="1"/>
  <c r="H2985" i="1" a="1"/>
  <c r="H2985" i="1" s="1"/>
  <c r="H2986" i="1" a="1"/>
  <c r="H2986" i="1" s="1"/>
  <c r="H2987" i="1" a="1"/>
  <c r="H2987" i="1" s="1"/>
  <c r="H2988" i="1" a="1"/>
  <c r="H2988" i="1" s="1"/>
  <c r="H2989" i="1" a="1"/>
  <c r="H2989" i="1" s="1"/>
  <c r="H2990" i="1" a="1"/>
  <c r="H2990" i="1" s="1"/>
  <c r="H2991" i="1" a="1"/>
  <c r="H2991" i="1" s="1"/>
  <c r="H2992" i="1" a="1"/>
  <c r="H2992" i="1" s="1"/>
  <c r="H2993" i="1" a="1"/>
  <c r="H2993" i="1" s="1"/>
  <c r="H2994" i="1" a="1"/>
  <c r="H2994" i="1" s="1"/>
  <c r="H2995" i="1" a="1"/>
  <c r="H2995" i="1" s="1"/>
  <c r="H2996" i="1" a="1"/>
  <c r="H2996" i="1" s="1"/>
  <c r="H2997" i="1" a="1"/>
  <c r="H2997" i="1" s="1"/>
  <c r="H2998" i="1" a="1"/>
  <c r="H2998" i="1" s="1"/>
  <c r="H2999" i="1" a="1"/>
  <c r="H2999" i="1" s="1"/>
  <c r="H3000" i="1" a="1"/>
  <c r="H3000" i="1" s="1"/>
  <c r="H3001" i="1" a="1"/>
  <c r="H3001" i="1" s="1"/>
  <c r="H3002" i="1" a="1"/>
  <c r="H3002" i="1" s="1"/>
  <c r="H3003" i="1" a="1"/>
  <c r="H3003" i="1" s="1"/>
  <c r="H3004" i="1" a="1"/>
  <c r="H3004" i="1" s="1"/>
  <c r="H3005" i="1" a="1"/>
  <c r="H3005" i="1" s="1"/>
  <c r="H3006" i="1" a="1"/>
  <c r="H3006" i="1" s="1"/>
  <c r="H3007" i="1" a="1"/>
  <c r="H3007" i="1" s="1"/>
  <c r="H3008" i="1" a="1"/>
  <c r="H3008" i="1" s="1"/>
  <c r="H3009" i="1" a="1"/>
  <c r="H3009" i="1" s="1"/>
  <c r="H3010" i="1" a="1"/>
  <c r="H3010" i="1" s="1"/>
  <c r="H3011" i="1" a="1"/>
  <c r="H3011" i="1" s="1"/>
  <c r="H3012" i="1" a="1"/>
  <c r="H3012" i="1" s="1"/>
  <c r="H3013" i="1" a="1"/>
  <c r="H3013" i="1" s="1"/>
  <c r="H3014" i="1" a="1"/>
  <c r="H3014" i="1" s="1"/>
  <c r="H3015" i="1" a="1"/>
  <c r="H3015" i="1" s="1"/>
  <c r="H3016" i="1" a="1"/>
  <c r="H3016" i="1" s="1"/>
  <c r="H3017" i="1" a="1"/>
  <c r="H3017" i="1" s="1"/>
  <c r="H3018" i="1" a="1"/>
  <c r="H3018" i="1" s="1"/>
  <c r="H3019" i="1" a="1"/>
  <c r="H3019" i="1" s="1"/>
  <c r="H3020" i="1" a="1"/>
  <c r="H3020" i="1" s="1"/>
  <c r="H3021" i="1" a="1"/>
  <c r="H3021" i="1" s="1"/>
  <c r="H3022" i="1" a="1"/>
  <c r="H3022" i="1" s="1"/>
  <c r="H3023" i="1" a="1"/>
  <c r="H3023" i="1" s="1"/>
  <c r="H3024" i="1" a="1"/>
  <c r="H3024" i="1" s="1"/>
  <c r="H3025" i="1" a="1"/>
  <c r="H3025" i="1" s="1"/>
  <c r="H3026" i="1" a="1"/>
  <c r="H3026" i="1" s="1"/>
  <c r="H3027" i="1" a="1"/>
  <c r="H3027" i="1" s="1"/>
  <c r="H3028" i="1" a="1"/>
  <c r="H3028" i="1" s="1"/>
  <c r="H3029" i="1" a="1"/>
  <c r="H3029" i="1" s="1"/>
  <c r="H3030" i="1" a="1"/>
  <c r="H3030" i="1" s="1"/>
  <c r="H3031" i="1" a="1"/>
  <c r="H3031" i="1" s="1"/>
  <c r="H3032" i="1" a="1"/>
  <c r="H3032" i="1" s="1"/>
  <c r="H3033" i="1" a="1"/>
  <c r="H3033" i="1" s="1"/>
  <c r="H3034" i="1" a="1"/>
  <c r="H3034" i="1" s="1"/>
  <c r="H3035" i="1" a="1"/>
  <c r="H3035" i="1" s="1"/>
  <c r="H3036" i="1" a="1"/>
  <c r="H3036" i="1" s="1"/>
  <c r="H3037" i="1" a="1"/>
  <c r="H3037" i="1" s="1"/>
  <c r="H3038" i="1" a="1"/>
  <c r="H3038" i="1" s="1"/>
  <c r="H3039" i="1" a="1"/>
  <c r="H3039" i="1" s="1"/>
  <c r="H3040" i="1" a="1"/>
  <c r="H3040" i="1" s="1"/>
  <c r="H3041" i="1" a="1"/>
  <c r="H3041" i="1" s="1"/>
  <c r="H3042" i="1" a="1"/>
  <c r="H3042" i="1" s="1"/>
  <c r="H3043" i="1" a="1"/>
  <c r="H3043" i="1" s="1"/>
  <c r="H3044" i="1" a="1"/>
  <c r="H3044" i="1" s="1"/>
  <c r="H3045" i="1" a="1"/>
  <c r="H3045" i="1" s="1"/>
  <c r="H3046" i="1" a="1"/>
  <c r="H3046" i="1" s="1"/>
  <c r="H3047" i="1" a="1"/>
  <c r="H3047" i="1" s="1"/>
  <c r="H3048" i="1" a="1"/>
  <c r="H3048" i="1" s="1"/>
  <c r="H3049" i="1" a="1"/>
  <c r="H3049" i="1" s="1"/>
  <c r="H3050" i="1" a="1"/>
  <c r="H3050" i="1" s="1"/>
  <c r="H3051" i="1" a="1"/>
  <c r="H3051" i="1" s="1"/>
  <c r="H3052" i="1" a="1"/>
  <c r="H3052" i="1" s="1"/>
  <c r="H3053" i="1" a="1"/>
  <c r="H3053" i="1" s="1"/>
  <c r="H3054" i="1" a="1"/>
  <c r="H3054" i="1" s="1"/>
  <c r="H3055" i="1" a="1"/>
  <c r="H3055" i="1" s="1"/>
  <c r="H3056" i="1" a="1"/>
  <c r="H3056" i="1" s="1"/>
  <c r="H3057" i="1" a="1"/>
  <c r="H3057" i="1" s="1"/>
  <c r="H3058" i="1" a="1"/>
  <c r="H3058" i="1" s="1"/>
  <c r="H3059" i="1" a="1"/>
  <c r="H3059" i="1" s="1"/>
  <c r="H3060" i="1" a="1"/>
  <c r="H3060" i="1" s="1"/>
  <c r="H3061" i="1" a="1"/>
  <c r="H3061" i="1" s="1"/>
  <c r="H3062" i="1" a="1"/>
  <c r="H3062" i="1" s="1"/>
  <c r="H3063" i="1" a="1"/>
  <c r="H3063" i="1" s="1"/>
  <c r="H3064" i="1" a="1"/>
  <c r="H3064" i="1" s="1"/>
  <c r="H3065" i="1" a="1"/>
  <c r="H3065" i="1" s="1"/>
  <c r="H3066" i="1" a="1"/>
  <c r="H3066" i="1" s="1"/>
  <c r="H3067" i="1" a="1"/>
  <c r="H3067" i="1" s="1"/>
  <c r="H3068" i="1" a="1"/>
  <c r="H3068" i="1" s="1"/>
  <c r="H3069" i="1" a="1"/>
  <c r="H3069" i="1" s="1"/>
  <c r="H3070" i="1" a="1"/>
  <c r="H3070" i="1" s="1"/>
  <c r="H3071" i="1" a="1"/>
  <c r="H3071" i="1" s="1"/>
  <c r="H3072" i="1" a="1"/>
  <c r="H3072" i="1" s="1"/>
  <c r="H3073" i="1" a="1"/>
  <c r="H3073" i="1" s="1"/>
  <c r="H3074" i="1" a="1"/>
  <c r="H3074" i="1" s="1"/>
  <c r="H3075" i="1" a="1"/>
  <c r="H3075" i="1" s="1"/>
  <c r="H3076" i="1" a="1"/>
  <c r="H3076" i="1" s="1"/>
  <c r="H3077" i="1" a="1"/>
  <c r="H3077" i="1" s="1"/>
  <c r="H3078" i="1" a="1"/>
  <c r="H3078" i="1" s="1"/>
  <c r="H3079" i="1" a="1"/>
  <c r="H3079" i="1" s="1"/>
  <c r="H3080" i="1" a="1"/>
  <c r="H3080" i="1" s="1"/>
  <c r="H3081" i="1" a="1"/>
  <c r="H3081" i="1" s="1"/>
  <c r="H3082" i="1" a="1"/>
  <c r="H3082" i="1" s="1"/>
  <c r="H3083" i="1" a="1"/>
  <c r="H3083" i="1" s="1"/>
  <c r="H3084" i="1" a="1"/>
  <c r="H3084" i="1" s="1"/>
  <c r="H3085" i="1" a="1"/>
  <c r="H3085" i="1" s="1"/>
  <c r="H3086" i="1" a="1"/>
  <c r="H3086" i="1" s="1"/>
  <c r="H3087" i="1" a="1"/>
  <c r="H3087" i="1" s="1"/>
  <c r="H3088" i="1" a="1"/>
  <c r="H3088" i="1" s="1"/>
  <c r="H3089" i="1" a="1"/>
  <c r="H3089" i="1" s="1"/>
  <c r="H3090" i="1" a="1"/>
  <c r="H3090" i="1" s="1"/>
  <c r="H3091" i="1" a="1"/>
  <c r="H3091" i="1" s="1"/>
  <c r="H3092" i="1" a="1"/>
  <c r="H3092" i="1" s="1"/>
  <c r="H3093" i="1" a="1"/>
  <c r="H3093" i="1" s="1"/>
  <c r="H3094" i="1" a="1"/>
  <c r="H3094" i="1" s="1"/>
  <c r="H3095" i="1" a="1"/>
  <c r="H3095" i="1" s="1"/>
  <c r="H3096" i="1" a="1"/>
  <c r="H3096" i="1" s="1"/>
  <c r="H3097" i="1" a="1"/>
  <c r="H3097" i="1" s="1"/>
  <c r="H3098" i="1" a="1"/>
  <c r="H3098" i="1" s="1"/>
  <c r="H3099" i="1" a="1"/>
  <c r="H3099" i="1" s="1"/>
  <c r="H3100" i="1" a="1"/>
  <c r="H3100" i="1" s="1"/>
  <c r="H3101" i="1" a="1"/>
  <c r="H3101" i="1" s="1"/>
  <c r="H3102" i="1" a="1"/>
  <c r="H3102" i="1" s="1"/>
  <c r="H3103" i="1" a="1"/>
  <c r="H3103" i="1" s="1"/>
  <c r="H3104" i="1" a="1"/>
  <c r="H3104" i="1" s="1"/>
  <c r="H3105" i="1" a="1"/>
  <c r="H3105" i="1" s="1"/>
  <c r="H3106" i="1" a="1"/>
  <c r="H3106" i="1" s="1"/>
  <c r="H3107" i="1" a="1"/>
  <c r="H3107" i="1" s="1"/>
  <c r="H3108" i="1" a="1"/>
  <c r="H3108" i="1" s="1"/>
  <c r="H3109" i="1" a="1"/>
  <c r="H3109" i="1" s="1"/>
  <c r="H3110" i="1" a="1"/>
  <c r="H3110" i="1" s="1"/>
  <c r="H3111" i="1" a="1"/>
  <c r="H3111" i="1" s="1"/>
  <c r="H3112" i="1" a="1"/>
  <c r="H3112" i="1" s="1"/>
  <c r="H3113" i="1" a="1"/>
  <c r="H3113" i="1" s="1"/>
  <c r="H3114" i="1" a="1"/>
  <c r="H3114" i="1" s="1"/>
  <c r="H3115" i="1" a="1"/>
  <c r="H3115" i="1" s="1"/>
  <c r="H3116" i="1" a="1"/>
  <c r="H3116" i="1" s="1"/>
  <c r="H3117" i="1" a="1"/>
  <c r="H3117" i="1" s="1"/>
  <c r="H3118" i="1" a="1"/>
  <c r="H3118" i="1" s="1"/>
  <c r="H3119" i="1" a="1"/>
  <c r="H3119" i="1" s="1"/>
  <c r="H3120" i="1" a="1"/>
  <c r="H3120" i="1" s="1"/>
  <c r="H3121" i="1" a="1"/>
  <c r="H3121" i="1" s="1"/>
  <c r="H3122" i="1" a="1"/>
  <c r="H3122" i="1" s="1"/>
  <c r="H3123" i="1" a="1"/>
  <c r="H3123" i="1" s="1"/>
  <c r="H3124" i="1" a="1"/>
  <c r="H3124" i="1" s="1"/>
  <c r="H3125" i="1" a="1"/>
  <c r="H3125" i="1" s="1"/>
  <c r="H3126" i="1" a="1"/>
  <c r="H3126" i="1" s="1"/>
  <c r="H3127" i="1" a="1"/>
  <c r="H3127" i="1" s="1"/>
  <c r="H3128" i="1" a="1"/>
  <c r="H3128" i="1" s="1"/>
  <c r="H3129" i="1" a="1"/>
  <c r="H3129" i="1" s="1"/>
  <c r="H3130" i="1" a="1"/>
  <c r="H3130" i="1" s="1"/>
  <c r="H3131" i="1" a="1"/>
  <c r="H3131" i="1" s="1"/>
  <c r="H3132" i="1" a="1"/>
  <c r="H3132" i="1" s="1"/>
  <c r="H3133" i="1" a="1"/>
  <c r="H3133" i="1" s="1"/>
  <c r="H3134" i="1" a="1"/>
  <c r="H3134" i="1" s="1"/>
  <c r="H3135" i="1" a="1"/>
  <c r="H3135" i="1" s="1"/>
  <c r="H3136" i="1" a="1"/>
  <c r="H3136" i="1" s="1"/>
  <c r="H3137" i="1" a="1"/>
  <c r="H3137" i="1" s="1"/>
  <c r="H3138" i="1" a="1"/>
  <c r="H3138" i="1" s="1"/>
  <c r="H3139" i="1" a="1"/>
  <c r="H3139" i="1" s="1"/>
  <c r="H3140" i="1" a="1"/>
  <c r="H3140" i="1" s="1"/>
  <c r="H3141" i="1" a="1"/>
  <c r="H3141" i="1" s="1"/>
  <c r="H3142" i="1" a="1"/>
  <c r="H3142" i="1" s="1"/>
  <c r="H3143" i="1" a="1"/>
  <c r="H3143" i="1" s="1"/>
  <c r="H3144" i="1" a="1"/>
  <c r="H3144" i="1" s="1"/>
  <c r="H3145" i="1" a="1"/>
  <c r="H3145" i="1" s="1"/>
  <c r="H3146" i="1" a="1"/>
  <c r="H3146" i="1" s="1"/>
  <c r="H3147" i="1" a="1"/>
  <c r="H3147" i="1" s="1"/>
  <c r="H3148" i="1" a="1"/>
  <c r="H3148" i="1" s="1"/>
  <c r="H3149" i="1" a="1"/>
  <c r="H3149" i="1" s="1"/>
  <c r="H3150" i="1" a="1"/>
  <c r="H3150" i="1" s="1"/>
  <c r="H3151" i="1" a="1"/>
  <c r="H3151" i="1" s="1"/>
  <c r="H3152" i="1" a="1"/>
  <c r="H3152" i="1" s="1"/>
  <c r="H3153" i="1" a="1"/>
  <c r="H3153" i="1" s="1"/>
  <c r="H3154" i="1" a="1"/>
  <c r="H3154" i="1" s="1"/>
  <c r="H3155" i="1" a="1"/>
  <c r="H3155" i="1" s="1"/>
  <c r="H3156" i="1" a="1"/>
  <c r="H3156" i="1" s="1"/>
  <c r="H3157" i="1" a="1"/>
  <c r="H3157" i="1" s="1"/>
  <c r="H3158" i="1" a="1"/>
  <c r="H3158" i="1" s="1"/>
  <c r="H3159" i="1" a="1"/>
  <c r="H3159" i="1" s="1"/>
  <c r="H3160" i="1" a="1"/>
  <c r="H3160" i="1" s="1"/>
  <c r="H3161" i="1" a="1"/>
  <c r="H3161" i="1" s="1"/>
  <c r="H3162" i="1" a="1"/>
  <c r="H3162" i="1" s="1"/>
  <c r="H3163" i="1" a="1"/>
  <c r="H3163" i="1" s="1"/>
  <c r="H3164" i="1" a="1"/>
  <c r="H3164" i="1" s="1"/>
  <c r="H3165" i="1" a="1"/>
  <c r="H3165" i="1" s="1"/>
  <c r="H3166" i="1" a="1"/>
  <c r="H3166" i="1" s="1"/>
  <c r="H3167" i="1" a="1"/>
  <c r="H3167" i="1" s="1"/>
  <c r="H3168" i="1" a="1"/>
  <c r="H3168" i="1" s="1"/>
  <c r="H3169" i="1" a="1"/>
  <c r="H3169" i="1" s="1"/>
  <c r="H3170" i="1" a="1"/>
  <c r="H3170" i="1" s="1"/>
  <c r="H3171" i="1" a="1"/>
  <c r="H3171" i="1" s="1"/>
  <c r="H3172" i="1" a="1"/>
  <c r="H3172" i="1" s="1"/>
  <c r="H3173" i="1" a="1"/>
  <c r="H3173" i="1" s="1"/>
  <c r="H3174" i="1" a="1"/>
  <c r="H3174" i="1" s="1"/>
  <c r="H3175" i="1" a="1"/>
  <c r="H3175" i="1" s="1"/>
  <c r="H3176" i="1" a="1"/>
  <c r="H3176" i="1" s="1"/>
  <c r="H3177" i="1" a="1"/>
  <c r="H3177" i="1" s="1"/>
  <c r="H3178" i="1" a="1"/>
  <c r="H3178" i="1" s="1"/>
  <c r="H3179" i="1" a="1"/>
  <c r="H3179" i="1" s="1"/>
  <c r="H3180" i="1" a="1"/>
  <c r="H3180" i="1" s="1"/>
  <c r="H3181" i="1" a="1"/>
  <c r="H3181" i="1" s="1"/>
  <c r="H3182" i="1" a="1"/>
  <c r="H3182" i="1" s="1"/>
  <c r="H3183" i="1" a="1"/>
  <c r="H3183" i="1" s="1"/>
  <c r="H3184" i="1" a="1"/>
  <c r="H3184" i="1" s="1"/>
  <c r="H3185" i="1" a="1"/>
  <c r="H3185" i="1" s="1"/>
  <c r="H3186" i="1" a="1"/>
  <c r="H3186" i="1" s="1"/>
  <c r="H3187" i="1" a="1"/>
  <c r="H3187" i="1" s="1"/>
  <c r="H3188" i="1" a="1"/>
  <c r="H3188" i="1" s="1"/>
  <c r="H3189" i="1" a="1"/>
  <c r="H3189" i="1" s="1"/>
  <c r="H3190" i="1" a="1"/>
  <c r="H3190" i="1" s="1"/>
  <c r="H3191" i="1" a="1"/>
  <c r="H3191" i="1" s="1"/>
  <c r="H3192" i="1" a="1"/>
  <c r="H3192" i="1" s="1"/>
  <c r="H3193" i="1" a="1"/>
  <c r="H3193" i="1" s="1"/>
  <c r="H3194" i="1" a="1"/>
  <c r="H3194" i="1" s="1"/>
  <c r="H3195" i="1" a="1"/>
  <c r="H3195" i="1" s="1"/>
  <c r="H3196" i="1" a="1"/>
  <c r="H3196" i="1" s="1"/>
  <c r="H3197" i="1" a="1"/>
  <c r="H3197" i="1" s="1"/>
  <c r="H3198" i="1" a="1"/>
  <c r="H3198" i="1" s="1"/>
  <c r="H3199" i="1" a="1"/>
  <c r="H3199" i="1" s="1"/>
  <c r="H3200" i="1" a="1"/>
  <c r="H3200" i="1" s="1"/>
  <c r="H3201" i="1" a="1"/>
  <c r="H3201" i="1" s="1"/>
  <c r="H3202" i="1" a="1"/>
  <c r="H3202" i="1" s="1"/>
  <c r="H3203" i="1" a="1"/>
  <c r="H3203" i="1" s="1"/>
  <c r="H3204" i="1" a="1"/>
  <c r="H3204" i="1" s="1"/>
  <c r="H3205" i="1" a="1"/>
  <c r="H3205" i="1" s="1"/>
  <c r="H3206" i="1" a="1"/>
  <c r="H3206" i="1" s="1"/>
  <c r="H3207" i="1" a="1"/>
  <c r="H3207" i="1" s="1"/>
  <c r="H3208" i="1" a="1"/>
  <c r="H3208" i="1" s="1"/>
  <c r="H3209" i="1" a="1"/>
  <c r="H3209" i="1" s="1"/>
  <c r="H3210" i="1" a="1"/>
  <c r="H3210" i="1" s="1"/>
  <c r="H3211" i="1" a="1"/>
  <c r="H3211" i="1" s="1"/>
  <c r="H3212" i="1" a="1"/>
  <c r="H3212" i="1" s="1"/>
  <c r="H3213" i="1" a="1"/>
  <c r="H3213" i="1" s="1"/>
  <c r="H3214" i="1" a="1"/>
  <c r="H3214" i="1" s="1"/>
  <c r="H3215" i="1" a="1"/>
  <c r="H3215" i="1" s="1"/>
  <c r="H3216" i="1" a="1"/>
  <c r="H3216" i="1" s="1"/>
  <c r="H3217" i="1" a="1"/>
  <c r="H3217" i="1" s="1"/>
  <c r="H3218" i="1" a="1"/>
  <c r="H3218" i="1" s="1"/>
  <c r="H3219" i="1" a="1"/>
  <c r="H3219" i="1" s="1"/>
  <c r="H3220" i="1" a="1"/>
  <c r="H3220" i="1" s="1"/>
  <c r="H3221" i="1" a="1"/>
  <c r="H3221" i="1" s="1"/>
  <c r="H3222" i="1" a="1"/>
  <c r="H3222" i="1" s="1"/>
  <c r="H3223" i="1" a="1"/>
  <c r="H3223" i="1" s="1"/>
  <c r="H3224" i="1" a="1"/>
  <c r="H3224" i="1" s="1"/>
  <c r="H3225" i="1" a="1"/>
  <c r="H3225" i="1" s="1"/>
  <c r="H3226" i="1" a="1"/>
  <c r="H3226" i="1" s="1"/>
  <c r="H3227" i="1" a="1"/>
  <c r="H3227" i="1" s="1"/>
  <c r="H3228" i="1" a="1"/>
  <c r="H3228" i="1" s="1"/>
  <c r="H3229" i="1" a="1"/>
  <c r="H3229" i="1" s="1"/>
  <c r="H3230" i="1" a="1"/>
  <c r="H3230" i="1" s="1"/>
  <c r="H3231" i="1" a="1"/>
  <c r="H3231" i="1" s="1"/>
  <c r="H3232" i="1" a="1"/>
  <c r="H3232" i="1" s="1"/>
  <c r="H3233" i="1" a="1"/>
  <c r="H3233" i="1" s="1"/>
  <c r="H3234" i="1" a="1"/>
  <c r="H3234" i="1" s="1"/>
  <c r="H3235" i="1" a="1"/>
  <c r="H3235" i="1" s="1"/>
  <c r="H3236" i="1" a="1"/>
  <c r="H3236" i="1" s="1"/>
  <c r="H3237" i="1" a="1"/>
  <c r="H3237" i="1" s="1"/>
  <c r="H3238" i="1" a="1"/>
  <c r="H3238" i="1" s="1"/>
  <c r="H3239" i="1" a="1"/>
  <c r="H3239" i="1" s="1"/>
  <c r="H3240" i="1" a="1"/>
  <c r="H3240" i="1" s="1"/>
  <c r="H3241" i="1" a="1"/>
  <c r="H3241" i="1" s="1"/>
  <c r="H3242" i="1" a="1"/>
  <c r="H3242" i="1" s="1"/>
  <c r="H3243" i="1" a="1"/>
  <c r="H3243" i="1" s="1"/>
  <c r="H3244" i="1" a="1"/>
  <c r="H3244" i="1" s="1"/>
  <c r="H3245" i="1" a="1"/>
  <c r="H3245" i="1" s="1"/>
  <c r="H3246" i="1" a="1"/>
  <c r="H3246" i="1" s="1"/>
  <c r="H3247" i="1" a="1"/>
  <c r="H3247" i="1" s="1"/>
  <c r="H3248" i="1" a="1"/>
  <c r="H3248" i="1" s="1"/>
  <c r="H3249" i="1" a="1"/>
  <c r="H3249" i="1" s="1"/>
  <c r="H3250" i="1" a="1"/>
  <c r="H3250" i="1" s="1"/>
  <c r="H3251" i="1" a="1"/>
  <c r="H3251" i="1" s="1"/>
  <c r="H3252" i="1" a="1"/>
  <c r="H3252" i="1" s="1"/>
  <c r="H3253" i="1" a="1"/>
  <c r="H3253" i="1" s="1"/>
  <c r="H3254" i="1" a="1"/>
  <c r="H3254" i="1" s="1"/>
  <c r="H3255" i="1" a="1"/>
  <c r="H3255" i="1" s="1"/>
  <c r="H3256" i="1" a="1"/>
  <c r="H3256" i="1" s="1"/>
  <c r="H3257" i="1" a="1"/>
  <c r="H3257" i="1" s="1"/>
  <c r="H3258" i="1" a="1"/>
  <c r="H3258" i="1" s="1"/>
  <c r="H3259" i="1" a="1"/>
  <c r="H3259" i="1" s="1"/>
  <c r="H3260" i="1" a="1"/>
  <c r="H3260" i="1" s="1"/>
  <c r="H3261" i="1" a="1"/>
  <c r="H3261" i="1" s="1"/>
  <c r="H3262" i="1" a="1"/>
  <c r="H3262" i="1" s="1"/>
  <c r="H3263" i="1" a="1"/>
  <c r="H3263" i="1" s="1"/>
  <c r="H3264" i="1" a="1"/>
  <c r="H3264" i="1" s="1"/>
  <c r="H3265" i="1" a="1"/>
  <c r="H3265" i="1" s="1"/>
  <c r="H3266" i="1" a="1"/>
  <c r="H3266" i="1" s="1"/>
  <c r="H3267" i="1" a="1"/>
  <c r="H3267" i="1" s="1"/>
  <c r="H3268" i="1" a="1"/>
  <c r="H3268" i="1" s="1"/>
  <c r="H3269" i="1" a="1"/>
  <c r="H3269" i="1" s="1"/>
  <c r="H3270" i="1" a="1"/>
  <c r="H3270" i="1" s="1"/>
  <c r="H3271" i="1" a="1"/>
  <c r="H3271" i="1" s="1"/>
  <c r="H3272" i="1" a="1"/>
  <c r="H3272" i="1" s="1"/>
  <c r="H3273" i="1" a="1"/>
  <c r="H3273" i="1" s="1"/>
  <c r="H3274" i="1" a="1"/>
  <c r="H3274" i="1" s="1"/>
  <c r="H3275" i="1" a="1"/>
  <c r="H3275" i="1" s="1"/>
  <c r="H3276" i="1" a="1"/>
  <c r="H3276" i="1" s="1"/>
  <c r="H3277" i="1" a="1"/>
  <c r="H3277" i="1" s="1"/>
  <c r="H3278" i="1" a="1"/>
  <c r="H3278" i="1" s="1"/>
  <c r="H3279" i="1" a="1"/>
  <c r="H3279" i="1" s="1"/>
  <c r="H3280" i="1" a="1"/>
  <c r="H3280" i="1" s="1"/>
  <c r="H3281" i="1" a="1"/>
  <c r="H3281" i="1" s="1"/>
  <c r="H3282" i="1" a="1"/>
  <c r="H3282" i="1" s="1"/>
  <c r="H3283" i="1" a="1"/>
  <c r="H3283" i="1" s="1"/>
  <c r="H3284" i="1" a="1"/>
  <c r="H3284" i="1" s="1"/>
  <c r="H3285" i="1" a="1"/>
  <c r="H3285" i="1" s="1"/>
  <c r="H3286" i="1" a="1"/>
  <c r="H3286" i="1" s="1"/>
  <c r="H3287" i="1" a="1"/>
  <c r="H3287" i="1" s="1"/>
  <c r="H3288" i="1" a="1"/>
  <c r="H3288" i="1" s="1"/>
  <c r="H3289" i="1" a="1"/>
  <c r="H3289" i="1" s="1"/>
  <c r="H3290" i="1" a="1"/>
  <c r="H3290" i="1" s="1"/>
  <c r="H3291" i="1" a="1"/>
  <c r="H3291" i="1" s="1"/>
  <c r="H3292" i="1" a="1"/>
  <c r="H3292" i="1" s="1"/>
  <c r="H3293" i="1" a="1"/>
  <c r="H3293" i="1" s="1"/>
  <c r="H3294" i="1" a="1"/>
  <c r="H3294" i="1" s="1"/>
  <c r="H3295" i="1" a="1"/>
  <c r="H3295" i="1" s="1"/>
  <c r="H3296" i="1" a="1"/>
  <c r="H3296" i="1" s="1"/>
  <c r="H3297" i="1" a="1"/>
  <c r="H3297" i="1" s="1"/>
  <c r="H3298" i="1" a="1"/>
  <c r="H3298" i="1" s="1"/>
  <c r="H3299" i="1" a="1"/>
  <c r="H3299" i="1" s="1"/>
  <c r="H3300" i="1" a="1"/>
  <c r="H3300" i="1" s="1"/>
  <c r="H3301" i="1" a="1"/>
  <c r="H3301" i="1" s="1"/>
  <c r="H3302" i="1" a="1"/>
  <c r="H3302" i="1" s="1"/>
  <c r="H3303" i="1" a="1"/>
  <c r="H3303" i="1" s="1"/>
  <c r="H3304" i="1" a="1"/>
  <c r="H3304" i="1" s="1"/>
  <c r="H3305" i="1" a="1"/>
  <c r="H3305" i="1" s="1"/>
  <c r="H3306" i="1" a="1"/>
  <c r="H3306" i="1" s="1"/>
  <c r="H3307" i="1" a="1"/>
  <c r="H3307" i="1" s="1"/>
  <c r="H3308" i="1" a="1"/>
  <c r="H3308" i="1" s="1"/>
  <c r="H3309" i="1" a="1"/>
  <c r="H3309" i="1" s="1"/>
  <c r="H3310" i="1" a="1"/>
  <c r="H3310" i="1" s="1"/>
  <c r="H3311" i="1" a="1"/>
  <c r="H3311" i="1" s="1"/>
  <c r="H3312" i="1" a="1"/>
  <c r="H3312" i="1" s="1"/>
  <c r="H3313" i="1" a="1"/>
  <c r="H3313" i="1" s="1"/>
  <c r="H3314" i="1" a="1"/>
  <c r="H3314" i="1" s="1"/>
  <c r="H3315" i="1" a="1"/>
  <c r="H3315" i="1" s="1"/>
  <c r="H3316" i="1" a="1"/>
  <c r="H3316" i="1" s="1"/>
  <c r="H3317" i="1" a="1"/>
  <c r="H3317" i="1" s="1"/>
  <c r="H3318" i="1" a="1"/>
  <c r="H3318" i="1" s="1"/>
  <c r="H3319" i="1" a="1"/>
  <c r="H3319" i="1" s="1"/>
  <c r="H3320" i="1" a="1"/>
  <c r="H3320" i="1" s="1"/>
  <c r="H3321" i="1" a="1"/>
  <c r="H3321" i="1" s="1"/>
  <c r="H3322" i="1" a="1"/>
  <c r="H3322" i="1" s="1"/>
  <c r="H3323" i="1" a="1"/>
  <c r="H3323" i="1" s="1"/>
  <c r="H3324" i="1" a="1"/>
  <c r="H3324" i="1" s="1"/>
  <c r="H3325" i="1" a="1"/>
  <c r="H3325" i="1" s="1"/>
  <c r="H3326" i="1" a="1"/>
  <c r="H3326" i="1" s="1"/>
  <c r="H3327" i="1" a="1"/>
  <c r="H3327" i="1" s="1"/>
  <c r="H3328" i="1" a="1"/>
  <c r="H3328" i="1" s="1"/>
  <c r="H3329" i="1" a="1"/>
  <c r="H3329" i="1" s="1"/>
  <c r="H3330" i="1" a="1"/>
  <c r="H3330" i="1" s="1"/>
  <c r="H3331" i="1" a="1"/>
  <c r="H3331" i="1" s="1"/>
  <c r="H3332" i="1" a="1"/>
  <c r="H3332" i="1" s="1"/>
  <c r="H3333" i="1" a="1"/>
  <c r="H3333" i="1" s="1"/>
  <c r="H3334" i="1" a="1"/>
  <c r="H3334" i="1" s="1"/>
  <c r="H3335" i="1" a="1"/>
  <c r="H3335" i="1" s="1"/>
  <c r="H3336" i="1" a="1"/>
  <c r="H3336" i="1" s="1"/>
  <c r="H3337" i="1" a="1"/>
  <c r="H3337" i="1" s="1"/>
  <c r="H3338" i="1" a="1"/>
  <c r="H3338" i="1" s="1"/>
  <c r="H3339" i="1" a="1"/>
  <c r="H3339" i="1" s="1"/>
  <c r="H3340" i="1" a="1"/>
  <c r="H3340" i="1" s="1"/>
  <c r="H3341" i="1" a="1"/>
  <c r="H3341" i="1" s="1"/>
  <c r="H3342" i="1" a="1"/>
  <c r="H3342" i="1" s="1"/>
  <c r="H3343" i="1" a="1"/>
  <c r="H3343" i="1" s="1"/>
  <c r="H3344" i="1" a="1"/>
  <c r="H3344" i="1" s="1"/>
  <c r="H3345" i="1" a="1"/>
  <c r="H3345" i="1" s="1"/>
  <c r="H3346" i="1" a="1"/>
  <c r="H3346" i="1" s="1"/>
  <c r="H3347" i="1" a="1"/>
  <c r="H3347" i="1" s="1"/>
  <c r="H3348" i="1" a="1"/>
  <c r="H3348" i="1" s="1"/>
  <c r="H3349" i="1" a="1"/>
  <c r="H3349" i="1" s="1"/>
  <c r="H3350" i="1" a="1"/>
  <c r="H3350" i="1" s="1"/>
  <c r="H3351" i="1" a="1"/>
  <c r="H3351" i="1" s="1"/>
  <c r="H3352" i="1" a="1"/>
  <c r="H3352" i="1" s="1"/>
  <c r="H3353" i="1" a="1"/>
  <c r="H3353" i="1" s="1"/>
  <c r="H3354" i="1" a="1"/>
  <c r="H3354" i="1" s="1"/>
  <c r="H3355" i="1" a="1"/>
  <c r="H3355" i="1" s="1"/>
  <c r="H3356" i="1" a="1"/>
  <c r="H3356" i="1" s="1"/>
  <c r="H3357" i="1" a="1"/>
  <c r="H3357" i="1" s="1"/>
  <c r="H3358" i="1" a="1"/>
  <c r="H3358" i="1" s="1"/>
  <c r="H3359" i="1" a="1"/>
  <c r="H3359" i="1" s="1"/>
  <c r="H3360" i="1" a="1"/>
  <c r="H3360" i="1" s="1"/>
  <c r="H3361" i="1" a="1"/>
  <c r="H3361" i="1" s="1"/>
  <c r="H3362" i="1" a="1"/>
  <c r="H3362" i="1" s="1"/>
  <c r="H3363" i="1" a="1"/>
  <c r="H3363" i="1" s="1"/>
  <c r="H3364" i="1" a="1"/>
  <c r="H3364" i="1" s="1"/>
  <c r="H3365" i="1" a="1"/>
  <c r="H3365" i="1" s="1"/>
  <c r="H3366" i="1" a="1"/>
  <c r="H3366" i="1" s="1"/>
  <c r="H3367" i="1" a="1"/>
  <c r="H3367" i="1" s="1"/>
  <c r="H3368" i="1" a="1"/>
  <c r="H3368" i="1" s="1"/>
  <c r="H3369" i="1" a="1"/>
  <c r="H3369" i="1" s="1"/>
  <c r="H3370" i="1" a="1"/>
  <c r="H3370" i="1" s="1"/>
  <c r="H3371" i="1" a="1"/>
  <c r="H3371" i="1" s="1"/>
  <c r="H3372" i="1" a="1"/>
  <c r="H3372" i="1" s="1"/>
  <c r="H3373" i="1" a="1"/>
  <c r="H3373" i="1" s="1"/>
  <c r="H3374" i="1" a="1"/>
  <c r="H3374" i="1" s="1"/>
  <c r="H3375" i="1" a="1"/>
  <c r="H3375" i="1" s="1"/>
  <c r="H3376" i="1" a="1"/>
  <c r="H3376" i="1" s="1"/>
  <c r="H3377" i="1" a="1"/>
  <c r="H3377" i="1" s="1"/>
  <c r="H3378" i="1" a="1"/>
  <c r="H3378" i="1" s="1"/>
  <c r="H3379" i="1" a="1"/>
  <c r="H3379" i="1" s="1"/>
  <c r="H3380" i="1" a="1"/>
  <c r="H3380" i="1" s="1"/>
  <c r="H3381" i="1" a="1"/>
  <c r="H3381" i="1" s="1"/>
  <c r="H3382" i="1" a="1"/>
  <c r="H3382" i="1" s="1"/>
  <c r="H3383" i="1" a="1"/>
  <c r="H3383" i="1" s="1"/>
  <c r="H3384" i="1" a="1"/>
  <c r="H3384" i="1" s="1"/>
  <c r="H3385" i="1" a="1"/>
  <c r="H3385" i="1" s="1"/>
  <c r="H3386" i="1" a="1"/>
  <c r="H3386" i="1" s="1"/>
  <c r="H3387" i="1" a="1"/>
  <c r="H3387" i="1" s="1"/>
  <c r="H3388" i="1" a="1"/>
  <c r="H3388" i="1" s="1"/>
  <c r="H3389" i="1" a="1"/>
  <c r="H3389" i="1" s="1"/>
  <c r="H3390" i="1" a="1"/>
  <c r="H3390" i="1" s="1"/>
  <c r="H3391" i="1" a="1"/>
  <c r="H3391" i="1" s="1"/>
  <c r="H3392" i="1" a="1"/>
  <c r="H3392" i="1" s="1"/>
  <c r="H3393" i="1" a="1"/>
  <c r="H3393" i="1" s="1"/>
  <c r="H3394" i="1" a="1"/>
  <c r="H3394" i="1" s="1"/>
  <c r="H3395" i="1" a="1"/>
  <c r="H3395" i="1" s="1"/>
  <c r="H3396" i="1" a="1"/>
  <c r="H3396" i="1" s="1"/>
  <c r="H3397" i="1" a="1"/>
  <c r="H3397" i="1" s="1"/>
  <c r="H3398" i="1" a="1"/>
  <c r="H3398" i="1" s="1"/>
  <c r="H3399" i="1" a="1"/>
  <c r="H3399" i="1" s="1"/>
  <c r="H3400" i="1" a="1"/>
  <c r="H3400" i="1" s="1"/>
  <c r="H3401" i="1" a="1"/>
  <c r="H3401" i="1" s="1"/>
  <c r="H3402" i="1" a="1"/>
  <c r="H3402" i="1" s="1"/>
  <c r="H3403" i="1" a="1"/>
  <c r="H3403" i="1" s="1"/>
  <c r="H3404" i="1" a="1"/>
  <c r="H3404" i="1" s="1"/>
  <c r="H3405" i="1" a="1"/>
  <c r="H3405" i="1" s="1"/>
  <c r="H3406" i="1" a="1"/>
  <c r="H3406" i="1" s="1"/>
  <c r="H3407" i="1" a="1"/>
  <c r="H3407" i="1" s="1"/>
  <c r="H3408" i="1" a="1"/>
  <c r="H3408" i="1" s="1"/>
  <c r="H3409" i="1" a="1"/>
  <c r="H3409" i="1" s="1"/>
  <c r="H3410" i="1" a="1"/>
  <c r="H3410" i="1" s="1"/>
  <c r="H3411" i="1" a="1"/>
  <c r="H3411" i="1" s="1"/>
  <c r="H3412" i="1" a="1"/>
  <c r="H3412" i="1" s="1"/>
  <c r="H3413" i="1" a="1"/>
  <c r="H3413" i="1" s="1"/>
  <c r="H3414" i="1" a="1"/>
  <c r="H3414" i="1" s="1"/>
  <c r="H3415" i="1" a="1"/>
  <c r="H3415" i="1" s="1"/>
  <c r="H3416" i="1" a="1"/>
  <c r="H3416" i="1" s="1"/>
  <c r="H3417" i="1" a="1"/>
  <c r="H3417" i="1" s="1"/>
  <c r="H3418" i="1" a="1"/>
  <c r="H3418" i="1" s="1"/>
  <c r="H3419" i="1" a="1"/>
  <c r="H3419" i="1" s="1"/>
  <c r="H3420" i="1" a="1"/>
  <c r="H3420" i="1" s="1"/>
  <c r="H3421" i="1" a="1"/>
  <c r="H3421" i="1" s="1"/>
  <c r="H3422" i="1" a="1"/>
  <c r="H3422" i="1" s="1"/>
  <c r="H3423" i="1" a="1"/>
  <c r="H3423" i="1" s="1"/>
  <c r="H3424" i="1" a="1"/>
  <c r="H3424" i="1" s="1"/>
  <c r="H3425" i="1" a="1"/>
  <c r="H3425" i="1" s="1"/>
  <c r="H3426" i="1" a="1"/>
  <c r="H3426" i="1" s="1"/>
  <c r="H3427" i="1" a="1"/>
  <c r="H3427" i="1" s="1"/>
  <c r="H3428" i="1" a="1"/>
  <c r="H3428" i="1" s="1"/>
  <c r="H3429" i="1" a="1"/>
  <c r="H3429" i="1" s="1"/>
  <c r="H3430" i="1" a="1"/>
  <c r="H3430" i="1" s="1"/>
  <c r="H3431" i="1" a="1"/>
  <c r="H3431" i="1" s="1"/>
  <c r="H3432" i="1" a="1"/>
  <c r="H3432" i="1" s="1"/>
  <c r="H3433" i="1" a="1"/>
  <c r="H3433" i="1" s="1"/>
  <c r="H3434" i="1" a="1"/>
  <c r="H3434" i="1" s="1"/>
  <c r="H3435" i="1" a="1"/>
  <c r="H3435" i="1" s="1"/>
  <c r="H3436" i="1" a="1"/>
  <c r="H3436" i="1" s="1"/>
  <c r="H3437" i="1" a="1"/>
  <c r="H3437" i="1" s="1"/>
  <c r="H3438" i="1" a="1"/>
  <c r="H3438" i="1" s="1"/>
  <c r="H3439" i="1" a="1"/>
  <c r="H3439" i="1" s="1"/>
  <c r="H3440" i="1" a="1"/>
  <c r="H3440" i="1" s="1"/>
  <c r="H3441" i="1" a="1"/>
  <c r="H3441" i="1" s="1"/>
  <c r="H3442" i="1" a="1"/>
  <c r="H3442" i="1" s="1"/>
  <c r="H3443" i="1" a="1"/>
  <c r="H3443" i="1" s="1"/>
  <c r="H3444" i="1" a="1"/>
  <c r="H3444" i="1" s="1"/>
  <c r="H3445" i="1" a="1"/>
  <c r="H3445" i="1" s="1"/>
  <c r="H3446" i="1" a="1"/>
  <c r="H3446" i="1" s="1"/>
  <c r="H3447" i="1" a="1"/>
  <c r="H3447" i="1" s="1"/>
  <c r="H3448" i="1" a="1"/>
  <c r="H3448" i="1" s="1"/>
  <c r="H3449" i="1" a="1"/>
  <c r="H3449" i="1" s="1"/>
  <c r="H3450" i="1" a="1"/>
  <c r="H3450" i="1" s="1"/>
  <c r="H3451" i="1" a="1"/>
  <c r="H3451" i="1" s="1"/>
  <c r="H3452" i="1" a="1"/>
  <c r="H3452" i="1" s="1"/>
  <c r="H3453" i="1" a="1"/>
  <c r="H3453" i="1" s="1"/>
  <c r="H3454" i="1" a="1"/>
  <c r="H3454" i="1" s="1"/>
  <c r="H3455" i="1" a="1"/>
  <c r="H3455" i="1" s="1"/>
  <c r="H3456" i="1" a="1"/>
  <c r="H3456" i="1" s="1"/>
  <c r="H3457" i="1" a="1"/>
  <c r="H3457" i="1" s="1"/>
  <c r="H3458" i="1" a="1"/>
  <c r="H3458" i="1" s="1"/>
  <c r="H3459" i="1" a="1"/>
  <c r="H3459" i="1" s="1"/>
  <c r="H3460" i="1" a="1"/>
  <c r="H3460" i="1" s="1"/>
  <c r="H3461" i="1" a="1"/>
  <c r="H3461" i="1" s="1"/>
  <c r="H3462" i="1" a="1"/>
  <c r="H3462" i="1" s="1"/>
  <c r="H3463" i="1" a="1"/>
  <c r="H3463" i="1" s="1"/>
  <c r="H3464" i="1" a="1"/>
  <c r="H3464" i="1" s="1"/>
  <c r="H3465" i="1" a="1"/>
  <c r="H3465" i="1" s="1"/>
  <c r="H3466" i="1" a="1"/>
  <c r="H3466" i="1" s="1"/>
  <c r="H3467" i="1" a="1"/>
  <c r="H3467" i="1" s="1"/>
  <c r="H3468" i="1" a="1"/>
  <c r="H3468" i="1" s="1"/>
  <c r="H3469" i="1" a="1"/>
  <c r="H3469" i="1" s="1"/>
  <c r="H3470" i="1" a="1"/>
  <c r="H3470" i="1" s="1"/>
  <c r="H3471" i="1" a="1"/>
  <c r="H3471" i="1" s="1"/>
  <c r="H3472" i="1" a="1"/>
  <c r="H3472" i="1" s="1"/>
  <c r="H3473" i="1" a="1"/>
  <c r="H3473" i="1" s="1"/>
  <c r="H3474" i="1" a="1"/>
  <c r="H3474" i="1" s="1"/>
  <c r="H3475" i="1" a="1"/>
  <c r="H3475" i="1" s="1"/>
  <c r="H3476" i="1" a="1"/>
  <c r="H3476" i="1" s="1"/>
  <c r="H3477" i="1" a="1"/>
  <c r="H3477" i="1" s="1"/>
  <c r="H3478" i="1" a="1"/>
  <c r="H3478" i="1" s="1"/>
  <c r="H3479" i="1" a="1"/>
  <c r="H3479" i="1" s="1"/>
  <c r="H3480" i="1" a="1"/>
  <c r="H3480" i="1" s="1"/>
  <c r="H3481" i="1" a="1"/>
  <c r="H3481" i="1" s="1"/>
  <c r="H3482" i="1" a="1"/>
  <c r="H3482" i="1" s="1"/>
  <c r="H3483" i="1" a="1"/>
  <c r="H3483" i="1" s="1"/>
  <c r="H3484" i="1" a="1"/>
  <c r="H3484" i="1" s="1"/>
  <c r="H3485" i="1" a="1"/>
  <c r="H3485" i="1" s="1"/>
  <c r="H3486" i="1" a="1"/>
  <c r="H3486" i="1" s="1"/>
  <c r="H3487" i="1" a="1"/>
  <c r="H3487" i="1" s="1"/>
  <c r="H3488" i="1" a="1"/>
  <c r="H3488" i="1" s="1"/>
  <c r="H3489" i="1" a="1"/>
  <c r="H3489" i="1" s="1"/>
  <c r="H3490" i="1" a="1"/>
  <c r="H3490" i="1" s="1"/>
  <c r="H3491" i="1" a="1"/>
  <c r="H3491" i="1" s="1"/>
  <c r="H3492" i="1" a="1"/>
  <c r="H3492" i="1" s="1"/>
  <c r="H3493" i="1" a="1"/>
  <c r="H3493" i="1" s="1"/>
  <c r="H3494" i="1" a="1"/>
  <c r="H3494" i="1" s="1"/>
  <c r="H3495" i="1" a="1"/>
  <c r="H3495" i="1" s="1"/>
  <c r="H3496" i="1" a="1"/>
  <c r="H3496" i="1" s="1"/>
  <c r="H3497" i="1" a="1"/>
  <c r="H3497" i="1" s="1"/>
  <c r="H3498" i="1" a="1"/>
  <c r="H3498" i="1" s="1"/>
  <c r="H3499" i="1" a="1"/>
  <c r="H3499" i="1" s="1"/>
  <c r="H3500" i="1" a="1"/>
  <c r="H3500" i="1" s="1"/>
  <c r="H3501" i="1" a="1"/>
  <c r="H3501" i="1" s="1"/>
  <c r="H2" i="1" a="1"/>
  <c r="H2" i="1" s="1"/>
  <c r="Q9" i="1"/>
  <c r="Q8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O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O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O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O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O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O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O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O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O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O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O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O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O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O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O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O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O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O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O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O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O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O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O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O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O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O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O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O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O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O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O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O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O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O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O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O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O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O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O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O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 s="1"/>
  <c r="C1059" i="1" a="1"/>
  <c r="C1059" i="1" s="1"/>
  <c r="O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O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O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O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1091" i="1" a="1"/>
  <c r="C1091" i="1" s="1"/>
  <c r="O1091" i="1" s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O1099" i="1" s="1"/>
  <c r="C1100" i="1" a="1"/>
  <c r="C1100" i="1" s="1"/>
  <c r="C1101" i="1" a="1"/>
  <c r="C1101" i="1" s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O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O1115" i="1" s="1"/>
  <c r="C1116" i="1" a="1"/>
  <c r="C1116" i="1" s="1"/>
  <c r="C1117" i="1" a="1"/>
  <c r="C1117" i="1" s="1"/>
  <c r="C1118" i="1" a="1"/>
  <c r="C1118" i="1" s="1"/>
  <c r="C1119" i="1" a="1"/>
  <c r="C1119" i="1" s="1"/>
  <c r="C1120" i="1" a="1"/>
  <c r="C1120" i="1" s="1"/>
  <c r="C1121" i="1" a="1"/>
  <c r="C1121" i="1" s="1"/>
  <c r="C1122" i="1" a="1"/>
  <c r="C1122" i="1" s="1"/>
  <c r="C1123" i="1" a="1"/>
  <c r="C1123" i="1" s="1"/>
  <c r="O1123" i="1" s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O1131" i="1" s="1"/>
  <c r="C1132" i="1" a="1"/>
  <c r="C1132" i="1" s="1"/>
  <c r="C1133" i="1" a="1"/>
  <c r="C1133" i="1" s="1"/>
  <c r="C1134" i="1" a="1"/>
  <c r="C1134" i="1" s="1"/>
  <c r="C1135" i="1" a="1"/>
  <c r="C1135" i="1" s="1"/>
  <c r="C1136" i="1" a="1"/>
  <c r="C1136" i="1" s="1"/>
  <c r="C1137" i="1" a="1"/>
  <c r="C1137" i="1" s="1"/>
  <c r="C1138" i="1" a="1"/>
  <c r="C1138" i="1" s="1"/>
  <c r="C1139" i="1" a="1"/>
  <c r="C1139" i="1" s="1"/>
  <c r="O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 s="1"/>
  <c r="C1145" i="1" a="1"/>
  <c r="C1145" i="1" s="1"/>
  <c r="C1146" i="1" a="1"/>
  <c r="C1146" i="1" s="1"/>
  <c r="C1147" i="1" a="1"/>
  <c r="C1147" i="1" s="1"/>
  <c r="O1147" i="1" s="1"/>
  <c r="C1148" i="1" a="1"/>
  <c r="C1148" i="1" s="1"/>
  <c r="C1149" i="1" a="1"/>
  <c r="C1149" i="1" s="1"/>
  <c r="C1150" i="1" a="1"/>
  <c r="C1150" i="1" s="1"/>
  <c r="C1151" i="1" a="1"/>
  <c r="C1151" i="1" s="1"/>
  <c r="C1152" i="1" a="1"/>
  <c r="C1152" i="1" s="1"/>
  <c r="C1153" i="1" a="1"/>
  <c r="C1153" i="1" s="1"/>
  <c r="C1154" i="1" a="1"/>
  <c r="C1154" i="1" s="1"/>
  <c r="C1155" i="1" a="1"/>
  <c r="C1155" i="1" s="1"/>
  <c r="O1155" i="1" s="1"/>
  <c r="C1156" i="1" a="1"/>
  <c r="C1156" i="1" s="1"/>
  <c r="C1157" i="1" a="1"/>
  <c r="C1157" i="1" s="1"/>
  <c r="C1158" i="1" a="1"/>
  <c r="C1158" i="1" s="1"/>
  <c r="C1159" i="1" a="1"/>
  <c r="C1159" i="1" s="1"/>
  <c r="C1160" i="1" a="1"/>
  <c r="C1160" i="1" s="1"/>
  <c r="C1161" i="1" a="1"/>
  <c r="C1161" i="1" s="1"/>
  <c r="C1162" i="1" a="1"/>
  <c r="C1162" i="1" s="1"/>
  <c r="C1163" i="1" a="1"/>
  <c r="C1163" i="1" s="1"/>
  <c r="O1163" i="1" s="1"/>
  <c r="C1164" i="1" a="1"/>
  <c r="C1164" i="1" s="1"/>
  <c r="C1165" i="1" a="1"/>
  <c r="C1165" i="1" s="1"/>
  <c r="C1166" i="1" a="1"/>
  <c r="C1166" i="1" s="1"/>
  <c r="C1167" i="1" a="1"/>
  <c r="C1167" i="1" s="1"/>
  <c r="C1168" i="1" a="1"/>
  <c r="C1168" i="1" s="1"/>
  <c r="C1169" i="1" a="1"/>
  <c r="C1169" i="1" s="1"/>
  <c r="C1170" i="1" a="1"/>
  <c r="C1170" i="1" s="1"/>
  <c r="C1171" i="1" a="1"/>
  <c r="C1171" i="1" s="1"/>
  <c r="O1171" i="1" s="1"/>
  <c r="C1172" i="1" a="1"/>
  <c r="C1172" i="1" s="1"/>
  <c r="C1173" i="1" a="1"/>
  <c r="C1173" i="1" s="1"/>
  <c r="C1174" i="1" a="1"/>
  <c r="C1174" i="1" s="1"/>
  <c r="C1175" i="1" a="1"/>
  <c r="C1175" i="1" s="1"/>
  <c r="C1176" i="1" a="1"/>
  <c r="C1176" i="1" s="1"/>
  <c r="C1177" i="1" a="1"/>
  <c r="C1177" i="1" s="1"/>
  <c r="C1178" i="1" a="1"/>
  <c r="C1178" i="1" s="1"/>
  <c r="C1179" i="1" a="1"/>
  <c r="C1179" i="1" s="1"/>
  <c r="O1179" i="1" s="1"/>
  <c r="C1180" i="1" a="1"/>
  <c r="C1180" i="1" s="1"/>
  <c r="C1181" i="1" a="1"/>
  <c r="C1181" i="1" s="1"/>
  <c r="C1182" i="1" a="1"/>
  <c r="C1182" i="1" s="1"/>
  <c r="C1183" i="1" a="1"/>
  <c r="C1183" i="1" s="1"/>
  <c r="C1184" i="1" a="1"/>
  <c r="C1184" i="1" s="1"/>
  <c r="C1185" i="1" a="1"/>
  <c r="C1185" i="1" s="1"/>
  <c r="C1186" i="1" a="1"/>
  <c r="C1186" i="1" s="1"/>
  <c r="C1187" i="1" a="1"/>
  <c r="C1187" i="1" s="1"/>
  <c r="O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O1195" i="1" s="1"/>
  <c r="C1196" i="1" a="1"/>
  <c r="C1196" i="1" s="1"/>
  <c r="C1197" i="1" a="1"/>
  <c r="C1197" i="1" s="1"/>
  <c r="C1198" i="1" a="1"/>
  <c r="C1198" i="1" s="1"/>
  <c r="C1199" i="1" a="1"/>
  <c r="C1199" i="1" s="1"/>
  <c r="C1200" i="1" a="1"/>
  <c r="C1200" i="1" s="1"/>
  <c r="C1201" i="1" a="1"/>
  <c r="C1201" i="1" s="1"/>
  <c r="C1202" i="1" a="1"/>
  <c r="C1202" i="1" s="1"/>
  <c r="C1203" i="1" a="1"/>
  <c r="C1203" i="1" s="1"/>
  <c r="O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 s="1"/>
  <c r="O1211" i="1" s="1"/>
  <c r="C1212" i="1" a="1"/>
  <c r="C1212" i="1" s="1"/>
  <c r="C1213" i="1" a="1"/>
  <c r="C1213" i="1" s="1"/>
  <c r="C1214" i="1" a="1"/>
  <c r="C1214" i="1" s="1"/>
  <c r="C1215" i="1" a="1"/>
  <c r="C1215" i="1" s="1"/>
  <c r="C1216" i="1" a="1"/>
  <c r="C1216" i="1" s="1"/>
  <c r="C1217" i="1" a="1"/>
  <c r="C1217" i="1" s="1"/>
  <c r="C1218" i="1" a="1"/>
  <c r="C1218" i="1" s="1"/>
  <c r="C1219" i="1" a="1"/>
  <c r="C1219" i="1" s="1"/>
  <c r="O1219" i="1" s="1"/>
  <c r="C1220" i="1" a="1"/>
  <c r="C1220" i="1" s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O1227" i="1" s="1"/>
  <c r="C1228" i="1" a="1"/>
  <c r="C1228" i="1" s="1"/>
  <c r="C1229" i="1" a="1"/>
  <c r="C1229" i="1" s="1"/>
  <c r="C1230" i="1" a="1"/>
  <c r="C1230" i="1" s="1"/>
  <c r="C1231" i="1" a="1"/>
  <c r="C1231" i="1" s="1"/>
  <c r="C1232" i="1" a="1"/>
  <c r="C1232" i="1" s="1"/>
  <c r="C1233" i="1" a="1"/>
  <c r="C1233" i="1" s="1"/>
  <c r="C1234" i="1" a="1"/>
  <c r="C1234" i="1" s="1"/>
  <c r="C1235" i="1" a="1"/>
  <c r="C1235" i="1" s="1"/>
  <c r="O1235" i="1" s="1"/>
  <c r="C1236" i="1" a="1"/>
  <c r="C1236" i="1" s="1"/>
  <c r="C1237" i="1" a="1"/>
  <c r="C1237" i="1" s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O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 s="1"/>
  <c r="C1250" i="1" a="1"/>
  <c r="C1250" i="1" s="1"/>
  <c r="C1251" i="1" a="1"/>
  <c r="C1251" i="1" s="1"/>
  <c r="O1251" i="1" s="1"/>
  <c r="C1252" i="1" a="1"/>
  <c r="C1252" i="1" s="1"/>
  <c r="C1253" i="1" a="1"/>
  <c r="C1253" i="1" s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O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 s="1"/>
  <c r="C1266" i="1" a="1"/>
  <c r="C1266" i="1" s="1"/>
  <c r="C1267" i="1" a="1"/>
  <c r="C1267" i="1" s="1"/>
  <c r="O1267" i="1" s="1"/>
  <c r="C1268" i="1" a="1"/>
  <c r="C1268" i="1" s="1"/>
  <c r="C1269" i="1" a="1"/>
  <c r="C1269" i="1" s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O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 s="1"/>
  <c r="C1282" i="1" a="1"/>
  <c r="C1282" i="1" s="1"/>
  <c r="C1283" i="1" a="1"/>
  <c r="C1283" i="1" s="1"/>
  <c r="O1283" i="1" s="1"/>
  <c r="C1284" i="1" a="1"/>
  <c r="C1284" i="1" s="1"/>
  <c r="C1285" i="1" a="1"/>
  <c r="C1285" i="1" s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O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 s="1"/>
  <c r="C1298" i="1" a="1"/>
  <c r="C1298" i="1" s="1"/>
  <c r="C1299" i="1" a="1"/>
  <c r="C1299" i="1" s="1"/>
  <c r="O1299" i="1" s="1"/>
  <c r="C1300" i="1" a="1"/>
  <c r="C1300" i="1" s="1"/>
  <c r="C1301" i="1" a="1"/>
  <c r="C1301" i="1" s="1"/>
  <c r="C1302" i="1" a="1"/>
  <c r="C1302" i="1" s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 s="1"/>
  <c r="O1307" i="1" s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 s="1"/>
  <c r="C1314" i="1" a="1"/>
  <c r="C1314" i="1" s="1"/>
  <c r="C1315" i="1" a="1"/>
  <c r="C1315" i="1" s="1"/>
  <c r="O1315" i="1" s="1"/>
  <c r="C1316" i="1" a="1"/>
  <c r="C1316" i="1" s="1"/>
  <c r="C1317" i="1" a="1"/>
  <c r="C1317" i="1" s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 s="1"/>
  <c r="O1323" i="1" s="1"/>
  <c r="C1324" i="1" a="1"/>
  <c r="C1324" i="1" s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 s="1"/>
  <c r="C1330" i="1" a="1"/>
  <c r="C1330" i="1" s="1"/>
  <c r="C1331" i="1" a="1"/>
  <c r="C1331" i="1" s="1"/>
  <c r="O1331" i="1" s="1"/>
  <c r="C1332" i="1" a="1"/>
  <c r="C1332" i="1" s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O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 s="1"/>
  <c r="C1345" i="1" a="1"/>
  <c r="C1345" i="1" s="1"/>
  <c r="C1346" i="1" a="1"/>
  <c r="C1346" i="1" s="1"/>
  <c r="C1347" i="1" a="1"/>
  <c r="C1347" i="1" s="1"/>
  <c r="O1347" i="1" s="1"/>
  <c r="C1348" i="1" a="1"/>
  <c r="C1348" i="1" s="1"/>
  <c r="C1349" i="1" a="1"/>
  <c r="C1349" i="1" s="1"/>
  <c r="C1350" i="1" a="1"/>
  <c r="C1350" i="1" s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 s="1"/>
  <c r="O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O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O1371" i="1" s="1"/>
  <c r="C1372" i="1" a="1"/>
  <c r="C1372" i="1" s="1"/>
  <c r="C1373" i="1" a="1"/>
  <c r="C1373" i="1" s="1"/>
  <c r="C1374" i="1" a="1"/>
  <c r="C1374" i="1" s="1"/>
  <c r="C1375" i="1" a="1"/>
  <c r="C1375" i="1" s="1"/>
  <c r="C1376" i="1" a="1"/>
  <c r="C1376" i="1" s="1"/>
  <c r="C1377" i="1" a="1"/>
  <c r="C1377" i="1" s="1"/>
  <c r="C1378" i="1" a="1"/>
  <c r="C1378" i="1" s="1"/>
  <c r="C1379" i="1" a="1"/>
  <c r="C1379" i="1" s="1"/>
  <c r="O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 s="1"/>
  <c r="C1386" i="1" a="1"/>
  <c r="C1386" i="1" s="1"/>
  <c r="C1387" i="1" a="1"/>
  <c r="C1387" i="1" s="1"/>
  <c r="O1387" i="1" s="1"/>
  <c r="C1388" i="1" a="1"/>
  <c r="C1388" i="1" s="1"/>
  <c r="C1389" i="1" a="1"/>
  <c r="C1389" i="1" s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O1395" i="1" s="1"/>
  <c r="C1396" i="1" a="1"/>
  <c r="C1396" i="1" s="1"/>
  <c r="C1397" i="1" a="1"/>
  <c r="C1397" i="1" s="1"/>
  <c r="C1398" i="1" a="1"/>
  <c r="C1398" i="1" s="1"/>
  <c r="C1399" i="1" a="1"/>
  <c r="C1399" i="1" s="1"/>
  <c r="C1400" i="1" a="1"/>
  <c r="C1400" i="1" s="1"/>
  <c r="C1401" i="1" a="1"/>
  <c r="C1401" i="1" s="1"/>
  <c r="C1402" i="1" a="1"/>
  <c r="C1402" i="1" s="1"/>
  <c r="C1403" i="1" a="1"/>
  <c r="C1403" i="1" s="1"/>
  <c r="O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 s="1"/>
  <c r="C1411" i="1" a="1"/>
  <c r="C1411" i="1" s="1"/>
  <c r="O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 s="1"/>
  <c r="C1419" i="1" a="1"/>
  <c r="C1419" i="1" s="1"/>
  <c r="O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 s="1"/>
  <c r="C1426" i="1" a="1"/>
  <c r="C1426" i="1" s="1"/>
  <c r="C1427" i="1" a="1"/>
  <c r="C1427" i="1" s="1"/>
  <c r="O1427" i="1" s="1"/>
  <c r="C1428" i="1" a="1"/>
  <c r="C1428" i="1" s="1"/>
  <c r="C1429" i="1" a="1"/>
  <c r="C1429" i="1" s="1"/>
  <c r="C1430" i="1" a="1"/>
  <c r="C1430" i="1" s="1"/>
  <c r="C1431" i="1" a="1"/>
  <c r="C1431" i="1" s="1"/>
  <c r="C1432" i="1" a="1"/>
  <c r="C1432" i="1" s="1"/>
  <c r="C1433" i="1" a="1"/>
  <c r="C1433" i="1" s="1"/>
  <c r="C1434" i="1" a="1"/>
  <c r="C1434" i="1" s="1"/>
  <c r="C1435" i="1" a="1"/>
  <c r="C1435" i="1" s="1"/>
  <c r="O1435" i="1" s="1"/>
  <c r="C1436" i="1" a="1"/>
  <c r="C1436" i="1" s="1"/>
  <c r="C1437" i="1" a="1"/>
  <c r="C1437" i="1" s="1"/>
  <c r="C1438" i="1" a="1"/>
  <c r="C1438" i="1" s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O1443" i="1" s="1"/>
  <c r="C1444" i="1" a="1"/>
  <c r="C1444" i="1" s="1"/>
  <c r="C1445" i="1" a="1"/>
  <c r="C1445" i="1" s="1"/>
  <c r="C1446" i="1" a="1"/>
  <c r="C1446" i="1" s="1"/>
  <c r="C1447" i="1" a="1"/>
  <c r="C1447" i="1" s="1"/>
  <c r="C1448" i="1" a="1"/>
  <c r="C1448" i="1" s="1"/>
  <c r="C1449" i="1" a="1"/>
  <c r="C1449" i="1" s="1"/>
  <c r="C1450" i="1" a="1"/>
  <c r="C1450" i="1" s="1"/>
  <c r="C1451" i="1" a="1"/>
  <c r="C1451" i="1" s="1"/>
  <c r="O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O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 s="1"/>
  <c r="C1466" i="1" a="1"/>
  <c r="C1466" i="1" s="1"/>
  <c r="C1467" i="1" a="1"/>
  <c r="C1467" i="1" s="1"/>
  <c r="O1467" i="1" s="1"/>
  <c r="C1468" i="1" a="1"/>
  <c r="C1468" i="1" s="1"/>
  <c r="C1469" i="1" a="1"/>
  <c r="C1469" i="1" s="1"/>
  <c r="C1470" i="1" a="1"/>
  <c r="C1470" i="1" s="1"/>
  <c r="C1471" i="1" a="1"/>
  <c r="C1471" i="1" s="1"/>
  <c r="C1472" i="1" a="1"/>
  <c r="C1472" i="1" s="1"/>
  <c r="C1473" i="1" a="1"/>
  <c r="C1473" i="1" s="1"/>
  <c r="C1474" i="1" a="1"/>
  <c r="C1474" i="1" s="1"/>
  <c r="C1475" i="1" a="1"/>
  <c r="C1475" i="1" s="1"/>
  <c r="O1475" i="1" s="1"/>
  <c r="C1476" i="1" a="1"/>
  <c r="C1476" i="1" s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 s="1"/>
  <c r="C1482" i="1" a="1"/>
  <c r="C1482" i="1" s="1"/>
  <c r="C1483" i="1" a="1"/>
  <c r="C1483" i="1" s="1"/>
  <c r="O1483" i="1" s="1"/>
  <c r="C1484" i="1" a="1"/>
  <c r="C1484" i="1" s="1"/>
  <c r="C1485" i="1" a="1"/>
  <c r="C1485" i="1" s="1"/>
  <c r="C1486" i="1" a="1"/>
  <c r="C1486" i="1" s="1"/>
  <c r="C1487" i="1" a="1"/>
  <c r="C1487" i="1" s="1"/>
  <c r="C1488" i="1" a="1"/>
  <c r="C1488" i="1" s="1"/>
  <c r="C1489" i="1" a="1"/>
  <c r="C1489" i="1" s="1"/>
  <c r="C1490" i="1" a="1"/>
  <c r="C1490" i="1" s="1"/>
  <c r="C1491" i="1" a="1"/>
  <c r="C1491" i="1" s="1"/>
  <c r="O1491" i="1" s="1"/>
  <c r="C1492" i="1" a="1"/>
  <c r="C1492" i="1" s="1"/>
  <c r="C1493" i="1" a="1"/>
  <c r="C1493" i="1" s="1"/>
  <c r="C1494" i="1" a="1"/>
  <c r="C1494" i="1" s="1"/>
  <c r="C1495" i="1" a="1"/>
  <c r="C1495" i="1" s="1"/>
  <c r="C1496" i="1" a="1"/>
  <c r="C1496" i="1" s="1"/>
  <c r="C1497" i="1" a="1"/>
  <c r="C1497" i="1" s="1"/>
  <c r="C1498" i="1" a="1"/>
  <c r="C1498" i="1" s="1"/>
  <c r="C1499" i="1" a="1"/>
  <c r="C1499" i="1" s="1"/>
  <c r="O1499" i="1" s="1"/>
  <c r="C1500" i="1" a="1"/>
  <c r="C1500" i="1" s="1"/>
  <c r="C1501" i="1" a="1"/>
  <c r="C1501" i="1" s="1"/>
  <c r="C1502" i="1" a="1"/>
  <c r="C1502" i="1" s="1"/>
  <c r="C1503" i="1" a="1"/>
  <c r="C1503" i="1" s="1"/>
  <c r="C1504" i="1" a="1"/>
  <c r="C1504" i="1" s="1"/>
  <c r="C1505" i="1" a="1"/>
  <c r="C1505" i="1" s="1"/>
  <c r="C1506" i="1" a="1"/>
  <c r="C1506" i="1" s="1"/>
  <c r="C1507" i="1" a="1"/>
  <c r="C1507" i="1" s="1"/>
  <c r="O1507" i="1" s="1"/>
  <c r="C1508" i="1" a="1"/>
  <c r="C1508" i="1" s="1"/>
  <c r="C1509" i="1" a="1"/>
  <c r="C1509" i="1" s="1"/>
  <c r="C1510" i="1" a="1"/>
  <c r="C1510" i="1" s="1"/>
  <c r="C1511" i="1" a="1"/>
  <c r="C1511" i="1" s="1"/>
  <c r="C1512" i="1" a="1"/>
  <c r="C1512" i="1" s="1"/>
  <c r="C1513" i="1" a="1"/>
  <c r="C1513" i="1" s="1"/>
  <c r="C1514" i="1" a="1"/>
  <c r="C1514" i="1" s="1"/>
  <c r="C1515" i="1" a="1"/>
  <c r="C1515" i="1" s="1"/>
  <c r="O1515" i="1" s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 s="1"/>
  <c r="C1522" i="1" a="1"/>
  <c r="C1522" i="1" s="1"/>
  <c r="C1523" i="1" a="1"/>
  <c r="C1523" i="1" s="1"/>
  <c r="O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 s="1"/>
  <c r="C1530" i="1" a="1"/>
  <c r="C1530" i="1" s="1"/>
  <c r="C1531" i="1" a="1"/>
  <c r="C1531" i="1" s="1"/>
  <c r="O1531" i="1" s="1"/>
  <c r="C1532" i="1" a="1"/>
  <c r="C1532" i="1" s="1"/>
  <c r="C1533" i="1" a="1"/>
  <c r="C1533" i="1" s="1"/>
  <c r="C1534" i="1" a="1"/>
  <c r="C1534" i="1" s="1"/>
  <c r="C1535" i="1" a="1"/>
  <c r="C1535" i="1" s="1"/>
  <c r="C1536" i="1" a="1"/>
  <c r="C1536" i="1" s="1"/>
  <c r="C1537" i="1" a="1"/>
  <c r="C1537" i="1" s="1"/>
  <c r="C1538" i="1" a="1"/>
  <c r="C1538" i="1" s="1"/>
  <c r="C1539" i="1" a="1"/>
  <c r="C1539" i="1" s="1"/>
  <c r="O1539" i="1" s="1"/>
  <c r="C1540" i="1" a="1"/>
  <c r="C1540" i="1" s="1"/>
  <c r="C1541" i="1" a="1"/>
  <c r="C1541" i="1" s="1"/>
  <c r="C1542" i="1" a="1"/>
  <c r="C1542" i="1" s="1"/>
  <c r="C1543" i="1" a="1"/>
  <c r="C1543" i="1" s="1"/>
  <c r="C1544" i="1" a="1"/>
  <c r="C1544" i="1" s="1"/>
  <c r="C1545" i="1" a="1"/>
  <c r="C1545" i="1" s="1"/>
  <c r="C1546" i="1" a="1"/>
  <c r="C1546" i="1" s="1"/>
  <c r="C1547" i="1" a="1"/>
  <c r="C1547" i="1" s="1"/>
  <c r="O1547" i="1" s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O1555" i="1" s="1"/>
  <c r="C1556" i="1" a="1"/>
  <c r="C1556" i="1" s="1"/>
  <c r="C1557" i="1" a="1"/>
  <c r="C1557" i="1" s="1"/>
  <c r="C1558" i="1" a="1"/>
  <c r="C1558" i="1" s="1"/>
  <c r="C1559" i="1" a="1"/>
  <c r="C1559" i="1" s="1"/>
  <c r="C1560" i="1" a="1"/>
  <c r="C1560" i="1" s="1"/>
  <c r="C1561" i="1" a="1"/>
  <c r="C1561" i="1" s="1"/>
  <c r="C1562" i="1" a="1"/>
  <c r="C1562" i="1" s="1"/>
  <c r="C1563" i="1" a="1"/>
  <c r="C1563" i="1" s="1"/>
  <c r="O1563" i="1" s="1"/>
  <c r="C1564" i="1" a="1"/>
  <c r="C1564" i="1" s="1"/>
  <c r="C1565" i="1" a="1"/>
  <c r="C1565" i="1" s="1"/>
  <c r="C1566" i="1" a="1"/>
  <c r="C1566" i="1" s="1"/>
  <c r="C1567" i="1" a="1"/>
  <c r="C1567" i="1" s="1"/>
  <c r="C1568" i="1" a="1"/>
  <c r="C1568" i="1" s="1"/>
  <c r="C1569" i="1" a="1"/>
  <c r="C1569" i="1" s="1"/>
  <c r="C1570" i="1" a="1"/>
  <c r="C1570" i="1" s="1"/>
  <c r="C1571" i="1" a="1"/>
  <c r="C1571" i="1" s="1"/>
  <c r="O1571" i="1" s="1"/>
  <c r="C1572" i="1" a="1"/>
  <c r="C1572" i="1" s="1"/>
  <c r="C1573" i="1" a="1"/>
  <c r="C1573" i="1" s="1"/>
  <c r="C1574" i="1" a="1"/>
  <c r="C1574" i="1" s="1"/>
  <c r="C1575" i="1" a="1"/>
  <c r="C1575" i="1" s="1"/>
  <c r="C1576" i="1" a="1"/>
  <c r="C1576" i="1" s="1"/>
  <c r="C1577" i="1" a="1"/>
  <c r="C1577" i="1" s="1"/>
  <c r="C1578" i="1" a="1"/>
  <c r="C1578" i="1" s="1"/>
  <c r="C1579" i="1" a="1"/>
  <c r="C1579" i="1" s="1"/>
  <c r="O1579" i="1" s="1"/>
  <c r="C1580" i="1" a="1"/>
  <c r="C1580" i="1" s="1"/>
  <c r="C1581" i="1" a="1"/>
  <c r="C1581" i="1" s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 s="1"/>
  <c r="C1587" i="1" a="1"/>
  <c r="C1587" i="1" s="1"/>
  <c r="O1587" i="1" s="1"/>
  <c r="C1588" i="1" a="1"/>
  <c r="C1588" i="1" s="1"/>
  <c r="C1589" i="1" a="1"/>
  <c r="C1589" i="1" s="1"/>
  <c r="C1590" i="1" a="1"/>
  <c r="C1590" i="1" s="1"/>
  <c r="C1591" i="1" a="1"/>
  <c r="C1591" i="1" s="1"/>
  <c r="C1592" i="1" a="1"/>
  <c r="C1592" i="1" s="1"/>
  <c r="C1593" i="1" a="1"/>
  <c r="C1593" i="1" s="1"/>
  <c r="C1594" i="1" a="1"/>
  <c r="C1594" i="1" s="1"/>
  <c r="C1595" i="1" a="1"/>
  <c r="C1595" i="1" s="1"/>
  <c r="O1595" i="1" s="1"/>
  <c r="C1596" i="1" a="1"/>
  <c r="C1596" i="1" s="1"/>
  <c r="C1597" i="1" a="1"/>
  <c r="C1597" i="1" s="1"/>
  <c r="C1598" i="1" a="1"/>
  <c r="C1598" i="1" s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O1603" i="1" s="1"/>
  <c r="C1604" i="1" a="1"/>
  <c r="C1604" i="1" s="1"/>
  <c r="C1605" i="1" a="1"/>
  <c r="C1605" i="1" s="1"/>
  <c r="C1606" i="1" a="1"/>
  <c r="C1606" i="1" s="1"/>
  <c r="C1607" i="1" a="1"/>
  <c r="C1607" i="1" s="1"/>
  <c r="C1608" i="1" a="1"/>
  <c r="C1608" i="1" s="1"/>
  <c r="C1609" i="1" a="1"/>
  <c r="C1609" i="1" s="1"/>
  <c r="C1610" i="1" a="1"/>
  <c r="C1610" i="1" s="1"/>
  <c r="C1611" i="1" a="1"/>
  <c r="C1611" i="1" s="1"/>
  <c r="O1611" i="1" s="1"/>
  <c r="C1612" i="1" a="1"/>
  <c r="C1612" i="1" s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 s="1"/>
  <c r="C1619" i="1" a="1"/>
  <c r="C1619" i="1" s="1"/>
  <c r="O1619" i="1" s="1"/>
  <c r="C1620" i="1" a="1"/>
  <c r="C1620" i="1" s="1"/>
  <c r="C1621" i="1" a="1"/>
  <c r="C1621" i="1" s="1"/>
  <c r="C1622" i="1" a="1"/>
  <c r="C1622" i="1" s="1"/>
  <c r="C1623" i="1" a="1"/>
  <c r="C1623" i="1" s="1"/>
  <c r="C1624" i="1" a="1"/>
  <c r="C1624" i="1" s="1"/>
  <c r="C1625" i="1" a="1"/>
  <c r="C1625" i="1" s="1"/>
  <c r="C1626" i="1" a="1"/>
  <c r="C1626" i="1" s="1"/>
  <c r="C1627" i="1" a="1"/>
  <c r="C1627" i="1" s="1"/>
  <c r="O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 s="1"/>
  <c r="C1635" i="1" a="1"/>
  <c r="C1635" i="1" s="1"/>
  <c r="O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 s="1"/>
  <c r="C1642" i="1" a="1"/>
  <c r="C1642" i="1" s="1"/>
  <c r="C1643" i="1" a="1"/>
  <c r="C1643" i="1" s="1"/>
  <c r="O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O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O1659" i="1" s="1"/>
  <c r="C1660" i="1" a="1"/>
  <c r="C1660" i="1" s="1"/>
  <c r="C1661" i="1" a="1"/>
  <c r="C1661" i="1" s="1"/>
  <c r="C1662" i="1" a="1"/>
  <c r="C1662" i="1" s="1"/>
  <c r="C1663" i="1" a="1"/>
  <c r="C1663" i="1" s="1"/>
  <c r="C1664" i="1" a="1"/>
  <c r="C1664" i="1" s="1"/>
  <c r="C1665" i="1" a="1"/>
  <c r="C1665" i="1" s="1"/>
  <c r="C1666" i="1" a="1"/>
  <c r="C1666" i="1" s="1"/>
  <c r="C1667" i="1" a="1"/>
  <c r="C1667" i="1" s="1"/>
  <c r="O1667" i="1" s="1"/>
  <c r="C1668" i="1" a="1"/>
  <c r="C1668" i="1" s="1"/>
  <c r="C1669" i="1" a="1"/>
  <c r="C1669" i="1" s="1"/>
  <c r="C1670" i="1" a="1"/>
  <c r="C1670" i="1" s="1"/>
  <c r="C1671" i="1" a="1"/>
  <c r="C1671" i="1" s="1"/>
  <c r="C1672" i="1" a="1"/>
  <c r="C1672" i="1" s="1"/>
  <c r="C1673" i="1" a="1"/>
  <c r="C1673" i="1" s="1"/>
  <c r="C1674" i="1" a="1"/>
  <c r="C1674" i="1" s="1"/>
  <c r="C1675" i="1" a="1"/>
  <c r="C1675" i="1" s="1"/>
  <c r="O1675" i="1" s="1"/>
  <c r="C1676" i="1" a="1"/>
  <c r="C1676" i="1" s="1"/>
  <c r="C1677" i="1" a="1"/>
  <c r="C1677" i="1" s="1"/>
  <c r="C1678" i="1" a="1"/>
  <c r="C1678" i="1" s="1"/>
  <c r="C1679" i="1" a="1"/>
  <c r="C1679" i="1" s="1"/>
  <c r="C1680" i="1" a="1"/>
  <c r="C1680" i="1" s="1"/>
  <c r="C1681" i="1" a="1"/>
  <c r="C1681" i="1" s="1"/>
  <c r="C1682" i="1" a="1"/>
  <c r="C1682" i="1" s="1"/>
  <c r="C1683" i="1" a="1"/>
  <c r="C1683" i="1" s="1"/>
  <c r="O1683" i="1" s="1"/>
  <c r="C1684" i="1" a="1"/>
  <c r="C1684" i="1" s="1"/>
  <c r="C1685" i="1" a="1"/>
  <c r="C1685" i="1" s="1"/>
  <c r="C1686" i="1" a="1"/>
  <c r="C1686" i="1" s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O1691" i="1" s="1"/>
  <c r="C1692" i="1" a="1"/>
  <c r="C1692" i="1" s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 s="1"/>
  <c r="C1698" i="1" a="1"/>
  <c r="C1698" i="1" s="1"/>
  <c r="C1699" i="1" a="1"/>
  <c r="C1699" i="1" s="1"/>
  <c r="O1699" i="1" s="1"/>
  <c r="C1700" i="1" a="1"/>
  <c r="C1700" i="1" s="1"/>
  <c r="C1701" i="1" a="1"/>
  <c r="C1701" i="1" s="1"/>
  <c r="C1702" i="1" a="1"/>
  <c r="C1702" i="1" s="1"/>
  <c r="C1703" i="1" a="1"/>
  <c r="C1703" i="1" s="1"/>
  <c r="C1704" i="1" a="1"/>
  <c r="C1704" i="1" s="1"/>
  <c r="C1705" i="1" a="1"/>
  <c r="C1705" i="1" s="1"/>
  <c r="C1706" i="1" a="1"/>
  <c r="C1706" i="1" s="1"/>
  <c r="C1707" i="1" a="1"/>
  <c r="C1707" i="1" s="1"/>
  <c r="O1707" i="1" s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O1715" i="1" s="1"/>
  <c r="C1716" i="1" a="1"/>
  <c r="C1716" i="1" s="1"/>
  <c r="C1717" i="1" a="1"/>
  <c r="C1717" i="1" s="1"/>
  <c r="C1718" i="1" a="1"/>
  <c r="C1718" i="1" s="1"/>
  <c r="C1719" i="1" a="1"/>
  <c r="C1719" i="1" s="1"/>
  <c r="C1720" i="1" a="1"/>
  <c r="C1720" i="1" s="1"/>
  <c r="C1721" i="1" a="1"/>
  <c r="C1721" i="1" s="1"/>
  <c r="C1722" i="1" a="1"/>
  <c r="C1722" i="1" s="1"/>
  <c r="C1723" i="1" a="1"/>
  <c r="C1723" i="1" s="1"/>
  <c r="O1723" i="1" s="1"/>
  <c r="C1724" i="1" a="1"/>
  <c r="C1724" i="1" s="1"/>
  <c r="C1725" i="1" a="1"/>
  <c r="C1725" i="1" s="1"/>
  <c r="C1726" i="1" a="1"/>
  <c r="C1726" i="1" s="1"/>
  <c r="C1727" i="1" a="1"/>
  <c r="C1727" i="1" s="1"/>
  <c r="C1728" i="1" a="1"/>
  <c r="C1728" i="1" s="1"/>
  <c r="C1729" i="1" a="1"/>
  <c r="C1729" i="1" s="1"/>
  <c r="C1730" i="1" a="1"/>
  <c r="C1730" i="1" s="1"/>
  <c r="C1731" i="1" a="1"/>
  <c r="C1731" i="1" s="1"/>
  <c r="O1731" i="1" s="1"/>
  <c r="C1732" i="1" a="1"/>
  <c r="C1732" i="1" s="1"/>
  <c r="C1733" i="1" a="1"/>
  <c r="C1733" i="1" s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O1739" i="1" s="1"/>
  <c r="C1740" i="1" a="1"/>
  <c r="C1740" i="1" s="1"/>
  <c r="C1741" i="1" a="1"/>
  <c r="C1741" i="1" s="1"/>
  <c r="C1742" i="1" a="1"/>
  <c r="C1742" i="1" s="1"/>
  <c r="C1743" i="1" a="1"/>
  <c r="C1743" i="1" s="1"/>
  <c r="C1744" i="1" a="1"/>
  <c r="C1744" i="1" s="1"/>
  <c r="C1745" i="1" a="1"/>
  <c r="C1745" i="1" s="1"/>
  <c r="C1746" i="1" a="1"/>
  <c r="C1746" i="1" s="1"/>
  <c r="C1747" i="1" a="1"/>
  <c r="C1747" i="1" s="1"/>
  <c r="O1747" i="1" s="1"/>
  <c r="C1748" i="1" a="1"/>
  <c r="C1748" i="1" s="1"/>
  <c r="C1749" i="1" a="1"/>
  <c r="C1749" i="1" s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O1755" i="1" s="1"/>
  <c r="C1756" i="1" a="1"/>
  <c r="C1756" i="1" s="1"/>
  <c r="C1757" i="1" a="1"/>
  <c r="C1757" i="1" s="1"/>
  <c r="C1758" i="1" a="1"/>
  <c r="C1758" i="1" s="1"/>
  <c r="C1759" i="1" a="1"/>
  <c r="C1759" i="1" s="1"/>
  <c r="C1760" i="1" a="1"/>
  <c r="C1760" i="1" s="1"/>
  <c r="C1761" i="1" a="1"/>
  <c r="C1761" i="1" s="1"/>
  <c r="C1762" i="1" a="1"/>
  <c r="C1762" i="1" s="1"/>
  <c r="C1763" i="1" a="1"/>
  <c r="C1763" i="1" s="1"/>
  <c r="O1763" i="1" s="1"/>
  <c r="C1764" i="1" a="1"/>
  <c r="C1764" i="1" s="1"/>
  <c r="C1765" i="1" a="1"/>
  <c r="C1765" i="1" s="1"/>
  <c r="C1766" i="1" a="1"/>
  <c r="C1766" i="1" s="1"/>
  <c r="C1767" i="1" a="1"/>
  <c r="C1767" i="1" s="1"/>
  <c r="C1768" i="1" a="1"/>
  <c r="C1768" i="1" s="1"/>
  <c r="C1769" i="1" a="1"/>
  <c r="C1769" i="1" s="1"/>
  <c r="C1770" i="1" a="1"/>
  <c r="C1770" i="1" s="1"/>
  <c r="C1771" i="1" a="1"/>
  <c r="C1771" i="1" s="1"/>
  <c r="O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 s="1"/>
  <c r="C1778" i="1" a="1"/>
  <c r="C1778" i="1" s="1"/>
  <c r="C1779" i="1" a="1"/>
  <c r="C1779" i="1" s="1"/>
  <c r="O1779" i="1" s="1"/>
  <c r="C1780" i="1" a="1"/>
  <c r="C1780" i="1" s="1"/>
  <c r="C1781" i="1" a="1"/>
  <c r="C1781" i="1" s="1"/>
  <c r="C1782" i="1" a="1"/>
  <c r="C1782" i="1" s="1"/>
  <c r="C1783" i="1" a="1"/>
  <c r="C1783" i="1" s="1"/>
  <c r="C1784" i="1" a="1"/>
  <c r="C1784" i="1" s="1"/>
  <c r="C1785" i="1" a="1"/>
  <c r="C1785" i="1" s="1"/>
  <c r="C1786" i="1" a="1"/>
  <c r="C1786" i="1" s="1"/>
  <c r="C1787" i="1" a="1"/>
  <c r="C1787" i="1" s="1"/>
  <c r="O1787" i="1" s="1"/>
  <c r="C1788" i="1" a="1"/>
  <c r="C1788" i="1" s="1"/>
  <c r="C1789" i="1" a="1"/>
  <c r="C1789" i="1" s="1"/>
  <c r="C1790" i="1" a="1"/>
  <c r="C1790" i="1" s="1"/>
  <c r="C1791" i="1" a="1"/>
  <c r="C1791" i="1" s="1"/>
  <c r="C1792" i="1" a="1"/>
  <c r="C1792" i="1" s="1"/>
  <c r="C1793" i="1" a="1"/>
  <c r="C1793" i="1" s="1"/>
  <c r="C1794" i="1" a="1"/>
  <c r="C1794" i="1" s="1"/>
  <c r="C1795" i="1" a="1"/>
  <c r="C1795" i="1" s="1"/>
  <c r="O1795" i="1" s="1"/>
  <c r="C1796" i="1" a="1"/>
  <c r="C1796" i="1" s="1"/>
  <c r="C1797" i="1" a="1"/>
  <c r="C1797" i="1" s="1"/>
  <c r="C1798" i="1" a="1"/>
  <c r="C1798" i="1" s="1"/>
  <c r="C1799" i="1" a="1"/>
  <c r="C1799" i="1" s="1"/>
  <c r="C1800" i="1" a="1"/>
  <c r="C1800" i="1" s="1"/>
  <c r="C1801" i="1" a="1"/>
  <c r="C1801" i="1" s="1"/>
  <c r="C1802" i="1" a="1"/>
  <c r="C1802" i="1" s="1"/>
  <c r="C1803" i="1" a="1"/>
  <c r="C1803" i="1" s="1"/>
  <c r="O1803" i="1" s="1"/>
  <c r="C1804" i="1" a="1"/>
  <c r="C1804" i="1" s="1"/>
  <c r="C1805" i="1" a="1"/>
  <c r="C1805" i="1" s="1"/>
  <c r="C1806" i="1" a="1"/>
  <c r="C1806" i="1" s="1"/>
  <c r="C1807" i="1" a="1"/>
  <c r="C1807" i="1" s="1"/>
  <c r="C1808" i="1" a="1"/>
  <c r="C1808" i="1" s="1"/>
  <c r="C1809" i="1" a="1"/>
  <c r="C1809" i="1" s="1"/>
  <c r="C1810" i="1" a="1"/>
  <c r="C1810" i="1" s="1"/>
  <c r="C1811" i="1" a="1"/>
  <c r="C1811" i="1" s="1"/>
  <c r="O1811" i="1" s="1"/>
  <c r="C1812" i="1" a="1"/>
  <c r="C1812" i="1" s="1"/>
  <c r="C1813" i="1" a="1"/>
  <c r="C1813" i="1" s="1"/>
  <c r="C1814" i="1" a="1"/>
  <c r="C1814" i="1" s="1"/>
  <c r="C1815" i="1" a="1"/>
  <c r="C1815" i="1" s="1"/>
  <c r="C1816" i="1" a="1"/>
  <c r="C1816" i="1" s="1"/>
  <c r="C1817" i="1" a="1"/>
  <c r="C1817" i="1" s="1"/>
  <c r="C1818" i="1" a="1"/>
  <c r="C1818" i="1" s="1"/>
  <c r="C1819" i="1" a="1"/>
  <c r="C1819" i="1" s="1"/>
  <c r="O1819" i="1" s="1"/>
  <c r="C1820" i="1" a="1"/>
  <c r="C1820" i="1" s="1"/>
  <c r="C1821" i="1" a="1"/>
  <c r="C1821" i="1" s="1"/>
  <c r="C1822" i="1" a="1"/>
  <c r="C1822" i="1" s="1"/>
  <c r="C1823" i="1" a="1"/>
  <c r="C1823" i="1" s="1"/>
  <c r="C1824" i="1" a="1"/>
  <c r="C1824" i="1" s="1"/>
  <c r="C1825" i="1" a="1"/>
  <c r="C1825" i="1" s="1"/>
  <c r="C1826" i="1" a="1"/>
  <c r="C1826" i="1" s="1"/>
  <c r="C1827" i="1" a="1"/>
  <c r="C1827" i="1" s="1"/>
  <c r="O1827" i="1" s="1"/>
  <c r="C1828" i="1" a="1"/>
  <c r="C1828" i="1" s="1"/>
  <c r="C1829" i="1" a="1"/>
  <c r="C1829" i="1" s="1"/>
  <c r="C1830" i="1" a="1"/>
  <c r="C1830" i="1" s="1"/>
  <c r="C1831" i="1" a="1"/>
  <c r="C1831" i="1" s="1"/>
  <c r="C1832" i="1" a="1"/>
  <c r="C1832" i="1" s="1"/>
  <c r="C1833" i="1" a="1"/>
  <c r="C1833" i="1" s="1"/>
  <c r="C1834" i="1" a="1"/>
  <c r="C1834" i="1" s="1"/>
  <c r="C1835" i="1" a="1"/>
  <c r="C1835" i="1" s="1"/>
  <c r="O1835" i="1" s="1"/>
  <c r="C1836" i="1" a="1"/>
  <c r="C1836" i="1" s="1"/>
  <c r="C1837" i="1" a="1"/>
  <c r="C1837" i="1" s="1"/>
  <c r="C1838" i="1" a="1"/>
  <c r="C1838" i="1" s="1"/>
  <c r="C1839" i="1" a="1"/>
  <c r="C1839" i="1" s="1"/>
  <c r="C1840" i="1" a="1"/>
  <c r="C1840" i="1" s="1"/>
  <c r="C1841" i="1" a="1"/>
  <c r="C1841" i="1" s="1"/>
  <c r="C1842" i="1" a="1"/>
  <c r="C1842" i="1" s="1"/>
  <c r="C1843" i="1" a="1"/>
  <c r="C1843" i="1" s="1"/>
  <c r="O1843" i="1" s="1"/>
  <c r="C1844" i="1" a="1"/>
  <c r="C1844" i="1" s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O1851" i="1" s="1"/>
  <c r="C1852" i="1" a="1"/>
  <c r="C1852" i="1" s="1"/>
  <c r="C1853" i="1" a="1"/>
  <c r="C1853" i="1" s="1"/>
  <c r="C1854" i="1" a="1"/>
  <c r="C1854" i="1" s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O1859" i="1" s="1"/>
  <c r="C1860" i="1" a="1"/>
  <c r="C1860" i="1" s="1"/>
  <c r="C1861" i="1" a="1"/>
  <c r="C1861" i="1" s="1"/>
  <c r="C1862" i="1" a="1"/>
  <c r="C1862" i="1" s="1"/>
  <c r="C1863" i="1" a="1"/>
  <c r="C1863" i="1" s="1"/>
  <c r="C1864" i="1" a="1"/>
  <c r="C1864" i="1" s="1"/>
  <c r="C1865" i="1" a="1"/>
  <c r="C1865" i="1" s="1"/>
  <c r="C1866" i="1" a="1"/>
  <c r="C1866" i="1" s="1"/>
  <c r="C1867" i="1" a="1"/>
  <c r="C1867" i="1" s="1"/>
  <c r="O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 s="1"/>
  <c r="C1874" i="1" a="1"/>
  <c r="C1874" i="1" s="1"/>
  <c r="C1875" i="1" a="1"/>
  <c r="C1875" i="1" s="1"/>
  <c r="O1875" i="1" s="1"/>
  <c r="C1876" i="1" a="1"/>
  <c r="C1876" i="1" s="1"/>
  <c r="C1877" i="1" a="1"/>
  <c r="C1877" i="1" s="1"/>
  <c r="C1878" i="1" a="1"/>
  <c r="C1878" i="1" s="1"/>
  <c r="C1879" i="1" a="1"/>
  <c r="C1879" i="1" s="1"/>
  <c r="C1880" i="1" a="1"/>
  <c r="C1880" i="1" s="1"/>
  <c r="C1881" i="1" a="1"/>
  <c r="C1881" i="1" s="1"/>
  <c r="C1882" i="1" a="1"/>
  <c r="C1882" i="1" s="1"/>
  <c r="C1883" i="1" a="1"/>
  <c r="C1883" i="1" s="1"/>
  <c r="O1883" i="1" s="1"/>
  <c r="C1884" i="1" a="1"/>
  <c r="C1884" i="1" s="1"/>
  <c r="C1885" i="1" a="1"/>
  <c r="C1885" i="1" s="1"/>
  <c r="C1886" i="1" a="1"/>
  <c r="C1886" i="1" s="1"/>
  <c r="C1887" i="1" a="1"/>
  <c r="C1887" i="1" s="1"/>
  <c r="C1888" i="1" a="1"/>
  <c r="C1888" i="1" s="1"/>
  <c r="C1889" i="1" a="1"/>
  <c r="C1889" i="1" s="1"/>
  <c r="C1890" i="1" a="1"/>
  <c r="C1890" i="1" s="1"/>
  <c r="C1891" i="1" a="1"/>
  <c r="C1891" i="1" s="1"/>
  <c r="O1891" i="1" s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 s="1"/>
  <c r="C1897" i="1" a="1"/>
  <c r="C1897" i="1" s="1"/>
  <c r="C1898" i="1" a="1"/>
  <c r="C1898" i="1" s="1"/>
  <c r="C1899" i="1" a="1"/>
  <c r="C1899" i="1" s="1"/>
  <c r="O1899" i="1" s="1"/>
  <c r="C1900" i="1" a="1"/>
  <c r="C1900" i="1" s="1"/>
  <c r="C1901" i="1" a="1"/>
  <c r="C1901" i="1" s="1"/>
  <c r="C1902" i="1" a="1"/>
  <c r="C1902" i="1" s="1"/>
  <c r="C1903" i="1" a="1"/>
  <c r="C1903" i="1" s="1"/>
  <c r="C1904" i="1" a="1"/>
  <c r="C1904" i="1" s="1"/>
  <c r="C1905" i="1" a="1"/>
  <c r="C1905" i="1" s="1"/>
  <c r="C1906" i="1" a="1"/>
  <c r="C1906" i="1" s="1"/>
  <c r="C1907" i="1" a="1"/>
  <c r="C1907" i="1" s="1"/>
  <c r="O1907" i="1" s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 s="1"/>
  <c r="C1913" i="1" a="1"/>
  <c r="C1913" i="1" s="1"/>
  <c r="C1914" i="1" a="1"/>
  <c r="C1914" i="1" s="1"/>
  <c r="C1915" i="1" a="1"/>
  <c r="C1915" i="1" s="1"/>
  <c r="O1915" i="1" s="1"/>
  <c r="C1916" i="1" a="1"/>
  <c r="C1916" i="1" s="1"/>
  <c r="C1917" i="1" a="1"/>
  <c r="C1917" i="1" s="1"/>
  <c r="C1918" i="1" a="1"/>
  <c r="C1918" i="1" s="1"/>
  <c r="C1919" i="1" a="1"/>
  <c r="C1919" i="1" s="1"/>
  <c r="C1920" i="1" a="1"/>
  <c r="C1920" i="1" s="1"/>
  <c r="C1921" i="1" a="1"/>
  <c r="C1921" i="1" s="1"/>
  <c r="C1922" i="1" a="1"/>
  <c r="C1922" i="1" s="1"/>
  <c r="C1923" i="1" a="1"/>
  <c r="C1923" i="1" s="1"/>
  <c r="O1923" i="1" s="1"/>
  <c r="C1924" i="1" a="1"/>
  <c r="C1924" i="1" s="1"/>
  <c r="C1925" i="1" a="1"/>
  <c r="C1925" i="1" s="1"/>
  <c r="C1926" i="1" a="1"/>
  <c r="C1926" i="1" s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 s="1"/>
  <c r="O1931" i="1" s="1"/>
  <c r="C1932" i="1" a="1"/>
  <c r="C1932" i="1" s="1"/>
  <c r="C1933" i="1" a="1"/>
  <c r="C1933" i="1" s="1"/>
  <c r="C1934" i="1" a="1"/>
  <c r="C1934" i="1" s="1"/>
  <c r="C1935" i="1" a="1"/>
  <c r="C1935" i="1" s="1"/>
  <c r="C1936" i="1" a="1"/>
  <c r="C1936" i="1" s="1"/>
  <c r="C1937" i="1" a="1"/>
  <c r="C1937" i="1" s="1"/>
  <c r="C1938" i="1" a="1"/>
  <c r="C1938" i="1" s="1"/>
  <c r="C1939" i="1" a="1"/>
  <c r="C1939" i="1" s="1"/>
  <c r="O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 s="1"/>
  <c r="C1945" i="1" a="1"/>
  <c r="C1945" i="1" s="1"/>
  <c r="C1946" i="1" a="1"/>
  <c r="C1946" i="1" s="1"/>
  <c r="C1947" i="1" a="1"/>
  <c r="C1947" i="1" s="1"/>
  <c r="O1947" i="1" s="1"/>
  <c r="C1948" i="1" a="1"/>
  <c r="C1948" i="1" s="1"/>
  <c r="C1949" i="1" a="1"/>
  <c r="C1949" i="1" s="1"/>
  <c r="C1950" i="1" a="1"/>
  <c r="C1950" i="1" s="1"/>
  <c r="C1951" i="1" a="1"/>
  <c r="C1951" i="1" s="1"/>
  <c r="C1952" i="1" a="1"/>
  <c r="C1952" i="1" s="1"/>
  <c r="C1953" i="1" a="1"/>
  <c r="C1953" i="1" s="1"/>
  <c r="C1954" i="1" a="1"/>
  <c r="C1954" i="1" s="1"/>
  <c r="C1955" i="1" a="1"/>
  <c r="C1955" i="1" s="1"/>
  <c r="O1955" i="1" s="1"/>
  <c r="C1956" i="1" a="1"/>
  <c r="C1956" i="1" s="1"/>
  <c r="C1957" i="1" a="1"/>
  <c r="C1957" i="1" s="1"/>
  <c r="C1958" i="1" a="1"/>
  <c r="C1958" i="1" s="1"/>
  <c r="C1959" i="1" a="1"/>
  <c r="C1959" i="1" s="1"/>
  <c r="C1960" i="1" a="1"/>
  <c r="C1960" i="1" s="1"/>
  <c r="C1961" i="1" a="1"/>
  <c r="C1961" i="1" s="1"/>
  <c r="C1962" i="1" a="1"/>
  <c r="C1962" i="1" s="1"/>
  <c r="C1963" i="1" a="1"/>
  <c r="C1963" i="1" s="1"/>
  <c r="O1963" i="1" s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 s="1"/>
  <c r="C1969" i="1" a="1"/>
  <c r="C1969" i="1" s="1"/>
  <c r="C1970" i="1" a="1"/>
  <c r="C1970" i="1" s="1"/>
  <c r="C1971" i="1" a="1"/>
  <c r="C1971" i="1" s="1"/>
  <c r="O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 s="1"/>
  <c r="C1977" i="1" a="1"/>
  <c r="C1977" i="1" s="1"/>
  <c r="C1978" i="1" a="1"/>
  <c r="C1978" i="1" s="1"/>
  <c r="C1979" i="1" a="1"/>
  <c r="C1979" i="1" s="1"/>
  <c r="O1979" i="1" s="1"/>
  <c r="C1980" i="1" a="1"/>
  <c r="C1980" i="1" s="1"/>
  <c r="C1981" i="1" a="1"/>
  <c r="C1981" i="1" s="1"/>
  <c r="C1982" i="1" a="1"/>
  <c r="C1982" i="1" s="1"/>
  <c r="C1983" i="1" a="1"/>
  <c r="C1983" i="1" s="1"/>
  <c r="C1984" i="1" a="1"/>
  <c r="C1984" i="1" s="1"/>
  <c r="C1985" i="1" a="1"/>
  <c r="C1985" i="1" s="1"/>
  <c r="C1986" i="1" a="1"/>
  <c r="C1986" i="1" s="1"/>
  <c r="C1987" i="1" a="1"/>
  <c r="C1987" i="1" s="1"/>
  <c r="O1987" i="1" s="1"/>
  <c r="C1988" i="1" a="1"/>
  <c r="C1988" i="1" s="1"/>
  <c r="C1989" i="1" a="1"/>
  <c r="C1989" i="1" s="1"/>
  <c r="C1990" i="1" a="1"/>
  <c r="C1990" i="1" s="1"/>
  <c r="C1991" i="1" a="1"/>
  <c r="C1991" i="1" s="1"/>
  <c r="C1992" i="1" a="1"/>
  <c r="C1992" i="1" s="1"/>
  <c r="C1993" i="1" a="1"/>
  <c r="C1993" i="1" s="1"/>
  <c r="C1994" i="1" a="1"/>
  <c r="C1994" i="1" s="1"/>
  <c r="C1995" i="1" a="1"/>
  <c r="C1995" i="1" s="1"/>
  <c r="O1995" i="1" s="1"/>
  <c r="C1996" i="1" a="1"/>
  <c r="C1996" i="1" s="1"/>
  <c r="C1997" i="1" a="1"/>
  <c r="C1997" i="1" s="1"/>
  <c r="C1998" i="1" a="1"/>
  <c r="C1998" i="1" s="1"/>
  <c r="C1999" i="1" a="1"/>
  <c r="C1999" i="1" s="1"/>
  <c r="C2000" i="1" a="1"/>
  <c r="C2000" i="1" s="1"/>
  <c r="C2001" i="1" a="1"/>
  <c r="C2001" i="1" s="1"/>
  <c r="C2002" i="1" a="1"/>
  <c r="C2002" i="1" s="1"/>
  <c r="C2003" i="1" a="1"/>
  <c r="C2003" i="1" s="1"/>
  <c r="O2003" i="1" s="1"/>
  <c r="C2004" i="1" a="1"/>
  <c r="C2004" i="1" s="1"/>
  <c r="C2005" i="1" a="1"/>
  <c r="C2005" i="1" s="1"/>
  <c r="C2006" i="1" a="1"/>
  <c r="C2006" i="1" s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O2011" i="1" s="1"/>
  <c r="C2012" i="1" a="1"/>
  <c r="C2012" i="1" s="1"/>
  <c r="C2013" i="1" a="1"/>
  <c r="C2013" i="1" s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 s="1"/>
  <c r="O2019" i="1" s="1"/>
  <c r="C2020" i="1" a="1"/>
  <c r="C2020" i="1" s="1"/>
  <c r="C2021" i="1" a="1"/>
  <c r="C2021" i="1" s="1"/>
  <c r="C2022" i="1" a="1"/>
  <c r="C2022" i="1" s="1"/>
  <c r="C2023" i="1" a="1"/>
  <c r="C2023" i="1" s="1"/>
  <c r="C2024" i="1" a="1"/>
  <c r="C2024" i="1" s="1"/>
  <c r="C2025" i="1" a="1"/>
  <c r="C2025" i="1" s="1"/>
  <c r="C2026" i="1" a="1"/>
  <c r="C2026" i="1" s="1"/>
  <c r="C2027" i="1" a="1"/>
  <c r="C2027" i="1" s="1"/>
  <c r="O2027" i="1" s="1"/>
  <c r="C2028" i="1" a="1"/>
  <c r="C2028" i="1" s="1"/>
  <c r="C2029" i="1" a="1"/>
  <c r="C2029" i="1" s="1"/>
  <c r="C2030" i="1" a="1"/>
  <c r="C2030" i="1" s="1"/>
  <c r="C2031" i="1" a="1"/>
  <c r="C2031" i="1" s="1"/>
  <c r="C2032" i="1" a="1"/>
  <c r="C2032" i="1" s="1"/>
  <c r="C2033" i="1" a="1"/>
  <c r="C2033" i="1" s="1"/>
  <c r="C2034" i="1" a="1"/>
  <c r="C2034" i="1" s="1"/>
  <c r="C2035" i="1" a="1"/>
  <c r="C2035" i="1" s="1"/>
  <c r="O2035" i="1" s="1"/>
  <c r="C2036" i="1" a="1"/>
  <c r="C2036" i="1" s="1"/>
  <c r="C2037" i="1" a="1"/>
  <c r="C2037" i="1" s="1"/>
  <c r="C2038" i="1" a="1"/>
  <c r="C2038" i="1" s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 s="1"/>
  <c r="O2043" i="1" s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 s="1"/>
  <c r="O2051" i="1" s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 s="1"/>
  <c r="C2057" i="1" a="1"/>
  <c r="C2057" i="1" s="1"/>
  <c r="C2058" i="1" a="1"/>
  <c r="C2058" i="1" s="1"/>
  <c r="C2059" i="1" a="1"/>
  <c r="C2059" i="1" s="1"/>
  <c r="O2059" i="1" s="1"/>
  <c r="C2060" i="1" a="1"/>
  <c r="C2060" i="1" s="1"/>
  <c r="C2061" i="1" a="1"/>
  <c r="C2061" i="1" s="1"/>
  <c r="C2062" i="1" a="1"/>
  <c r="C2062" i="1" s="1"/>
  <c r="C2063" i="1" a="1"/>
  <c r="C2063" i="1" s="1"/>
  <c r="C2064" i="1" a="1"/>
  <c r="C2064" i="1" s="1"/>
  <c r="C2065" i="1" a="1"/>
  <c r="C2065" i="1" s="1"/>
  <c r="C2066" i="1" a="1"/>
  <c r="C2066" i="1" s="1"/>
  <c r="C2067" i="1" a="1"/>
  <c r="C2067" i="1" s="1"/>
  <c r="O2067" i="1" s="1"/>
  <c r="C2068" i="1" a="1"/>
  <c r="C2068" i="1" s="1"/>
  <c r="C2069" i="1" a="1"/>
  <c r="C2069" i="1" s="1"/>
  <c r="C2070" i="1" a="1"/>
  <c r="C2070" i="1" s="1"/>
  <c r="C2071" i="1" a="1"/>
  <c r="C2071" i="1" s="1"/>
  <c r="C2072" i="1" a="1"/>
  <c r="C2072" i="1" s="1"/>
  <c r="C2073" i="1" a="1"/>
  <c r="C2073" i="1" s="1"/>
  <c r="C2074" i="1" a="1"/>
  <c r="C2074" i="1" s="1"/>
  <c r="C2075" i="1" a="1"/>
  <c r="C2075" i="1" s="1"/>
  <c r="O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 s="1"/>
  <c r="C2081" i="1" a="1"/>
  <c r="C2081" i="1" s="1"/>
  <c r="C2082" i="1" a="1"/>
  <c r="C2082" i="1" s="1"/>
  <c r="C2083" i="1" a="1"/>
  <c r="C2083" i="1" s="1"/>
  <c r="O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 s="1"/>
  <c r="C2089" i="1" a="1"/>
  <c r="C2089" i="1" s="1"/>
  <c r="C2090" i="1" a="1"/>
  <c r="C2090" i="1" s="1"/>
  <c r="C2091" i="1" a="1"/>
  <c r="C2091" i="1" s="1"/>
  <c r="O2091" i="1" s="1"/>
  <c r="C2092" i="1" a="1"/>
  <c r="C2092" i="1" s="1"/>
  <c r="C2093" i="1" a="1"/>
  <c r="C2093" i="1" s="1"/>
  <c r="C2094" i="1" a="1"/>
  <c r="C2094" i="1" s="1"/>
  <c r="C2095" i="1" a="1"/>
  <c r="C2095" i="1" s="1"/>
  <c r="C2096" i="1" a="1"/>
  <c r="C2096" i="1" s="1"/>
  <c r="C2097" i="1" a="1"/>
  <c r="C2097" i="1" s="1"/>
  <c r="C2098" i="1" a="1"/>
  <c r="C2098" i="1" s="1"/>
  <c r="C2099" i="1" a="1"/>
  <c r="C2099" i="1" s="1"/>
  <c r="O2099" i="1" s="1"/>
  <c r="C2100" i="1" a="1"/>
  <c r="C2100" i="1" s="1"/>
  <c r="C2101" i="1" a="1"/>
  <c r="C2101" i="1" s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O2107" i="1" s="1"/>
  <c r="C2108" i="1" a="1"/>
  <c r="C2108" i="1" s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 s="1"/>
  <c r="O2115" i="1" s="1"/>
  <c r="C2116" i="1" a="1"/>
  <c r="C2116" i="1" s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 s="1"/>
  <c r="C2122" i="1" a="1"/>
  <c r="C2122" i="1" s="1"/>
  <c r="C2123" i="1" a="1"/>
  <c r="C2123" i="1" s="1"/>
  <c r="O2123" i="1" s="1"/>
  <c r="C2124" i="1" a="1"/>
  <c r="C2124" i="1" s="1"/>
  <c r="C2125" i="1" a="1"/>
  <c r="C2125" i="1" s="1"/>
  <c r="C2126" i="1" a="1"/>
  <c r="C2126" i="1" s="1"/>
  <c r="C2127" i="1" a="1"/>
  <c r="C2127" i="1" s="1"/>
  <c r="C2128" i="1" a="1"/>
  <c r="C2128" i="1" s="1"/>
  <c r="C2129" i="1" a="1"/>
  <c r="C2129" i="1" s="1"/>
  <c r="C2130" i="1" a="1"/>
  <c r="C2130" i="1" s="1"/>
  <c r="C2131" i="1" a="1"/>
  <c r="C2131" i="1" s="1"/>
  <c r="O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 s="1"/>
  <c r="C2137" i="1" a="1"/>
  <c r="C2137" i="1" s="1"/>
  <c r="C2138" i="1" a="1"/>
  <c r="C2138" i="1" s="1"/>
  <c r="C2139" i="1" a="1"/>
  <c r="C2139" i="1" s="1"/>
  <c r="O2139" i="1" s="1"/>
  <c r="C2140" i="1" a="1"/>
  <c r="C2140" i="1" s="1"/>
  <c r="C2141" i="1" a="1"/>
  <c r="C2141" i="1" s="1"/>
  <c r="C2142" i="1" a="1"/>
  <c r="C2142" i="1" s="1"/>
  <c r="C2143" i="1" a="1"/>
  <c r="C2143" i="1" s="1"/>
  <c r="C2144" i="1" a="1"/>
  <c r="C2144" i="1" s="1"/>
  <c r="C2145" i="1" a="1"/>
  <c r="C2145" i="1" s="1"/>
  <c r="C2146" i="1" a="1"/>
  <c r="C2146" i="1" s="1"/>
  <c r="C2147" i="1" a="1"/>
  <c r="C2147" i="1" s="1"/>
  <c r="O2147" i="1" s="1"/>
  <c r="C2148" i="1" a="1"/>
  <c r="C2148" i="1" s="1"/>
  <c r="C2149" i="1" a="1"/>
  <c r="C2149" i="1" s="1"/>
  <c r="C2150" i="1" a="1"/>
  <c r="C2150" i="1" s="1"/>
  <c r="C2151" i="1" a="1"/>
  <c r="C2151" i="1" s="1"/>
  <c r="C2152" i="1" a="1"/>
  <c r="C2152" i="1" s="1"/>
  <c r="C2153" i="1" a="1"/>
  <c r="C2153" i="1" s="1"/>
  <c r="C2154" i="1" a="1"/>
  <c r="C2154" i="1" s="1"/>
  <c r="C2155" i="1" a="1"/>
  <c r="C2155" i="1" s="1"/>
  <c r="O2155" i="1" s="1"/>
  <c r="C2156" i="1" a="1"/>
  <c r="C2156" i="1" s="1"/>
  <c r="C2157" i="1" a="1"/>
  <c r="C2157" i="1" s="1"/>
  <c r="C2158" i="1" a="1"/>
  <c r="C2158" i="1" s="1"/>
  <c r="C2159" i="1" a="1"/>
  <c r="C2159" i="1" s="1"/>
  <c r="C2160" i="1" a="1"/>
  <c r="C2160" i="1" s="1"/>
  <c r="C2161" i="1" a="1"/>
  <c r="C2161" i="1" s="1"/>
  <c r="C2162" i="1" a="1"/>
  <c r="C2162" i="1" s="1"/>
  <c r="C2163" i="1" a="1"/>
  <c r="C2163" i="1" s="1"/>
  <c r="O2163" i="1" s="1"/>
  <c r="C2164" i="1" a="1"/>
  <c r="C2164" i="1" s="1"/>
  <c r="C2165" i="1" a="1"/>
  <c r="C2165" i="1" s="1"/>
  <c r="C2166" i="1" a="1"/>
  <c r="C2166" i="1" s="1"/>
  <c r="C2167" i="1" a="1"/>
  <c r="C2167" i="1" s="1"/>
  <c r="C2168" i="1" a="1"/>
  <c r="C2168" i="1" s="1"/>
  <c r="C2169" i="1" a="1"/>
  <c r="C2169" i="1" s="1"/>
  <c r="C2170" i="1" a="1"/>
  <c r="C2170" i="1" s="1"/>
  <c r="C2171" i="1" a="1"/>
  <c r="C2171" i="1" s="1"/>
  <c r="O2171" i="1" s="1"/>
  <c r="C2172" i="1" a="1"/>
  <c r="C2172" i="1" s="1"/>
  <c r="C2173" i="1" a="1"/>
  <c r="C2173" i="1" s="1"/>
  <c r="C2174" i="1" a="1"/>
  <c r="C2174" i="1" s="1"/>
  <c r="C2175" i="1" a="1"/>
  <c r="C2175" i="1" s="1"/>
  <c r="C2176" i="1" a="1"/>
  <c r="C2176" i="1" s="1"/>
  <c r="C2177" i="1" a="1"/>
  <c r="C2177" i="1" s="1"/>
  <c r="C2178" i="1" a="1"/>
  <c r="C2178" i="1" s="1"/>
  <c r="C2179" i="1" a="1"/>
  <c r="C2179" i="1" s="1"/>
  <c r="O2179" i="1" s="1"/>
  <c r="C2180" i="1" a="1"/>
  <c r="C2180" i="1" s="1"/>
  <c r="C2181" i="1" a="1"/>
  <c r="C2181" i="1" s="1"/>
  <c r="C2182" i="1" a="1"/>
  <c r="C2182" i="1" s="1"/>
  <c r="C2183" i="1" a="1"/>
  <c r="C2183" i="1" s="1"/>
  <c r="C2184" i="1" a="1"/>
  <c r="C2184" i="1" s="1"/>
  <c r="C2185" i="1" a="1"/>
  <c r="C2185" i="1" s="1"/>
  <c r="C2186" i="1" a="1"/>
  <c r="C2186" i="1" s="1"/>
  <c r="C2187" i="1" a="1"/>
  <c r="C2187" i="1" s="1"/>
  <c r="O2187" i="1" s="1"/>
  <c r="C2188" i="1" a="1"/>
  <c r="C2188" i="1" s="1"/>
  <c r="C2189" i="1" a="1"/>
  <c r="C2189" i="1" s="1"/>
  <c r="C2190" i="1" a="1"/>
  <c r="C2190" i="1" s="1"/>
  <c r="C2191" i="1" a="1"/>
  <c r="C2191" i="1" s="1"/>
  <c r="C2192" i="1" a="1"/>
  <c r="C2192" i="1" s="1"/>
  <c r="C2193" i="1" a="1"/>
  <c r="C2193" i="1" s="1"/>
  <c r="C2194" i="1" a="1"/>
  <c r="C2194" i="1" s="1"/>
  <c r="C2195" i="1" a="1"/>
  <c r="C2195" i="1" s="1"/>
  <c r="O2195" i="1" s="1"/>
  <c r="C2196" i="1" a="1"/>
  <c r="C2196" i="1" s="1"/>
  <c r="C2197" i="1" a="1"/>
  <c r="C2197" i="1" s="1"/>
  <c r="C2198" i="1" a="1"/>
  <c r="C2198" i="1" s="1"/>
  <c r="C2199" i="1" a="1"/>
  <c r="C2199" i="1" s="1"/>
  <c r="C2200" i="1" a="1"/>
  <c r="C2200" i="1" s="1"/>
  <c r="C2201" i="1" a="1"/>
  <c r="C2201" i="1" s="1"/>
  <c r="C2202" i="1" a="1"/>
  <c r="C2202" i="1" s="1"/>
  <c r="C2203" i="1" a="1"/>
  <c r="C2203" i="1" s="1"/>
  <c r="O2203" i="1" s="1"/>
  <c r="C2204" i="1" a="1"/>
  <c r="C2204" i="1" s="1"/>
  <c r="C2205" i="1" a="1"/>
  <c r="C2205" i="1" s="1"/>
  <c r="C2206" i="1" a="1"/>
  <c r="C2206" i="1" s="1"/>
  <c r="C2207" i="1" a="1"/>
  <c r="C2207" i="1" s="1"/>
  <c r="C2208" i="1" a="1"/>
  <c r="C2208" i="1" s="1"/>
  <c r="C2209" i="1" a="1"/>
  <c r="C2209" i="1" s="1"/>
  <c r="C2210" i="1" a="1"/>
  <c r="C2210" i="1" s="1"/>
  <c r="C2211" i="1" a="1"/>
  <c r="C2211" i="1" s="1"/>
  <c r="O2211" i="1" s="1"/>
  <c r="C2212" i="1" a="1"/>
  <c r="C2212" i="1" s="1"/>
  <c r="C2213" i="1" a="1"/>
  <c r="C2213" i="1" s="1"/>
  <c r="C2214" i="1" a="1"/>
  <c r="C2214" i="1" s="1"/>
  <c r="C2215" i="1" a="1"/>
  <c r="C2215" i="1" s="1"/>
  <c r="C2216" i="1" a="1"/>
  <c r="C2216" i="1" s="1"/>
  <c r="C2217" i="1" a="1"/>
  <c r="C2217" i="1" s="1"/>
  <c r="C2218" i="1" a="1"/>
  <c r="C2218" i="1" s="1"/>
  <c r="C2219" i="1" a="1"/>
  <c r="C2219" i="1" s="1"/>
  <c r="O2219" i="1" s="1"/>
  <c r="C2220" i="1" a="1"/>
  <c r="C2220" i="1" s="1"/>
  <c r="C2221" i="1" a="1"/>
  <c r="C2221" i="1" s="1"/>
  <c r="C2222" i="1" a="1"/>
  <c r="C2222" i="1" s="1"/>
  <c r="C2223" i="1" a="1"/>
  <c r="C2223" i="1" s="1"/>
  <c r="C2224" i="1" a="1"/>
  <c r="C2224" i="1" s="1"/>
  <c r="C2225" i="1" a="1"/>
  <c r="C2225" i="1" s="1"/>
  <c r="C2226" i="1" a="1"/>
  <c r="C2226" i="1" s="1"/>
  <c r="C2227" i="1" a="1"/>
  <c r="C2227" i="1" s="1"/>
  <c r="O2227" i="1" s="1"/>
  <c r="C2228" i="1" a="1"/>
  <c r="C2228" i="1" s="1"/>
  <c r="C2229" i="1" a="1"/>
  <c r="C2229" i="1" s="1"/>
  <c r="C2230" i="1" a="1"/>
  <c r="C2230" i="1" s="1"/>
  <c r="C2231" i="1" a="1"/>
  <c r="C2231" i="1" s="1"/>
  <c r="C2232" i="1" a="1"/>
  <c r="C2232" i="1" s="1"/>
  <c r="C2233" i="1" a="1"/>
  <c r="C2233" i="1" s="1"/>
  <c r="C2234" i="1" a="1"/>
  <c r="C2234" i="1" s="1"/>
  <c r="C2235" i="1" a="1"/>
  <c r="C2235" i="1" s="1"/>
  <c r="O2235" i="1" s="1"/>
  <c r="C2236" i="1" a="1"/>
  <c r="C2236" i="1" s="1"/>
  <c r="C2237" i="1" a="1"/>
  <c r="C2237" i="1" s="1"/>
  <c r="C2238" i="1" a="1"/>
  <c r="C2238" i="1" s="1"/>
  <c r="C2239" i="1" a="1"/>
  <c r="C2239" i="1" s="1"/>
  <c r="C2240" i="1" a="1"/>
  <c r="C2240" i="1" s="1"/>
  <c r="C2241" i="1" a="1"/>
  <c r="C2241" i="1" s="1"/>
  <c r="C2242" i="1" a="1"/>
  <c r="C2242" i="1" s="1"/>
  <c r="C2243" i="1" a="1"/>
  <c r="C2243" i="1" s="1"/>
  <c r="O2243" i="1" s="1"/>
  <c r="C2244" i="1" a="1"/>
  <c r="C2244" i="1" s="1"/>
  <c r="C2245" i="1" a="1"/>
  <c r="C2245" i="1" s="1"/>
  <c r="C2246" i="1" a="1"/>
  <c r="C2246" i="1" s="1"/>
  <c r="C2247" i="1" a="1"/>
  <c r="C2247" i="1" s="1"/>
  <c r="C2248" i="1" a="1"/>
  <c r="C2248" i="1" s="1"/>
  <c r="C2249" i="1" a="1"/>
  <c r="C2249" i="1" s="1"/>
  <c r="C2250" i="1" a="1"/>
  <c r="C2250" i="1" s="1"/>
  <c r="C2251" i="1" a="1"/>
  <c r="C2251" i="1" s="1"/>
  <c r="O2251" i="1" s="1"/>
  <c r="C2252" i="1" a="1"/>
  <c r="C2252" i="1" s="1"/>
  <c r="C2253" i="1" a="1"/>
  <c r="C2253" i="1" s="1"/>
  <c r="C2254" i="1" a="1"/>
  <c r="C2254" i="1" s="1"/>
  <c r="C2255" i="1" a="1"/>
  <c r="C2255" i="1" s="1"/>
  <c r="C2256" i="1" a="1"/>
  <c r="C2256" i="1" s="1"/>
  <c r="C2257" i="1" a="1"/>
  <c r="C2257" i="1" s="1"/>
  <c r="C2258" i="1" a="1"/>
  <c r="C2258" i="1" s="1"/>
  <c r="C2259" i="1" a="1"/>
  <c r="C2259" i="1" s="1"/>
  <c r="O2259" i="1" s="1"/>
  <c r="C2260" i="1" a="1"/>
  <c r="C2260" i="1" s="1"/>
  <c r="C2261" i="1" a="1"/>
  <c r="C2261" i="1" s="1"/>
  <c r="C2262" i="1" a="1"/>
  <c r="C2262" i="1" s="1"/>
  <c r="C2263" i="1" a="1"/>
  <c r="C2263" i="1" s="1"/>
  <c r="C2264" i="1" a="1"/>
  <c r="C2264" i="1" s="1"/>
  <c r="C2265" i="1" a="1"/>
  <c r="C2265" i="1" s="1"/>
  <c r="C2266" i="1" a="1"/>
  <c r="C2266" i="1" s="1"/>
  <c r="C2267" i="1" a="1"/>
  <c r="C2267" i="1" s="1"/>
  <c r="O2267" i="1" s="1"/>
  <c r="C2268" i="1" a="1"/>
  <c r="C2268" i="1" s="1"/>
  <c r="C2269" i="1" a="1"/>
  <c r="C2269" i="1" s="1"/>
  <c r="C2270" i="1" a="1"/>
  <c r="C2270" i="1" s="1"/>
  <c r="C2271" i="1" a="1"/>
  <c r="C2271" i="1" s="1"/>
  <c r="C2272" i="1" a="1"/>
  <c r="C2272" i="1" s="1"/>
  <c r="C2273" i="1" a="1"/>
  <c r="C2273" i="1" s="1"/>
  <c r="C2274" i="1" a="1"/>
  <c r="C2274" i="1" s="1"/>
  <c r="C2275" i="1" a="1"/>
  <c r="C2275" i="1" s="1"/>
  <c r="O2275" i="1" s="1"/>
  <c r="C2276" i="1" a="1"/>
  <c r="C2276" i="1" s="1"/>
  <c r="C2277" i="1" a="1"/>
  <c r="C2277" i="1" s="1"/>
  <c r="C2278" i="1" a="1"/>
  <c r="C2278" i="1" s="1"/>
  <c r="C2279" i="1" a="1"/>
  <c r="C2279" i="1" s="1"/>
  <c r="C2280" i="1" a="1"/>
  <c r="C2280" i="1" s="1"/>
  <c r="C2281" i="1" a="1"/>
  <c r="C2281" i="1" s="1"/>
  <c r="C2282" i="1" a="1"/>
  <c r="C2282" i="1" s="1"/>
  <c r="C2283" i="1" a="1"/>
  <c r="C2283" i="1" s="1"/>
  <c r="O2283" i="1" s="1"/>
  <c r="C2284" i="1" a="1"/>
  <c r="C2284" i="1" s="1"/>
  <c r="C2285" i="1" a="1"/>
  <c r="C2285" i="1" s="1"/>
  <c r="C2286" i="1" a="1"/>
  <c r="C2286" i="1" s="1"/>
  <c r="C2287" i="1" a="1"/>
  <c r="C2287" i="1" s="1"/>
  <c r="C2288" i="1" a="1"/>
  <c r="C2288" i="1" s="1"/>
  <c r="C2289" i="1" a="1"/>
  <c r="C2289" i="1" s="1"/>
  <c r="C2290" i="1" a="1"/>
  <c r="C2290" i="1" s="1"/>
  <c r="C2291" i="1" a="1"/>
  <c r="C2291" i="1" s="1"/>
  <c r="O2291" i="1" s="1"/>
  <c r="C2292" i="1" a="1"/>
  <c r="C2292" i="1" s="1"/>
  <c r="C2293" i="1" a="1"/>
  <c r="C2293" i="1" s="1"/>
  <c r="C2294" i="1" a="1"/>
  <c r="C2294" i="1" s="1"/>
  <c r="C2295" i="1" a="1"/>
  <c r="C2295" i="1" s="1"/>
  <c r="C2296" i="1" a="1"/>
  <c r="C2296" i="1" s="1"/>
  <c r="C2297" i="1" a="1"/>
  <c r="C2297" i="1" s="1"/>
  <c r="C2298" i="1" a="1"/>
  <c r="C2298" i="1" s="1"/>
  <c r="C2299" i="1" a="1"/>
  <c r="C2299" i="1" s="1"/>
  <c r="O2299" i="1" s="1"/>
  <c r="C2300" i="1" a="1"/>
  <c r="C2300" i="1" s="1"/>
  <c r="C2301" i="1" a="1"/>
  <c r="C2301" i="1" s="1"/>
  <c r="C2302" i="1" a="1"/>
  <c r="C2302" i="1" s="1"/>
  <c r="C2303" i="1" a="1"/>
  <c r="C2303" i="1" s="1"/>
  <c r="C2304" i="1" a="1"/>
  <c r="C2304" i="1" s="1"/>
  <c r="C2305" i="1" a="1"/>
  <c r="C2305" i="1" s="1"/>
  <c r="C2306" i="1" a="1"/>
  <c r="C2306" i="1" s="1"/>
  <c r="C2307" i="1" a="1"/>
  <c r="C2307" i="1" s="1"/>
  <c r="O2307" i="1" s="1"/>
  <c r="C2308" i="1" a="1"/>
  <c r="C2308" i="1" s="1"/>
  <c r="C2309" i="1" a="1"/>
  <c r="C2309" i="1" s="1"/>
  <c r="C2310" i="1" a="1"/>
  <c r="C2310" i="1" s="1"/>
  <c r="C2311" i="1" a="1"/>
  <c r="C2311" i="1" s="1"/>
  <c r="C2312" i="1" a="1"/>
  <c r="C2312" i="1" s="1"/>
  <c r="C2313" i="1" a="1"/>
  <c r="C2313" i="1" s="1"/>
  <c r="C2314" i="1" a="1"/>
  <c r="C2314" i="1" s="1"/>
  <c r="C2315" i="1" a="1"/>
  <c r="C2315" i="1" s="1"/>
  <c r="O2315" i="1" s="1"/>
  <c r="C2316" i="1" a="1"/>
  <c r="C2316" i="1" s="1"/>
  <c r="C2317" i="1" a="1"/>
  <c r="C2317" i="1" s="1"/>
  <c r="C2318" i="1" a="1"/>
  <c r="C2318" i="1" s="1"/>
  <c r="C2319" i="1" a="1"/>
  <c r="C2319" i="1" s="1"/>
  <c r="C2320" i="1" a="1"/>
  <c r="C2320" i="1" s="1"/>
  <c r="C2321" i="1" a="1"/>
  <c r="C2321" i="1" s="1"/>
  <c r="C2322" i="1" a="1"/>
  <c r="C2322" i="1" s="1"/>
  <c r="C2323" i="1" a="1"/>
  <c r="C2323" i="1" s="1"/>
  <c r="O2323" i="1" s="1"/>
  <c r="C2324" i="1" a="1"/>
  <c r="C2324" i="1" s="1"/>
  <c r="C2325" i="1" a="1"/>
  <c r="C2325" i="1" s="1"/>
  <c r="C2326" i="1" a="1"/>
  <c r="C2326" i="1" s="1"/>
  <c r="C2327" i="1" a="1"/>
  <c r="C2327" i="1" s="1"/>
  <c r="C2328" i="1" a="1"/>
  <c r="C2328" i="1" s="1"/>
  <c r="C2329" i="1" a="1"/>
  <c r="C2329" i="1" s="1"/>
  <c r="C2330" i="1" a="1"/>
  <c r="C2330" i="1" s="1"/>
  <c r="C2331" i="1" a="1"/>
  <c r="C2331" i="1" s="1"/>
  <c r="O2331" i="1" s="1"/>
  <c r="C2332" i="1" a="1"/>
  <c r="C2332" i="1" s="1"/>
  <c r="C2333" i="1" a="1"/>
  <c r="C2333" i="1" s="1"/>
  <c r="C2334" i="1" a="1"/>
  <c r="C2334" i="1" s="1"/>
  <c r="C2335" i="1" a="1"/>
  <c r="C2335" i="1" s="1"/>
  <c r="C2336" i="1" a="1"/>
  <c r="C2336" i="1" s="1"/>
  <c r="C2337" i="1" a="1"/>
  <c r="C2337" i="1" s="1"/>
  <c r="C2338" i="1" a="1"/>
  <c r="C2338" i="1" s="1"/>
  <c r="C2339" i="1" a="1"/>
  <c r="C2339" i="1" s="1"/>
  <c r="O2339" i="1" s="1"/>
  <c r="C2340" i="1" a="1"/>
  <c r="C2340" i="1" s="1"/>
  <c r="C2341" i="1" a="1"/>
  <c r="C2341" i="1" s="1"/>
  <c r="C2342" i="1" a="1"/>
  <c r="C2342" i="1" s="1"/>
  <c r="C2343" i="1" a="1"/>
  <c r="C2343" i="1" s="1"/>
  <c r="C2344" i="1" a="1"/>
  <c r="C2344" i="1" s="1"/>
  <c r="C2345" i="1" a="1"/>
  <c r="C2345" i="1" s="1"/>
  <c r="C2346" i="1" a="1"/>
  <c r="C2346" i="1" s="1"/>
  <c r="C2347" i="1" a="1"/>
  <c r="C2347" i="1" s="1"/>
  <c r="O2347" i="1" s="1"/>
  <c r="C2348" i="1" a="1"/>
  <c r="C2348" i="1" s="1"/>
  <c r="C2349" i="1" a="1"/>
  <c r="C2349" i="1" s="1"/>
  <c r="C2350" i="1" a="1"/>
  <c r="C2350" i="1" s="1"/>
  <c r="C2351" i="1" a="1"/>
  <c r="C2351" i="1" s="1"/>
  <c r="C2352" i="1" a="1"/>
  <c r="C2352" i="1" s="1"/>
  <c r="C2353" i="1" a="1"/>
  <c r="C2353" i="1" s="1"/>
  <c r="C2354" i="1" a="1"/>
  <c r="C2354" i="1" s="1"/>
  <c r="C2355" i="1" a="1"/>
  <c r="C2355" i="1" s="1"/>
  <c r="O2355" i="1" s="1"/>
  <c r="C2356" i="1" a="1"/>
  <c r="C2356" i="1" s="1"/>
  <c r="C2357" i="1" a="1"/>
  <c r="C2357" i="1" s="1"/>
  <c r="C2358" i="1" a="1"/>
  <c r="C2358" i="1" s="1"/>
  <c r="C2359" i="1" a="1"/>
  <c r="C2359" i="1" s="1"/>
  <c r="C2360" i="1" a="1"/>
  <c r="C2360" i="1" s="1"/>
  <c r="C2361" i="1" a="1"/>
  <c r="C2361" i="1" s="1"/>
  <c r="C2362" i="1" a="1"/>
  <c r="C2362" i="1" s="1"/>
  <c r="C2363" i="1" a="1"/>
  <c r="C2363" i="1" s="1"/>
  <c r="O2363" i="1" s="1"/>
  <c r="C2364" i="1" a="1"/>
  <c r="C2364" i="1" s="1"/>
  <c r="C2365" i="1" a="1"/>
  <c r="C2365" i="1" s="1"/>
  <c r="C2366" i="1" a="1"/>
  <c r="C2366" i="1" s="1"/>
  <c r="C2367" i="1" a="1"/>
  <c r="C2367" i="1" s="1"/>
  <c r="C2368" i="1" a="1"/>
  <c r="C2368" i="1" s="1"/>
  <c r="C2369" i="1" a="1"/>
  <c r="C2369" i="1" s="1"/>
  <c r="C2370" i="1" a="1"/>
  <c r="C2370" i="1" s="1"/>
  <c r="C2371" i="1" a="1"/>
  <c r="C2371" i="1" s="1"/>
  <c r="O2371" i="1" s="1"/>
  <c r="C2372" i="1" a="1"/>
  <c r="C2372" i="1" s="1"/>
  <c r="C2373" i="1" a="1"/>
  <c r="C2373" i="1" s="1"/>
  <c r="C2374" i="1" a="1"/>
  <c r="C2374" i="1" s="1"/>
  <c r="C2375" i="1" a="1"/>
  <c r="C2375" i="1" s="1"/>
  <c r="C2376" i="1" a="1"/>
  <c r="C2376" i="1" s="1"/>
  <c r="C2377" i="1" a="1"/>
  <c r="C2377" i="1" s="1"/>
  <c r="C2378" i="1" a="1"/>
  <c r="C2378" i="1" s="1"/>
  <c r="C2379" i="1" a="1"/>
  <c r="C2379" i="1" s="1"/>
  <c r="O2379" i="1" s="1"/>
  <c r="C2380" i="1" a="1"/>
  <c r="C2380" i="1" s="1"/>
  <c r="C2381" i="1" a="1"/>
  <c r="C2381" i="1" s="1"/>
  <c r="C2382" i="1" a="1"/>
  <c r="C2382" i="1" s="1"/>
  <c r="C2383" i="1" a="1"/>
  <c r="C2383" i="1" s="1"/>
  <c r="C2384" i="1" a="1"/>
  <c r="C2384" i="1" s="1"/>
  <c r="C2385" i="1" a="1"/>
  <c r="C2385" i="1" s="1"/>
  <c r="C2386" i="1" a="1"/>
  <c r="C2386" i="1" s="1"/>
  <c r="C2387" i="1" a="1"/>
  <c r="C2387" i="1" s="1"/>
  <c r="O2387" i="1" s="1"/>
  <c r="C2388" i="1" a="1"/>
  <c r="C2388" i="1" s="1"/>
  <c r="C2389" i="1" a="1"/>
  <c r="C2389" i="1" s="1"/>
  <c r="C2390" i="1" a="1"/>
  <c r="C2390" i="1" s="1"/>
  <c r="C2391" i="1" a="1"/>
  <c r="C2391" i="1" s="1"/>
  <c r="C2392" i="1" a="1"/>
  <c r="C2392" i="1" s="1"/>
  <c r="C2393" i="1" a="1"/>
  <c r="C2393" i="1" s="1"/>
  <c r="C2394" i="1" a="1"/>
  <c r="C2394" i="1" s="1"/>
  <c r="C2395" i="1" a="1"/>
  <c r="C2395" i="1" s="1"/>
  <c r="O2395" i="1" s="1"/>
  <c r="C2396" i="1" a="1"/>
  <c r="C2396" i="1" s="1"/>
  <c r="C2397" i="1" a="1"/>
  <c r="C2397" i="1" s="1"/>
  <c r="C2398" i="1" a="1"/>
  <c r="C2398" i="1" s="1"/>
  <c r="C2399" i="1" a="1"/>
  <c r="C2399" i="1" s="1"/>
  <c r="C2400" i="1" a="1"/>
  <c r="C2400" i="1" s="1"/>
  <c r="C2401" i="1" a="1"/>
  <c r="C2401" i="1" s="1"/>
  <c r="C2402" i="1" a="1"/>
  <c r="C2402" i="1" s="1"/>
  <c r="C2403" i="1" a="1"/>
  <c r="C2403" i="1" s="1"/>
  <c r="O2403" i="1" s="1"/>
  <c r="C2404" i="1" a="1"/>
  <c r="C2404" i="1" s="1"/>
  <c r="C2405" i="1" a="1"/>
  <c r="C2405" i="1" s="1"/>
  <c r="C2406" i="1" a="1"/>
  <c r="C2406" i="1" s="1"/>
  <c r="C2407" i="1" a="1"/>
  <c r="C2407" i="1" s="1"/>
  <c r="C2408" i="1" a="1"/>
  <c r="C2408" i="1" s="1"/>
  <c r="C2409" i="1" a="1"/>
  <c r="C2409" i="1" s="1"/>
  <c r="C2410" i="1" a="1"/>
  <c r="C2410" i="1" s="1"/>
  <c r="C2411" i="1" a="1"/>
  <c r="C2411" i="1" s="1"/>
  <c r="O2411" i="1" s="1"/>
  <c r="C2412" i="1" a="1"/>
  <c r="C2412" i="1" s="1"/>
  <c r="C2413" i="1" a="1"/>
  <c r="C2413" i="1" s="1"/>
  <c r="C2414" i="1" a="1"/>
  <c r="C2414" i="1" s="1"/>
  <c r="C2415" i="1" a="1"/>
  <c r="C2415" i="1" s="1"/>
  <c r="C2416" i="1" a="1"/>
  <c r="C2416" i="1" s="1"/>
  <c r="C2417" i="1" a="1"/>
  <c r="C2417" i="1" s="1"/>
  <c r="C2418" i="1" a="1"/>
  <c r="C2418" i="1" s="1"/>
  <c r="C2419" i="1" a="1"/>
  <c r="C2419" i="1" s="1"/>
  <c r="O2419" i="1" s="1"/>
  <c r="C2420" i="1" a="1"/>
  <c r="C2420" i="1" s="1"/>
  <c r="C2421" i="1" a="1"/>
  <c r="C2421" i="1" s="1"/>
  <c r="C2422" i="1" a="1"/>
  <c r="C2422" i="1" s="1"/>
  <c r="C2423" i="1" a="1"/>
  <c r="C2423" i="1" s="1"/>
  <c r="C2424" i="1" a="1"/>
  <c r="C2424" i="1" s="1"/>
  <c r="C2425" i="1" a="1"/>
  <c r="C2425" i="1" s="1"/>
  <c r="C2426" i="1" a="1"/>
  <c r="C2426" i="1" s="1"/>
  <c r="C2427" i="1" a="1"/>
  <c r="C2427" i="1" s="1"/>
  <c r="O2427" i="1" s="1"/>
  <c r="C2428" i="1" a="1"/>
  <c r="C2428" i="1" s="1"/>
  <c r="C2429" i="1" a="1"/>
  <c r="C2429" i="1" s="1"/>
  <c r="C2430" i="1" a="1"/>
  <c r="C2430" i="1" s="1"/>
  <c r="C2431" i="1" a="1"/>
  <c r="C2431" i="1" s="1"/>
  <c r="C2432" i="1" a="1"/>
  <c r="C2432" i="1" s="1"/>
  <c r="C2433" i="1" a="1"/>
  <c r="C2433" i="1" s="1"/>
  <c r="C2434" i="1" a="1"/>
  <c r="C2434" i="1" s="1"/>
  <c r="C2435" i="1" a="1"/>
  <c r="C2435" i="1" s="1"/>
  <c r="O2435" i="1" s="1"/>
  <c r="C2436" i="1" a="1"/>
  <c r="C2436" i="1" s="1"/>
  <c r="C2437" i="1" a="1"/>
  <c r="C2437" i="1" s="1"/>
  <c r="C2438" i="1" a="1"/>
  <c r="C2438" i="1" s="1"/>
  <c r="C2439" i="1" a="1"/>
  <c r="C2439" i="1" s="1"/>
  <c r="C2440" i="1" a="1"/>
  <c r="C2440" i="1" s="1"/>
  <c r="C2441" i="1" a="1"/>
  <c r="C2441" i="1" s="1"/>
  <c r="C2442" i="1" a="1"/>
  <c r="C2442" i="1" s="1"/>
  <c r="C2443" i="1" a="1"/>
  <c r="C2443" i="1" s="1"/>
  <c r="O2443" i="1" s="1"/>
  <c r="C2444" i="1" a="1"/>
  <c r="C2444" i="1" s="1"/>
  <c r="C2445" i="1" a="1"/>
  <c r="C2445" i="1" s="1"/>
  <c r="C2446" i="1" a="1"/>
  <c r="C2446" i="1" s="1"/>
  <c r="C2447" i="1" a="1"/>
  <c r="C2447" i="1" s="1"/>
  <c r="C2448" i="1" a="1"/>
  <c r="C2448" i="1" s="1"/>
  <c r="C2449" i="1" a="1"/>
  <c r="C2449" i="1" s="1"/>
  <c r="C2450" i="1" a="1"/>
  <c r="C2450" i="1" s="1"/>
  <c r="C2451" i="1" a="1"/>
  <c r="C2451" i="1" s="1"/>
  <c r="O2451" i="1" s="1"/>
  <c r="C2452" i="1" a="1"/>
  <c r="C2452" i="1" s="1"/>
  <c r="C2453" i="1" a="1"/>
  <c r="C2453" i="1" s="1"/>
  <c r="C2454" i="1" a="1"/>
  <c r="C2454" i="1" s="1"/>
  <c r="C2455" i="1" a="1"/>
  <c r="C2455" i="1" s="1"/>
  <c r="C2456" i="1" a="1"/>
  <c r="C2456" i="1" s="1"/>
  <c r="C2457" i="1" a="1"/>
  <c r="C2457" i="1" s="1"/>
  <c r="C2458" i="1" a="1"/>
  <c r="C2458" i="1" s="1"/>
  <c r="C2459" i="1" a="1"/>
  <c r="C2459" i="1" s="1"/>
  <c r="O2459" i="1" s="1"/>
  <c r="C2460" i="1" a="1"/>
  <c r="C2460" i="1" s="1"/>
  <c r="C2461" i="1" a="1"/>
  <c r="C2461" i="1" s="1"/>
  <c r="C2462" i="1" a="1"/>
  <c r="C2462" i="1" s="1"/>
  <c r="C2463" i="1" a="1"/>
  <c r="C2463" i="1" s="1"/>
  <c r="C2464" i="1" a="1"/>
  <c r="C2464" i="1" s="1"/>
  <c r="C2465" i="1" a="1"/>
  <c r="C2465" i="1" s="1"/>
  <c r="C2466" i="1" a="1"/>
  <c r="C2466" i="1" s="1"/>
  <c r="C2467" i="1" a="1"/>
  <c r="C2467" i="1" s="1"/>
  <c r="O2467" i="1" s="1"/>
  <c r="C2468" i="1" a="1"/>
  <c r="C2468" i="1" s="1"/>
  <c r="C2469" i="1" a="1"/>
  <c r="C2469" i="1" s="1"/>
  <c r="C2470" i="1" a="1"/>
  <c r="C2470" i="1" s="1"/>
  <c r="C2471" i="1" a="1"/>
  <c r="C2471" i="1" s="1"/>
  <c r="C2472" i="1" a="1"/>
  <c r="C2472" i="1" s="1"/>
  <c r="C2473" i="1" a="1"/>
  <c r="C2473" i="1" s="1"/>
  <c r="C2474" i="1" a="1"/>
  <c r="C2474" i="1" s="1"/>
  <c r="C2475" i="1" a="1"/>
  <c r="C2475" i="1" s="1"/>
  <c r="O2475" i="1" s="1"/>
  <c r="C2476" i="1" a="1"/>
  <c r="C2476" i="1" s="1"/>
  <c r="C2477" i="1" a="1"/>
  <c r="C2477" i="1" s="1"/>
  <c r="C2478" i="1" a="1"/>
  <c r="C2478" i="1" s="1"/>
  <c r="C2479" i="1" a="1"/>
  <c r="C2479" i="1" s="1"/>
  <c r="C2480" i="1" a="1"/>
  <c r="C2480" i="1" s="1"/>
  <c r="C2481" i="1" a="1"/>
  <c r="C2481" i="1" s="1"/>
  <c r="C2482" i="1" a="1"/>
  <c r="C2482" i="1" s="1"/>
  <c r="C2483" i="1" a="1"/>
  <c r="C2483" i="1" s="1"/>
  <c r="O2483" i="1" s="1"/>
  <c r="C2484" i="1" a="1"/>
  <c r="C2484" i="1" s="1"/>
  <c r="C2485" i="1" a="1"/>
  <c r="C2485" i="1" s="1"/>
  <c r="C2486" i="1" a="1"/>
  <c r="C2486" i="1" s="1"/>
  <c r="C2487" i="1" a="1"/>
  <c r="C2487" i="1" s="1"/>
  <c r="C2488" i="1" a="1"/>
  <c r="C2488" i="1" s="1"/>
  <c r="C2489" i="1" a="1"/>
  <c r="C2489" i="1" s="1"/>
  <c r="C2490" i="1" a="1"/>
  <c r="C2490" i="1" s="1"/>
  <c r="C2491" i="1" a="1"/>
  <c r="C2491" i="1" s="1"/>
  <c r="O2491" i="1" s="1"/>
  <c r="C2492" i="1" a="1"/>
  <c r="C2492" i="1" s="1"/>
  <c r="C2493" i="1" a="1"/>
  <c r="C2493" i="1" s="1"/>
  <c r="C2494" i="1" a="1"/>
  <c r="C2494" i="1" s="1"/>
  <c r="C2495" i="1" a="1"/>
  <c r="C2495" i="1" s="1"/>
  <c r="C2496" i="1" a="1"/>
  <c r="C2496" i="1" s="1"/>
  <c r="C2497" i="1" a="1"/>
  <c r="C2497" i="1" s="1"/>
  <c r="C2498" i="1" a="1"/>
  <c r="C2498" i="1" s="1"/>
  <c r="C2499" i="1" a="1"/>
  <c r="C2499" i="1" s="1"/>
  <c r="O2499" i="1" s="1"/>
  <c r="C2500" i="1" a="1"/>
  <c r="C2500" i="1" s="1"/>
  <c r="C2501" i="1" a="1"/>
  <c r="C2501" i="1" s="1"/>
  <c r="C2502" i="1" a="1"/>
  <c r="C2502" i="1" s="1"/>
  <c r="C2503" i="1" a="1"/>
  <c r="C2503" i="1" s="1"/>
  <c r="C2504" i="1" a="1"/>
  <c r="C2504" i="1" s="1"/>
  <c r="C2505" i="1" a="1"/>
  <c r="C2505" i="1" s="1"/>
  <c r="C2506" i="1" a="1"/>
  <c r="C2506" i="1" s="1"/>
  <c r="C2507" i="1" a="1"/>
  <c r="C2507" i="1" s="1"/>
  <c r="O2507" i="1" s="1"/>
  <c r="C2508" i="1" a="1"/>
  <c r="C2508" i="1" s="1"/>
  <c r="C2509" i="1" a="1"/>
  <c r="C2509" i="1" s="1"/>
  <c r="C2510" i="1" a="1"/>
  <c r="C2510" i="1" s="1"/>
  <c r="C2511" i="1" a="1"/>
  <c r="C2511" i="1" s="1"/>
  <c r="C2512" i="1" a="1"/>
  <c r="C2512" i="1" s="1"/>
  <c r="C2513" i="1" a="1"/>
  <c r="C2513" i="1" s="1"/>
  <c r="C2514" i="1" a="1"/>
  <c r="C2514" i="1" s="1"/>
  <c r="C2515" i="1" a="1"/>
  <c r="C2515" i="1" s="1"/>
  <c r="O2515" i="1" s="1"/>
  <c r="C2516" i="1" a="1"/>
  <c r="C2516" i="1" s="1"/>
  <c r="C2517" i="1" a="1"/>
  <c r="C2517" i="1" s="1"/>
  <c r="C2518" i="1" a="1"/>
  <c r="C2518" i="1" s="1"/>
  <c r="C2519" i="1" a="1"/>
  <c r="C2519" i="1" s="1"/>
  <c r="C2520" i="1" a="1"/>
  <c r="C2520" i="1" s="1"/>
  <c r="C2521" i="1" a="1"/>
  <c r="C2521" i="1" s="1"/>
  <c r="C2522" i="1" a="1"/>
  <c r="C2522" i="1" s="1"/>
  <c r="C2523" i="1" a="1"/>
  <c r="C2523" i="1" s="1"/>
  <c r="O2523" i="1" s="1"/>
  <c r="C2524" i="1" a="1"/>
  <c r="C2524" i="1" s="1"/>
  <c r="C2525" i="1" a="1"/>
  <c r="C2525" i="1" s="1"/>
  <c r="C2526" i="1" a="1"/>
  <c r="C2526" i="1" s="1"/>
  <c r="C2527" i="1" a="1"/>
  <c r="C2527" i="1" s="1"/>
  <c r="C2528" i="1" a="1"/>
  <c r="C2528" i="1" s="1"/>
  <c r="C2529" i="1" a="1"/>
  <c r="C2529" i="1" s="1"/>
  <c r="C2530" i="1" a="1"/>
  <c r="C2530" i="1" s="1"/>
  <c r="C2531" i="1" a="1"/>
  <c r="C2531" i="1" s="1"/>
  <c r="O2531" i="1" s="1"/>
  <c r="C2532" i="1" a="1"/>
  <c r="C2532" i="1" s="1"/>
  <c r="C2533" i="1" a="1"/>
  <c r="C2533" i="1" s="1"/>
  <c r="C2534" i="1" a="1"/>
  <c r="C2534" i="1" s="1"/>
  <c r="C2535" i="1" a="1"/>
  <c r="C2535" i="1" s="1"/>
  <c r="C2536" i="1" a="1"/>
  <c r="C2536" i="1" s="1"/>
  <c r="C2537" i="1" a="1"/>
  <c r="C2537" i="1" s="1"/>
  <c r="C2538" i="1" a="1"/>
  <c r="C2538" i="1" s="1"/>
  <c r="C2539" i="1" a="1"/>
  <c r="C2539" i="1" s="1"/>
  <c r="O2539" i="1" s="1"/>
  <c r="C2540" i="1" a="1"/>
  <c r="C2540" i="1" s="1"/>
  <c r="C2541" i="1" a="1"/>
  <c r="C2541" i="1" s="1"/>
  <c r="C2542" i="1" a="1"/>
  <c r="C2542" i="1" s="1"/>
  <c r="C2543" i="1" a="1"/>
  <c r="C2543" i="1" s="1"/>
  <c r="C2544" i="1" a="1"/>
  <c r="C2544" i="1" s="1"/>
  <c r="C2545" i="1" a="1"/>
  <c r="C2545" i="1" s="1"/>
  <c r="C2546" i="1" a="1"/>
  <c r="C2546" i="1" s="1"/>
  <c r="C2547" i="1" a="1"/>
  <c r="C2547" i="1" s="1"/>
  <c r="O2547" i="1" s="1"/>
  <c r="C2548" i="1" a="1"/>
  <c r="C2548" i="1" s="1"/>
  <c r="C2549" i="1" a="1"/>
  <c r="C2549" i="1" s="1"/>
  <c r="C2550" i="1" a="1"/>
  <c r="C2550" i="1" s="1"/>
  <c r="C2551" i="1" a="1"/>
  <c r="C2551" i="1" s="1"/>
  <c r="C2552" i="1" a="1"/>
  <c r="C2552" i="1" s="1"/>
  <c r="C2553" i="1" a="1"/>
  <c r="C2553" i="1" s="1"/>
  <c r="C2554" i="1" a="1"/>
  <c r="C2554" i="1" s="1"/>
  <c r="C2555" i="1" a="1"/>
  <c r="C2555" i="1" s="1"/>
  <c r="O2555" i="1" s="1"/>
  <c r="C2556" i="1" a="1"/>
  <c r="C2556" i="1" s="1"/>
  <c r="C2557" i="1" a="1"/>
  <c r="C2557" i="1" s="1"/>
  <c r="C2558" i="1" a="1"/>
  <c r="C2558" i="1" s="1"/>
  <c r="C2559" i="1" a="1"/>
  <c r="C2559" i="1" s="1"/>
  <c r="C2560" i="1" a="1"/>
  <c r="C2560" i="1" s="1"/>
  <c r="C2561" i="1" a="1"/>
  <c r="C2561" i="1" s="1"/>
  <c r="C2562" i="1" a="1"/>
  <c r="C2562" i="1" s="1"/>
  <c r="C2563" i="1" a="1"/>
  <c r="C2563" i="1" s="1"/>
  <c r="O2563" i="1" s="1"/>
  <c r="C2564" i="1" a="1"/>
  <c r="C2564" i="1" s="1"/>
  <c r="C2565" i="1" a="1"/>
  <c r="C2565" i="1" s="1"/>
  <c r="C2566" i="1" a="1"/>
  <c r="C2566" i="1" s="1"/>
  <c r="C2567" i="1" a="1"/>
  <c r="C2567" i="1" s="1"/>
  <c r="C2568" i="1" a="1"/>
  <c r="C2568" i="1" s="1"/>
  <c r="C2569" i="1" a="1"/>
  <c r="C2569" i="1" s="1"/>
  <c r="C2570" i="1" a="1"/>
  <c r="C2570" i="1" s="1"/>
  <c r="C2571" i="1" a="1"/>
  <c r="C2571" i="1" s="1"/>
  <c r="O2571" i="1" s="1"/>
  <c r="C2572" i="1" a="1"/>
  <c r="C2572" i="1" s="1"/>
  <c r="C2573" i="1" a="1"/>
  <c r="C2573" i="1" s="1"/>
  <c r="C2574" i="1" a="1"/>
  <c r="C2574" i="1" s="1"/>
  <c r="C2575" i="1" a="1"/>
  <c r="C2575" i="1" s="1"/>
  <c r="C2576" i="1" a="1"/>
  <c r="C2576" i="1" s="1"/>
  <c r="C2577" i="1" a="1"/>
  <c r="C2577" i="1" s="1"/>
  <c r="C2578" i="1" a="1"/>
  <c r="C2578" i="1" s="1"/>
  <c r="C2579" i="1" a="1"/>
  <c r="C2579" i="1" s="1"/>
  <c r="O2579" i="1" s="1"/>
  <c r="C2580" i="1" a="1"/>
  <c r="C2580" i="1" s="1"/>
  <c r="C2581" i="1" a="1"/>
  <c r="C2581" i="1" s="1"/>
  <c r="C2582" i="1" a="1"/>
  <c r="C2582" i="1" s="1"/>
  <c r="C2583" i="1" a="1"/>
  <c r="C2583" i="1" s="1"/>
  <c r="C2584" i="1" a="1"/>
  <c r="C2584" i="1" s="1"/>
  <c r="C2585" i="1" a="1"/>
  <c r="C2585" i="1" s="1"/>
  <c r="C2586" i="1" a="1"/>
  <c r="C2586" i="1" s="1"/>
  <c r="C2587" i="1" a="1"/>
  <c r="C2587" i="1" s="1"/>
  <c r="O2587" i="1" s="1"/>
  <c r="C2588" i="1" a="1"/>
  <c r="C2588" i="1" s="1"/>
  <c r="C2589" i="1" a="1"/>
  <c r="C2589" i="1" s="1"/>
  <c r="C2590" i="1" a="1"/>
  <c r="C2590" i="1" s="1"/>
  <c r="C2591" i="1" a="1"/>
  <c r="C2591" i="1" s="1"/>
  <c r="C2592" i="1" a="1"/>
  <c r="C2592" i="1" s="1"/>
  <c r="C2593" i="1" a="1"/>
  <c r="C2593" i="1" s="1"/>
  <c r="C2594" i="1" a="1"/>
  <c r="C2594" i="1" s="1"/>
  <c r="C2595" i="1" a="1"/>
  <c r="C2595" i="1" s="1"/>
  <c r="O2595" i="1" s="1"/>
  <c r="C2596" i="1" a="1"/>
  <c r="C2596" i="1" s="1"/>
  <c r="C2597" i="1" a="1"/>
  <c r="C2597" i="1" s="1"/>
  <c r="C2598" i="1" a="1"/>
  <c r="C2598" i="1" s="1"/>
  <c r="C2599" i="1" a="1"/>
  <c r="C2599" i="1" s="1"/>
  <c r="C2600" i="1" a="1"/>
  <c r="C2600" i="1" s="1"/>
  <c r="C2601" i="1" a="1"/>
  <c r="C2601" i="1" s="1"/>
  <c r="C2602" i="1" a="1"/>
  <c r="C2602" i="1" s="1"/>
  <c r="C2603" i="1" a="1"/>
  <c r="C2603" i="1" s="1"/>
  <c r="O2603" i="1" s="1"/>
  <c r="C2604" i="1" a="1"/>
  <c r="C2604" i="1" s="1"/>
  <c r="C2605" i="1" a="1"/>
  <c r="C2605" i="1" s="1"/>
  <c r="C2606" i="1" a="1"/>
  <c r="C2606" i="1" s="1"/>
  <c r="C2607" i="1" a="1"/>
  <c r="C2607" i="1" s="1"/>
  <c r="C2608" i="1" a="1"/>
  <c r="C2608" i="1" s="1"/>
  <c r="C2609" i="1" a="1"/>
  <c r="C2609" i="1" s="1"/>
  <c r="C2610" i="1" a="1"/>
  <c r="C2610" i="1" s="1"/>
  <c r="C2611" i="1" a="1"/>
  <c r="C2611" i="1" s="1"/>
  <c r="O2611" i="1" s="1"/>
  <c r="C2612" i="1" a="1"/>
  <c r="C2612" i="1" s="1"/>
  <c r="C2613" i="1" a="1"/>
  <c r="C2613" i="1" s="1"/>
  <c r="C2614" i="1" a="1"/>
  <c r="C2614" i="1" s="1"/>
  <c r="C2615" i="1" a="1"/>
  <c r="C2615" i="1" s="1"/>
  <c r="C2616" i="1" a="1"/>
  <c r="C2616" i="1" s="1"/>
  <c r="C2617" i="1" a="1"/>
  <c r="C2617" i="1" s="1"/>
  <c r="C2618" i="1" a="1"/>
  <c r="C2618" i="1" s="1"/>
  <c r="C2619" i="1" a="1"/>
  <c r="C2619" i="1" s="1"/>
  <c r="O2619" i="1" s="1"/>
  <c r="C2620" i="1" a="1"/>
  <c r="C2620" i="1" s="1"/>
  <c r="C2621" i="1" a="1"/>
  <c r="C2621" i="1" s="1"/>
  <c r="C2622" i="1" a="1"/>
  <c r="C2622" i="1" s="1"/>
  <c r="C2623" i="1" a="1"/>
  <c r="C2623" i="1" s="1"/>
  <c r="C2624" i="1" a="1"/>
  <c r="C2624" i="1" s="1"/>
  <c r="C2625" i="1" a="1"/>
  <c r="C2625" i="1" s="1"/>
  <c r="C2626" i="1" a="1"/>
  <c r="C2626" i="1" s="1"/>
  <c r="C2627" i="1" a="1"/>
  <c r="C2627" i="1" s="1"/>
  <c r="O2627" i="1" s="1"/>
  <c r="C2628" i="1" a="1"/>
  <c r="C2628" i="1" s="1"/>
  <c r="C2629" i="1" a="1"/>
  <c r="C2629" i="1" s="1"/>
  <c r="C2630" i="1" a="1"/>
  <c r="C2630" i="1" s="1"/>
  <c r="C2631" i="1" a="1"/>
  <c r="C2631" i="1" s="1"/>
  <c r="C2632" i="1" a="1"/>
  <c r="C2632" i="1" s="1"/>
  <c r="C2633" i="1" a="1"/>
  <c r="C2633" i="1" s="1"/>
  <c r="C2634" i="1" a="1"/>
  <c r="C2634" i="1" s="1"/>
  <c r="C2635" i="1" a="1"/>
  <c r="C2635" i="1" s="1"/>
  <c r="O2635" i="1" s="1"/>
  <c r="C2636" i="1" a="1"/>
  <c r="C2636" i="1" s="1"/>
  <c r="C2637" i="1" a="1"/>
  <c r="C2637" i="1" s="1"/>
  <c r="C2638" i="1" a="1"/>
  <c r="C2638" i="1" s="1"/>
  <c r="C2639" i="1" a="1"/>
  <c r="C2639" i="1" s="1"/>
  <c r="C2640" i="1" a="1"/>
  <c r="C2640" i="1" s="1"/>
  <c r="C2641" i="1" a="1"/>
  <c r="C2641" i="1" s="1"/>
  <c r="C2642" i="1" a="1"/>
  <c r="C2642" i="1" s="1"/>
  <c r="C2643" i="1" a="1"/>
  <c r="C2643" i="1" s="1"/>
  <c r="O2643" i="1" s="1"/>
  <c r="C2644" i="1" a="1"/>
  <c r="C2644" i="1" s="1"/>
  <c r="C2645" i="1" a="1"/>
  <c r="C2645" i="1" s="1"/>
  <c r="C2646" i="1" a="1"/>
  <c r="C2646" i="1" s="1"/>
  <c r="C2647" i="1" a="1"/>
  <c r="C2647" i="1" s="1"/>
  <c r="C2648" i="1" a="1"/>
  <c r="C2648" i="1" s="1"/>
  <c r="C2649" i="1" a="1"/>
  <c r="C2649" i="1" s="1"/>
  <c r="C2650" i="1" a="1"/>
  <c r="C2650" i="1" s="1"/>
  <c r="C2651" i="1" a="1"/>
  <c r="C2651" i="1" s="1"/>
  <c r="O2651" i="1" s="1"/>
  <c r="C2652" i="1" a="1"/>
  <c r="C2652" i="1" s="1"/>
  <c r="C2653" i="1" a="1"/>
  <c r="C2653" i="1" s="1"/>
  <c r="C2654" i="1" a="1"/>
  <c r="C2654" i="1" s="1"/>
  <c r="C2655" i="1" a="1"/>
  <c r="C2655" i="1" s="1"/>
  <c r="C2656" i="1" a="1"/>
  <c r="C2656" i="1" s="1"/>
  <c r="C2657" i="1" a="1"/>
  <c r="C2657" i="1" s="1"/>
  <c r="C2658" i="1" a="1"/>
  <c r="C2658" i="1" s="1"/>
  <c r="C2659" i="1" a="1"/>
  <c r="C2659" i="1" s="1"/>
  <c r="O2659" i="1" s="1"/>
  <c r="C2660" i="1" a="1"/>
  <c r="C2660" i="1" s="1"/>
  <c r="C2661" i="1" a="1"/>
  <c r="C2661" i="1" s="1"/>
  <c r="C2662" i="1" a="1"/>
  <c r="C2662" i="1" s="1"/>
  <c r="C2663" i="1" a="1"/>
  <c r="C2663" i="1" s="1"/>
  <c r="C2664" i="1" a="1"/>
  <c r="C2664" i="1" s="1"/>
  <c r="C2665" i="1" a="1"/>
  <c r="C2665" i="1" s="1"/>
  <c r="C2666" i="1" a="1"/>
  <c r="C2666" i="1" s="1"/>
  <c r="C2667" i="1" a="1"/>
  <c r="C2667" i="1" s="1"/>
  <c r="O2667" i="1" s="1"/>
  <c r="C2668" i="1" a="1"/>
  <c r="C2668" i="1" s="1"/>
  <c r="C2669" i="1" a="1"/>
  <c r="C2669" i="1" s="1"/>
  <c r="C2670" i="1" a="1"/>
  <c r="C2670" i="1" s="1"/>
  <c r="C2671" i="1" a="1"/>
  <c r="C2671" i="1" s="1"/>
  <c r="C2672" i="1" a="1"/>
  <c r="C2672" i="1" s="1"/>
  <c r="C2673" i="1" a="1"/>
  <c r="C2673" i="1" s="1"/>
  <c r="C2674" i="1" a="1"/>
  <c r="C2674" i="1" s="1"/>
  <c r="C2675" i="1" a="1"/>
  <c r="C2675" i="1" s="1"/>
  <c r="O2675" i="1" s="1"/>
  <c r="C2676" i="1" a="1"/>
  <c r="C2676" i="1" s="1"/>
  <c r="C2677" i="1" a="1"/>
  <c r="C2677" i="1" s="1"/>
  <c r="C2678" i="1" a="1"/>
  <c r="C2678" i="1" s="1"/>
  <c r="C2679" i="1" a="1"/>
  <c r="C2679" i="1" s="1"/>
  <c r="C2680" i="1" a="1"/>
  <c r="C2680" i="1" s="1"/>
  <c r="C2681" i="1" a="1"/>
  <c r="C2681" i="1" s="1"/>
  <c r="C2682" i="1" a="1"/>
  <c r="C2682" i="1" s="1"/>
  <c r="C2683" i="1" a="1"/>
  <c r="C2683" i="1" s="1"/>
  <c r="O2683" i="1" s="1"/>
  <c r="C2684" i="1" a="1"/>
  <c r="C2684" i="1" s="1"/>
  <c r="C2685" i="1" a="1"/>
  <c r="C2685" i="1" s="1"/>
  <c r="C2686" i="1" a="1"/>
  <c r="C2686" i="1" s="1"/>
  <c r="C2687" i="1" a="1"/>
  <c r="C2687" i="1" s="1"/>
  <c r="C2688" i="1" a="1"/>
  <c r="C2688" i="1" s="1"/>
  <c r="C2689" i="1" a="1"/>
  <c r="C2689" i="1" s="1"/>
  <c r="C2690" i="1" a="1"/>
  <c r="C2690" i="1" s="1"/>
  <c r="C2691" i="1" a="1"/>
  <c r="C2691" i="1" s="1"/>
  <c r="O2691" i="1" s="1"/>
  <c r="C2692" i="1" a="1"/>
  <c r="C2692" i="1" s="1"/>
  <c r="C2693" i="1" a="1"/>
  <c r="C2693" i="1" s="1"/>
  <c r="C2694" i="1" a="1"/>
  <c r="C2694" i="1" s="1"/>
  <c r="C2695" i="1" a="1"/>
  <c r="C2695" i="1" s="1"/>
  <c r="C2696" i="1" a="1"/>
  <c r="C2696" i="1" s="1"/>
  <c r="C2697" i="1" a="1"/>
  <c r="C2697" i="1" s="1"/>
  <c r="C2698" i="1" a="1"/>
  <c r="C2698" i="1" s="1"/>
  <c r="C2699" i="1" a="1"/>
  <c r="C2699" i="1" s="1"/>
  <c r="O2699" i="1" s="1"/>
  <c r="C2700" i="1" a="1"/>
  <c r="C2700" i="1" s="1"/>
  <c r="C2701" i="1" a="1"/>
  <c r="C2701" i="1" s="1"/>
  <c r="C2702" i="1" a="1"/>
  <c r="C2702" i="1" s="1"/>
  <c r="C2703" i="1" a="1"/>
  <c r="C2703" i="1" s="1"/>
  <c r="C2704" i="1" a="1"/>
  <c r="C2704" i="1" s="1"/>
  <c r="C2705" i="1" a="1"/>
  <c r="C2705" i="1" s="1"/>
  <c r="C2706" i="1" a="1"/>
  <c r="C2706" i="1" s="1"/>
  <c r="C2707" i="1" a="1"/>
  <c r="C2707" i="1" s="1"/>
  <c r="O2707" i="1" s="1"/>
  <c r="C2708" i="1" a="1"/>
  <c r="C2708" i="1" s="1"/>
  <c r="C2709" i="1" a="1"/>
  <c r="C2709" i="1" s="1"/>
  <c r="C2710" i="1" a="1"/>
  <c r="C2710" i="1" s="1"/>
  <c r="C2711" i="1" a="1"/>
  <c r="C2711" i="1" s="1"/>
  <c r="C2712" i="1" a="1"/>
  <c r="C2712" i="1" s="1"/>
  <c r="C2713" i="1" a="1"/>
  <c r="C2713" i="1" s="1"/>
  <c r="C2714" i="1" a="1"/>
  <c r="C2714" i="1" s="1"/>
  <c r="C2715" i="1" a="1"/>
  <c r="C2715" i="1" s="1"/>
  <c r="O2715" i="1" s="1"/>
  <c r="C2716" i="1" a="1"/>
  <c r="C2716" i="1" s="1"/>
  <c r="C2717" i="1" a="1"/>
  <c r="C2717" i="1" s="1"/>
  <c r="C2718" i="1" a="1"/>
  <c r="C2718" i="1" s="1"/>
  <c r="C2719" i="1" a="1"/>
  <c r="C2719" i="1" s="1"/>
  <c r="C2720" i="1" a="1"/>
  <c r="C2720" i="1" s="1"/>
  <c r="C2721" i="1" a="1"/>
  <c r="C2721" i="1" s="1"/>
  <c r="C2722" i="1" a="1"/>
  <c r="C2722" i="1" s="1"/>
  <c r="C2723" i="1" a="1"/>
  <c r="C2723" i="1" s="1"/>
  <c r="O2723" i="1" s="1"/>
  <c r="C2724" i="1" a="1"/>
  <c r="C2724" i="1" s="1"/>
  <c r="C2725" i="1" a="1"/>
  <c r="C2725" i="1" s="1"/>
  <c r="C2726" i="1" a="1"/>
  <c r="C2726" i="1" s="1"/>
  <c r="C2727" i="1" a="1"/>
  <c r="C2727" i="1" s="1"/>
  <c r="C2728" i="1" a="1"/>
  <c r="C2728" i="1" s="1"/>
  <c r="C2729" i="1" a="1"/>
  <c r="C2729" i="1" s="1"/>
  <c r="C2730" i="1" a="1"/>
  <c r="C2730" i="1" s="1"/>
  <c r="C2731" i="1" a="1"/>
  <c r="C2731" i="1" s="1"/>
  <c r="O2731" i="1" s="1"/>
  <c r="C2732" i="1" a="1"/>
  <c r="C2732" i="1" s="1"/>
  <c r="C2733" i="1" a="1"/>
  <c r="C2733" i="1" s="1"/>
  <c r="C2734" i="1" a="1"/>
  <c r="C2734" i="1" s="1"/>
  <c r="C2735" i="1" a="1"/>
  <c r="C2735" i="1" s="1"/>
  <c r="C2736" i="1" a="1"/>
  <c r="C2736" i="1" s="1"/>
  <c r="C2737" i="1" a="1"/>
  <c r="C2737" i="1" s="1"/>
  <c r="C2738" i="1" a="1"/>
  <c r="C2738" i="1" s="1"/>
  <c r="C2739" i="1" a="1"/>
  <c r="C2739" i="1" s="1"/>
  <c r="O2739" i="1" s="1"/>
  <c r="C2740" i="1" a="1"/>
  <c r="C2740" i="1" s="1"/>
  <c r="C2741" i="1" a="1"/>
  <c r="C2741" i="1" s="1"/>
  <c r="C2742" i="1" a="1"/>
  <c r="C2742" i="1" s="1"/>
  <c r="C2743" i="1" a="1"/>
  <c r="C2743" i="1" s="1"/>
  <c r="C2744" i="1" a="1"/>
  <c r="C2744" i="1" s="1"/>
  <c r="C2745" i="1" a="1"/>
  <c r="C2745" i="1" s="1"/>
  <c r="C2746" i="1" a="1"/>
  <c r="C2746" i="1" s="1"/>
  <c r="C2747" i="1" a="1"/>
  <c r="C2747" i="1" s="1"/>
  <c r="O2747" i="1" s="1"/>
  <c r="C2748" i="1" a="1"/>
  <c r="C2748" i="1" s="1"/>
  <c r="C2749" i="1" a="1"/>
  <c r="C2749" i="1" s="1"/>
  <c r="C2750" i="1" a="1"/>
  <c r="C2750" i="1" s="1"/>
  <c r="C2751" i="1" a="1"/>
  <c r="C2751" i="1" s="1"/>
  <c r="C2752" i="1" a="1"/>
  <c r="C2752" i="1" s="1"/>
  <c r="C2753" i="1" a="1"/>
  <c r="C2753" i="1" s="1"/>
  <c r="C2754" i="1" a="1"/>
  <c r="C2754" i="1" s="1"/>
  <c r="C2755" i="1" a="1"/>
  <c r="C2755" i="1" s="1"/>
  <c r="O2755" i="1" s="1"/>
  <c r="C2756" i="1" a="1"/>
  <c r="C2756" i="1" s="1"/>
  <c r="C2757" i="1" a="1"/>
  <c r="C2757" i="1" s="1"/>
  <c r="C2758" i="1" a="1"/>
  <c r="C2758" i="1" s="1"/>
  <c r="C2759" i="1" a="1"/>
  <c r="C2759" i="1" s="1"/>
  <c r="C2760" i="1" a="1"/>
  <c r="C2760" i="1" s="1"/>
  <c r="C2761" i="1" a="1"/>
  <c r="C2761" i="1" s="1"/>
  <c r="C2762" i="1" a="1"/>
  <c r="C2762" i="1" s="1"/>
  <c r="C2763" i="1" a="1"/>
  <c r="C2763" i="1" s="1"/>
  <c r="O2763" i="1" s="1"/>
  <c r="C2764" i="1" a="1"/>
  <c r="C2764" i="1" s="1"/>
  <c r="C2765" i="1" a="1"/>
  <c r="C2765" i="1" s="1"/>
  <c r="C2766" i="1" a="1"/>
  <c r="C2766" i="1" s="1"/>
  <c r="C2767" i="1" a="1"/>
  <c r="C2767" i="1" s="1"/>
  <c r="C2768" i="1" a="1"/>
  <c r="C2768" i="1" s="1"/>
  <c r="C2769" i="1" a="1"/>
  <c r="C2769" i="1" s="1"/>
  <c r="C2770" i="1" a="1"/>
  <c r="C2770" i="1" s="1"/>
  <c r="C2771" i="1" a="1"/>
  <c r="C2771" i="1" s="1"/>
  <c r="O2771" i="1" s="1"/>
  <c r="C2772" i="1" a="1"/>
  <c r="C2772" i="1" s="1"/>
  <c r="C2773" i="1" a="1"/>
  <c r="C2773" i="1" s="1"/>
  <c r="C2774" i="1" a="1"/>
  <c r="C2774" i="1" s="1"/>
  <c r="C2775" i="1" a="1"/>
  <c r="C2775" i="1" s="1"/>
  <c r="C2776" i="1" a="1"/>
  <c r="C2776" i="1" s="1"/>
  <c r="C2777" i="1" a="1"/>
  <c r="C2777" i="1" s="1"/>
  <c r="C2778" i="1" a="1"/>
  <c r="C2778" i="1" s="1"/>
  <c r="C2779" i="1" a="1"/>
  <c r="C2779" i="1" s="1"/>
  <c r="O2779" i="1" s="1"/>
  <c r="C2780" i="1" a="1"/>
  <c r="C2780" i="1" s="1"/>
  <c r="C2781" i="1" a="1"/>
  <c r="C2781" i="1" s="1"/>
  <c r="C2782" i="1" a="1"/>
  <c r="C2782" i="1" s="1"/>
  <c r="C2783" i="1" a="1"/>
  <c r="C2783" i="1" s="1"/>
  <c r="C2784" i="1" a="1"/>
  <c r="C2784" i="1" s="1"/>
  <c r="C2785" i="1" a="1"/>
  <c r="C2785" i="1" s="1"/>
  <c r="C2786" i="1" a="1"/>
  <c r="C2786" i="1" s="1"/>
  <c r="C2787" i="1" a="1"/>
  <c r="C2787" i="1" s="1"/>
  <c r="O2787" i="1" s="1"/>
  <c r="C2788" i="1" a="1"/>
  <c r="C2788" i="1" s="1"/>
  <c r="C2789" i="1" a="1"/>
  <c r="C2789" i="1" s="1"/>
  <c r="C2790" i="1" a="1"/>
  <c r="C2790" i="1" s="1"/>
  <c r="C2791" i="1" a="1"/>
  <c r="C2791" i="1" s="1"/>
  <c r="C2792" i="1" a="1"/>
  <c r="C2792" i="1" s="1"/>
  <c r="C2793" i="1" a="1"/>
  <c r="C2793" i="1" s="1"/>
  <c r="C2794" i="1" a="1"/>
  <c r="C2794" i="1" s="1"/>
  <c r="C2795" i="1" a="1"/>
  <c r="C2795" i="1" s="1"/>
  <c r="O2795" i="1" s="1"/>
  <c r="C2796" i="1" a="1"/>
  <c r="C2796" i="1" s="1"/>
  <c r="C2797" i="1" a="1"/>
  <c r="C2797" i="1" s="1"/>
  <c r="C2798" i="1" a="1"/>
  <c r="C2798" i="1" s="1"/>
  <c r="C2799" i="1" a="1"/>
  <c r="C2799" i="1" s="1"/>
  <c r="C2800" i="1" a="1"/>
  <c r="C2800" i="1" s="1"/>
  <c r="C2801" i="1" a="1"/>
  <c r="C2801" i="1" s="1"/>
  <c r="C2802" i="1" a="1"/>
  <c r="C2802" i="1" s="1"/>
  <c r="C2803" i="1" a="1"/>
  <c r="C2803" i="1" s="1"/>
  <c r="O2803" i="1" s="1"/>
  <c r="C2804" i="1" a="1"/>
  <c r="C2804" i="1" s="1"/>
  <c r="C2805" i="1" a="1"/>
  <c r="C2805" i="1" s="1"/>
  <c r="C2806" i="1" a="1"/>
  <c r="C2806" i="1" s="1"/>
  <c r="C2807" i="1" a="1"/>
  <c r="C2807" i="1" s="1"/>
  <c r="C2808" i="1" a="1"/>
  <c r="C2808" i="1" s="1"/>
  <c r="C2809" i="1" a="1"/>
  <c r="C2809" i="1" s="1"/>
  <c r="C2810" i="1" a="1"/>
  <c r="C2810" i="1" s="1"/>
  <c r="C2811" i="1" a="1"/>
  <c r="C2811" i="1" s="1"/>
  <c r="O2811" i="1" s="1"/>
  <c r="C2812" i="1" a="1"/>
  <c r="C2812" i="1" s="1"/>
  <c r="C2813" i="1" a="1"/>
  <c r="C2813" i="1" s="1"/>
  <c r="C2814" i="1" a="1"/>
  <c r="C2814" i="1" s="1"/>
  <c r="C2815" i="1" a="1"/>
  <c r="C2815" i="1" s="1"/>
  <c r="C2816" i="1" a="1"/>
  <c r="C2816" i="1" s="1"/>
  <c r="C2817" i="1" a="1"/>
  <c r="C2817" i="1" s="1"/>
  <c r="C2818" i="1" a="1"/>
  <c r="C2818" i="1" s="1"/>
  <c r="C2819" i="1" a="1"/>
  <c r="C2819" i="1" s="1"/>
  <c r="O2819" i="1" s="1"/>
  <c r="C2820" i="1" a="1"/>
  <c r="C2820" i="1" s="1"/>
  <c r="C2821" i="1" a="1"/>
  <c r="C2821" i="1" s="1"/>
  <c r="C2822" i="1" a="1"/>
  <c r="C2822" i="1" s="1"/>
  <c r="C2823" i="1" a="1"/>
  <c r="C2823" i="1" s="1"/>
  <c r="C2824" i="1" a="1"/>
  <c r="C2824" i="1" s="1"/>
  <c r="C2825" i="1" a="1"/>
  <c r="C2825" i="1" s="1"/>
  <c r="C2826" i="1" a="1"/>
  <c r="C2826" i="1" s="1"/>
  <c r="C2827" i="1" a="1"/>
  <c r="C2827" i="1" s="1"/>
  <c r="O2827" i="1" s="1"/>
  <c r="C2828" i="1" a="1"/>
  <c r="C2828" i="1" s="1"/>
  <c r="C2829" i="1" a="1"/>
  <c r="C2829" i="1" s="1"/>
  <c r="C2830" i="1" a="1"/>
  <c r="C2830" i="1" s="1"/>
  <c r="C2831" i="1" a="1"/>
  <c r="C2831" i="1" s="1"/>
  <c r="C2832" i="1" a="1"/>
  <c r="C2832" i="1" s="1"/>
  <c r="C2833" i="1" a="1"/>
  <c r="C2833" i="1" s="1"/>
  <c r="C2834" i="1" a="1"/>
  <c r="C2834" i="1" s="1"/>
  <c r="C2835" i="1" a="1"/>
  <c r="C2835" i="1" s="1"/>
  <c r="O2835" i="1" s="1"/>
  <c r="C2836" i="1" a="1"/>
  <c r="C2836" i="1" s="1"/>
  <c r="C2837" i="1" a="1"/>
  <c r="C2837" i="1" s="1"/>
  <c r="C2838" i="1" a="1"/>
  <c r="C2838" i="1" s="1"/>
  <c r="C2839" i="1" a="1"/>
  <c r="C2839" i="1" s="1"/>
  <c r="C2840" i="1" a="1"/>
  <c r="C2840" i="1" s="1"/>
  <c r="C2841" i="1" a="1"/>
  <c r="C2841" i="1" s="1"/>
  <c r="C2842" i="1" a="1"/>
  <c r="C2842" i="1" s="1"/>
  <c r="C2843" i="1" a="1"/>
  <c r="C2843" i="1" s="1"/>
  <c r="O2843" i="1" s="1"/>
  <c r="C2844" i="1" a="1"/>
  <c r="C2844" i="1" s="1"/>
  <c r="C2845" i="1" a="1"/>
  <c r="C2845" i="1" s="1"/>
  <c r="C2846" i="1" a="1"/>
  <c r="C2846" i="1" s="1"/>
  <c r="C2847" i="1" a="1"/>
  <c r="C2847" i="1" s="1"/>
  <c r="C2848" i="1" a="1"/>
  <c r="C2848" i="1" s="1"/>
  <c r="C2849" i="1" a="1"/>
  <c r="C2849" i="1" s="1"/>
  <c r="C2850" i="1" a="1"/>
  <c r="C2850" i="1" s="1"/>
  <c r="C2851" i="1" a="1"/>
  <c r="C2851" i="1" s="1"/>
  <c r="O2851" i="1" s="1"/>
  <c r="C2852" i="1" a="1"/>
  <c r="C2852" i="1" s="1"/>
  <c r="C2853" i="1" a="1"/>
  <c r="C2853" i="1" s="1"/>
  <c r="C2854" i="1" a="1"/>
  <c r="C2854" i="1" s="1"/>
  <c r="C2855" i="1" a="1"/>
  <c r="C2855" i="1" s="1"/>
  <c r="C2856" i="1" a="1"/>
  <c r="C2856" i="1" s="1"/>
  <c r="C2857" i="1" a="1"/>
  <c r="C2857" i="1" s="1"/>
  <c r="C2858" i="1" a="1"/>
  <c r="C2858" i="1" s="1"/>
  <c r="C2859" i="1" a="1"/>
  <c r="C2859" i="1" s="1"/>
  <c r="O2859" i="1" s="1"/>
  <c r="C2860" i="1" a="1"/>
  <c r="C2860" i="1" s="1"/>
  <c r="C2861" i="1" a="1"/>
  <c r="C2861" i="1" s="1"/>
  <c r="C2862" i="1" a="1"/>
  <c r="C2862" i="1" s="1"/>
  <c r="C2863" i="1" a="1"/>
  <c r="C2863" i="1" s="1"/>
  <c r="C2864" i="1" a="1"/>
  <c r="C2864" i="1" s="1"/>
  <c r="C2865" i="1" a="1"/>
  <c r="C2865" i="1" s="1"/>
  <c r="C2866" i="1" a="1"/>
  <c r="C2866" i="1" s="1"/>
  <c r="C2867" i="1" a="1"/>
  <c r="C2867" i="1" s="1"/>
  <c r="O2867" i="1" s="1"/>
  <c r="C2868" i="1" a="1"/>
  <c r="C2868" i="1" s="1"/>
  <c r="C2869" i="1" a="1"/>
  <c r="C2869" i="1" s="1"/>
  <c r="C2870" i="1" a="1"/>
  <c r="C2870" i="1" s="1"/>
  <c r="C2871" i="1" a="1"/>
  <c r="C2871" i="1" s="1"/>
  <c r="C2872" i="1" a="1"/>
  <c r="C2872" i="1" s="1"/>
  <c r="C2873" i="1" a="1"/>
  <c r="C2873" i="1" s="1"/>
  <c r="C2874" i="1" a="1"/>
  <c r="C2874" i="1" s="1"/>
  <c r="C2875" i="1" a="1"/>
  <c r="C2875" i="1" s="1"/>
  <c r="O2875" i="1" s="1"/>
  <c r="C2876" i="1" a="1"/>
  <c r="C2876" i="1" s="1"/>
  <c r="C2877" i="1" a="1"/>
  <c r="C2877" i="1" s="1"/>
  <c r="C2878" i="1" a="1"/>
  <c r="C2878" i="1" s="1"/>
  <c r="C2879" i="1" a="1"/>
  <c r="C2879" i="1" s="1"/>
  <c r="C2880" i="1" a="1"/>
  <c r="C2880" i="1" s="1"/>
  <c r="C2881" i="1" a="1"/>
  <c r="C2881" i="1" s="1"/>
  <c r="C2882" i="1" a="1"/>
  <c r="C2882" i="1" s="1"/>
  <c r="C2883" i="1" a="1"/>
  <c r="C2883" i="1" s="1"/>
  <c r="O2883" i="1" s="1"/>
  <c r="C2884" i="1" a="1"/>
  <c r="C2884" i="1" s="1"/>
  <c r="C2885" i="1" a="1"/>
  <c r="C2885" i="1" s="1"/>
  <c r="C2886" i="1" a="1"/>
  <c r="C2886" i="1" s="1"/>
  <c r="C2887" i="1" a="1"/>
  <c r="C2887" i="1" s="1"/>
  <c r="C2888" i="1" a="1"/>
  <c r="C2888" i="1" s="1"/>
  <c r="C2889" i="1" a="1"/>
  <c r="C2889" i="1" s="1"/>
  <c r="C2890" i="1" a="1"/>
  <c r="C2890" i="1" s="1"/>
  <c r="C2891" i="1" a="1"/>
  <c r="C2891" i="1" s="1"/>
  <c r="O2891" i="1" s="1"/>
  <c r="C2892" i="1" a="1"/>
  <c r="C2892" i="1" s="1"/>
  <c r="C2893" i="1" a="1"/>
  <c r="C2893" i="1" s="1"/>
  <c r="C2894" i="1" a="1"/>
  <c r="C2894" i="1" s="1"/>
  <c r="C2895" i="1" a="1"/>
  <c r="C2895" i="1" s="1"/>
  <c r="C2896" i="1" a="1"/>
  <c r="C2896" i="1" s="1"/>
  <c r="C2897" i="1" a="1"/>
  <c r="C2897" i="1" s="1"/>
  <c r="C2898" i="1" a="1"/>
  <c r="C2898" i="1" s="1"/>
  <c r="C2899" i="1" a="1"/>
  <c r="C2899" i="1" s="1"/>
  <c r="O2899" i="1" s="1"/>
  <c r="C2900" i="1" a="1"/>
  <c r="C2900" i="1" s="1"/>
  <c r="C2901" i="1" a="1"/>
  <c r="C2901" i="1" s="1"/>
  <c r="C2902" i="1" a="1"/>
  <c r="C2902" i="1" s="1"/>
  <c r="C2903" i="1" a="1"/>
  <c r="C2903" i="1" s="1"/>
  <c r="C2904" i="1" a="1"/>
  <c r="C2904" i="1" s="1"/>
  <c r="C2905" i="1" a="1"/>
  <c r="C2905" i="1" s="1"/>
  <c r="C2906" i="1" a="1"/>
  <c r="C2906" i="1" s="1"/>
  <c r="C2907" i="1" a="1"/>
  <c r="C2907" i="1" s="1"/>
  <c r="O2907" i="1" s="1"/>
  <c r="C2908" i="1" a="1"/>
  <c r="C2908" i="1" s="1"/>
  <c r="C2909" i="1" a="1"/>
  <c r="C2909" i="1" s="1"/>
  <c r="C2910" i="1" a="1"/>
  <c r="C2910" i="1" s="1"/>
  <c r="C2911" i="1" a="1"/>
  <c r="C2911" i="1" s="1"/>
  <c r="C2912" i="1" a="1"/>
  <c r="C2912" i="1" s="1"/>
  <c r="C2913" i="1" a="1"/>
  <c r="C2913" i="1" s="1"/>
  <c r="C2914" i="1" a="1"/>
  <c r="C2914" i="1" s="1"/>
  <c r="C2915" i="1" a="1"/>
  <c r="C2915" i="1" s="1"/>
  <c r="O2915" i="1" s="1"/>
  <c r="C2916" i="1" a="1"/>
  <c r="C2916" i="1" s="1"/>
  <c r="C2917" i="1" a="1"/>
  <c r="C2917" i="1" s="1"/>
  <c r="C2918" i="1" a="1"/>
  <c r="C2918" i="1" s="1"/>
  <c r="C2919" i="1" a="1"/>
  <c r="C2919" i="1" s="1"/>
  <c r="C2920" i="1" a="1"/>
  <c r="C2920" i="1" s="1"/>
  <c r="C2921" i="1" a="1"/>
  <c r="C2921" i="1" s="1"/>
  <c r="C2922" i="1" a="1"/>
  <c r="C2922" i="1" s="1"/>
  <c r="C2923" i="1" a="1"/>
  <c r="C2923" i="1" s="1"/>
  <c r="O2923" i="1" s="1"/>
  <c r="C2924" i="1" a="1"/>
  <c r="C2924" i="1" s="1"/>
  <c r="C2925" i="1" a="1"/>
  <c r="C2925" i="1" s="1"/>
  <c r="C2926" i="1" a="1"/>
  <c r="C2926" i="1" s="1"/>
  <c r="C2927" i="1" a="1"/>
  <c r="C2927" i="1" s="1"/>
  <c r="C2928" i="1" a="1"/>
  <c r="C2928" i="1" s="1"/>
  <c r="C2929" i="1" a="1"/>
  <c r="C2929" i="1" s="1"/>
  <c r="C2930" i="1" a="1"/>
  <c r="C2930" i="1" s="1"/>
  <c r="C2931" i="1" a="1"/>
  <c r="C2931" i="1" s="1"/>
  <c r="O2931" i="1" s="1"/>
  <c r="C2932" i="1" a="1"/>
  <c r="C2932" i="1" s="1"/>
  <c r="C2933" i="1" a="1"/>
  <c r="C2933" i="1" s="1"/>
  <c r="C2934" i="1" a="1"/>
  <c r="C2934" i="1" s="1"/>
  <c r="C2935" i="1" a="1"/>
  <c r="C2935" i="1" s="1"/>
  <c r="C2936" i="1" a="1"/>
  <c r="C2936" i="1" s="1"/>
  <c r="C2937" i="1" a="1"/>
  <c r="C2937" i="1" s="1"/>
  <c r="C2938" i="1" a="1"/>
  <c r="C2938" i="1" s="1"/>
  <c r="C2939" i="1" a="1"/>
  <c r="C2939" i="1" s="1"/>
  <c r="O2939" i="1" s="1"/>
  <c r="C2940" i="1" a="1"/>
  <c r="C2940" i="1" s="1"/>
  <c r="C2941" i="1" a="1"/>
  <c r="C2941" i="1" s="1"/>
  <c r="C2942" i="1" a="1"/>
  <c r="C2942" i="1" s="1"/>
  <c r="C2943" i="1" a="1"/>
  <c r="C2943" i="1" s="1"/>
  <c r="C2944" i="1" a="1"/>
  <c r="C2944" i="1" s="1"/>
  <c r="C2945" i="1" a="1"/>
  <c r="C2945" i="1" s="1"/>
  <c r="C2946" i="1" a="1"/>
  <c r="C2946" i="1" s="1"/>
  <c r="C2947" i="1" a="1"/>
  <c r="C2947" i="1" s="1"/>
  <c r="O2947" i="1" s="1"/>
  <c r="C2948" i="1" a="1"/>
  <c r="C2948" i="1" s="1"/>
  <c r="C2949" i="1" a="1"/>
  <c r="C2949" i="1" s="1"/>
  <c r="C2950" i="1" a="1"/>
  <c r="C2950" i="1" s="1"/>
  <c r="C2951" i="1" a="1"/>
  <c r="C2951" i="1" s="1"/>
  <c r="C2952" i="1" a="1"/>
  <c r="C2952" i="1" s="1"/>
  <c r="C2953" i="1" a="1"/>
  <c r="C2953" i="1" s="1"/>
  <c r="C2954" i="1" a="1"/>
  <c r="C2954" i="1" s="1"/>
  <c r="C2955" i="1" a="1"/>
  <c r="C2955" i="1" s="1"/>
  <c r="O2955" i="1" s="1"/>
  <c r="C2956" i="1" a="1"/>
  <c r="C2956" i="1" s="1"/>
  <c r="C2957" i="1" a="1"/>
  <c r="C2957" i="1" s="1"/>
  <c r="C2958" i="1" a="1"/>
  <c r="C2958" i="1" s="1"/>
  <c r="C2959" i="1" a="1"/>
  <c r="C2959" i="1" s="1"/>
  <c r="C2960" i="1" a="1"/>
  <c r="C2960" i="1" s="1"/>
  <c r="C2961" i="1" a="1"/>
  <c r="C2961" i="1" s="1"/>
  <c r="C2962" i="1" a="1"/>
  <c r="C2962" i="1" s="1"/>
  <c r="C2963" i="1" a="1"/>
  <c r="C2963" i="1" s="1"/>
  <c r="O2963" i="1" s="1"/>
  <c r="C2964" i="1" a="1"/>
  <c r="C2964" i="1" s="1"/>
  <c r="C2965" i="1" a="1"/>
  <c r="C2965" i="1" s="1"/>
  <c r="C2966" i="1" a="1"/>
  <c r="C2966" i="1" s="1"/>
  <c r="C2967" i="1" a="1"/>
  <c r="C2967" i="1" s="1"/>
  <c r="C2968" i="1" a="1"/>
  <c r="C2968" i="1" s="1"/>
  <c r="C2969" i="1" a="1"/>
  <c r="C2969" i="1" s="1"/>
  <c r="C2970" i="1" a="1"/>
  <c r="C2970" i="1" s="1"/>
  <c r="C2971" i="1" a="1"/>
  <c r="C2971" i="1" s="1"/>
  <c r="O2971" i="1" s="1"/>
  <c r="C2972" i="1" a="1"/>
  <c r="C2972" i="1" s="1"/>
  <c r="C2973" i="1" a="1"/>
  <c r="C2973" i="1" s="1"/>
  <c r="C2974" i="1" a="1"/>
  <c r="C2974" i="1" s="1"/>
  <c r="C2975" i="1" a="1"/>
  <c r="C2975" i="1" s="1"/>
  <c r="C2976" i="1" a="1"/>
  <c r="C2976" i="1" s="1"/>
  <c r="C2977" i="1" a="1"/>
  <c r="C2977" i="1" s="1"/>
  <c r="C2978" i="1" a="1"/>
  <c r="C2978" i="1" s="1"/>
  <c r="C2979" i="1" a="1"/>
  <c r="C2979" i="1" s="1"/>
  <c r="O2979" i="1" s="1"/>
  <c r="C2980" i="1" a="1"/>
  <c r="C2980" i="1" s="1"/>
  <c r="C2981" i="1" a="1"/>
  <c r="C2981" i="1" s="1"/>
  <c r="C2982" i="1" a="1"/>
  <c r="C2982" i="1" s="1"/>
  <c r="C2983" i="1" a="1"/>
  <c r="C2983" i="1" s="1"/>
  <c r="C2984" i="1" a="1"/>
  <c r="C2984" i="1" s="1"/>
  <c r="C2985" i="1" a="1"/>
  <c r="C2985" i="1" s="1"/>
  <c r="C2986" i="1" a="1"/>
  <c r="C2986" i="1" s="1"/>
  <c r="C2987" i="1" a="1"/>
  <c r="C2987" i="1" s="1"/>
  <c r="O2987" i="1" s="1"/>
  <c r="C2988" i="1" a="1"/>
  <c r="C2988" i="1" s="1"/>
  <c r="C2989" i="1" a="1"/>
  <c r="C2989" i="1" s="1"/>
  <c r="C2990" i="1" a="1"/>
  <c r="C2990" i="1" s="1"/>
  <c r="C2991" i="1" a="1"/>
  <c r="C2991" i="1" s="1"/>
  <c r="C2992" i="1" a="1"/>
  <c r="C2992" i="1" s="1"/>
  <c r="C2993" i="1" a="1"/>
  <c r="C2993" i="1" s="1"/>
  <c r="C2994" i="1" a="1"/>
  <c r="C2994" i="1" s="1"/>
  <c r="C2995" i="1" a="1"/>
  <c r="C2995" i="1" s="1"/>
  <c r="O2995" i="1" s="1"/>
  <c r="C2996" i="1" a="1"/>
  <c r="C2996" i="1" s="1"/>
  <c r="C2997" i="1" a="1"/>
  <c r="C2997" i="1" s="1"/>
  <c r="C2998" i="1" a="1"/>
  <c r="C2998" i="1" s="1"/>
  <c r="C2999" i="1" a="1"/>
  <c r="C2999" i="1" s="1"/>
  <c r="C3000" i="1" a="1"/>
  <c r="C3000" i="1" s="1"/>
  <c r="C3001" i="1" a="1"/>
  <c r="C3001" i="1" s="1"/>
  <c r="C3002" i="1" a="1"/>
  <c r="C3002" i="1" s="1"/>
  <c r="C3003" i="1" a="1"/>
  <c r="C3003" i="1" s="1"/>
  <c r="O3003" i="1" s="1"/>
  <c r="C3004" i="1" a="1"/>
  <c r="C3004" i="1" s="1"/>
  <c r="C3005" i="1" a="1"/>
  <c r="C3005" i="1" s="1"/>
  <c r="C3006" i="1" a="1"/>
  <c r="C3006" i="1" s="1"/>
  <c r="C3007" i="1" a="1"/>
  <c r="C3007" i="1" s="1"/>
  <c r="C3008" i="1" a="1"/>
  <c r="C3008" i="1" s="1"/>
  <c r="C3009" i="1" a="1"/>
  <c r="C3009" i="1" s="1"/>
  <c r="C3010" i="1" a="1"/>
  <c r="C3010" i="1" s="1"/>
  <c r="C3011" i="1" a="1"/>
  <c r="C3011" i="1" s="1"/>
  <c r="O3011" i="1" s="1"/>
  <c r="C3012" i="1" a="1"/>
  <c r="C3012" i="1" s="1"/>
  <c r="C3013" i="1" a="1"/>
  <c r="C3013" i="1" s="1"/>
  <c r="C3014" i="1" a="1"/>
  <c r="C3014" i="1" s="1"/>
  <c r="C3015" i="1" a="1"/>
  <c r="C3015" i="1" s="1"/>
  <c r="C3016" i="1" a="1"/>
  <c r="C3016" i="1" s="1"/>
  <c r="C3017" i="1" a="1"/>
  <c r="C3017" i="1" s="1"/>
  <c r="C3018" i="1" a="1"/>
  <c r="C3018" i="1" s="1"/>
  <c r="C3019" i="1" a="1"/>
  <c r="C3019" i="1" s="1"/>
  <c r="O3019" i="1" s="1"/>
  <c r="C3020" i="1" a="1"/>
  <c r="C3020" i="1" s="1"/>
  <c r="C3021" i="1" a="1"/>
  <c r="C3021" i="1" s="1"/>
  <c r="C3022" i="1" a="1"/>
  <c r="C3022" i="1" s="1"/>
  <c r="C3023" i="1" a="1"/>
  <c r="C3023" i="1" s="1"/>
  <c r="C3024" i="1" a="1"/>
  <c r="C3024" i="1" s="1"/>
  <c r="C3025" i="1" a="1"/>
  <c r="C3025" i="1" s="1"/>
  <c r="C3026" i="1" a="1"/>
  <c r="C3026" i="1" s="1"/>
  <c r="C3027" i="1" a="1"/>
  <c r="C3027" i="1" s="1"/>
  <c r="O3027" i="1" s="1"/>
  <c r="C3028" i="1" a="1"/>
  <c r="C3028" i="1" s="1"/>
  <c r="C3029" i="1" a="1"/>
  <c r="C3029" i="1" s="1"/>
  <c r="C3030" i="1" a="1"/>
  <c r="C3030" i="1" s="1"/>
  <c r="C3031" i="1" a="1"/>
  <c r="C3031" i="1" s="1"/>
  <c r="C3032" i="1" a="1"/>
  <c r="C3032" i="1" s="1"/>
  <c r="C3033" i="1" a="1"/>
  <c r="C3033" i="1" s="1"/>
  <c r="C3034" i="1" a="1"/>
  <c r="C3034" i="1" s="1"/>
  <c r="C3035" i="1" a="1"/>
  <c r="C3035" i="1" s="1"/>
  <c r="O3035" i="1" s="1"/>
  <c r="C3036" i="1" a="1"/>
  <c r="C3036" i="1" s="1"/>
  <c r="C3037" i="1" a="1"/>
  <c r="C3037" i="1" s="1"/>
  <c r="C3038" i="1" a="1"/>
  <c r="C3038" i="1" s="1"/>
  <c r="C3039" i="1" a="1"/>
  <c r="C3039" i="1" s="1"/>
  <c r="C3040" i="1" a="1"/>
  <c r="C3040" i="1" s="1"/>
  <c r="C3041" i="1" a="1"/>
  <c r="C3041" i="1" s="1"/>
  <c r="C3042" i="1" a="1"/>
  <c r="C3042" i="1" s="1"/>
  <c r="C3043" i="1" a="1"/>
  <c r="C3043" i="1" s="1"/>
  <c r="O3043" i="1" s="1"/>
  <c r="C3044" i="1" a="1"/>
  <c r="C3044" i="1" s="1"/>
  <c r="C3045" i="1" a="1"/>
  <c r="C3045" i="1" s="1"/>
  <c r="C3046" i="1" a="1"/>
  <c r="C3046" i="1" s="1"/>
  <c r="C3047" i="1" a="1"/>
  <c r="C3047" i="1" s="1"/>
  <c r="C3048" i="1" a="1"/>
  <c r="C3048" i="1" s="1"/>
  <c r="C3049" i="1" a="1"/>
  <c r="C3049" i="1" s="1"/>
  <c r="C3050" i="1" a="1"/>
  <c r="C3050" i="1" s="1"/>
  <c r="C3051" i="1" a="1"/>
  <c r="C3051" i="1" s="1"/>
  <c r="O3051" i="1" s="1"/>
  <c r="C3052" i="1" a="1"/>
  <c r="C3052" i="1" s="1"/>
  <c r="C3053" i="1" a="1"/>
  <c r="C3053" i="1" s="1"/>
  <c r="C3054" i="1" a="1"/>
  <c r="C3054" i="1" s="1"/>
  <c r="C3055" i="1" a="1"/>
  <c r="C3055" i="1" s="1"/>
  <c r="C3056" i="1" a="1"/>
  <c r="C3056" i="1" s="1"/>
  <c r="C3057" i="1" a="1"/>
  <c r="C3057" i="1" s="1"/>
  <c r="C3058" i="1" a="1"/>
  <c r="C3058" i="1" s="1"/>
  <c r="C3059" i="1" a="1"/>
  <c r="C3059" i="1" s="1"/>
  <c r="O3059" i="1" s="1"/>
  <c r="C3060" i="1" a="1"/>
  <c r="C3060" i="1" s="1"/>
  <c r="C3061" i="1" a="1"/>
  <c r="C3061" i="1" s="1"/>
  <c r="C3062" i="1" a="1"/>
  <c r="C3062" i="1" s="1"/>
  <c r="C3063" i="1" a="1"/>
  <c r="C3063" i="1" s="1"/>
  <c r="C3064" i="1" a="1"/>
  <c r="C3064" i="1" s="1"/>
  <c r="C3065" i="1" a="1"/>
  <c r="C3065" i="1" s="1"/>
  <c r="C3066" i="1" a="1"/>
  <c r="C3066" i="1" s="1"/>
  <c r="C3067" i="1" a="1"/>
  <c r="C3067" i="1" s="1"/>
  <c r="O3067" i="1" s="1"/>
  <c r="C3068" i="1" a="1"/>
  <c r="C3068" i="1" s="1"/>
  <c r="C3069" i="1" a="1"/>
  <c r="C3069" i="1" s="1"/>
  <c r="C3070" i="1" a="1"/>
  <c r="C3070" i="1" s="1"/>
  <c r="C3071" i="1" a="1"/>
  <c r="C3071" i="1" s="1"/>
  <c r="C3072" i="1" a="1"/>
  <c r="C3072" i="1" s="1"/>
  <c r="C3073" i="1" a="1"/>
  <c r="C3073" i="1" s="1"/>
  <c r="C3074" i="1" a="1"/>
  <c r="C3074" i="1" s="1"/>
  <c r="C3075" i="1" a="1"/>
  <c r="C3075" i="1" s="1"/>
  <c r="O3075" i="1" s="1"/>
  <c r="C3076" i="1" a="1"/>
  <c r="C3076" i="1" s="1"/>
  <c r="C3077" i="1" a="1"/>
  <c r="C3077" i="1" s="1"/>
  <c r="C3078" i="1" a="1"/>
  <c r="C3078" i="1" s="1"/>
  <c r="C3079" i="1" a="1"/>
  <c r="C3079" i="1" s="1"/>
  <c r="C3080" i="1" a="1"/>
  <c r="C3080" i="1" s="1"/>
  <c r="C3081" i="1" a="1"/>
  <c r="C3081" i="1" s="1"/>
  <c r="C3082" i="1" a="1"/>
  <c r="C3082" i="1" s="1"/>
  <c r="C3083" i="1" a="1"/>
  <c r="C3083" i="1" s="1"/>
  <c r="O3083" i="1" s="1"/>
  <c r="C3084" i="1" a="1"/>
  <c r="C3084" i="1" s="1"/>
  <c r="C3085" i="1" a="1"/>
  <c r="C3085" i="1" s="1"/>
  <c r="C3086" i="1" a="1"/>
  <c r="C3086" i="1" s="1"/>
  <c r="C3087" i="1" a="1"/>
  <c r="C3087" i="1" s="1"/>
  <c r="C3088" i="1" a="1"/>
  <c r="C3088" i="1" s="1"/>
  <c r="C3089" i="1" a="1"/>
  <c r="C3089" i="1" s="1"/>
  <c r="C3090" i="1" a="1"/>
  <c r="C3090" i="1" s="1"/>
  <c r="C3091" i="1" a="1"/>
  <c r="C3091" i="1" s="1"/>
  <c r="O3091" i="1" s="1"/>
  <c r="C3092" i="1" a="1"/>
  <c r="C3092" i="1" s="1"/>
  <c r="C3093" i="1" a="1"/>
  <c r="C3093" i="1" s="1"/>
  <c r="C3094" i="1" a="1"/>
  <c r="C3094" i="1" s="1"/>
  <c r="C3095" i="1" a="1"/>
  <c r="C3095" i="1" s="1"/>
  <c r="C3096" i="1" a="1"/>
  <c r="C3096" i="1" s="1"/>
  <c r="C3097" i="1" a="1"/>
  <c r="C3097" i="1" s="1"/>
  <c r="C3098" i="1" a="1"/>
  <c r="C3098" i="1" s="1"/>
  <c r="C3099" i="1" a="1"/>
  <c r="C3099" i="1" s="1"/>
  <c r="O3099" i="1" s="1"/>
  <c r="C3100" i="1" a="1"/>
  <c r="C3100" i="1" s="1"/>
  <c r="C3101" i="1" a="1"/>
  <c r="C3101" i="1" s="1"/>
  <c r="C3102" i="1" a="1"/>
  <c r="C3102" i="1" s="1"/>
  <c r="C3103" i="1" a="1"/>
  <c r="C3103" i="1" s="1"/>
  <c r="C3104" i="1" a="1"/>
  <c r="C3104" i="1" s="1"/>
  <c r="C3105" i="1" a="1"/>
  <c r="C3105" i="1" s="1"/>
  <c r="C3106" i="1" a="1"/>
  <c r="C3106" i="1" s="1"/>
  <c r="C3107" i="1" a="1"/>
  <c r="C3107" i="1" s="1"/>
  <c r="O3107" i="1" s="1"/>
  <c r="C3108" i="1" a="1"/>
  <c r="C3108" i="1" s="1"/>
  <c r="C3109" i="1" a="1"/>
  <c r="C3109" i="1" s="1"/>
  <c r="C3110" i="1" a="1"/>
  <c r="C3110" i="1" s="1"/>
  <c r="C3111" i="1" a="1"/>
  <c r="C3111" i="1" s="1"/>
  <c r="C3112" i="1" a="1"/>
  <c r="C3112" i="1" s="1"/>
  <c r="C3113" i="1" a="1"/>
  <c r="C3113" i="1" s="1"/>
  <c r="C3114" i="1" a="1"/>
  <c r="C3114" i="1" s="1"/>
  <c r="C3115" i="1" a="1"/>
  <c r="C3115" i="1" s="1"/>
  <c r="O3115" i="1" s="1"/>
  <c r="C3116" i="1" a="1"/>
  <c r="C3116" i="1" s="1"/>
  <c r="C3117" i="1" a="1"/>
  <c r="C3117" i="1" s="1"/>
  <c r="C3118" i="1" a="1"/>
  <c r="C3118" i="1" s="1"/>
  <c r="C3119" i="1" a="1"/>
  <c r="C3119" i="1" s="1"/>
  <c r="C3120" i="1" a="1"/>
  <c r="C3120" i="1" s="1"/>
  <c r="C3121" i="1" a="1"/>
  <c r="C3121" i="1" s="1"/>
  <c r="C3122" i="1" a="1"/>
  <c r="C3122" i="1" s="1"/>
  <c r="C3123" i="1" a="1"/>
  <c r="C3123" i="1" s="1"/>
  <c r="O3123" i="1" s="1"/>
  <c r="C3124" i="1" a="1"/>
  <c r="C3124" i="1" s="1"/>
  <c r="C3125" i="1" a="1"/>
  <c r="C3125" i="1" s="1"/>
  <c r="C3126" i="1" a="1"/>
  <c r="C3126" i="1" s="1"/>
  <c r="C3127" i="1" a="1"/>
  <c r="C3127" i="1" s="1"/>
  <c r="C3128" i="1" a="1"/>
  <c r="C3128" i="1" s="1"/>
  <c r="C3129" i="1" a="1"/>
  <c r="C3129" i="1" s="1"/>
  <c r="C3130" i="1" a="1"/>
  <c r="C3130" i="1" s="1"/>
  <c r="C3131" i="1" a="1"/>
  <c r="C3131" i="1" s="1"/>
  <c r="O3131" i="1" s="1"/>
  <c r="C3132" i="1" a="1"/>
  <c r="C3132" i="1" s="1"/>
  <c r="C3133" i="1" a="1"/>
  <c r="C3133" i="1" s="1"/>
  <c r="C3134" i="1" a="1"/>
  <c r="C3134" i="1" s="1"/>
  <c r="C3135" i="1" a="1"/>
  <c r="C3135" i="1" s="1"/>
  <c r="C3136" i="1" a="1"/>
  <c r="C3136" i="1" s="1"/>
  <c r="C3137" i="1" a="1"/>
  <c r="C3137" i="1" s="1"/>
  <c r="C3138" i="1" a="1"/>
  <c r="C3138" i="1" s="1"/>
  <c r="C3139" i="1" a="1"/>
  <c r="C3139" i="1" s="1"/>
  <c r="O3139" i="1" s="1"/>
  <c r="C3140" i="1" a="1"/>
  <c r="C3140" i="1" s="1"/>
  <c r="C3141" i="1" a="1"/>
  <c r="C3141" i="1" s="1"/>
  <c r="C3142" i="1" a="1"/>
  <c r="C3142" i="1" s="1"/>
  <c r="C3143" i="1" a="1"/>
  <c r="C3143" i="1" s="1"/>
  <c r="C3144" i="1" a="1"/>
  <c r="C3144" i="1" s="1"/>
  <c r="C3145" i="1" a="1"/>
  <c r="C3145" i="1" s="1"/>
  <c r="C3146" i="1" a="1"/>
  <c r="C3146" i="1" s="1"/>
  <c r="C3147" i="1" a="1"/>
  <c r="C3147" i="1" s="1"/>
  <c r="O3147" i="1" s="1"/>
  <c r="C3148" i="1" a="1"/>
  <c r="C3148" i="1" s="1"/>
  <c r="C3149" i="1" a="1"/>
  <c r="C3149" i="1" s="1"/>
  <c r="C3150" i="1" a="1"/>
  <c r="C3150" i="1" s="1"/>
  <c r="C3151" i="1" a="1"/>
  <c r="C3151" i="1" s="1"/>
  <c r="C3152" i="1" a="1"/>
  <c r="C3152" i="1" s="1"/>
  <c r="C3153" i="1" a="1"/>
  <c r="C3153" i="1" s="1"/>
  <c r="C3154" i="1" a="1"/>
  <c r="C3154" i="1" s="1"/>
  <c r="C3155" i="1" a="1"/>
  <c r="C3155" i="1" s="1"/>
  <c r="O3155" i="1" s="1"/>
  <c r="C3156" i="1" a="1"/>
  <c r="C3156" i="1" s="1"/>
  <c r="C3157" i="1" a="1"/>
  <c r="C3157" i="1" s="1"/>
  <c r="C3158" i="1" a="1"/>
  <c r="C3158" i="1" s="1"/>
  <c r="C3159" i="1" a="1"/>
  <c r="C3159" i="1" s="1"/>
  <c r="C3160" i="1" a="1"/>
  <c r="C3160" i="1" s="1"/>
  <c r="C3161" i="1" a="1"/>
  <c r="C3161" i="1" s="1"/>
  <c r="C3162" i="1" a="1"/>
  <c r="C3162" i="1" s="1"/>
  <c r="C3163" i="1" a="1"/>
  <c r="C3163" i="1" s="1"/>
  <c r="O3163" i="1" s="1"/>
  <c r="C3164" i="1" a="1"/>
  <c r="C3164" i="1" s="1"/>
  <c r="C3165" i="1" a="1"/>
  <c r="C3165" i="1" s="1"/>
  <c r="C3166" i="1" a="1"/>
  <c r="C3166" i="1" s="1"/>
  <c r="C3167" i="1" a="1"/>
  <c r="C3167" i="1" s="1"/>
  <c r="C3168" i="1" a="1"/>
  <c r="C3168" i="1" s="1"/>
  <c r="C3169" i="1" a="1"/>
  <c r="C3169" i="1" s="1"/>
  <c r="C3170" i="1" a="1"/>
  <c r="C3170" i="1" s="1"/>
  <c r="C3171" i="1" a="1"/>
  <c r="C3171" i="1" s="1"/>
  <c r="O3171" i="1" s="1"/>
  <c r="C3172" i="1" a="1"/>
  <c r="C3172" i="1" s="1"/>
  <c r="C3173" i="1" a="1"/>
  <c r="C3173" i="1" s="1"/>
  <c r="C3174" i="1" a="1"/>
  <c r="C3174" i="1" s="1"/>
  <c r="C3175" i="1" a="1"/>
  <c r="C3175" i="1" s="1"/>
  <c r="C3176" i="1" a="1"/>
  <c r="C3176" i="1" s="1"/>
  <c r="C3177" i="1" a="1"/>
  <c r="C3177" i="1" s="1"/>
  <c r="C3178" i="1" a="1"/>
  <c r="C3178" i="1" s="1"/>
  <c r="C3179" i="1" a="1"/>
  <c r="C3179" i="1" s="1"/>
  <c r="O3179" i="1" s="1"/>
  <c r="C3180" i="1" a="1"/>
  <c r="C3180" i="1" s="1"/>
  <c r="C3181" i="1" a="1"/>
  <c r="C3181" i="1" s="1"/>
  <c r="C3182" i="1" a="1"/>
  <c r="C3182" i="1" s="1"/>
  <c r="C3183" i="1" a="1"/>
  <c r="C3183" i="1" s="1"/>
  <c r="C3184" i="1" a="1"/>
  <c r="C3184" i="1" s="1"/>
  <c r="C3185" i="1" a="1"/>
  <c r="C3185" i="1" s="1"/>
  <c r="C3186" i="1" a="1"/>
  <c r="C3186" i="1" s="1"/>
  <c r="C3187" i="1" a="1"/>
  <c r="C3187" i="1" s="1"/>
  <c r="O3187" i="1" s="1"/>
  <c r="C3188" i="1" a="1"/>
  <c r="C3188" i="1" s="1"/>
  <c r="C3189" i="1" a="1"/>
  <c r="C3189" i="1" s="1"/>
  <c r="C3190" i="1" a="1"/>
  <c r="C3190" i="1" s="1"/>
  <c r="C3191" i="1" a="1"/>
  <c r="C3191" i="1" s="1"/>
  <c r="C3192" i="1" a="1"/>
  <c r="C3192" i="1" s="1"/>
  <c r="C3193" i="1" a="1"/>
  <c r="C3193" i="1" s="1"/>
  <c r="C3194" i="1" a="1"/>
  <c r="C3194" i="1" s="1"/>
  <c r="C3195" i="1" a="1"/>
  <c r="C3195" i="1" s="1"/>
  <c r="O3195" i="1" s="1"/>
  <c r="C3196" i="1" a="1"/>
  <c r="C3196" i="1" s="1"/>
  <c r="C3197" i="1" a="1"/>
  <c r="C3197" i="1" s="1"/>
  <c r="C3198" i="1" a="1"/>
  <c r="C3198" i="1" s="1"/>
  <c r="C3199" i="1" a="1"/>
  <c r="C3199" i="1" s="1"/>
  <c r="C3200" i="1" a="1"/>
  <c r="C3200" i="1" s="1"/>
  <c r="C3201" i="1" a="1"/>
  <c r="C3201" i="1" s="1"/>
  <c r="C3202" i="1" a="1"/>
  <c r="C3202" i="1" s="1"/>
  <c r="C3203" i="1" a="1"/>
  <c r="C3203" i="1" s="1"/>
  <c r="O3203" i="1" s="1"/>
  <c r="C3204" i="1" a="1"/>
  <c r="C3204" i="1" s="1"/>
  <c r="C3205" i="1" a="1"/>
  <c r="C3205" i="1" s="1"/>
  <c r="C3206" i="1" a="1"/>
  <c r="C3206" i="1" s="1"/>
  <c r="C3207" i="1" a="1"/>
  <c r="C3207" i="1" s="1"/>
  <c r="C3208" i="1" a="1"/>
  <c r="C3208" i="1" s="1"/>
  <c r="C3209" i="1" a="1"/>
  <c r="C3209" i="1" s="1"/>
  <c r="C3210" i="1" a="1"/>
  <c r="C3210" i="1" s="1"/>
  <c r="C3211" i="1" a="1"/>
  <c r="C3211" i="1" s="1"/>
  <c r="O3211" i="1" s="1"/>
  <c r="C3212" i="1" a="1"/>
  <c r="C3212" i="1" s="1"/>
  <c r="C3213" i="1" a="1"/>
  <c r="C3213" i="1" s="1"/>
  <c r="C3214" i="1" a="1"/>
  <c r="C3214" i="1" s="1"/>
  <c r="C3215" i="1" a="1"/>
  <c r="C3215" i="1" s="1"/>
  <c r="C3216" i="1" a="1"/>
  <c r="C3216" i="1" s="1"/>
  <c r="C3217" i="1" a="1"/>
  <c r="C3217" i="1" s="1"/>
  <c r="C3218" i="1" a="1"/>
  <c r="C3218" i="1" s="1"/>
  <c r="C3219" i="1" a="1"/>
  <c r="C3219" i="1" s="1"/>
  <c r="O3219" i="1" s="1"/>
  <c r="C3220" i="1" a="1"/>
  <c r="C3220" i="1" s="1"/>
  <c r="C3221" i="1" a="1"/>
  <c r="C3221" i="1" s="1"/>
  <c r="C3222" i="1" a="1"/>
  <c r="C3222" i="1" s="1"/>
  <c r="C3223" i="1" a="1"/>
  <c r="C3223" i="1" s="1"/>
  <c r="C3224" i="1" a="1"/>
  <c r="C3224" i="1" s="1"/>
  <c r="C3225" i="1" a="1"/>
  <c r="C3225" i="1" s="1"/>
  <c r="C3226" i="1" a="1"/>
  <c r="C3226" i="1" s="1"/>
  <c r="C3227" i="1" a="1"/>
  <c r="C3227" i="1" s="1"/>
  <c r="O3227" i="1" s="1"/>
  <c r="C3228" i="1" a="1"/>
  <c r="C3228" i="1" s="1"/>
  <c r="C3229" i="1" a="1"/>
  <c r="C3229" i="1" s="1"/>
  <c r="C3230" i="1" a="1"/>
  <c r="C3230" i="1" s="1"/>
  <c r="C3231" i="1" a="1"/>
  <c r="C3231" i="1" s="1"/>
  <c r="C3232" i="1" a="1"/>
  <c r="C3232" i="1" s="1"/>
  <c r="C3233" i="1" a="1"/>
  <c r="C3233" i="1" s="1"/>
  <c r="C3234" i="1" a="1"/>
  <c r="C3234" i="1" s="1"/>
  <c r="C3235" i="1" a="1"/>
  <c r="C3235" i="1" s="1"/>
  <c r="O3235" i="1" s="1"/>
  <c r="C3236" i="1" a="1"/>
  <c r="C3236" i="1" s="1"/>
  <c r="C3237" i="1" a="1"/>
  <c r="C3237" i="1" s="1"/>
  <c r="C3238" i="1" a="1"/>
  <c r="C3238" i="1" s="1"/>
  <c r="C3239" i="1" a="1"/>
  <c r="C3239" i="1" s="1"/>
  <c r="C3240" i="1" a="1"/>
  <c r="C3240" i="1" s="1"/>
  <c r="C3241" i="1" a="1"/>
  <c r="C3241" i="1" s="1"/>
  <c r="C3242" i="1" a="1"/>
  <c r="C3242" i="1" s="1"/>
  <c r="C3243" i="1" a="1"/>
  <c r="C3243" i="1" s="1"/>
  <c r="O3243" i="1" s="1"/>
  <c r="C3244" i="1" a="1"/>
  <c r="C3244" i="1" s="1"/>
  <c r="C3245" i="1" a="1"/>
  <c r="C3245" i="1" s="1"/>
  <c r="C3246" i="1" a="1"/>
  <c r="C3246" i="1" s="1"/>
  <c r="C3247" i="1" a="1"/>
  <c r="C3247" i="1" s="1"/>
  <c r="C3248" i="1" a="1"/>
  <c r="C3248" i="1" s="1"/>
  <c r="C3249" i="1" a="1"/>
  <c r="C3249" i="1" s="1"/>
  <c r="C3250" i="1" a="1"/>
  <c r="C3250" i="1" s="1"/>
  <c r="C3251" i="1" a="1"/>
  <c r="C3251" i="1" s="1"/>
  <c r="O3251" i="1" s="1"/>
  <c r="C3252" i="1" a="1"/>
  <c r="C3252" i="1" s="1"/>
  <c r="C3253" i="1" a="1"/>
  <c r="C3253" i="1" s="1"/>
  <c r="C3254" i="1" a="1"/>
  <c r="C3254" i="1" s="1"/>
  <c r="C3255" i="1" a="1"/>
  <c r="C3255" i="1" s="1"/>
  <c r="C3256" i="1" a="1"/>
  <c r="C3256" i="1" s="1"/>
  <c r="C3257" i="1" a="1"/>
  <c r="C3257" i="1" s="1"/>
  <c r="C3258" i="1" a="1"/>
  <c r="C3258" i="1" s="1"/>
  <c r="C3259" i="1" a="1"/>
  <c r="C3259" i="1" s="1"/>
  <c r="O3259" i="1" s="1"/>
  <c r="C3260" i="1" a="1"/>
  <c r="C3260" i="1" s="1"/>
  <c r="C3261" i="1" a="1"/>
  <c r="C3261" i="1" s="1"/>
  <c r="C3262" i="1" a="1"/>
  <c r="C3262" i="1" s="1"/>
  <c r="C3263" i="1" a="1"/>
  <c r="C3263" i="1" s="1"/>
  <c r="C3264" i="1" a="1"/>
  <c r="C3264" i="1" s="1"/>
  <c r="C3265" i="1" a="1"/>
  <c r="C3265" i="1" s="1"/>
  <c r="C3266" i="1" a="1"/>
  <c r="C3266" i="1" s="1"/>
  <c r="C3267" i="1" a="1"/>
  <c r="C3267" i="1" s="1"/>
  <c r="O3267" i="1" s="1"/>
  <c r="C3268" i="1" a="1"/>
  <c r="C3268" i="1" s="1"/>
  <c r="C3269" i="1" a="1"/>
  <c r="C3269" i="1" s="1"/>
  <c r="C3270" i="1" a="1"/>
  <c r="C3270" i="1" s="1"/>
  <c r="C3271" i="1" a="1"/>
  <c r="C3271" i="1" s="1"/>
  <c r="C3272" i="1" a="1"/>
  <c r="C3272" i="1" s="1"/>
  <c r="C3273" i="1" a="1"/>
  <c r="C3273" i="1" s="1"/>
  <c r="C3274" i="1" a="1"/>
  <c r="C3274" i="1" s="1"/>
  <c r="C3275" i="1" a="1"/>
  <c r="C3275" i="1" s="1"/>
  <c r="O3275" i="1" s="1"/>
  <c r="C3276" i="1" a="1"/>
  <c r="C3276" i="1" s="1"/>
  <c r="C3277" i="1" a="1"/>
  <c r="C3277" i="1" s="1"/>
  <c r="C3278" i="1" a="1"/>
  <c r="C3278" i="1" s="1"/>
  <c r="C3279" i="1" a="1"/>
  <c r="C3279" i="1" s="1"/>
  <c r="C3280" i="1" a="1"/>
  <c r="C3280" i="1" s="1"/>
  <c r="C3281" i="1" a="1"/>
  <c r="C3281" i="1" s="1"/>
  <c r="C3282" i="1" a="1"/>
  <c r="C3282" i="1" s="1"/>
  <c r="C3283" i="1" a="1"/>
  <c r="C3283" i="1" s="1"/>
  <c r="O3283" i="1" s="1"/>
  <c r="C3284" i="1" a="1"/>
  <c r="C3284" i="1" s="1"/>
  <c r="C3285" i="1" a="1"/>
  <c r="C3285" i="1" s="1"/>
  <c r="C3286" i="1" a="1"/>
  <c r="C3286" i="1" s="1"/>
  <c r="C3287" i="1" a="1"/>
  <c r="C3287" i="1" s="1"/>
  <c r="C3288" i="1" a="1"/>
  <c r="C3288" i="1" s="1"/>
  <c r="C3289" i="1" a="1"/>
  <c r="C3289" i="1" s="1"/>
  <c r="C3290" i="1" a="1"/>
  <c r="C3290" i="1" s="1"/>
  <c r="C3291" i="1" a="1"/>
  <c r="C3291" i="1" s="1"/>
  <c r="O3291" i="1" s="1"/>
  <c r="C3292" i="1" a="1"/>
  <c r="C3292" i="1" s="1"/>
  <c r="C3293" i="1" a="1"/>
  <c r="C3293" i="1" s="1"/>
  <c r="C3294" i="1" a="1"/>
  <c r="C3294" i="1" s="1"/>
  <c r="C3295" i="1" a="1"/>
  <c r="C3295" i="1" s="1"/>
  <c r="C3296" i="1" a="1"/>
  <c r="C3296" i="1" s="1"/>
  <c r="C3297" i="1" a="1"/>
  <c r="C3297" i="1" s="1"/>
  <c r="C3298" i="1" a="1"/>
  <c r="C3298" i="1" s="1"/>
  <c r="C3299" i="1" a="1"/>
  <c r="C3299" i="1" s="1"/>
  <c r="O3299" i="1" s="1"/>
  <c r="C3300" i="1" a="1"/>
  <c r="C3300" i="1" s="1"/>
  <c r="C3301" i="1" a="1"/>
  <c r="C3301" i="1" s="1"/>
  <c r="C3302" i="1" a="1"/>
  <c r="C3302" i="1" s="1"/>
  <c r="C3303" i="1" a="1"/>
  <c r="C3303" i="1" s="1"/>
  <c r="C3304" i="1" a="1"/>
  <c r="C3304" i="1" s="1"/>
  <c r="C3305" i="1" a="1"/>
  <c r="C3305" i="1" s="1"/>
  <c r="C3306" i="1" a="1"/>
  <c r="C3306" i="1" s="1"/>
  <c r="C3307" i="1" a="1"/>
  <c r="C3307" i="1" s="1"/>
  <c r="O3307" i="1" s="1"/>
  <c r="C3308" i="1" a="1"/>
  <c r="C3308" i="1" s="1"/>
  <c r="C3309" i="1" a="1"/>
  <c r="C3309" i="1" s="1"/>
  <c r="C3310" i="1" a="1"/>
  <c r="C3310" i="1" s="1"/>
  <c r="C3311" i="1" a="1"/>
  <c r="C3311" i="1" s="1"/>
  <c r="C3312" i="1" a="1"/>
  <c r="C3312" i="1" s="1"/>
  <c r="C3313" i="1" a="1"/>
  <c r="C3313" i="1" s="1"/>
  <c r="C3314" i="1" a="1"/>
  <c r="C3314" i="1" s="1"/>
  <c r="C3315" i="1" a="1"/>
  <c r="C3315" i="1" s="1"/>
  <c r="O3315" i="1" s="1"/>
  <c r="C3316" i="1" a="1"/>
  <c r="C3316" i="1" s="1"/>
  <c r="C3317" i="1" a="1"/>
  <c r="C3317" i="1" s="1"/>
  <c r="C3318" i="1" a="1"/>
  <c r="C3318" i="1" s="1"/>
  <c r="C3319" i="1" a="1"/>
  <c r="C3319" i="1" s="1"/>
  <c r="C3320" i="1" a="1"/>
  <c r="C3320" i="1" s="1"/>
  <c r="C3321" i="1" a="1"/>
  <c r="C3321" i="1" s="1"/>
  <c r="C3322" i="1" a="1"/>
  <c r="C3322" i="1" s="1"/>
  <c r="C3323" i="1" a="1"/>
  <c r="C3323" i="1" s="1"/>
  <c r="O3323" i="1" s="1"/>
  <c r="C3324" i="1" a="1"/>
  <c r="C3324" i="1" s="1"/>
  <c r="C3325" i="1" a="1"/>
  <c r="C3325" i="1" s="1"/>
  <c r="C3326" i="1" a="1"/>
  <c r="C3326" i="1" s="1"/>
  <c r="C3327" i="1" a="1"/>
  <c r="C3327" i="1" s="1"/>
  <c r="C3328" i="1" a="1"/>
  <c r="C3328" i="1" s="1"/>
  <c r="C3329" i="1" a="1"/>
  <c r="C3329" i="1" s="1"/>
  <c r="C3330" i="1" a="1"/>
  <c r="C3330" i="1" s="1"/>
  <c r="C3331" i="1" a="1"/>
  <c r="C3331" i="1" s="1"/>
  <c r="O3331" i="1" s="1"/>
  <c r="C3332" i="1" a="1"/>
  <c r="C3332" i="1" s="1"/>
  <c r="C3333" i="1" a="1"/>
  <c r="C3333" i="1" s="1"/>
  <c r="C3334" i="1" a="1"/>
  <c r="C3334" i="1" s="1"/>
  <c r="C3335" i="1" a="1"/>
  <c r="C3335" i="1" s="1"/>
  <c r="C3336" i="1" a="1"/>
  <c r="C3336" i="1" s="1"/>
  <c r="C3337" i="1" a="1"/>
  <c r="C3337" i="1" s="1"/>
  <c r="C3338" i="1" a="1"/>
  <c r="C3338" i="1" s="1"/>
  <c r="C3339" i="1" a="1"/>
  <c r="C3339" i="1" s="1"/>
  <c r="O3339" i="1" s="1"/>
  <c r="C3340" i="1" a="1"/>
  <c r="C3340" i="1" s="1"/>
  <c r="C3341" i="1" a="1"/>
  <c r="C3341" i="1" s="1"/>
  <c r="C3342" i="1" a="1"/>
  <c r="C3342" i="1" s="1"/>
  <c r="C3343" i="1" a="1"/>
  <c r="C3343" i="1" s="1"/>
  <c r="C3344" i="1" a="1"/>
  <c r="C3344" i="1" s="1"/>
  <c r="C3345" i="1" a="1"/>
  <c r="C3345" i="1" s="1"/>
  <c r="C3346" i="1" a="1"/>
  <c r="C3346" i="1" s="1"/>
  <c r="C3347" i="1" a="1"/>
  <c r="C3347" i="1" s="1"/>
  <c r="O3347" i="1" s="1"/>
  <c r="C3348" i="1" a="1"/>
  <c r="C3348" i="1" s="1"/>
  <c r="C3349" i="1" a="1"/>
  <c r="C3349" i="1" s="1"/>
  <c r="C3350" i="1" a="1"/>
  <c r="C3350" i="1" s="1"/>
  <c r="C3351" i="1" a="1"/>
  <c r="C3351" i="1" s="1"/>
  <c r="C3352" i="1" a="1"/>
  <c r="C3352" i="1" s="1"/>
  <c r="C3353" i="1" a="1"/>
  <c r="C3353" i="1" s="1"/>
  <c r="C3354" i="1" a="1"/>
  <c r="C3354" i="1" s="1"/>
  <c r="C3355" i="1" a="1"/>
  <c r="C3355" i="1" s="1"/>
  <c r="O3355" i="1" s="1"/>
  <c r="C3356" i="1" a="1"/>
  <c r="C3356" i="1" s="1"/>
  <c r="C3357" i="1" a="1"/>
  <c r="C3357" i="1" s="1"/>
  <c r="C3358" i="1" a="1"/>
  <c r="C3358" i="1" s="1"/>
  <c r="C3359" i="1" a="1"/>
  <c r="C3359" i="1" s="1"/>
  <c r="C3360" i="1" a="1"/>
  <c r="C3360" i="1" s="1"/>
  <c r="C3361" i="1" a="1"/>
  <c r="C3361" i="1" s="1"/>
  <c r="C3362" i="1" a="1"/>
  <c r="C3362" i="1" s="1"/>
  <c r="C3363" i="1" a="1"/>
  <c r="C3363" i="1" s="1"/>
  <c r="O3363" i="1" s="1"/>
  <c r="C3364" i="1" a="1"/>
  <c r="C3364" i="1" s="1"/>
  <c r="C3365" i="1" a="1"/>
  <c r="C3365" i="1" s="1"/>
  <c r="C3366" i="1" a="1"/>
  <c r="C3366" i="1" s="1"/>
  <c r="C3367" i="1" a="1"/>
  <c r="C3367" i="1" s="1"/>
  <c r="C3368" i="1" a="1"/>
  <c r="C3368" i="1" s="1"/>
  <c r="C3369" i="1" a="1"/>
  <c r="C3369" i="1" s="1"/>
  <c r="C3370" i="1" a="1"/>
  <c r="C3370" i="1" s="1"/>
  <c r="C3371" i="1" a="1"/>
  <c r="C3371" i="1" s="1"/>
  <c r="O3371" i="1" s="1"/>
  <c r="C3372" i="1" a="1"/>
  <c r="C3372" i="1" s="1"/>
  <c r="C3373" i="1" a="1"/>
  <c r="C3373" i="1" s="1"/>
  <c r="C3374" i="1" a="1"/>
  <c r="C3374" i="1" s="1"/>
  <c r="C3375" i="1" a="1"/>
  <c r="C3375" i="1" s="1"/>
  <c r="C3376" i="1" a="1"/>
  <c r="C3376" i="1" s="1"/>
  <c r="C3377" i="1" a="1"/>
  <c r="C3377" i="1" s="1"/>
  <c r="C3378" i="1" a="1"/>
  <c r="C3378" i="1" s="1"/>
  <c r="C3379" i="1" a="1"/>
  <c r="C3379" i="1" s="1"/>
  <c r="O3379" i="1" s="1"/>
  <c r="C3380" i="1" a="1"/>
  <c r="C3380" i="1" s="1"/>
  <c r="C3381" i="1" a="1"/>
  <c r="C3381" i="1" s="1"/>
  <c r="C3382" i="1" a="1"/>
  <c r="C3382" i="1" s="1"/>
  <c r="C3383" i="1" a="1"/>
  <c r="C3383" i="1" s="1"/>
  <c r="C3384" i="1" a="1"/>
  <c r="C3384" i="1" s="1"/>
  <c r="C3385" i="1" a="1"/>
  <c r="C3385" i="1" s="1"/>
  <c r="C3386" i="1" a="1"/>
  <c r="C3386" i="1" s="1"/>
  <c r="C3387" i="1" a="1"/>
  <c r="C3387" i="1" s="1"/>
  <c r="O3387" i="1" s="1"/>
  <c r="C3388" i="1" a="1"/>
  <c r="C3388" i="1" s="1"/>
  <c r="C3389" i="1" a="1"/>
  <c r="C3389" i="1" s="1"/>
  <c r="C3390" i="1" a="1"/>
  <c r="C3390" i="1" s="1"/>
  <c r="C3391" i="1" a="1"/>
  <c r="C3391" i="1" s="1"/>
  <c r="C3392" i="1" a="1"/>
  <c r="C3392" i="1" s="1"/>
  <c r="C3393" i="1" a="1"/>
  <c r="C3393" i="1" s="1"/>
  <c r="C3394" i="1" a="1"/>
  <c r="C3394" i="1" s="1"/>
  <c r="C3395" i="1" a="1"/>
  <c r="C3395" i="1" s="1"/>
  <c r="O3395" i="1" s="1"/>
  <c r="C3396" i="1" a="1"/>
  <c r="C3396" i="1" s="1"/>
  <c r="C3397" i="1" a="1"/>
  <c r="C3397" i="1" s="1"/>
  <c r="C3398" i="1" a="1"/>
  <c r="C3398" i="1" s="1"/>
  <c r="C3399" i="1" a="1"/>
  <c r="C3399" i="1" s="1"/>
  <c r="C3400" i="1" a="1"/>
  <c r="C3400" i="1" s="1"/>
  <c r="C3401" i="1" a="1"/>
  <c r="C3401" i="1" s="1"/>
  <c r="C3402" i="1" a="1"/>
  <c r="C3402" i="1" s="1"/>
  <c r="C3403" i="1" a="1"/>
  <c r="C3403" i="1" s="1"/>
  <c r="O3403" i="1" s="1"/>
  <c r="C3404" i="1" a="1"/>
  <c r="C3404" i="1" s="1"/>
  <c r="C3405" i="1" a="1"/>
  <c r="C3405" i="1" s="1"/>
  <c r="C3406" i="1" a="1"/>
  <c r="C3406" i="1" s="1"/>
  <c r="C3407" i="1" a="1"/>
  <c r="C3407" i="1" s="1"/>
  <c r="C3408" i="1" a="1"/>
  <c r="C3408" i="1" s="1"/>
  <c r="C3409" i="1" a="1"/>
  <c r="C3409" i="1" s="1"/>
  <c r="C3410" i="1" a="1"/>
  <c r="C3410" i="1" s="1"/>
  <c r="C3411" i="1" a="1"/>
  <c r="C3411" i="1" s="1"/>
  <c r="O3411" i="1" s="1"/>
  <c r="C3412" i="1" a="1"/>
  <c r="C3412" i="1" s="1"/>
  <c r="C3413" i="1" a="1"/>
  <c r="C3413" i="1" s="1"/>
  <c r="C3414" i="1" a="1"/>
  <c r="C3414" i="1" s="1"/>
  <c r="C3415" i="1" a="1"/>
  <c r="C3415" i="1" s="1"/>
  <c r="C3416" i="1" a="1"/>
  <c r="C3416" i="1" s="1"/>
  <c r="C3417" i="1" a="1"/>
  <c r="C3417" i="1" s="1"/>
  <c r="C3418" i="1" a="1"/>
  <c r="C3418" i="1" s="1"/>
  <c r="C3419" i="1" a="1"/>
  <c r="C3419" i="1" s="1"/>
  <c r="O3419" i="1" s="1"/>
  <c r="C3420" i="1" a="1"/>
  <c r="C3420" i="1" s="1"/>
  <c r="C3421" i="1" a="1"/>
  <c r="C3421" i="1" s="1"/>
  <c r="C3422" i="1" a="1"/>
  <c r="C3422" i="1" s="1"/>
  <c r="C3423" i="1" a="1"/>
  <c r="C3423" i="1" s="1"/>
  <c r="C3424" i="1" a="1"/>
  <c r="C3424" i="1" s="1"/>
  <c r="C3425" i="1" a="1"/>
  <c r="C3425" i="1" s="1"/>
  <c r="C3426" i="1" a="1"/>
  <c r="C3426" i="1" s="1"/>
  <c r="C3427" i="1" a="1"/>
  <c r="C3427" i="1" s="1"/>
  <c r="O3427" i="1" s="1"/>
  <c r="C3428" i="1" a="1"/>
  <c r="C3428" i="1" s="1"/>
  <c r="C3429" i="1" a="1"/>
  <c r="C3429" i="1" s="1"/>
  <c r="C3430" i="1" a="1"/>
  <c r="C3430" i="1" s="1"/>
  <c r="C3431" i="1" a="1"/>
  <c r="C3431" i="1" s="1"/>
  <c r="C3432" i="1" a="1"/>
  <c r="C3432" i="1" s="1"/>
  <c r="C3433" i="1" a="1"/>
  <c r="C3433" i="1" s="1"/>
  <c r="C3434" i="1" a="1"/>
  <c r="C3434" i="1" s="1"/>
  <c r="C3435" i="1" a="1"/>
  <c r="C3435" i="1" s="1"/>
  <c r="O3435" i="1" s="1"/>
  <c r="C3436" i="1" a="1"/>
  <c r="C3436" i="1" s="1"/>
  <c r="C3437" i="1" a="1"/>
  <c r="C3437" i="1" s="1"/>
  <c r="C3438" i="1" a="1"/>
  <c r="C3438" i="1" s="1"/>
  <c r="C3439" i="1" a="1"/>
  <c r="C3439" i="1" s="1"/>
  <c r="C3440" i="1" a="1"/>
  <c r="C3440" i="1" s="1"/>
  <c r="C3441" i="1" a="1"/>
  <c r="C3441" i="1" s="1"/>
  <c r="C3442" i="1" a="1"/>
  <c r="C3442" i="1" s="1"/>
  <c r="C3443" i="1" a="1"/>
  <c r="C3443" i="1" s="1"/>
  <c r="O3443" i="1" s="1"/>
  <c r="C3444" i="1" a="1"/>
  <c r="C3444" i="1" s="1"/>
  <c r="C3445" i="1" a="1"/>
  <c r="C3445" i="1" s="1"/>
  <c r="C3446" i="1" a="1"/>
  <c r="C3446" i="1" s="1"/>
  <c r="C3447" i="1" a="1"/>
  <c r="C3447" i="1" s="1"/>
  <c r="C3448" i="1" a="1"/>
  <c r="C3448" i="1" s="1"/>
  <c r="C3449" i="1" a="1"/>
  <c r="C3449" i="1" s="1"/>
  <c r="C3450" i="1" a="1"/>
  <c r="C3450" i="1" s="1"/>
  <c r="C3451" i="1" a="1"/>
  <c r="C3451" i="1" s="1"/>
  <c r="O3451" i="1" s="1"/>
  <c r="C3452" i="1" a="1"/>
  <c r="C3452" i="1" s="1"/>
  <c r="C3453" i="1" a="1"/>
  <c r="C3453" i="1" s="1"/>
  <c r="C3454" i="1" a="1"/>
  <c r="C3454" i="1" s="1"/>
  <c r="C3455" i="1" a="1"/>
  <c r="C3455" i="1" s="1"/>
  <c r="C3456" i="1" a="1"/>
  <c r="C3456" i="1" s="1"/>
  <c r="C3457" i="1" a="1"/>
  <c r="C3457" i="1" s="1"/>
  <c r="C3458" i="1" a="1"/>
  <c r="C3458" i="1" s="1"/>
  <c r="C3459" i="1" a="1"/>
  <c r="C3459" i="1" s="1"/>
  <c r="O3459" i="1" s="1"/>
  <c r="C3460" i="1" a="1"/>
  <c r="C3460" i="1" s="1"/>
  <c r="C3461" i="1" a="1"/>
  <c r="C3461" i="1" s="1"/>
  <c r="C3462" i="1" a="1"/>
  <c r="C3462" i="1" s="1"/>
  <c r="C3463" i="1" a="1"/>
  <c r="C3463" i="1" s="1"/>
  <c r="C3464" i="1" a="1"/>
  <c r="C3464" i="1" s="1"/>
  <c r="C3465" i="1" a="1"/>
  <c r="C3465" i="1" s="1"/>
  <c r="C3466" i="1" a="1"/>
  <c r="C3466" i="1" s="1"/>
  <c r="C3467" i="1" a="1"/>
  <c r="C3467" i="1" s="1"/>
  <c r="O3467" i="1" s="1"/>
  <c r="C3468" i="1" a="1"/>
  <c r="C3468" i="1" s="1"/>
  <c r="C3469" i="1" a="1"/>
  <c r="C3469" i="1" s="1"/>
  <c r="C3470" i="1" a="1"/>
  <c r="C3470" i="1" s="1"/>
  <c r="C3471" i="1" a="1"/>
  <c r="C3471" i="1" s="1"/>
  <c r="C3472" i="1" a="1"/>
  <c r="C3472" i="1" s="1"/>
  <c r="C3473" i="1" a="1"/>
  <c r="C3473" i="1" s="1"/>
  <c r="C3474" i="1" a="1"/>
  <c r="C3474" i="1" s="1"/>
  <c r="C3475" i="1" a="1"/>
  <c r="C3475" i="1" s="1"/>
  <c r="O3475" i="1" s="1"/>
  <c r="C3476" i="1" a="1"/>
  <c r="C3476" i="1" s="1"/>
  <c r="C3477" i="1" a="1"/>
  <c r="C3477" i="1" s="1"/>
  <c r="C3478" i="1" a="1"/>
  <c r="C3478" i="1" s="1"/>
  <c r="C3479" i="1" a="1"/>
  <c r="C3479" i="1" s="1"/>
  <c r="C3480" i="1" a="1"/>
  <c r="C3480" i="1" s="1"/>
  <c r="C3481" i="1" a="1"/>
  <c r="C3481" i="1" s="1"/>
  <c r="C3482" i="1" a="1"/>
  <c r="C3482" i="1" s="1"/>
  <c r="C3483" i="1" a="1"/>
  <c r="C3483" i="1" s="1"/>
  <c r="O3483" i="1" s="1"/>
  <c r="C3484" i="1" a="1"/>
  <c r="C3484" i="1" s="1"/>
  <c r="C3485" i="1" a="1"/>
  <c r="C3485" i="1" s="1"/>
  <c r="C3486" i="1" a="1"/>
  <c r="C3486" i="1" s="1"/>
  <c r="C3487" i="1" a="1"/>
  <c r="C3487" i="1" s="1"/>
  <c r="C3488" i="1" a="1"/>
  <c r="C3488" i="1" s="1"/>
  <c r="C3489" i="1" a="1"/>
  <c r="C3489" i="1" s="1"/>
  <c r="C3490" i="1" a="1"/>
  <c r="C3490" i="1" s="1"/>
  <c r="C3491" i="1" a="1"/>
  <c r="C3491" i="1" s="1"/>
  <c r="O3491" i="1" s="1"/>
  <c r="C3492" i="1" a="1"/>
  <c r="C3492" i="1" s="1"/>
  <c r="C3493" i="1" a="1"/>
  <c r="C3493" i="1" s="1"/>
  <c r="C3494" i="1" a="1"/>
  <c r="C3494" i="1" s="1"/>
  <c r="C3495" i="1" a="1"/>
  <c r="C3495" i="1" s="1"/>
  <c r="C3496" i="1" a="1"/>
  <c r="C3496" i="1" s="1"/>
  <c r="C3497" i="1" a="1"/>
  <c r="C3497" i="1" s="1"/>
  <c r="C3498" i="1" a="1"/>
  <c r="C3498" i="1" s="1"/>
  <c r="C3499" i="1" a="1"/>
  <c r="C3499" i="1" s="1"/>
  <c r="O3499" i="1" s="1"/>
  <c r="C3500" i="1" a="1"/>
  <c r="C3500" i="1" s="1"/>
  <c r="C3501" i="1" a="1"/>
  <c r="C3501" i="1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Q6" i="1"/>
  <c r="Q2" i="1"/>
  <c r="O731" i="1" l="1"/>
  <c r="O723" i="1"/>
  <c r="O715" i="1"/>
  <c r="O707" i="1"/>
  <c r="O699" i="1"/>
  <c r="O691" i="1"/>
  <c r="O683" i="1"/>
  <c r="O675" i="1"/>
  <c r="O667" i="1"/>
  <c r="O659" i="1"/>
  <c r="O651" i="1"/>
  <c r="O643" i="1"/>
  <c r="O635" i="1"/>
  <c r="O627" i="1"/>
  <c r="O619" i="1"/>
  <c r="O611" i="1"/>
  <c r="O603" i="1"/>
  <c r="O595" i="1"/>
  <c r="O587" i="1"/>
  <c r="O579" i="1"/>
  <c r="O571" i="1"/>
  <c r="O563" i="1"/>
  <c r="O555" i="1"/>
  <c r="O547" i="1"/>
  <c r="O539" i="1"/>
  <c r="O531" i="1"/>
  <c r="O523" i="1"/>
  <c r="O515" i="1"/>
  <c r="O507" i="1"/>
  <c r="O499" i="1"/>
  <c r="O491" i="1"/>
  <c r="O483" i="1"/>
  <c r="O475" i="1"/>
  <c r="O467" i="1"/>
  <c r="O459" i="1"/>
  <c r="O451" i="1"/>
  <c r="O443" i="1"/>
  <c r="O435" i="1"/>
  <c r="O427" i="1"/>
  <c r="O419" i="1"/>
  <c r="O411" i="1"/>
  <c r="O403" i="1"/>
  <c r="O395" i="1"/>
  <c r="O387" i="1"/>
  <c r="O379" i="1"/>
  <c r="O371" i="1"/>
  <c r="O363" i="1"/>
  <c r="O355" i="1"/>
  <c r="O347" i="1"/>
  <c r="O339" i="1"/>
  <c r="O331" i="1"/>
  <c r="O323" i="1"/>
  <c r="O315" i="1"/>
  <c r="O307" i="1"/>
  <c r="O299" i="1"/>
  <c r="O291" i="1"/>
  <c r="O283" i="1"/>
  <c r="O275" i="1"/>
  <c r="O267" i="1"/>
  <c r="O259" i="1"/>
  <c r="O251" i="1"/>
  <c r="O243" i="1"/>
  <c r="O235" i="1"/>
  <c r="O227" i="1"/>
  <c r="O219" i="1"/>
  <c r="O211" i="1"/>
  <c r="O2224" i="1"/>
  <c r="O2200" i="1"/>
  <c r="O2176" i="1"/>
  <c r="O2168" i="1"/>
  <c r="O2160" i="1"/>
  <c r="O2152" i="1"/>
  <c r="O2144" i="1"/>
  <c r="O2136" i="1"/>
  <c r="O2128" i="1"/>
  <c r="O2120" i="1"/>
  <c r="O2112" i="1"/>
  <c r="O2104" i="1"/>
  <c r="O2096" i="1"/>
  <c r="O2088" i="1"/>
  <c r="O2080" i="1"/>
  <c r="O2072" i="1"/>
  <c r="O2064" i="1"/>
  <c r="O2056" i="1"/>
  <c r="O2048" i="1"/>
  <c r="O2040" i="1"/>
  <c r="O2032" i="1"/>
  <c r="O2024" i="1"/>
  <c r="O2016" i="1"/>
  <c r="O2008" i="1"/>
  <c r="O2000" i="1"/>
  <c r="O1992" i="1"/>
  <c r="O1984" i="1"/>
  <c r="O1976" i="1"/>
  <c r="O1968" i="1"/>
  <c r="O1960" i="1"/>
  <c r="O1952" i="1"/>
  <c r="O1944" i="1"/>
  <c r="O1936" i="1"/>
  <c r="O1928" i="1"/>
  <c r="O1920" i="1"/>
  <c r="O1912" i="1"/>
  <c r="O1904" i="1"/>
  <c r="O1896" i="1"/>
  <c r="O1888" i="1"/>
  <c r="O1880" i="1"/>
  <c r="O1872" i="1"/>
  <c r="O1864" i="1"/>
  <c r="O1856" i="1"/>
  <c r="O1848" i="1"/>
  <c r="O1840" i="1"/>
  <c r="O1832" i="1"/>
  <c r="O1824" i="1"/>
  <c r="O1816" i="1"/>
  <c r="O1808" i="1"/>
  <c r="O1800" i="1"/>
  <c r="O1792" i="1"/>
  <c r="O1784" i="1"/>
  <c r="O1776" i="1"/>
  <c r="O1768" i="1"/>
  <c r="O1760" i="1"/>
  <c r="O1752" i="1"/>
  <c r="O1744" i="1"/>
  <c r="O1736" i="1"/>
  <c r="O1728" i="1"/>
  <c r="O1720" i="1"/>
  <c r="O1712" i="1"/>
  <c r="O1704" i="1"/>
  <c r="O1696" i="1"/>
  <c r="O1688" i="1"/>
  <c r="O1680" i="1"/>
  <c r="O1672" i="1"/>
  <c r="O1664" i="1"/>
  <c r="O1656" i="1"/>
  <c r="O1648" i="1"/>
  <c r="O1640" i="1"/>
  <c r="O1632" i="1"/>
  <c r="O1624" i="1"/>
  <c r="O1616" i="1"/>
  <c r="O1608" i="1"/>
  <c r="O3496" i="1"/>
  <c r="O3472" i="1"/>
  <c r="O3448" i="1"/>
  <c r="O3416" i="1"/>
  <c r="O3400" i="1"/>
  <c r="O3376" i="1"/>
  <c r="O3360" i="1"/>
  <c r="O3328" i="1"/>
  <c r="O3304" i="1"/>
  <c r="O3280" i="1"/>
  <c r="O3256" i="1"/>
  <c r="O3232" i="1"/>
  <c r="O3216" i="1"/>
  <c r="O3192" i="1"/>
  <c r="O3168" i="1"/>
  <c r="O3144" i="1"/>
  <c r="O3120" i="1"/>
  <c r="O3096" i="1"/>
  <c r="O3072" i="1"/>
  <c r="O3024" i="1"/>
  <c r="O3008" i="1"/>
  <c r="O2984" i="1"/>
  <c r="O2960" i="1"/>
  <c r="O2920" i="1"/>
  <c r="O2896" i="1"/>
  <c r="O2872" i="1"/>
  <c r="O2840" i="1"/>
  <c r="O2808" i="1"/>
  <c r="O2776" i="1"/>
  <c r="O2752" i="1"/>
  <c r="O2720" i="1"/>
  <c r="O2688" i="1"/>
  <c r="O2656" i="1"/>
  <c r="O2624" i="1"/>
  <c r="O2600" i="1"/>
  <c r="O2560" i="1"/>
  <c r="O2536" i="1"/>
  <c r="O2504" i="1"/>
  <c r="O2464" i="1"/>
  <c r="O2440" i="1"/>
  <c r="O2416" i="1"/>
  <c r="O2376" i="1"/>
  <c r="O2352" i="1"/>
  <c r="O2328" i="1"/>
  <c r="O2288" i="1"/>
  <c r="O2264" i="1"/>
  <c r="O3488" i="1"/>
  <c r="O3464" i="1"/>
  <c r="O3440" i="1"/>
  <c r="O3424" i="1"/>
  <c r="O3408" i="1"/>
  <c r="O3384" i="1"/>
  <c r="O3352" i="1"/>
  <c r="O3336" i="1"/>
  <c r="O3312" i="1"/>
  <c r="O3288" i="1"/>
  <c r="O3272" i="1"/>
  <c r="O3248" i="1"/>
  <c r="O3224" i="1"/>
  <c r="O3200" i="1"/>
  <c r="O3176" i="1"/>
  <c r="O3160" i="1"/>
  <c r="O3136" i="1"/>
  <c r="O3112" i="1"/>
  <c r="O3088" i="1"/>
  <c r="O3064" i="1"/>
  <c r="O3048" i="1"/>
  <c r="O3040" i="1"/>
  <c r="O3016" i="1"/>
  <c r="O3000" i="1"/>
  <c r="O2992" i="1"/>
  <c r="O2968" i="1"/>
  <c r="O2944" i="1"/>
  <c r="O2928" i="1"/>
  <c r="O2912" i="1"/>
  <c r="O2888" i="1"/>
  <c r="O2864" i="1"/>
  <c r="O2848" i="1"/>
  <c r="O2824" i="1"/>
  <c r="O2800" i="1"/>
  <c r="O2784" i="1"/>
  <c r="O2768" i="1"/>
  <c r="O2744" i="1"/>
  <c r="O2728" i="1"/>
  <c r="O2704" i="1"/>
  <c r="O2680" i="1"/>
  <c r="O2664" i="1"/>
  <c r="O2640" i="1"/>
  <c r="O2632" i="1"/>
  <c r="O2608" i="1"/>
  <c r="O2584" i="1"/>
  <c r="O2576" i="1"/>
  <c r="O2552" i="1"/>
  <c r="O2528" i="1"/>
  <c r="O2512" i="1"/>
  <c r="O2488" i="1"/>
  <c r="O2472" i="1"/>
  <c r="O2448" i="1"/>
  <c r="O2424" i="1"/>
  <c r="O2400" i="1"/>
  <c r="O2392" i="1"/>
  <c r="O2368" i="1"/>
  <c r="O2336" i="1"/>
  <c r="O2312" i="1"/>
  <c r="O2296" i="1"/>
  <c r="O2280" i="1"/>
  <c r="O2256" i="1"/>
  <c r="O2240" i="1"/>
  <c r="O2216" i="1"/>
  <c r="O2192" i="1"/>
  <c r="O3480" i="1"/>
  <c r="O3456" i="1"/>
  <c r="O3432" i="1"/>
  <c r="O3392" i="1"/>
  <c r="O3368" i="1"/>
  <c r="O3344" i="1"/>
  <c r="O3320" i="1"/>
  <c r="O3296" i="1"/>
  <c r="O3264" i="1"/>
  <c r="O3240" i="1"/>
  <c r="O3208" i="1"/>
  <c r="O3184" i="1"/>
  <c r="O3152" i="1"/>
  <c r="O3128" i="1"/>
  <c r="O3104" i="1"/>
  <c r="O3080" i="1"/>
  <c r="O3056" i="1"/>
  <c r="O3032" i="1"/>
  <c r="O2976" i="1"/>
  <c r="O2952" i="1"/>
  <c r="O2936" i="1"/>
  <c r="O2904" i="1"/>
  <c r="O2880" i="1"/>
  <c r="O2856" i="1"/>
  <c r="O2832" i="1"/>
  <c r="O2816" i="1"/>
  <c r="O2792" i="1"/>
  <c r="O2760" i="1"/>
  <c r="O2736" i="1"/>
  <c r="O2712" i="1"/>
  <c r="O2696" i="1"/>
  <c r="O2672" i="1"/>
  <c r="O2648" i="1"/>
  <c r="O2616" i="1"/>
  <c r="O2592" i="1"/>
  <c r="O2568" i="1"/>
  <c r="O2544" i="1"/>
  <c r="O2520" i="1"/>
  <c r="O2496" i="1"/>
  <c r="O2480" i="1"/>
  <c r="O2456" i="1"/>
  <c r="O2432" i="1"/>
  <c r="O2408" i="1"/>
  <c r="O2384" i="1"/>
  <c r="O2360" i="1"/>
  <c r="O2344" i="1"/>
  <c r="O2320" i="1"/>
  <c r="O2304" i="1"/>
  <c r="O2272" i="1"/>
  <c r="O2248" i="1"/>
  <c r="O2232" i="1"/>
  <c r="O2208" i="1"/>
  <c r="O2184" i="1"/>
  <c r="O203" i="1"/>
  <c r="O195" i="1"/>
  <c r="O187" i="1"/>
  <c r="O179" i="1"/>
  <c r="O171" i="1"/>
  <c r="O163" i="1"/>
  <c r="O155" i="1"/>
  <c r="O147" i="1"/>
  <c r="O139" i="1"/>
  <c r="O131" i="1"/>
  <c r="O123" i="1"/>
  <c r="O115" i="1"/>
  <c r="O107" i="1"/>
  <c r="O99" i="1"/>
  <c r="O91" i="1"/>
  <c r="O83" i="1"/>
  <c r="O75" i="1"/>
  <c r="O67" i="1"/>
  <c r="O59" i="1"/>
  <c r="O51" i="1"/>
  <c r="O43" i="1"/>
  <c r="O35" i="1"/>
  <c r="O27" i="1"/>
  <c r="O19" i="1"/>
  <c r="O11" i="1"/>
  <c r="O3" i="1"/>
  <c r="O1600" i="1"/>
  <c r="O1592" i="1"/>
  <c r="O1584" i="1"/>
  <c r="O1576" i="1"/>
  <c r="O1568" i="1"/>
  <c r="O1560" i="1"/>
  <c r="O1552" i="1"/>
  <c r="O1544" i="1"/>
  <c r="O1536" i="1"/>
  <c r="O1528" i="1"/>
  <c r="O1520" i="1"/>
  <c r="O1512" i="1"/>
  <c r="O1504" i="1"/>
  <c r="O1496" i="1"/>
  <c r="O1488" i="1"/>
  <c r="O1480" i="1"/>
  <c r="O1472" i="1"/>
  <c r="O1464" i="1"/>
  <c r="O1456" i="1"/>
  <c r="O1448" i="1"/>
  <c r="O1440" i="1"/>
  <c r="O1432" i="1"/>
  <c r="O1424" i="1"/>
  <c r="O1416" i="1"/>
  <c r="O1408" i="1"/>
  <c r="O1400" i="1"/>
  <c r="O1392" i="1"/>
  <c r="O1384" i="1"/>
  <c r="O1376" i="1"/>
  <c r="O1368" i="1"/>
  <c r="O1360" i="1"/>
  <c r="O1352" i="1"/>
  <c r="O1344" i="1"/>
  <c r="O1336" i="1"/>
  <c r="O1328" i="1"/>
  <c r="O1320" i="1"/>
  <c r="O1312" i="1"/>
  <c r="O1304" i="1"/>
  <c r="O1296" i="1"/>
  <c r="O1288" i="1"/>
  <c r="O1280" i="1"/>
  <c r="O1272" i="1"/>
  <c r="O1264" i="1"/>
  <c r="O1256" i="1"/>
  <c r="O1248" i="1"/>
  <c r="O1240" i="1"/>
  <c r="O1232" i="1"/>
  <c r="O1224" i="1"/>
  <c r="O1216" i="1"/>
  <c r="O1208" i="1"/>
  <c r="O1200" i="1"/>
  <c r="O1192" i="1"/>
  <c r="O1184" i="1"/>
  <c r="O1176" i="1"/>
  <c r="O1168" i="1"/>
  <c r="O1160" i="1"/>
  <c r="O1152" i="1"/>
  <c r="O1144" i="1"/>
  <c r="O1136" i="1"/>
  <c r="O1128" i="1"/>
  <c r="O1120" i="1"/>
  <c r="O1112" i="1"/>
  <c r="O1104" i="1"/>
  <c r="O1096" i="1"/>
  <c r="O1088" i="1"/>
  <c r="O1080" i="1"/>
  <c r="O1072" i="1"/>
  <c r="O1064" i="1"/>
  <c r="O1056" i="1"/>
  <c r="O1048" i="1"/>
  <c r="O1040" i="1"/>
  <c r="O1032" i="1"/>
  <c r="O1024" i="1"/>
  <c r="O1016" i="1"/>
  <c r="O1008" i="1"/>
  <c r="O1000" i="1"/>
  <c r="O992" i="1"/>
  <c r="O984" i="1"/>
  <c r="O976" i="1"/>
  <c r="O968" i="1"/>
  <c r="O960" i="1"/>
  <c r="O952" i="1"/>
  <c r="O944" i="1"/>
  <c r="O936" i="1"/>
  <c r="O928" i="1"/>
  <c r="O3498" i="1"/>
  <c r="O3490" i="1"/>
  <c r="O3482" i="1"/>
  <c r="O3474" i="1"/>
  <c r="O3466" i="1"/>
  <c r="O3458" i="1"/>
  <c r="O3450" i="1"/>
  <c r="O3442" i="1"/>
  <c r="O3434" i="1"/>
  <c r="O3426" i="1"/>
  <c r="O3418" i="1"/>
  <c r="O3410" i="1"/>
  <c r="O3402" i="1"/>
  <c r="O3394" i="1"/>
  <c r="O3386" i="1"/>
  <c r="O3378" i="1"/>
  <c r="O3370" i="1"/>
  <c r="O3362" i="1"/>
  <c r="O3354" i="1"/>
  <c r="O3346" i="1"/>
  <c r="O3338" i="1"/>
  <c r="O3330" i="1"/>
  <c r="O3322" i="1"/>
  <c r="O3314" i="1"/>
  <c r="O3306" i="1"/>
  <c r="O3298" i="1"/>
  <c r="O3290" i="1"/>
  <c r="O3282" i="1"/>
  <c r="O3274" i="1"/>
  <c r="O3266" i="1"/>
  <c r="O3258" i="1"/>
  <c r="O3250" i="1"/>
  <c r="O3242" i="1"/>
  <c r="O3234" i="1"/>
  <c r="O3226" i="1"/>
  <c r="O3218" i="1"/>
  <c r="O3210" i="1"/>
  <c r="O3202" i="1"/>
  <c r="O3194" i="1"/>
  <c r="O3186" i="1"/>
  <c r="O3178" i="1"/>
  <c r="O3170" i="1"/>
  <c r="O3162" i="1"/>
  <c r="O3154" i="1"/>
  <c r="O3146" i="1"/>
  <c r="O3138" i="1"/>
  <c r="O3130" i="1"/>
  <c r="O3122" i="1"/>
  <c r="O3114" i="1"/>
  <c r="O3106" i="1"/>
  <c r="O3098" i="1"/>
  <c r="O3090" i="1"/>
  <c r="O3082" i="1"/>
  <c r="O3074" i="1"/>
  <c r="O3066" i="1"/>
  <c r="O3058" i="1"/>
  <c r="O3050" i="1"/>
  <c r="O3042" i="1"/>
  <c r="O3034" i="1"/>
  <c r="O3026" i="1"/>
  <c r="O3018" i="1"/>
  <c r="O3010" i="1"/>
  <c r="O3002" i="1"/>
  <c r="O2994" i="1"/>
  <c r="O2986" i="1"/>
  <c r="O2978" i="1"/>
  <c r="O2970" i="1"/>
  <c r="O2962" i="1"/>
  <c r="O2954" i="1"/>
  <c r="O2946" i="1"/>
  <c r="O2938" i="1"/>
  <c r="O2930" i="1"/>
  <c r="O2922" i="1"/>
  <c r="O2914" i="1"/>
  <c r="O2906" i="1"/>
  <c r="O2898" i="1"/>
  <c r="O2890" i="1"/>
  <c r="O2882" i="1"/>
  <c r="O2874" i="1"/>
  <c r="O2866" i="1"/>
  <c r="O2858" i="1"/>
  <c r="O2850" i="1"/>
  <c r="O2842" i="1"/>
  <c r="O2834" i="1"/>
  <c r="O2826" i="1"/>
  <c r="O2818" i="1"/>
  <c r="O2810" i="1"/>
  <c r="O2802" i="1"/>
  <c r="O2794" i="1"/>
  <c r="O2786" i="1"/>
  <c r="O2778" i="1"/>
  <c r="O2770" i="1"/>
  <c r="O2762" i="1"/>
  <c r="O2754" i="1"/>
  <c r="O2746" i="1"/>
  <c r="O3495" i="1"/>
  <c r="O3487" i="1"/>
  <c r="O3479" i="1"/>
  <c r="O3471" i="1"/>
  <c r="O3463" i="1"/>
  <c r="O3455" i="1"/>
  <c r="O3447" i="1"/>
  <c r="O3439" i="1"/>
  <c r="O3431" i="1"/>
  <c r="O3423" i="1"/>
  <c r="O3415" i="1"/>
  <c r="O3407" i="1"/>
  <c r="O3399" i="1"/>
  <c r="O3391" i="1"/>
  <c r="O3383" i="1"/>
  <c r="O3375" i="1"/>
  <c r="O3367" i="1"/>
  <c r="O3359" i="1"/>
  <c r="O3351" i="1"/>
  <c r="O3343" i="1"/>
  <c r="O3335" i="1"/>
  <c r="O3327" i="1"/>
  <c r="O3319" i="1"/>
  <c r="O3311" i="1"/>
  <c r="O3303" i="1"/>
  <c r="O3295" i="1"/>
  <c r="O3287" i="1"/>
  <c r="O3500" i="1"/>
  <c r="O3492" i="1"/>
  <c r="O3484" i="1"/>
  <c r="O3476" i="1"/>
  <c r="O3468" i="1"/>
  <c r="O3460" i="1"/>
  <c r="O3452" i="1"/>
  <c r="O3444" i="1"/>
  <c r="O3436" i="1"/>
  <c r="O3428" i="1"/>
  <c r="O3420" i="1"/>
  <c r="O3412" i="1"/>
  <c r="O3404" i="1"/>
  <c r="O3396" i="1"/>
  <c r="O3388" i="1"/>
  <c r="O3380" i="1"/>
  <c r="O3372" i="1"/>
  <c r="O3364" i="1"/>
  <c r="O3356" i="1"/>
  <c r="O3348" i="1"/>
  <c r="O3340" i="1"/>
  <c r="O3332" i="1"/>
  <c r="O3324" i="1"/>
  <c r="O3316" i="1"/>
  <c r="O3308" i="1"/>
  <c r="O3300" i="1"/>
  <c r="O3292" i="1"/>
  <c r="O3284" i="1"/>
  <c r="O3276" i="1"/>
  <c r="O3268" i="1"/>
  <c r="O3260" i="1"/>
  <c r="O3252" i="1"/>
  <c r="O3244" i="1"/>
  <c r="O3236" i="1"/>
  <c r="O3228" i="1"/>
  <c r="O2738" i="1"/>
  <c r="O2730" i="1"/>
  <c r="O2722" i="1"/>
  <c r="O2714" i="1"/>
  <c r="O2706" i="1"/>
  <c r="O2698" i="1"/>
  <c r="O2690" i="1"/>
  <c r="O2682" i="1"/>
  <c r="O2674" i="1"/>
  <c r="O2666" i="1"/>
  <c r="O2658" i="1"/>
  <c r="O2650" i="1"/>
  <c r="O2642" i="1"/>
  <c r="O2634" i="1"/>
  <c r="O2626" i="1"/>
  <c r="O2618" i="1"/>
  <c r="O2610" i="1"/>
  <c r="O2602" i="1"/>
  <c r="O2594" i="1"/>
  <c r="O2586" i="1"/>
  <c r="O2578" i="1"/>
  <c r="O2570" i="1"/>
  <c r="O2562" i="1"/>
  <c r="O2554" i="1"/>
  <c r="O2546" i="1"/>
  <c r="O2538" i="1"/>
  <c r="O2530" i="1"/>
  <c r="O2522" i="1"/>
  <c r="O2514" i="1"/>
  <c r="O2506" i="1"/>
  <c r="O2498" i="1"/>
  <c r="O2490" i="1"/>
  <c r="O2482" i="1"/>
  <c r="O2474" i="1"/>
  <c r="O2466" i="1"/>
  <c r="O2458" i="1"/>
  <c r="O2450" i="1"/>
  <c r="O2442" i="1"/>
  <c r="O2434" i="1"/>
  <c r="O2426" i="1"/>
  <c r="O2418" i="1"/>
  <c r="O2410" i="1"/>
  <c r="O2402" i="1"/>
  <c r="O2394" i="1"/>
  <c r="O2386" i="1"/>
  <c r="O2378" i="1"/>
  <c r="O2370" i="1"/>
  <c r="O2362" i="1"/>
  <c r="O2354" i="1"/>
  <c r="O2346" i="1"/>
  <c r="O2338" i="1"/>
  <c r="O2330" i="1"/>
  <c r="O2322" i="1"/>
  <c r="O2314" i="1"/>
  <c r="O2306" i="1"/>
  <c r="O2298" i="1"/>
  <c r="O2290" i="1"/>
  <c r="O2282" i="1"/>
  <c r="O2274" i="1"/>
  <c r="O2266" i="1"/>
  <c r="O2258" i="1"/>
  <c r="O2250" i="1"/>
  <c r="O2242" i="1"/>
  <c r="O2234" i="1"/>
  <c r="O2226" i="1"/>
  <c r="O2218" i="1"/>
  <c r="O2210" i="1"/>
  <c r="O2202" i="1"/>
  <c r="O2194" i="1"/>
  <c r="O2186" i="1"/>
  <c r="O2178" i="1"/>
  <c r="O2170" i="1"/>
  <c r="O2162" i="1"/>
  <c r="O2154" i="1"/>
  <c r="O2146" i="1"/>
  <c r="O2138" i="1"/>
  <c r="O2130" i="1"/>
  <c r="O2122" i="1"/>
  <c r="O2114" i="1"/>
  <c r="O2106" i="1"/>
  <c r="O2098" i="1"/>
  <c r="O2090" i="1"/>
  <c r="O2082" i="1"/>
  <c r="O2074" i="1"/>
  <c r="O2066" i="1"/>
  <c r="O2058" i="1"/>
  <c r="O2050" i="1"/>
  <c r="O2042" i="1"/>
  <c r="O2034" i="1"/>
  <c r="O2026" i="1"/>
  <c r="O2018" i="1"/>
  <c r="O2010" i="1"/>
  <c r="O2002" i="1"/>
  <c r="O1994" i="1"/>
  <c r="O1986" i="1"/>
  <c r="O1978" i="1"/>
  <c r="O1970" i="1"/>
  <c r="O1962" i="1"/>
  <c r="O1954" i="1"/>
  <c r="O1946" i="1"/>
  <c r="O1938" i="1"/>
  <c r="O1930" i="1"/>
  <c r="O1922" i="1"/>
  <c r="O1914" i="1"/>
  <c r="O1906" i="1"/>
  <c r="O1898" i="1"/>
  <c r="O1890" i="1"/>
  <c r="O1882" i="1"/>
  <c r="O1874" i="1"/>
  <c r="O1866" i="1"/>
  <c r="O1858" i="1"/>
  <c r="O1850" i="1"/>
  <c r="O1842" i="1"/>
  <c r="O1834" i="1"/>
  <c r="O1826" i="1"/>
  <c r="O1818" i="1"/>
  <c r="O1810" i="1"/>
  <c r="O1802" i="1"/>
  <c r="O1794" i="1"/>
  <c r="O1786" i="1"/>
  <c r="O1778" i="1"/>
  <c r="O1770" i="1"/>
  <c r="O1762" i="1"/>
  <c r="O1754" i="1"/>
  <c r="O1746" i="1"/>
  <c r="O1738" i="1"/>
  <c r="O1730" i="1"/>
  <c r="O1722" i="1"/>
  <c r="O1714" i="1"/>
  <c r="O1706" i="1"/>
  <c r="O1698" i="1"/>
  <c r="O1690" i="1"/>
  <c r="O1682" i="1"/>
  <c r="O1674" i="1"/>
  <c r="O1666" i="1"/>
  <c r="O1658" i="1"/>
  <c r="O1650" i="1"/>
  <c r="O1642" i="1"/>
  <c r="O1634" i="1"/>
  <c r="O1626" i="1"/>
  <c r="O1618" i="1"/>
  <c r="O1610" i="1"/>
  <c r="O1602" i="1"/>
  <c r="O1594" i="1"/>
  <c r="O1586" i="1"/>
  <c r="O1578" i="1"/>
  <c r="O1570" i="1"/>
  <c r="O1562" i="1"/>
  <c r="O1554" i="1"/>
  <c r="O1546" i="1"/>
  <c r="O1538" i="1"/>
  <c r="O1530" i="1"/>
  <c r="O1522" i="1"/>
  <c r="O1514" i="1"/>
  <c r="O1506" i="1"/>
  <c r="O1498" i="1"/>
  <c r="O1490" i="1"/>
  <c r="O1482" i="1"/>
  <c r="O1474" i="1"/>
  <c r="O1466" i="1"/>
  <c r="O1458" i="1"/>
  <c r="O1450" i="1"/>
  <c r="O1442" i="1"/>
  <c r="O1434" i="1"/>
  <c r="O1426" i="1"/>
  <c r="O1418" i="1"/>
  <c r="O1410" i="1"/>
  <c r="O1402" i="1"/>
  <c r="O1394" i="1"/>
  <c r="O1386" i="1"/>
  <c r="O1378" i="1"/>
  <c r="O1370" i="1"/>
  <c r="O1362" i="1"/>
  <c r="O1354" i="1"/>
  <c r="O1346" i="1"/>
  <c r="O1338" i="1"/>
  <c r="O1330" i="1"/>
  <c r="O1322" i="1"/>
  <c r="O1314" i="1"/>
  <c r="O1306" i="1"/>
  <c r="O1298" i="1"/>
  <c r="O1290" i="1"/>
  <c r="O1282" i="1"/>
  <c r="O1274" i="1"/>
  <c r="O1266" i="1"/>
  <c r="O1258" i="1"/>
  <c r="O1250" i="1"/>
  <c r="O1242" i="1"/>
  <c r="O1234" i="1"/>
  <c r="O1226" i="1"/>
  <c r="O1218" i="1"/>
  <c r="O1210" i="1"/>
  <c r="O1202" i="1"/>
  <c r="O1194" i="1"/>
  <c r="O1186" i="1"/>
  <c r="O1178" i="1"/>
  <c r="O1170" i="1"/>
  <c r="O1162" i="1"/>
  <c r="O1154" i="1"/>
  <c r="O1146" i="1"/>
  <c r="O1138" i="1"/>
  <c r="O1130" i="1"/>
  <c r="O1122" i="1"/>
  <c r="O1114" i="1"/>
  <c r="O1106" i="1"/>
  <c r="O1098" i="1"/>
  <c r="O1090" i="1"/>
  <c r="O1082" i="1"/>
  <c r="O1074" i="1"/>
  <c r="O1066" i="1"/>
  <c r="O1058" i="1"/>
  <c r="O1050" i="1"/>
  <c r="O1042" i="1"/>
  <c r="O1034" i="1"/>
  <c r="O1026" i="1"/>
  <c r="O1018" i="1"/>
  <c r="O1010" i="1"/>
  <c r="O1002" i="1"/>
  <c r="O994" i="1"/>
  <c r="O986" i="1"/>
  <c r="O978" i="1"/>
  <c r="O970" i="1"/>
  <c r="O962" i="1"/>
  <c r="O954" i="1"/>
  <c r="O946" i="1"/>
  <c r="O938" i="1"/>
  <c r="O930" i="1"/>
  <c r="O922" i="1"/>
  <c r="O914" i="1"/>
  <c r="O906" i="1"/>
  <c r="O898" i="1"/>
  <c r="O890" i="1"/>
  <c r="O882" i="1"/>
  <c r="O874" i="1"/>
  <c r="O866" i="1"/>
  <c r="O858" i="1"/>
  <c r="O850" i="1"/>
  <c r="O842" i="1"/>
  <c r="O834" i="1"/>
  <c r="O826" i="1"/>
  <c r="O818" i="1"/>
  <c r="O810" i="1"/>
  <c r="O802" i="1"/>
  <c r="O794" i="1"/>
  <c r="O786" i="1"/>
  <c r="O778" i="1"/>
  <c r="O770" i="1"/>
  <c r="O762" i="1"/>
  <c r="O754" i="1"/>
  <c r="O746" i="1"/>
  <c r="O738" i="1"/>
  <c r="O730" i="1"/>
  <c r="O722" i="1"/>
  <c r="O3497" i="1"/>
  <c r="O3489" i="1"/>
  <c r="O3481" i="1"/>
  <c r="O3473" i="1"/>
  <c r="O3465" i="1"/>
  <c r="O3457" i="1"/>
  <c r="O3449" i="1"/>
  <c r="O3441" i="1"/>
  <c r="O3433" i="1"/>
  <c r="O3425" i="1"/>
  <c r="O3417" i="1"/>
  <c r="O3409" i="1"/>
  <c r="O3401" i="1"/>
  <c r="O3393" i="1"/>
  <c r="O3385" i="1"/>
  <c r="O3377" i="1"/>
  <c r="O3369" i="1"/>
  <c r="O3361" i="1"/>
  <c r="O3353" i="1"/>
  <c r="O3345" i="1"/>
  <c r="O3337" i="1"/>
  <c r="O3329" i="1"/>
  <c r="O3321" i="1"/>
  <c r="O3313" i="1"/>
  <c r="O3305" i="1"/>
  <c r="O3297" i="1"/>
  <c r="O3289" i="1"/>
  <c r="O3281" i="1"/>
  <c r="O3273" i="1"/>
  <c r="O3265" i="1"/>
  <c r="O3257" i="1"/>
  <c r="O3249" i="1"/>
  <c r="O3241" i="1"/>
  <c r="O3233" i="1"/>
  <c r="O3225" i="1"/>
  <c r="O3217" i="1"/>
  <c r="O3209" i="1"/>
  <c r="O3201" i="1"/>
  <c r="O3193" i="1"/>
  <c r="O3185" i="1"/>
  <c r="O3177" i="1"/>
  <c r="O3169" i="1"/>
  <c r="O3161" i="1"/>
  <c r="O3153" i="1"/>
  <c r="O3145" i="1"/>
  <c r="O3137" i="1"/>
  <c r="O3129" i="1"/>
  <c r="O3121" i="1"/>
  <c r="O3113" i="1"/>
  <c r="O3105" i="1"/>
  <c r="O3097" i="1"/>
  <c r="O3089" i="1"/>
  <c r="O3081" i="1"/>
  <c r="O3073" i="1"/>
  <c r="O3065" i="1"/>
  <c r="O3057" i="1"/>
  <c r="O3049" i="1"/>
  <c r="O3041" i="1"/>
  <c r="O3033" i="1"/>
  <c r="O3025" i="1"/>
  <c r="O3017" i="1"/>
  <c r="O3009" i="1"/>
  <c r="O3001" i="1"/>
  <c r="O2993" i="1"/>
  <c r="O2985" i="1"/>
  <c r="O2977" i="1"/>
  <c r="O2969" i="1"/>
  <c r="O2961" i="1"/>
  <c r="O2953" i="1"/>
  <c r="O2945" i="1"/>
  <c r="O2937" i="1"/>
  <c r="O2929" i="1"/>
  <c r="O2921" i="1"/>
  <c r="O2913" i="1"/>
  <c r="O2905" i="1"/>
  <c r="O2897" i="1"/>
  <c r="O920" i="1"/>
  <c r="O912" i="1"/>
  <c r="O904" i="1"/>
  <c r="O896" i="1"/>
  <c r="O888" i="1"/>
  <c r="O880" i="1"/>
  <c r="O872" i="1"/>
  <c r="O864" i="1"/>
  <c r="O856" i="1"/>
  <c r="O848" i="1"/>
  <c r="O840" i="1"/>
  <c r="O832" i="1"/>
  <c r="O824" i="1"/>
  <c r="O816" i="1"/>
  <c r="O808" i="1"/>
  <c r="O800" i="1"/>
  <c r="O792" i="1"/>
  <c r="O784" i="1"/>
  <c r="O776" i="1"/>
  <c r="O768" i="1"/>
  <c r="O760" i="1"/>
  <c r="O752" i="1"/>
  <c r="O744" i="1"/>
  <c r="O736" i="1"/>
  <c r="O728" i="1"/>
  <c r="O720" i="1"/>
  <c r="O712" i="1"/>
  <c r="O704" i="1"/>
  <c r="O696" i="1"/>
  <c r="O688" i="1"/>
  <c r="O680" i="1"/>
  <c r="O672" i="1"/>
  <c r="O664" i="1"/>
  <c r="O656" i="1"/>
  <c r="O648" i="1"/>
  <c r="O640" i="1"/>
  <c r="O632" i="1"/>
  <c r="O624" i="1"/>
  <c r="O616" i="1"/>
  <c r="O608" i="1"/>
  <c r="O600" i="1"/>
  <c r="O592" i="1"/>
  <c r="O584" i="1"/>
  <c r="O576" i="1"/>
  <c r="O568" i="1"/>
  <c r="O560" i="1"/>
  <c r="O552" i="1"/>
  <c r="O544" i="1"/>
  <c r="O536" i="1"/>
  <c r="O528" i="1"/>
  <c r="O520" i="1"/>
  <c r="O512" i="1"/>
  <c r="O504" i="1"/>
  <c r="O496" i="1"/>
  <c r="O488" i="1"/>
  <c r="O480" i="1"/>
  <c r="O472" i="1"/>
  <c r="O464" i="1"/>
  <c r="O456" i="1"/>
  <c r="O448" i="1"/>
  <c r="O440" i="1"/>
  <c r="O432" i="1"/>
  <c r="O424" i="1"/>
  <c r="O416" i="1"/>
  <c r="O408" i="1"/>
  <c r="O400" i="1"/>
  <c r="O392" i="1"/>
  <c r="O384" i="1"/>
  <c r="O376" i="1"/>
  <c r="O368" i="1"/>
  <c r="O360" i="1"/>
  <c r="O352" i="1"/>
  <c r="O344" i="1"/>
  <c r="O336" i="1"/>
  <c r="O328" i="1"/>
  <c r="O320" i="1"/>
  <c r="O312" i="1"/>
  <c r="O304" i="1"/>
  <c r="O296" i="1"/>
  <c r="O288" i="1"/>
  <c r="O280" i="1"/>
  <c r="O272" i="1"/>
  <c r="O264" i="1"/>
  <c r="O256" i="1"/>
  <c r="O248" i="1"/>
  <c r="O240" i="1"/>
  <c r="O232" i="1"/>
  <c r="O224" i="1"/>
  <c r="O216" i="1"/>
  <c r="O208" i="1"/>
  <c r="O200" i="1"/>
  <c r="O192" i="1"/>
  <c r="O184" i="1"/>
  <c r="O176" i="1"/>
  <c r="O168" i="1"/>
  <c r="O160" i="1"/>
  <c r="O152" i="1"/>
  <c r="O144" i="1"/>
  <c r="O136" i="1"/>
  <c r="O128" i="1"/>
  <c r="O120" i="1"/>
  <c r="O112" i="1"/>
  <c r="O104" i="1"/>
  <c r="O96" i="1"/>
  <c r="O88" i="1"/>
  <c r="O80" i="1"/>
  <c r="O72" i="1"/>
  <c r="O64" i="1"/>
  <c r="O56" i="1"/>
  <c r="O48" i="1"/>
  <c r="O40" i="1"/>
  <c r="O32" i="1"/>
  <c r="O24" i="1"/>
  <c r="O16" i="1"/>
  <c r="O8" i="1"/>
  <c r="O3279" i="1"/>
  <c r="O3271" i="1"/>
  <c r="O3263" i="1"/>
  <c r="O3255" i="1"/>
  <c r="O3247" i="1"/>
  <c r="O3239" i="1"/>
  <c r="O3231" i="1"/>
  <c r="O3223" i="1"/>
  <c r="O3215" i="1"/>
  <c r="O3207" i="1"/>
  <c r="O3199" i="1"/>
  <c r="O3191" i="1"/>
  <c r="O3183" i="1"/>
  <c r="O3175" i="1"/>
  <c r="O3167" i="1"/>
  <c r="O3159" i="1"/>
  <c r="O3151" i="1"/>
  <c r="O3143" i="1"/>
  <c r="O3135" i="1"/>
  <c r="O3127" i="1"/>
  <c r="O3119" i="1"/>
  <c r="O3111" i="1"/>
  <c r="O3103" i="1"/>
  <c r="O3095" i="1"/>
  <c r="O3087" i="1"/>
  <c r="O3079" i="1"/>
  <c r="O3071" i="1"/>
  <c r="O3063" i="1"/>
  <c r="O3055" i="1"/>
  <c r="O3047" i="1"/>
  <c r="O3039" i="1"/>
  <c r="O3031" i="1"/>
  <c r="O3023" i="1"/>
  <c r="O3015" i="1"/>
  <c r="O3007" i="1"/>
  <c r="O2999" i="1"/>
  <c r="O2991" i="1"/>
  <c r="O2983" i="1"/>
  <c r="O2975" i="1"/>
  <c r="O2967" i="1"/>
  <c r="O2959" i="1"/>
  <c r="O2951" i="1"/>
  <c r="O2943" i="1"/>
  <c r="O2935" i="1"/>
  <c r="O2927" i="1"/>
  <c r="O2919" i="1"/>
  <c r="O2911" i="1"/>
  <c r="O2903" i="1"/>
  <c r="O2895" i="1"/>
  <c r="O2887" i="1"/>
  <c r="O2879" i="1"/>
  <c r="O2871" i="1"/>
  <c r="O2863" i="1"/>
  <c r="O2855" i="1"/>
  <c r="O2847" i="1"/>
  <c r="O2839" i="1"/>
  <c r="O2831" i="1"/>
  <c r="O2823" i="1"/>
  <c r="O2815" i="1"/>
  <c r="O2807" i="1"/>
  <c r="O2799" i="1"/>
  <c r="O2791" i="1"/>
  <c r="O2783" i="1"/>
  <c r="O2775" i="1"/>
  <c r="O2767" i="1"/>
  <c r="O2759" i="1"/>
  <c r="O2751" i="1"/>
  <c r="O2743" i="1"/>
  <c r="O2735" i="1"/>
  <c r="O2727" i="1"/>
  <c r="O2719" i="1"/>
  <c r="O2711" i="1"/>
  <c r="O2703" i="1"/>
  <c r="O2695" i="1"/>
  <c r="O2687" i="1"/>
  <c r="O2679" i="1"/>
  <c r="O2671" i="1"/>
  <c r="O2663" i="1"/>
  <c r="O2655" i="1"/>
  <c r="O2647" i="1"/>
  <c r="O2639" i="1"/>
  <c r="O2631" i="1"/>
  <c r="O2623" i="1"/>
  <c r="O2615" i="1"/>
  <c r="O2607" i="1"/>
  <c r="O2599" i="1"/>
  <c r="O2591" i="1"/>
  <c r="O2583" i="1"/>
  <c r="O2575" i="1"/>
  <c r="O2567" i="1"/>
  <c r="O2559" i="1"/>
  <c r="O2551" i="1"/>
  <c r="O2543" i="1"/>
  <c r="O2535" i="1"/>
  <c r="O2527" i="1"/>
  <c r="O2519" i="1"/>
  <c r="O2511" i="1"/>
  <c r="O2503" i="1"/>
  <c r="O2495" i="1"/>
  <c r="O2487" i="1"/>
  <c r="O2479" i="1"/>
  <c r="O2471" i="1"/>
  <c r="O2463" i="1"/>
  <c r="O2455" i="1"/>
  <c r="O2447" i="1"/>
  <c r="O2439" i="1"/>
  <c r="O2431" i="1"/>
  <c r="O2423" i="1"/>
  <c r="O2415" i="1"/>
  <c r="O2407" i="1"/>
  <c r="O2399" i="1"/>
  <c r="O2391" i="1"/>
  <c r="O2383" i="1"/>
  <c r="O2375" i="1"/>
  <c r="O2367" i="1"/>
  <c r="O2359" i="1"/>
  <c r="O2351" i="1"/>
  <c r="O2343" i="1"/>
  <c r="O2335" i="1"/>
  <c r="O2327" i="1"/>
  <c r="O2319" i="1"/>
  <c r="O2311" i="1"/>
  <c r="O2303" i="1"/>
  <c r="O2295" i="1"/>
  <c r="O2287" i="1"/>
  <c r="O2279" i="1"/>
  <c r="O2271" i="1"/>
  <c r="O2263" i="1"/>
  <c r="O2255" i="1"/>
  <c r="O2247" i="1"/>
  <c r="O2239" i="1"/>
  <c r="O2231" i="1"/>
  <c r="O2223" i="1"/>
  <c r="O2215" i="1"/>
  <c r="O2207" i="1"/>
  <c r="O2199" i="1"/>
  <c r="O2191" i="1"/>
  <c r="O2183" i="1"/>
  <c r="O2175" i="1"/>
  <c r="O2167" i="1"/>
  <c r="O2159" i="1"/>
  <c r="O2151" i="1"/>
  <c r="O2143" i="1"/>
  <c r="O2135" i="1"/>
  <c r="O2127" i="1"/>
  <c r="O2119" i="1"/>
  <c r="O2111" i="1"/>
  <c r="O2103" i="1"/>
  <c r="O2095" i="1"/>
  <c r="O2087" i="1"/>
  <c r="O2079" i="1"/>
  <c r="O2071" i="1"/>
  <c r="O2063" i="1"/>
  <c r="O2055" i="1"/>
  <c r="O2047" i="1"/>
  <c r="O2039" i="1"/>
  <c r="O2031" i="1"/>
  <c r="O2023" i="1"/>
  <c r="O2015" i="1"/>
  <c r="O2007" i="1"/>
  <c r="O1999" i="1"/>
  <c r="O1991" i="1"/>
  <c r="O1983" i="1"/>
  <c r="O1975" i="1"/>
  <c r="O1967" i="1"/>
  <c r="O1959" i="1"/>
  <c r="O1951" i="1"/>
  <c r="O1943" i="1"/>
  <c r="O1935" i="1"/>
  <c r="O1927" i="1"/>
  <c r="O1919" i="1"/>
  <c r="O1911" i="1"/>
  <c r="O1903" i="1"/>
  <c r="O1895" i="1"/>
  <c r="O1887" i="1"/>
  <c r="O1879" i="1"/>
  <c r="O1871" i="1"/>
  <c r="O1863" i="1"/>
  <c r="O1855" i="1"/>
  <c r="O1847" i="1"/>
  <c r="O1839" i="1"/>
  <c r="O1831" i="1"/>
  <c r="O1823" i="1"/>
  <c r="O1815" i="1"/>
  <c r="O1807" i="1"/>
  <c r="O1799" i="1"/>
  <c r="O1791" i="1"/>
  <c r="O1783" i="1"/>
  <c r="O1775" i="1"/>
  <c r="O1767" i="1"/>
  <c r="O1759" i="1"/>
  <c r="O1751" i="1"/>
  <c r="O1743" i="1"/>
  <c r="O1735" i="1"/>
  <c r="O1727" i="1"/>
  <c r="O1719" i="1"/>
  <c r="O1711" i="1"/>
  <c r="O1703" i="1"/>
  <c r="O1695" i="1"/>
  <c r="O1687" i="1"/>
  <c r="O1679" i="1"/>
  <c r="O1671" i="1"/>
  <c r="O1663" i="1"/>
  <c r="O1655" i="1"/>
  <c r="O1647" i="1"/>
  <c r="O1639" i="1"/>
  <c r="O1631" i="1"/>
  <c r="O1623" i="1"/>
  <c r="O1615" i="1"/>
  <c r="O1607" i="1"/>
  <c r="O1599" i="1"/>
  <c r="O1591" i="1"/>
  <c r="O1583" i="1"/>
  <c r="O1575" i="1"/>
  <c r="O1567" i="1"/>
  <c r="O1559" i="1"/>
  <c r="O1551" i="1"/>
  <c r="O1543" i="1"/>
  <c r="O1535" i="1"/>
  <c r="O1527" i="1"/>
  <c r="O1519" i="1"/>
  <c r="O1511" i="1"/>
  <c r="O1503" i="1"/>
  <c r="O1495" i="1"/>
  <c r="O1487" i="1"/>
  <c r="O1479" i="1"/>
  <c r="O1471" i="1"/>
  <c r="O1463" i="1"/>
  <c r="O1455" i="1"/>
  <c r="O1447" i="1"/>
  <c r="O1439" i="1"/>
  <c r="O1431" i="1"/>
  <c r="O1423" i="1"/>
  <c r="O1415" i="1"/>
  <c r="O1407" i="1"/>
  <c r="O1399" i="1"/>
  <c r="O1391" i="1"/>
  <c r="O1383" i="1"/>
  <c r="O1375" i="1"/>
  <c r="O3494" i="1"/>
  <c r="O3486" i="1"/>
  <c r="O3478" i="1"/>
  <c r="O3470" i="1"/>
  <c r="O3462" i="1"/>
  <c r="O3454" i="1"/>
  <c r="O3446" i="1"/>
  <c r="O3438" i="1"/>
  <c r="O3430" i="1"/>
  <c r="O3422" i="1"/>
  <c r="O3414" i="1"/>
  <c r="O3406" i="1"/>
  <c r="O3398" i="1"/>
  <c r="O3390" i="1"/>
  <c r="O3382" i="1"/>
  <c r="O3374" i="1"/>
  <c r="O3366" i="1"/>
  <c r="O3358" i="1"/>
  <c r="O3350" i="1"/>
  <c r="O3342" i="1"/>
  <c r="O3334" i="1"/>
  <c r="O3326" i="1"/>
  <c r="O3318" i="1"/>
  <c r="O3310" i="1"/>
  <c r="O3302" i="1"/>
  <c r="O3294" i="1"/>
  <c r="O3286" i="1"/>
  <c r="O3278" i="1"/>
  <c r="O3270" i="1"/>
  <c r="O3262" i="1"/>
  <c r="O3254" i="1"/>
  <c r="O3246" i="1"/>
  <c r="O3238" i="1"/>
  <c r="O3230" i="1"/>
  <c r="O3222" i="1"/>
  <c r="O3214" i="1"/>
  <c r="O3206" i="1"/>
  <c r="O3198" i="1"/>
  <c r="O3190" i="1"/>
  <c r="O3182" i="1"/>
  <c r="O3174" i="1"/>
  <c r="O3166" i="1"/>
  <c r="O3158" i="1"/>
  <c r="O3150" i="1"/>
  <c r="O3142" i="1"/>
  <c r="O3134" i="1"/>
  <c r="O3126" i="1"/>
  <c r="O3118" i="1"/>
  <c r="O3110" i="1"/>
  <c r="O3102" i="1"/>
  <c r="O3094" i="1"/>
  <c r="O3086" i="1"/>
  <c r="O3078" i="1"/>
  <c r="O3070" i="1"/>
  <c r="O3062" i="1"/>
  <c r="O3054" i="1"/>
  <c r="O3046" i="1"/>
  <c r="O3038" i="1"/>
  <c r="O3030" i="1"/>
  <c r="O3022" i="1"/>
  <c r="O3014" i="1"/>
  <c r="O3006" i="1"/>
  <c r="O2998" i="1"/>
  <c r="O2990" i="1"/>
  <c r="O2982" i="1"/>
  <c r="O2974" i="1"/>
  <c r="O2966" i="1"/>
  <c r="O2958" i="1"/>
  <c r="O2950" i="1"/>
  <c r="O2942" i="1"/>
  <c r="O2934" i="1"/>
  <c r="O2926" i="1"/>
  <c r="O2918" i="1"/>
  <c r="O2910" i="1"/>
  <c r="O2902" i="1"/>
  <c r="O2894" i="1"/>
  <c r="O2886" i="1"/>
  <c r="O2878" i="1"/>
  <c r="O2870" i="1"/>
  <c r="O2862" i="1"/>
  <c r="O2854" i="1"/>
  <c r="O2846" i="1"/>
  <c r="O2838" i="1"/>
  <c r="O2830" i="1"/>
  <c r="O2822" i="1"/>
  <c r="O2814" i="1"/>
  <c r="O2806" i="1"/>
  <c r="O2798" i="1"/>
  <c r="O2790" i="1"/>
  <c r="O2782" i="1"/>
  <c r="O2774" i="1"/>
  <c r="O2766" i="1"/>
  <c r="O2758" i="1"/>
  <c r="O2750" i="1"/>
  <c r="O2742" i="1"/>
  <c r="O2734" i="1"/>
  <c r="O2726" i="1"/>
  <c r="O2718" i="1"/>
  <c r="O2710" i="1"/>
  <c r="O2702" i="1"/>
  <c r="O2694" i="1"/>
  <c r="O3501" i="1"/>
  <c r="O3493" i="1"/>
  <c r="O3485" i="1"/>
  <c r="O3477" i="1"/>
  <c r="O3469" i="1"/>
  <c r="O3461" i="1"/>
  <c r="O3453" i="1"/>
  <c r="O3445" i="1"/>
  <c r="O3437" i="1"/>
  <c r="O3429" i="1"/>
  <c r="O3421" i="1"/>
  <c r="O3413" i="1"/>
  <c r="O3405" i="1"/>
  <c r="O3397" i="1"/>
  <c r="O3389" i="1"/>
  <c r="O3381" i="1"/>
  <c r="O3373" i="1"/>
  <c r="O3365" i="1"/>
  <c r="O3357" i="1"/>
  <c r="O3349" i="1"/>
  <c r="O3341" i="1"/>
  <c r="O3333" i="1"/>
  <c r="O3325" i="1"/>
  <c r="O3317" i="1"/>
  <c r="O3309" i="1"/>
  <c r="O3301" i="1"/>
  <c r="O3293" i="1"/>
  <c r="O3285" i="1"/>
  <c r="O3277" i="1"/>
  <c r="O3269" i="1"/>
  <c r="O3261" i="1"/>
  <c r="O3253" i="1"/>
  <c r="O3245" i="1"/>
  <c r="O3237" i="1"/>
  <c r="O3229" i="1"/>
  <c r="O3221" i="1"/>
  <c r="O3213" i="1"/>
  <c r="O3205" i="1"/>
  <c r="O3197" i="1"/>
  <c r="O3189" i="1"/>
  <c r="O3181" i="1"/>
  <c r="O3173" i="1"/>
  <c r="O3165" i="1"/>
  <c r="O3157" i="1"/>
  <c r="O3149" i="1"/>
  <c r="O3141" i="1"/>
  <c r="O3133" i="1"/>
  <c r="O3125" i="1"/>
  <c r="O3117" i="1"/>
  <c r="O3109" i="1"/>
  <c r="O3101" i="1"/>
  <c r="O3093" i="1"/>
  <c r="O3085" i="1"/>
  <c r="O3077" i="1"/>
  <c r="O3069" i="1"/>
  <c r="O3061" i="1"/>
  <c r="O3053" i="1"/>
  <c r="O3045" i="1"/>
  <c r="O3037" i="1"/>
  <c r="O3029" i="1"/>
  <c r="O3021" i="1"/>
  <c r="O3013" i="1"/>
  <c r="O3005" i="1"/>
  <c r="O2997" i="1"/>
  <c r="O2989" i="1"/>
  <c r="O2981" i="1"/>
  <c r="O2973" i="1"/>
  <c r="O2965" i="1"/>
  <c r="O2957" i="1"/>
  <c r="O2949" i="1"/>
  <c r="O2941" i="1"/>
  <c r="O2933" i="1"/>
  <c r="O2925" i="1"/>
  <c r="O2917" i="1"/>
  <c r="O2909" i="1"/>
  <c r="O2901" i="1"/>
  <c r="O2893" i="1"/>
  <c r="O2885" i="1"/>
  <c r="O2877" i="1"/>
  <c r="O2869" i="1"/>
  <c r="O2861" i="1"/>
  <c r="O2853" i="1"/>
  <c r="O2845" i="1"/>
  <c r="O2837" i="1"/>
  <c r="O2829" i="1"/>
  <c r="O2821" i="1"/>
  <c r="O2813" i="1"/>
  <c r="O2805" i="1"/>
  <c r="O2797" i="1"/>
  <c r="O2789" i="1"/>
  <c r="O2781" i="1"/>
  <c r="O2773" i="1"/>
  <c r="O2765" i="1"/>
  <c r="O2757" i="1"/>
  <c r="O2749" i="1"/>
  <c r="O2741" i="1"/>
  <c r="O2733" i="1"/>
  <c r="O2725" i="1"/>
  <c r="O2717" i="1"/>
  <c r="O2709" i="1"/>
  <c r="O2701" i="1"/>
  <c r="O2693" i="1"/>
  <c r="O2685" i="1"/>
  <c r="O2677" i="1"/>
  <c r="O2669" i="1"/>
  <c r="O2661" i="1"/>
  <c r="O2653" i="1"/>
  <c r="O2645" i="1"/>
  <c r="O2637" i="1"/>
  <c r="O2629" i="1"/>
  <c r="O2621" i="1"/>
  <c r="O2613" i="1"/>
  <c r="O2605" i="1"/>
  <c r="O2597" i="1"/>
  <c r="O2589" i="1"/>
  <c r="O2581" i="1"/>
  <c r="O2573" i="1"/>
  <c r="O2565" i="1"/>
  <c r="O2557" i="1"/>
  <c r="O2549" i="1"/>
  <c r="O2541" i="1"/>
  <c r="O2533" i="1"/>
  <c r="O2525" i="1"/>
  <c r="O2517" i="1"/>
  <c r="O2509" i="1"/>
  <c r="O2501" i="1"/>
  <c r="O2493" i="1"/>
  <c r="O2485" i="1"/>
  <c r="O2477" i="1"/>
  <c r="O2469" i="1"/>
  <c r="O2461" i="1"/>
  <c r="O2453" i="1"/>
  <c r="O2445" i="1"/>
  <c r="O2437" i="1"/>
  <c r="O2429" i="1"/>
  <c r="O2421" i="1"/>
  <c r="O2413" i="1"/>
  <c r="O2405" i="1"/>
  <c r="O2397" i="1"/>
  <c r="O2389" i="1"/>
  <c r="O2381" i="1"/>
  <c r="O2373" i="1"/>
  <c r="O2365" i="1"/>
  <c r="O2357" i="1"/>
  <c r="O2349" i="1"/>
  <c r="O2341" i="1"/>
  <c r="O2333" i="1"/>
  <c r="O2325" i="1"/>
  <c r="O2317" i="1"/>
  <c r="O2309" i="1"/>
  <c r="O2301" i="1"/>
  <c r="O2293" i="1"/>
  <c r="O2285" i="1"/>
  <c r="O2277" i="1"/>
  <c r="O2269" i="1"/>
  <c r="O2261" i="1"/>
  <c r="O2253" i="1"/>
  <c r="O2245" i="1"/>
  <c r="O2237" i="1"/>
  <c r="O2229" i="1"/>
  <c r="O2221" i="1"/>
  <c r="O2213" i="1"/>
  <c r="O2205" i="1"/>
  <c r="O2197" i="1"/>
  <c r="O2189" i="1"/>
  <c r="O2181" i="1"/>
  <c r="O2173" i="1"/>
  <c r="O2165" i="1"/>
  <c r="O2157" i="1"/>
  <c r="O2149" i="1"/>
  <c r="O2141" i="1"/>
  <c r="O2133" i="1"/>
  <c r="O2125" i="1"/>
  <c r="O2117" i="1"/>
  <c r="O2109" i="1"/>
  <c r="O2101" i="1"/>
  <c r="O2093" i="1"/>
  <c r="O2085" i="1"/>
  <c r="O2077" i="1"/>
  <c r="O2069" i="1"/>
  <c r="O2061" i="1"/>
  <c r="O2053" i="1"/>
  <c r="O2045" i="1"/>
  <c r="O2037" i="1"/>
  <c r="O2029" i="1"/>
  <c r="O2021" i="1"/>
  <c r="O2013" i="1"/>
  <c r="O2005" i="1"/>
  <c r="O1997" i="1"/>
  <c r="O1989" i="1"/>
  <c r="O1981" i="1"/>
  <c r="O1973" i="1"/>
  <c r="O1965" i="1"/>
  <c r="O1957" i="1"/>
  <c r="O1949" i="1"/>
  <c r="O1941" i="1"/>
  <c r="O1933" i="1"/>
  <c r="O1925" i="1"/>
  <c r="O1917" i="1"/>
  <c r="O1909" i="1"/>
  <c r="O1901" i="1"/>
  <c r="O1893" i="1"/>
  <c r="O1885" i="1"/>
  <c r="O1877" i="1"/>
  <c r="O1869" i="1"/>
  <c r="O1861" i="1"/>
  <c r="O1853" i="1"/>
  <c r="O1845" i="1"/>
  <c r="O1837" i="1"/>
  <c r="O1829" i="1"/>
  <c r="O1821" i="1"/>
  <c r="O1813" i="1"/>
  <c r="O1805" i="1"/>
  <c r="O1797" i="1"/>
  <c r="O1789" i="1"/>
  <c r="O1781" i="1"/>
  <c r="O1773" i="1"/>
  <c r="O1765" i="1"/>
  <c r="O1757" i="1"/>
  <c r="O1749" i="1"/>
  <c r="O1741" i="1"/>
  <c r="O1733" i="1"/>
  <c r="O1725" i="1"/>
  <c r="O1717" i="1"/>
  <c r="O1709" i="1"/>
  <c r="O1701" i="1"/>
  <c r="O1693" i="1"/>
  <c r="O1685" i="1"/>
  <c r="O1677" i="1"/>
  <c r="O1669" i="1"/>
  <c r="O1661" i="1"/>
  <c r="O1653" i="1"/>
  <c r="O1645" i="1"/>
  <c r="O1637" i="1"/>
  <c r="O1629" i="1"/>
  <c r="O1621" i="1"/>
  <c r="O1613" i="1"/>
  <c r="O1605" i="1"/>
  <c r="O3220" i="1"/>
  <c r="O3212" i="1"/>
  <c r="O3204" i="1"/>
  <c r="O3196" i="1"/>
  <c r="O3188" i="1"/>
  <c r="O3180" i="1"/>
  <c r="O3172" i="1"/>
  <c r="O3164" i="1"/>
  <c r="O3156" i="1"/>
  <c r="O3148" i="1"/>
  <c r="O3140" i="1"/>
  <c r="O3132" i="1"/>
  <c r="O3124" i="1"/>
  <c r="O3116" i="1"/>
  <c r="O3108" i="1"/>
  <c r="O3100" i="1"/>
  <c r="O3092" i="1"/>
  <c r="O3084" i="1"/>
  <c r="O3076" i="1"/>
  <c r="O3068" i="1"/>
  <c r="O3060" i="1"/>
  <c r="O3052" i="1"/>
  <c r="O3044" i="1"/>
  <c r="O3036" i="1"/>
  <c r="O3028" i="1"/>
  <c r="O3020" i="1"/>
  <c r="O3012" i="1"/>
  <c r="O3004" i="1"/>
  <c r="O2996" i="1"/>
  <c r="O2988" i="1"/>
  <c r="O2980" i="1"/>
  <c r="O2972" i="1"/>
  <c r="O2964" i="1"/>
  <c r="O2956" i="1"/>
  <c r="O2948" i="1"/>
  <c r="O2940" i="1"/>
  <c r="O2932" i="1"/>
  <c r="O2924" i="1"/>
  <c r="O2916" i="1"/>
  <c r="O2908" i="1"/>
  <c r="O2900" i="1"/>
  <c r="O2892" i="1"/>
  <c r="O2884" i="1"/>
  <c r="O2876" i="1"/>
  <c r="O2868" i="1"/>
  <c r="O2860" i="1"/>
  <c r="O2852" i="1"/>
  <c r="O2844" i="1"/>
  <c r="O2836" i="1"/>
  <c r="O2828" i="1"/>
  <c r="O2820" i="1"/>
  <c r="O2812" i="1"/>
  <c r="O2804" i="1"/>
  <c r="O2796" i="1"/>
  <c r="O2788" i="1"/>
  <c r="O2780" i="1"/>
  <c r="O2772" i="1"/>
  <c r="O2764" i="1"/>
  <c r="O2756" i="1"/>
  <c r="O2748" i="1"/>
  <c r="O2740" i="1"/>
  <c r="O2732" i="1"/>
  <c r="O2724" i="1"/>
  <c r="O2716" i="1"/>
  <c r="O2708" i="1"/>
  <c r="O2700" i="1"/>
  <c r="O2692" i="1"/>
  <c r="O2684" i="1"/>
  <c r="O2676" i="1"/>
  <c r="O2668" i="1"/>
  <c r="O2660" i="1"/>
  <c r="O2652" i="1"/>
  <c r="O2644" i="1"/>
  <c r="O2636" i="1"/>
  <c r="O2628" i="1"/>
  <c r="O2620" i="1"/>
  <c r="O2612" i="1"/>
  <c r="O2604" i="1"/>
  <c r="O2596" i="1"/>
  <c r="O2588" i="1"/>
  <c r="O2580" i="1"/>
  <c r="O2572" i="1"/>
  <c r="O2564" i="1"/>
  <c r="O2556" i="1"/>
  <c r="O2548" i="1"/>
  <c r="O2540" i="1"/>
  <c r="O2532" i="1"/>
  <c r="O2524" i="1"/>
  <c r="O2516" i="1"/>
  <c r="O2508" i="1"/>
  <c r="O2500" i="1"/>
  <c r="O2492" i="1"/>
  <c r="O2484" i="1"/>
  <c r="O2476" i="1"/>
  <c r="O2468" i="1"/>
  <c r="O2460" i="1"/>
  <c r="O2452" i="1"/>
  <c r="O2444" i="1"/>
  <c r="O2436" i="1"/>
  <c r="O2428" i="1"/>
  <c r="O2420" i="1"/>
  <c r="O2412" i="1"/>
  <c r="O2404" i="1"/>
  <c r="O2396" i="1"/>
  <c r="O2388" i="1"/>
  <c r="O2380" i="1"/>
  <c r="O2372" i="1"/>
  <c r="O2364" i="1"/>
  <c r="O2356" i="1"/>
  <c r="O2348" i="1"/>
  <c r="O2340" i="1"/>
  <c r="O2332" i="1"/>
  <c r="O2324" i="1"/>
  <c r="O2316" i="1"/>
  <c r="O2308" i="1"/>
  <c r="O2300" i="1"/>
  <c r="O2292" i="1"/>
  <c r="O2284" i="1"/>
  <c r="O2276" i="1"/>
  <c r="O2268" i="1"/>
  <c r="O2260" i="1"/>
  <c r="O2252" i="1"/>
  <c r="O2244" i="1"/>
  <c r="O2236" i="1"/>
  <c r="O2228" i="1"/>
  <c r="O2220" i="1"/>
  <c r="O2212" i="1"/>
  <c r="O2204" i="1"/>
  <c r="O2196" i="1"/>
  <c r="O2188" i="1"/>
  <c r="O2180" i="1"/>
  <c r="O2172" i="1"/>
  <c r="O2164" i="1"/>
  <c r="O2156" i="1"/>
  <c r="O2148" i="1"/>
  <c r="O2140" i="1"/>
  <c r="O2132" i="1"/>
  <c r="O2124" i="1"/>
  <c r="O2116" i="1"/>
  <c r="O2108" i="1"/>
  <c r="O2100" i="1"/>
  <c r="O2092" i="1"/>
  <c r="O2084" i="1"/>
  <c r="O2076" i="1"/>
  <c r="O2068" i="1"/>
  <c r="O2060" i="1"/>
  <c r="O2052" i="1"/>
  <c r="O2044" i="1"/>
  <c r="O2036" i="1"/>
  <c r="O2028" i="1"/>
  <c r="O2020" i="1"/>
  <c r="O2012" i="1"/>
  <c r="O2004" i="1"/>
  <c r="O1996" i="1"/>
  <c r="O1988" i="1"/>
  <c r="O1980" i="1"/>
  <c r="O1972" i="1"/>
  <c r="O1964" i="1"/>
  <c r="O1956" i="1"/>
  <c r="O1948" i="1"/>
  <c r="O1940" i="1"/>
  <c r="O1932" i="1"/>
  <c r="O1924" i="1"/>
  <c r="O1916" i="1"/>
  <c r="O1908" i="1"/>
  <c r="O1900" i="1"/>
  <c r="O1892" i="1"/>
  <c r="O1884" i="1"/>
  <c r="O1876" i="1"/>
  <c r="O1868" i="1"/>
  <c r="O1860" i="1"/>
  <c r="O1852" i="1"/>
  <c r="O1844" i="1"/>
  <c r="O1836" i="1"/>
  <c r="O1828" i="1"/>
  <c r="O1820" i="1"/>
  <c r="O1812" i="1"/>
  <c r="O1804" i="1"/>
  <c r="O1796" i="1"/>
  <c r="O1788" i="1"/>
  <c r="O1780" i="1"/>
  <c r="O1772" i="1"/>
  <c r="O1764" i="1"/>
  <c r="O1756" i="1"/>
  <c r="O1748" i="1"/>
  <c r="O1740" i="1"/>
  <c r="O1732" i="1"/>
  <c r="O1724" i="1"/>
  <c r="O1716" i="1"/>
  <c r="O1708" i="1"/>
  <c r="O1700" i="1"/>
  <c r="O1692" i="1"/>
  <c r="O1684" i="1"/>
  <c r="O1676" i="1"/>
  <c r="O1668" i="1"/>
  <c r="O1660" i="1"/>
  <c r="O1652" i="1"/>
  <c r="O1644" i="1"/>
  <c r="O1636" i="1"/>
  <c r="O1628" i="1"/>
  <c r="O1620" i="1"/>
  <c r="O1612" i="1"/>
  <c r="O1604" i="1"/>
  <c r="O1596" i="1"/>
  <c r="O1588" i="1"/>
  <c r="O1580" i="1"/>
  <c r="O1572" i="1"/>
  <c r="O1564" i="1"/>
  <c r="O1556" i="1"/>
  <c r="O1548" i="1"/>
  <c r="O1540" i="1"/>
  <c r="O1532" i="1"/>
  <c r="O1524" i="1"/>
  <c r="O1516" i="1"/>
  <c r="O1508" i="1"/>
  <c r="O1500" i="1"/>
  <c r="O1492" i="1"/>
  <c r="O1484" i="1"/>
  <c r="O1476" i="1"/>
  <c r="O1468" i="1"/>
  <c r="O1460" i="1"/>
  <c r="O1452" i="1"/>
  <c r="O1444" i="1"/>
  <c r="O1436" i="1"/>
  <c r="O1428" i="1"/>
  <c r="O1420" i="1"/>
  <c r="O1412" i="1"/>
  <c r="O1404" i="1"/>
  <c r="O1396" i="1"/>
  <c r="O1388" i="1"/>
  <c r="O1380" i="1"/>
  <c r="O1372" i="1"/>
  <c r="O1364" i="1"/>
  <c r="O1356" i="1"/>
  <c r="O1348" i="1"/>
  <c r="O1340" i="1"/>
  <c r="O1332" i="1"/>
  <c r="O1324" i="1"/>
  <c r="O1316" i="1"/>
  <c r="O1308" i="1"/>
  <c r="O1300" i="1"/>
  <c r="O1292" i="1"/>
  <c r="O1284" i="1"/>
  <c r="O1276" i="1"/>
  <c r="O1268" i="1"/>
  <c r="O1260" i="1"/>
  <c r="O1252" i="1"/>
  <c r="O1244" i="1"/>
  <c r="O1236" i="1"/>
  <c r="O1228" i="1"/>
  <c r="O1220" i="1"/>
  <c r="O1212" i="1"/>
  <c r="O1204" i="1"/>
  <c r="O1196" i="1"/>
  <c r="O1188" i="1"/>
  <c r="O1180" i="1"/>
  <c r="O1172" i="1"/>
  <c r="O1164" i="1"/>
  <c r="O1156" i="1"/>
  <c r="O1148" i="1"/>
  <c r="O1140" i="1"/>
  <c r="O1132" i="1"/>
  <c r="O1124" i="1"/>
  <c r="O1116" i="1"/>
  <c r="O1108" i="1"/>
  <c r="O1100" i="1"/>
  <c r="O1092" i="1"/>
  <c r="O1084" i="1"/>
  <c r="O1076" i="1"/>
  <c r="O1068" i="1"/>
  <c r="O1060" i="1"/>
  <c r="O1052" i="1"/>
  <c r="O1044" i="1"/>
  <c r="O1036" i="1"/>
  <c r="O1028" i="1"/>
  <c r="O1020" i="1"/>
  <c r="O1012" i="1"/>
  <c r="O1004" i="1"/>
  <c r="O996" i="1"/>
  <c r="O988" i="1"/>
  <c r="O980" i="1"/>
  <c r="O972" i="1"/>
  <c r="O964" i="1"/>
  <c r="O956" i="1"/>
  <c r="O948" i="1"/>
  <c r="O940" i="1"/>
  <c r="O932" i="1"/>
  <c r="O924" i="1"/>
  <c r="O916" i="1"/>
  <c r="O908" i="1"/>
  <c r="O900" i="1"/>
  <c r="O892" i="1"/>
  <c r="O884" i="1"/>
  <c r="O876" i="1"/>
  <c r="O868" i="1"/>
  <c r="O860" i="1"/>
  <c r="O852" i="1"/>
  <c r="O844" i="1"/>
  <c r="O836" i="1"/>
  <c r="O828" i="1"/>
  <c r="O820" i="1"/>
  <c r="O812" i="1"/>
  <c r="O804" i="1"/>
  <c r="O796" i="1"/>
  <c r="O788" i="1"/>
  <c r="O780" i="1"/>
  <c r="O772" i="1"/>
  <c r="O764" i="1"/>
  <c r="O756" i="1"/>
  <c r="O748" i="1"/>
  <c r="O740" i="1"/>
  <c r="O732" i="1"/>
  <c r="O724" i="1"/>
  <c r="O716" i="1"/>
  <c r="O708" i="1"/>
  <c r="O700" i="1"/>
  <c r="O692" i="1"/>
  <c r="O684" i="1"/>
  <c r="O676" i="1"/>
  <c r="O668" i="1"/>
  <c r="O660" i="1"/>
  <c r="O652" i="1"/>
  <c r="O644" i="1"/>
  <c r="O636" i="1"/>
  <c r="O628" i="1"/>
  <c r="O620" i="1"/>
  <c r="O612" i="1"/>
  <c r="O604" i="1"/>
  <c r="O596" i="1"/>
  <c r="O588" i="1"/>
  <c r="O580" i="1"/>
  <c r="O572" i="1"/>
  <c r="O564" i="1"/>
  <c r="O556" i="1"/>
  <c r="O548" i="1"/>
  <c r="O540" i="1"/>
  <c r="O532" i="1"/>
  <c r="O524" i="1"/>
  <c r="O516" i="1"/>
  <c r="O508" i="1"/>
  <c r="O500" i="1"/>
  <c r="O714" i="1"/>
  <c r="O706" i="1"/>
  <c r="O698" i="1"/>
  <c r="O690" i="1"/>
  <c r="O682" i="1"/>
  <c r="O674" i="1"/>
  <c r="O666" i="1"/>
  <c r="O658" i="1"/>
  <c r="O650" i="1"/>
  <c r="O642" i="1"/>
  <c r="O634" i="1"/>
  <c r="O626" i="1"/>
  <c r="O618" i="1"/>
  <c r="O610" i="1"/>
  <c r="O602" i="1"/>
  <c r="O594" i="1"/>
  <c r="O586" i="1"/>
  <c r="O578" i="1"/>
  <c r="O570" i="1"/>
  <c r="O562" i="1"/>
  <c r="O554" i="1"/>
  <c r="O546" i="1"/>
  <c r="O538" i="1"/>
  <c r="O530" i="1"/>
  <c r="O522" i="1"/>
  <c r="O514" i="1"/>
  <c r="O506" i="1"/>
  <c r="O498" i="1"/>
  <c r="O490" i="1"/>
  <c r="O482" i="1"/>
  <c r="O474" i="1"/>
  <c r="O466" i="1"/>
  <c r="O458" i="1"/>
  <c r="O450" i="1"/>
  <c r="O442" i="1"/>
  <c r="O434" i="1"/>
  <c r="O426" i="1"/>
  <c r="O418" i="1"/>
  <c r="O410" i="1"/>
  <c r="O402" i="1"/>
  <c r="O394" i="1"/>
  <c r="O386" i="1"/>
  <c r="O378" i="1"/>
  <c r="O370" i="1"/>
  <c r="O362" i="1"/>
  <c r="O354" i="1"/>
  <c r="O346" i="1"/>
  <c r="O338" i="1"/>
  <c r="O330" i="1"/>
  <c r="O322" i="1"/>
  <c r="O314" i="1"/>
  <c r="O306" i="1"/>
  <c r="O298" i="1"/>
  <c r="O290" i="1"/>
  <c r="O282" i="1"/>
  <c r="O274" i="1"/>
  <c r="O266" i="1"/>
  <c r="O258" i="1"/>
  <c r="O250" i="1"/>
  <c r="O242" i="1"/>
  <c r="O234" i="1"/>
  <c r="O226" i="1"/>
  <c r="O218" i="1"/>
  <c r="O210" i="1"/>
  <c r="O202" i="1"/>
  <c r="O194" i="1"/>
  <c r="O186" i="1"/>
  <c r="O178" i="1"/>
  <c r="O170" i="1"/>
  <c r="O162" i="1"/>
  <c r="O154" i="1"/>
  <c r="O146" i="1"/>
  <c r="O138" i="1"/>
  <c r="O130" i="1"/>
  <c r="O122" i="1"/>
  <c r="O114" i="1"/>
  <c r="O106" i="1"/>
  <c r="O98" i="1"/>
  <c r="O90" i="1"/>
  <c r="O82" i="1"/>
  <c r="O74" i="1"/>
  <c r="O66" i="1"/>
  <c r="O58" i="1"/>
  <c r="O50" i="1"/>
  <c r="O42" i="1"/>
  <c r="O34" i="1"/>
  <c r="O26" i="1"/>
  <c r="O18" i="1"/>
  <c r="O10" i="1"/>
  <c r="O2" i="1"/>
  <c r="O2889" i="1"/>
  <c r="O2881" i="1"/>
  <c r="O2873" i="1"/>
  <c r="O2865" i="1"/>
  <c r="O2857" i="1"/>
  <c r="O2849" i="1"/>
  <c r="O2841" i="1"/>
  <c r="O2833" i="1"/>
  <c r="O2825" i="1"/>
  <c r="O2817" i="1"/>
  <c r="O2809" i="1"/>
  <c r="O2801" i="1"/>
  <c r="O2793" i="1"/>
  <c r="O2785" i="1"/>
  <c r="O2777" i="1"/>
  <c r="O2769" i="1"/>
  <c r="O2761" i="1"/>
  <c r="O2753" i="1"/>
  <c r="O2745" i="1"/>
  <c r="O2737" i="1"/>
  <c r="O2729" i="1"/>
  <c r="O2721" i="1"/>
  <c r="O2713" i="1"/>
  <c r="O2705" i="1"/>
  <c r="O2697" i="1"/>
  <c r="O2689" i="1"/>
  <c r="O2681" i="1"/>
  <c r="O2673" i="1"/>
  <c r="O2665" i="1"/>
  <c r="O2657" i="1"/>
  <c r="O2649" i="1"/>
  <c r="O2641" i="1"/>
  <c r="O2633" i="1"/>
  <c r="O2625" i="1"/>
  <c r="O2617" i="1"/>
  <c r="O2609" i="1"/>
  <c r="O2601" i="1"/>
  <c r="O2593" i="1"/>
  <c r="O2585" i="1"/>
  <c r="O2577" i="1"/>
  <c r="O2569" i="1"/>
  <c r="O2561" i="1"/>
  <c r="O2553" i="1"/>
  <c r="O2545" i="1"/>
  <c r="O2537" i="1"/>
  <c r="O2529" i="1"/>
  <c r="O2521" i="1"/>
  <c r="O2513" i="1"/>
  <c r="O2505" i="1"/>
  <c r="O2497" i="1"/>
  <c r="O2489" i="1"/>
  <c r="O2481" i="1"/>
  <c r="O2473" i="1"/>
  <c r="O2465" i="1"/>
  <c r="O2457" i="1"/>
  <c r="O2449" i="1"/>
  <c r="O2441" i="1"/>
  <c r="O2433" i="1"/>
  <c r="O2425" i="1"/>
  <c r="O2417" i="1"/>
  <c r="O2409" i="1"/>
  <c r="O2401" i="1"/>
  <c r="O2393" i="1"/>
  <c r="O2385" i="1"/>
  <c r="O2377" i="1"/>
  <c r="O2369" i="1"/>
  <c r="O2361" i="1"/>
  <c r="O2353" i="1"/>
  <c r="O2345" i="1"/>
  <c r="O2337" i="1"/>
  <c r="O2329" i="1"/>
  <c r="O2321" i="1"/>
  <c r="O2313" i="1"/>
  <c r="O2305" i="1"/>
  <c r="O2297" i="1"/>
  <c r="O2289" i="1"/>
  <c r="O2281" i="1"/>
  <c r="O2273" i="1"/>
  <c r="O2265" i="1"/>
  <c r="O2257" i="1"/>
  <c r="O2249" i="1"/>
  <c r="O2241" i="1"/>
  <c r="O2233" i="1"/>
  <c r="O2225" i="1"/>
  <c r="O2217" i="1"/>
  <c r="O2209" i="1"/>
  <c r="O2201" i="1"/>
  <c r="O2193" i="1"/>
  <c r="O2185" i="1"/>
  <c r="O2177" i="1"/>
  <c r="O2169" i="1"/>
  <c r="O2161" i="1"/>
  <c r="O2153" i="1"/>
  <c r="O2145" i="1"/>
  <c r="O2137" i="1"/>
  <c r="O2129" i="1"/>
  <c r="O2121" i="1"/>
  <c r="O2113" i="1"/>
  <c r="O2105" i="1"/>
  <c r="O2097" i="1"/>
  <c r="O2089" i="1"/>
  <c r="O2081" i="1"/>
  <c r="O2073" i="1"/>
  <c r="O2065" i="1"/>
  <c r="O2057" i="1"/>
  <c r="O2049" i="1"/>
  <c r="O2041" i="1"/>
  <c r="O2033" i="1"/>
  <c r="O2025" i="1"/>
  <c r="O2017" i="1"/>
  <c r="O2009" i="1"/>
  <c r="O2001" i="1"/>
  <c r="O1993" i="1"/>
  <c r="O1985" i="1"/>
  <c r="O1977" i="1"/>
  <c r="O1969" i="1"/>
  <c r="O1961" i="1"/>
  <c r="O1953" i="1"/>
  <c r="O1945" i="1"/>
  <c r="O1937" i="1"/>
  <c r="O1929" i="1"/>
  <c r="O1921" i="1"/>
  <c r="O1913" i="1"/>
  <c r="O1905" i="1"/>
  <c r="O1897" i="1"/>
  <c r="O1889" i="1"/>
  <c r="O1881" i="1"/>
  <c r="O1873" i="1"/>
  <c r="O1865" i="1"/>
  <c r="O1857" i="1"/>
  <c r="O1849" i="1"/>
  <c r="O1841" i="1"/>
  <c r="O1833" i="1"/>
  <c r="O1825" i="1"/>
  <c r="O1817" i="1"/>
  <c r="O1809" i="1"/>
  <c r="O1801" i="1"/>
  <c r="O1793" i="1"/>
  <c r="O1785" i="1"/>
  <c r="O1777" i="1"/>
  <c r="O1769" i="1"/>
  <c r="O1761" i="1"/>
  <c r="O1753" i="1"/>
  <c r="O1745" i="1"/>
  <c r="O1737" i="1"/>
  <c r="O1729" i="1"/>
  <c r="O1721" i="1"/>
  <c r="O1713" i="1"/>
  <c r="O1705" i="1"/>
  <c r="O1697" i="1"/>
  <c r="O1689" i="1"/>
  <c r="O1681" i="1"/>
  <c r="O1673" i="1"/>
  <c r="O1665" i="1"/>
  <c r="O1657" i="1"/>
  <c r="O1649" i="1"/>
  <c r="O1641" i="1"/>
  <c r="O1633" i="1"/>
  <c r="O1625" i="1"/>
  <c r="O1617" i="1"/>
  <c r="O1609" i="1"/>
  <c r="O1601" i="1"/>
  <c r="O1593" i="1"/>
  <c r="O1585" i="1"/>
  <c r="O1577" i="1"/>
  <c r="O1569" i="1"/>
  <c r="O1561" i="1"/>
  <c r="O1553" i="1"/>
  <c r="O1545" i="1"/>
  <c r="O1537" i="1"/>
  <c r="O1529" i="1"/>
  <c r="O1521" i="1"/>
  <c r="O1513" i="1"/>
  <c r="O1505" i="1"/>
  <c r="O1497" i="1"/>
  <c r="O1489" i="1"/>
  <c r="O1481" i="1"/>
  <c r="O1473" i="1"/>
  <c r="O1465" i="1"/>
  <c r="O1457" i="1"/>
  <c r="O1449" i="1"/>
  <c r="O1441" i="1"/>
  <c r="O1433" i="1"/>
  <c r="O1425" i="1"/>
  <c r="O1417" i="1"/>
  <c r="O1409" i="1"/>
  <c r="O1401" i="1"/>
  <c r="O1393" i="1"/>
  <c r="O1385" i="1"/>
  <c r="O1377" i="1"/>
  <c r="O1369" i="1"/>
  <c r="O1361" i="1"/>
  <c r="O1353" i="1"/>
  <c r="O1345" i="1"/>
  <c r="O1337" i="1"/>
  <c r="O1329" i="1"/>
  <c r="O1321" i="1"/>
  <c r="O1313" i="1"/>
  <c r="O1305" i="1"/>
  <c r="O1297" i="1"/>
  <c r="O1289" i="1"/>
  <c r="O1281" i="1"/>
  <c r="O1273" i="1"/>
  <c r="O1265" i="1"/>
  <c r="O1257" i="1"/>
  <c r="O1249" i="1"/>
  <c r="O1241" i="1"/>
  <c r="O2686" i="1"/>
  <c r="O2678" i="1"/>
  <c r="O2670" i="1"/>
  <c r="O2662" i="1"/>
  <c r="O2654" i="1"/>
  <c r="O2646" i="1"/>
  <c r="O2638" i="1"/>
  <c r="O2630" i="1"/>
  <c r="O2622" i="1"/>
  <c r="O2614" i="1"/>
  <c r="O2606" i="1"/>
  <c r="O2598" i="1"/>
  <c r="O2590" i="1"/>
  <c r="O2582" i="1"/>
  <c r="O2574" i="1"/>
  <c r="O2566" i="1"/>
  <c r="O2558" i="1"/>
  <c r="O2550" i="1"/>
  <c r="O2542" i="1"/>
  <c r="O2534" i="1"/>
  <c r="O2526" i="1"/>
  <c r="O2518" i="1"/>
  <c r="O2510" i="1"/>
  <c r="O2502" i="1"/>
  <c r="O2494" i="1"/>
  <c r="O2486" i="1"/>
  <c r="O2478" i="1"/>
  <c r="O2470" i="1"/>
  <c r="O2462" i="1"/>
  <c r="O2454" i="1"/>
  <c r="O2446" i="1"/>
  <c r="O2438" i="1"/>
  <c r="O2430" i="1"/>
  <c r="O2422" i="1"/>
  <c r="O2414" i="1"/>
  <c r="O2406" i="1"/>
  <c r="O2398" i="1"/>
  <c r="O2390" i="1"/>
  <c r="O2382" i="1"/>
  <c r="O2374" i="1"/>
  <c r="O2366" i="1"/>
  <c r="O2358" i="1"/>
  <c r="O2350" i="1"/>
  <c r="O2342" i="1"/>
  <c r="O2334" i="1"/>
  <c r="O2326" i="1"/>
  <c r="O2318" i="1"/>
  <c r="O2310" i="1"/>
  <c r="O2302" i="1"/>
  <c r="O2294" i="1"/>
  <c r="O2286" i="1"/>
  <c r="O2278" i="1"/>
  <c r="O2270" i="1"/>
  <c r="O2262" i="1"/>
  <c r="O2254" i="1"/>
  <c r="O2246" i="1"/>
  <c r="O2238" i="1"/>
  <c r="O2230" i="1"/>
  <c r="O2222" i="1"/>
  <c r="O2214" i="1"/>
  <c r="O2206" i="1"/>
  <c r="O2198" i="1"/>
  <c r="O2190" i="1"/>
  <c r="O2182" i="1"/>
  <c r="O2174" i="1"/>
  <c r="O2166" i="1"/>
  <c r="O2158" i="1"/>
  <c r="O2150" i="1"/>
  <c r="O2142" i="1"/>
  <c r="O2134" i="1"/>
  <c r="O2126" i="1"/>
  <c r="O2118" i="1"/>
  <c r="O2110" i="1"/>
  <c r="O2102" i="1"/>
  <c r="O2094" i="1"/>
  <c r="O2086" i="1"/>
  <c r="O2078" i="1"/>
  <c r="O2070" i="1"/>
  <c r="O2062" i="1"/>
  <c r="O2054" i="1"/>
  <c r="O2046" i="1"/>
  <c r="O2038" i="1"/>
  <c r="O2030" i="1"/>
  <c r="O2022" i="1"/>
  <c r="O2014" i="1"/>
  <c r="O2006" i="1"/>
  <c r="O1998" i="1"/>
  <c r="O1990" i="1"/>
  <c r="O1982" i="1"/>
  <c r="O1974" i="1"/>
  <c r="O1966" i="1"/>
  <c r="O1958" i="1"/>
  <c r="O1950" i="1"/>
  <c r="O1942" i="1"/>
  <c r="O1934" i="1"/>
  <c r="O1926" i="1"/>
  <c r="O1918" i="1"/>
  <c r="O1910" i="1"/>
  <c r="O1902" i="1"/>
  <c r="O1894" i="1"/>
  <c r="O1886" i="1"/>
  <c r="O1878" i="1"/>
  <c r="O1870" i="1"/>
  <c r="O1862" i="1"/>
  <c r="O1854" i="1"/>
  <c r="O1846" i="1"/>
  <c r="O1838" i="1"/>
  <c r="O1830" i="1"/>
  <c r="O1822" i="1"/>
  <c r="O1814" i="1"/>
  <c r="O1806" i="1"/>
  <c r="O1798" i="1"/>
  <c r="O1790" i="1"/>
  <c r="O1782" i="1"/>
  <c r="O1774" i="1"/>
  <c r="O1766" i="1"/>
  <c r="O1758" i="1"/>
  <c r="O1750" i="1"/>
  <c r="O1742" i="1"/>
  <c r="O1734" i="1"/>
  <c r="O1726" i="1"/>
  <c r="O1718" i="1"/>
  <c r="O1710" i="1"/>
  <c r="O1702" i="1"/>
  <c r="O1694" i="1"/>
  <c r="O1686" i="1"/>
  <c r="O1678" i="1"/>
  <c r="O1670" i="1"/>
  <c r="O1662" i="1"/>
  <c r="O1654" i="1"/>
  <c r="O1646" i="1"/>
  <c r="O1638" i="1"/>
  <c r="O1630" i="1"/>
  <c r="O1622" i="1"/>
  <c r="O1614" i="1"/>
  <c r="O1606" i="1"/>
  <c r="O1598" i="1"/>
  <c r="O1590" i="1"/>
  <c r="O1582" i="1"/>
  <c r="O1574" i="1"/>
  <c r="O1566" i="1"/>
  <c r="O1558" i="1"/>
  <c r="O1550" i="1"/>
  <c r="O1542" i="1"/>
  <c r="O1534" i="1"/>
  <c r="O1526" i="1"/>
  <c r="O1518" i="1"/>
  <c r="O1510" i="1"/>
  <c r="O1502" i="1"/>
  <c r="O1494" i="1"/>
  <c r="O1486" i="1"/>
  <c r="O1478" i="1"/>
  <c r="O1470" i="1"/>
  <c r="O1462" i="1"/>
  <c r="O1454" i="1"/>
  <c r="O1446" i="1"/>
  <c r="O1438" i="1"/>
  <c r="O1430" i="1"/>
  <c r="O1422" i="1"/>
  <c r="O1414" i="1"/>
  <c r="O1406" i="1"/>
  <c r="O1398" i="1"/>
  <c r="O1390" i="1"/>
  <c r="O1382" i="1"/>
  <c r="O1374" i="1"/>
  <c r="O1366" i="1"/>
  <c r="O1358" i="1"/>
  <c r="O1350" i="1"/>
  <c r="O1342" i="1"/>
  <c r="O1334" i="1"/>
  <c r="O1597" i="1"/>
  <c r="O1589" i="1"/>
  <c r="O1581" i="1"/>
  <c r="O1573" i="1"/>
  <c r="O1565" i="1"/>
  <c r="O1557" i="1"/>
  <c r="O1549" i="1"/>
  <c r="O1541" i="1"/>
  <c r="O1533" i="1"/>
  <c r="O1525" i="1"/>
  <c r="O1517" i="1"/>
  <c r="O1509" i="1"/>
  <c r="O492" i="1"/>
  <c r="O484" i="1"/>
  <c r="O476" i="1"/>
  <c r="O468" i="1"/>
  <c r="O460" i="1"/>
  <c r="O452" i="1"/>
  <c r="O444" i="1"/>
  <c r="O436" i="1"/>
  <c r="O428" i="1"/>
  <c r="O420" i="1"/>
  <c r="O412" i="1"/>
  <c r="O404" i="1"/>
  <c r="O396" i="1"/>
  <c r="O388" i="1"/>
  <c r="O380" i="1"/>
  <c r="O372" i="1"/>
  <c r="O364" i="1"/>
  <c r="O356" i="1"/>
  <c r="O348" i="1"/>
  <c r="O340" i="1"/>
  <c r="O332" i="1"/>
  <c r="O324" i="1"/>
  <c r="O316" i="1"/>
  <c r="O308" i="1"/>
  <c r="O300" i="1"/>
  <c r="O292" i="1"/>
  <c r="O284" i="1"/>
  <c r="O276" i="1"/>
  <c r="O268" i="1"/>
  <c r="O260" i="1"/>
  <c r="O252" i="1"/>
  <c r="O244" i="1"/>
  <c r="O236" i="1"/>
  <c r="O228" i="1"/>
  <c r="O220" i="1"/>
  <c r="O212" i="1"/>
  <c r="O204" i="1"/>
  <c r="O196" i="1"/>
  <c r="O188" i="1"/>
  <c r="O180" i="1"/>
  <c r="O172" i="1"/>
  <c r="O164" i="1"/>
  <c r="O156" i="1"/>
  <c r="O148" i="1"/>
  <c r="O140" i="1"/>
  <c r="O132" i="1"/>
  <c r="O124" i="1"/>
  <c r="O116" i="1"/>
  <c r="O108" i="1"/>
  <c r="O100" i="1"/>
  <c r="O92" i="1"/>
  <c r="O84" i="1"/>
  <c r="O76" i="1"/>
  <c r="O68" i="1"/>
  <c r="O60" i="1"/>
  <c r="O52" i="1"/>
  <c r="O44" i="1"/>
  <c r="O36" i="1"/>
  <c r="O28" i="1"/>
  <c r="O20" i="1"/>
  <c r="O12" i="1"/>
  <c r="O4" i="1"/>
  <c r="O1233" i="1"/>
  <c r="O1225" i="1"/>
  <c r="O1217" i="1"/>
  <c r="O1209" i="1"/>
  <c r="O1201" i="1"/>
  <c r="O1193" i="1"/>
  <c r="O1185" i="1"/>
  <c r="O1177" i="1"/>
  <c r="O1169" i="1"/>
  <c r="O1161" i="1"/>
  <c r="O1153" i="1"/>
  <c r="O1145" i="1"/>
  <c r="O1137" i="1"/>
  <c r="O1129" i="1"/>
  <c r="O1121" i="1"/>
  <c r="O1113" i="1"/>
  <c r="O1105" i="1"/>
  <c r="O1097" i="1"/>
  <c r="O1089" i="1"/>
  <c r="O1081" i="1"/>
  <c r="O1073" i="1"/>
  <c r="O1065" i="1"/>
  <c r="O1057" i="1"/>
  <c r="O1049" i="1"/>
  <c r="O1041" i="1"/>
  <c r="O1033" i="1"/>
  <c r="O1025" i="1"/>
  <c r="O1017" i="1"/>
  <c r="O1009" i="1"/>
  <c r="O1001" i="1"/>
  <c r="O993" i="1"/>
  <c r="O985" i="1"/>
  <c r="O977" i="1"/>
  <c r="O969" i="1"/>
  <c r="O961" i="1"/>
  <c r="O953" i="1"/>
  <c r="O945" i="1"/>
  <c r="O937" i="1"/>
  <c r="O929" i="1"/>
  <c r="O921" i="1"/>
  <c r="O913" i="1"/>
  <c r="O905" i="1"/>
  <c r="O897" i="1"/>
  <c r="O889" i="1"/>
  <c r="O881" i="1"/>
  <c r="O873" i="1"/>
  <c r="O865" i="1"/>
  <c r="O857" i="1"/>
  <c r="O849" i="1"/>
  <c r="O841" i="1"/>
  <c r="O833" i="1"/>
  <c r="O825" i="1"/>
  <c r="O817" i="1"/>
  <c r="O809" i="1"/>
  <c r="O801" i="1"/>
  <c r="O793" i="1"/>
  <c r="O785" i="1"/>
  <c r="O777" i="1"/>
  <c r="O769" i="1"/>
  <c r="O761" i="1"/>
  <c r="O753" i="1"/>
  <c r="O745" i="1"/>
  <c r="O737" i="1"/>
  <c r="O729" i="1"/>
  <c r="O721" i="1"/>
  <c r="O713" i="1"/>
  <c r="O705" i="1"/>
  <c r="O697" i="1"/>
  <c r="O689" i="1"/>
  <c r="O681" i="1"/>
  <c r="O673" i="1"/>
  <c r="O665" i="1"/>
  <c r="O657" i="1"/>
  <c r="O649" i="1"/>
  <c r="O641" i="1"/>
  <c r="O633" i="1"/>
  <c r="O625" i="1"/>
  <c r="O617" i="1"/>
  <c r="O609" i="1"/>
  <c r="O601" i="1"/>
  <c r="O593" i="1"/>
  <c r="O585" i="1"/>
  <c r="O577" i="1"/>
  <c r="O569" i="1"/>
  <c r="O561" i="1"/>
  <c r="O553" i="1"/>
  <c r="O545" i="1"/>
  <c r="O537" i="1"/>
  <c r="O529" i="1"/>
  <c r="O521" i="1"/>
  <c r="O513" i="1"/>
  <c r="O505" i="1"/>
  <c r="O497" i="1"/>
  <c r="O489" i="1"/>
  <c r="O481" i="1"/>
  <c r="O473" i="1"/>
  <c r="O465" i="1"/>
  <c r="O457" i="1"/>
  <c r="O449" i="1"/>
  <c r="O441" i="1"/>
  <c r="O433" i="1"/>
  <c r="O425" i="1"/>
  <c r="O417" i="1"/>
  <c r="O409" i="1"/>
  <c r="O401" i="1"/>
  <c r="O393" i="1"/>
  <c r="O385" i="1"/>
  <c r="O377" i="1"/>
  <c r="O369" i="1"/>
  <c r="O361" i="1"/>
  <c r="O353" i="1"/>
  <c r="O345" i="1"/>
  <c r="O337" i="1"/>
  <c r="O329" i="1"/>
  <c r="O321" i="1"/>
  <c r="O313" i="1"/>
  <c r="O305" i="1"/>
  <c r="O297" i="1"/>
  <c r="O289" i="1"/>
  <c r="O281" i="1"/>
  <c r="O273" i="1"/>
  <c r="O265" i="1"/>
  <c r="O257" i="1"/>
  <c r="O249" i="1"/>
  <c r="O241" i="1"/>
  <c r="O233" i="1"/>
  <c r="O225" i="1"/>
  <c r="O217" i="1"/>
  <c r="O209" i="1"/>
  <c r="O201" i="1"/>
  <c r="O193" i="1"/>
  <c r="O185" i="1"/>
  <c r="O177" i="1"/>
  <c r="O169" i="1"/>
  <c r="O161" i="1"/>
  <c r="O153" i="1"/>
  <c r="O145" i="1"/>
  <c r="O137" i="1"/>
  <c r="O129" i="1"/>
  <c r="O121" i="1"/>
  <c r="O113" i="1"/>
  <c r="O105" i="1"/>
  <c r="O97" i="1"/>
  <c r="O89" i="1"/>
  <c r="O81" i="1"/>
  <c r="O73" i="1"/>
  <c r="O65" i="1"/>
  <c r="O57" i="1"/>
  <c r="O49" i="1"/>
  <c r="O41" i="1"/>
  <c r="O33" i="1"/>
  <c r="O25" i="1"/>
  <c r="O17" i="1"/>
  <c r="O9" i="1"/>
  <c r="O1367" i="1"/>
  <c r="O1359" i="1"/>
  <c r="O1351" i="1"/>
  <c r="O1343" i="1"/>
  <c r="O1335" i="1"/>
  <c r="O1327" i="1"/>
  <c r="O1319" i="1"/>
  <c r="O1311" i="1"/>
  <c r="O1303" i="1"/>
  <c r="O1295" i="1"/>
  <c r="O1287" i="1"/>
  <c r="O1279" i="1"/>
  <c r="O1271" i="1"/>
  <c r="O1263" i="1"/>
  <c r="O1255" i="1"/>
  <c r="O1247" i="1"/>
  <c r="O1239" i="1"/>
  <c r="O1231" i="1"/>
  <c r="O1223" i="1"/>
  <c r="O1215" i="1"/>
  <c r="O1207" i="1"/>
  <c r="O1199" i="1"/>
  <c r="O1191" i="1"/>
  <c r="O1183" i="1"/>
  <c r="O1175" i="1"/>
  <c r="O1167" i="1"/>
  <c r="O1159" i="1"/>
  <c r="O1151" i="1"/>
  <c r="O1143" i="1"/>
  <c r="O1135" i="1"/>
  <c r="O1127" i="1"/>
  <c r="O1119" i="1"/>
  <c r="O1111" i="1"/>
  <c r="O1103" i="1"/>
  <c r="O1095" i="1"/>
  <c r="O1087" i="1"/>
  <c r="O1079" i="1"/>
  <c r="O1071" i="1"/>
  <c r="O1063" i="1"/>
  <c r="O1055" i="1"/>
  <c r="O1047" i="1"/>
  <c r="O1039" i="1"/>
  <c r="O1031" i="1"/>
  <c r="O1023" i="1"/>
  <c r="O1015" i="1"/>
  <c r="O1007" i="1"/>
  <c r="O999" i="1"/>
  <c r="O991" i="1"/>
  <c r="O983" i="1"/>
  <c r="O975" i="1"/>
  <c r="O967" i="1"/>
  <c r="O959" i="1"/>
  <c r="O951" i="1"/>
  <c r="O943" i="1"/>
  <c r="O935" i="1"/>
  <c r="O927" i="1"/>
  <c r="O919" i="1"/>
  <c r="O911" i="1"/>
  <c r="O903" i="1"/>
  <c r="O895" i="1"/>
  <c r="O887" i="1"/>
  <c r="O879" i="1"/>
  <c r="O871" i="1"/>
  <c r="O863" i="1"/>
  <c r="O855" i="1"/>
  <c r="O847" i="1"/>
  <c r="O839" i="1"/>
  <c r="O831" i="1"/>
  <c r="O823" i="1"/>
  <c r="O815" i="1"/>
  <c r="O807" i="1"/>
  <c r="O799" i="1"/>
  <c r="O791" i="1"/>
  <c r="O783" i="1"/>
  <c r="O775" i="1"/>
  <c r="O767" i="1"/>
  <c r="O759" i="1"/>
  <c r="O751" i="1"/>
  <c r="O743" i="1"/>
  <c r="O735" i="1"/>
  <c r="O727" i="1"/>
  <c r="O719" i="1"/>
  <c r="O711" i="1"/>
  <c r="O703" i="1"/>
  <c r="O695" i="1"/>
  <c r="O687" i="1"/>
  <c r="O679" i="1"/>
  <c r="O671" i="1"/>
  <c r="O663" i="1"/>
  <c r="O655" i="1"/>
  <c r="O647" i="1"/>
  <c r="O639" i="1"/>
  <c r="O631" i="1"/>
  <c r="O623" i="1"/>
  <c r="O615" i="1"/>
  <c r="O607" i="1"/>
  <c r="O599" i="1"/>
  <c r="O591" i="1"/>
  <c r="O583" i="1"/>
  <c r="O575" i="1"/>
  <c r="O567" i="1"/>
  <c r="O559" i="1"/>
  <c r="O551" i="1"/>
  <c r="O543" i="1"/>
  <c r="O535" i="1"/>
  <c r="O527" i="1"/>
  <c r="O519" i="1"/>
  <c r="O511" i="1"/>
  <c r="O503" i="1"/>
  <c r="O495" i="1"/>
  <c r="O487" i="1"/>
  <c r="O479" i="1"/>
  <c r="O471" i="1"/>
  <c r="O463" i="1"/>
  <c r="O455" i="1"/>
  <c r="O447" i="1"/>
  <c r="O439" i="1"/>
  <c r="O431" i="1"/>
  <c r="O423" i="1"/>
  <c r="O415" i="1"/>
  <c r="O407" i="1"/>
  <c r="O399" i="1"/>
  <c r="O391" i="1"/>
  <c r="O383" i="1"/>
  <c r="O375" i="1"/>
  <c r="O367" i="1"/>
  <c r="O359" i="1"/>
  <c r="O351" i="1"/>
  <c r="O343" i="1"/>
  <c r="O335" i="1"/>
  <c r="O327" i="1"/>
  <c r="O319" i="1"/>
  <c r="O311" i="1"/>
  <c r="O303" i="1"/>
  <c r="O295" i="1"/>
  <c r="O287" i="1"/>
  <c r="O279" i="1"/>
  <c r="O271" i="1"/>
  <c r="O263" i="1"/>
  <c r="O255" i="1"/>
  <c r="O247" i="1"/>
  <c r="O239" i="1"/>
  <c r="O231" i="1"/>
  <c r="O223" i="1"/>
  <c r="O215" i="1"/>
  <c r="O207" i="1"/>
  <c r="O199" i="1"/>
  <c r="O191" i="1"/>
  <c r="O183" i="1"/>
  <c r="O175" i="1"/>
  <c r="O167" i="1"/>
  <c r="O159" i="1"/>
  <c r="O151" i="1"/>
  <c r="O143" i="1"/>
  <c r="O135" i="1"/>
  <c r="O127" i="1"/>
  <c r="O119" i="1"/>
  <c r="O111" i="1"/>
  <c r="O103" i="1"/>
  <c r="O95" i="1"/>
  <c r="O87" i="1"/>
  <c r="O79" i="1"/>
  <c r="O71" i="1"/>
  <c r="O63" i="1"/>
  <c r="O55" i="1"/>
  <c r="O47" i="1"/>
  <c r="O39" i="1"/>
  <c r="O31" i="1"/>
  <c r="O23" i="1"/>
  <c r="O15" i="1"/>
  <c r="O1326" i="1"/>
  <c r="O1318" i="1"/>
  <c r="O1310" i="1"/>
  <c r="O1302" i="1"/>
  <c r="O1294" i="1"/>
  <c r="O1286" i="1"/>
  <c r="O1278" i="1"/>
  <c r="O1270" i="1"/>
  <c r="O1262" i="1"/>
  <c r="O1254" i="1"/>
  <c r="O1246" i="1"/>
  <c r="O1238" i="1"/>
  <c r="O1230" i="1"/>
  <c r="O1222" i="1"/>
  <c r="O1214" i="1"/>
  <c r="O1206" i="1"/>
  <c r="O1198" i="1"/>
  <c r="O1190" i="1"/>
  <c r="O1182" i="1"/>
  <c r="O1174" i="1"/>
  <c r="O1166" i="1"/>
  <c r="O1158" i="1"/>
  <c r="O1150" i="1"/>
  <c r="O1142" i="1"/>
  <c r="O1134" i="1"/>
  <c r="O1126" i="1"/>
  <c r="O1118" i="1"/>
  <c r="O1110" i="1"/>
  <c r="O1102" i="1"/>
  <c r="O1094" i="1"/>
  <c r="O1086" i="1"/>
  <c r="O1078" i="1"/>
  <c r="O1070" i="1"/>
  <c r="O1062" i="1"/>
  <c r="O1054" i="1"/>
  <c r="O1046" i="1"/>
  <c r="O1038" i="1"/>
  <c r="O1030" i="1"/>
  <c r="O1022" i="1"/>
  <c r="O1014" i="1"/>
  <c r="O1006" i="1"/>
  <c r="O998" i="1"/>
  <c r="O990" i="1"/>
  <c r="O982" i="1"/>
  <c r="O974" i="1"/>
  <c r="O966" i="1"/>
  <c r="O958" i="1"/>
  <c r="O950" i="1"/>
  <c r="O942" i="1"/>
  <c r="O934" i="1"/>
  <c r="O926" i="1"/>
  <c r="O918" i="1"/>
  <c r="O910" i="1"/>
  <c r="O902" i="1"/>
  <c r="O894" i="1"/>
  <c r="O886" i="1"/>
  <c r="O878" i="1"/>
  <c r="O870" i="1"/>
  <c r="O862" i="1"/>
  <c r="O854" i="1"/>
  <c r="O846" i="1"/>
  <c r="O838" i="1"/>
  <c r="O830" i="1"/>
  <c r="O822" i="1"/>
  <c r="O814" i="1"/>
  <c r="O806" i="1"/>
  <c r="O798" i="1"/>
  <c r="O790" i="1"/>
  <c r="O782" i="1"/>
  <c r="O774" i="1"/>
  <c r="O766" i="1"/>
  <c r="O758" i="1"/>
  <c r="O750" i="1"/>
  <c r="O742" i="1"/>
  <c r="O734" i="1"/>
  <c r="O726" i="1"/>
  <c r="O718" i="1"/>
  <c r="O710" i="1"/>
  <c r="O702" i="1"/>
  <c r="O694" i="1"/>
  <c r="O686" i="1"/>
  <c r="O678" i="1"/>
  <c r="O670" i="1"/>
  <c r="O662" i="1"/>
  <c r="O654" i="1"/>
  <c r="O646" i="1"/>
  <c r="O638" i="1"/>
  <c r="O630" i="1"/>
  <c r="O622" i="1"/>
  <c r="O614" i="1"/>
  <c r="O606" i="1"/>
  <c r="O598" i="1"/>
  <c r="O590" i="1"/>
  <c r="O582" i="1"/>
  <c r="O574" i="1"/>
  <c r="O566" i="1"/>
  <c r="O558" i="1"/>
  <c r="O550" i="1"/>
  <c r="O542" i="1"/>
  <c r="O534" i="1"/>
  <c r="O526" i="1"/>
  <c r="O518" i="1"/>
  <c r="O510" i="1"/>
  <c r="O502" i="1"/>
  <c r="O494" i="1"/>
  <c r="O1501" i="1"/>
  <c r="O1493" i="1"/>
  <c r="O1485" i="1"/>
  <c r="O1477" i="1"/>
  <c r="O1469" i="1"/>
  <c r="O1461" i="1"/>
  <c r="O1453" i="1"/>
  <c r="O1445" i="1"/>
  <c r="O1437" i="1"/>
  <c r="O1429" i="1"/>
  <c r="O1421" i="1"/>
  <c r="O1413" i="1"/>
  <c r="O1405" i="1"/>
  <c r="O1397" i="1"/>
  <c r="O1389" i="1"/>
  <c r="O1381" i="1"/>
  <c r="O1373" i="1"/>
  <c r="O1365" i="1"/>
  <c r="O1357" i="1"/>
  <c r="O1349" i="1"/>
  <c r="O1341" i="1"/>
  <c r="O1333" i="1"/>
  <c r="O1325" i="1"/>
  <c r="O1317" i="1"/>
  <c r="O1309" i="1"/>
  <c r="O1301" i="1"/>
  <c r="O1293" i="1"/>
  <c r="O1285" i="1"/>
  <c r="O1277" i="1"/>
  <c r="O1269" i="1"/>
  <c r="O1261" i="1"/>
  <c r="O1253" i="1"/>
  <c r="O1245" i="1"/>
  <c r="O1237" i="1"/>
  <c r="O1229" i="1"/>
  <c r="O1221" i="1"/>
  <c r="O1213" i="1"/>
  <c r="O1205" i="1"/>
  <c r="O1197" i="1"/>
  <c r="O1189" i="1"/>
  <c r="O1181" i="1"/>
  <c r="O1173" i="1"/>
  <c r="O1165" i="1"/>
  <c r="O1157" i="1"/>
  <c r="O1149" i="1"/>
  <c r="O1141" i="1"/>
  <c r="O1133" i="1"/>
  <c r="O1125" i="1"/>
  <c r="O1117" i="1"/>
  <c r="O1109" i="1"/>
  <c r="O1101" i="1"/>
  <c r="O1093" i="1"/>
  <c r="O1085" i="1"/>
  <c r="O1077" i="1"/>
  <c r="O1069" i="1"/>
  <c r="O1061" i="1"/>
  <c r="O1053" i="1"/>
  <c r="O1045" i="1"/>
  <c r="O1037" i="1"/>
  <c r="O1029" i="1"/>
  <c r="O1021" i="1"/>
  <c r="O1013" i="1"/>
  <c r="O1005" i="1"/>
  <c r="O997" i="1"/>
  <c r="O989" i="1"/>
  <c r="O981" i="1"/>
  <c r="O973" i="1"/>
  <c r="O965" i="1"/>
  <c r="O957" i="1"/>
  <c r="O949" i="1"/>
  <c r="O941" i="1"/>
  <c r="O933" i="1"/>
  <c r="O925" i="1"/>
  <c r="O917" i="1"/>
  <c r="O909" i="1"/>
  <c r="O901" i="1"/>
  <c r="O893" i="1"/>
  <c r="O885" i="1"/>
  <c r="O877" i="1"/>
  <c r="O869" i="1"/>
  <c r="O861" i="1"/>
  <c r="O853" i="1"/>
  <c r="O845" i="1"/>
  <c r="O837" i="1"/>
  <c r="O829" i="1"/>
  <c r="O821" i="1"/>
  <c r="O813" i="1"/>
  <c r="O805" i="1"/>
  <c r="O797" i="1"/>
  <c r="O789" i="1"/>
  <c r="O781" i="1"/>
  <c r="O773" i="1"/>
  <c r="O765" i="1"/>
  <c r="O757" i="1"/>
  <c r="O749" i="1"/>
  <c r="O741" i="1"/>
  <c r="O733" i="1"/>
  <c r="O725" i="1"/>
  <c r="O717" i="1"/>
  <c r="O709" i="1"/>
  <c r="O701" i="1"/>
  <c r="O693" i="1"/>
  <c r="O685" i="1"/>
  <c r="O677" i="1"/>
  <c r="O669" i="1"/>
  <c r="O661" i="1"/>
  <c r="O653" i="1"/>
  <c r="O645" i="1"/>
  <c r="O637" i="1"/>
  <c r="O629" i="1"/>
  <c r="O621" i="1"/>
  <c r="O613" i="1"/>
  <c r="O605" i="1"/>
  <c r="O597" i="1"/>
  <c r="O589" i="1"/>
  <c r="O581" i="1"/>
  <c r="O573" i="1"/>
  <c r="O565" i="1"/>
  <c r="O557" i="1"/>
  <c r="O549" i="1"/>
  <c r="O541" i="1"/>
  <c r="O533" i="1"/>
  <c r="O525" i="1"/>
  <c r="O517" i="1"/>
  <c r="O509" i="1"/>
  <c r="O501" i="1"/>
  <c r="O493" i="1"/>
  <c r="O485" i="1"/>
  <c r="O477" i="1"/>
  <c r="O469" i="1"/>
  <c r="O461" i="1"/>
  <c r="O453" i="1"/>
  <c r="O445" i="1"/>
  <c r="O437" i="1"/>
  <c r="O429" i="1"/>
  <c r="O421" i="1"/>
  <c r="O413" i="1"/>
  <c r="O405" i="1"/>
  <c r="O397" i="1"/>
  <c r="O389" i="1"/>
  <c r="O381" i="1"/>
  <c r="O373" i="1"/>
  <c r="O365" i="1"/>
  <c r="O357" i="1"/>
  <c r="O349" i="1"/>
  <c r="O341" i="1"/>
  <c r="O333" i="1"/>
  <c r="O7" i="1"/>
  <c r="O486" i="1"/>
  <c r="O478" i="1"/>
  <c r="O470" i="1"/>
  <c r="O462" i="1"/>
  <c r="O454" i="1"/>
  <c r="O446" i="1"/>
  <c r="O438" i="1"/>
  <c r="O430" i="1"/>
  <c r="O422" i="1"/>
  <c r="O414" i="1"/>
  <c r="O406" i="1"/>
  <c r="O398" i="1"/>
  <c r="O390" i="1"/>
  <c r="O382" i="1"/>
  <c r="O374" i="1"/>
  <c r="O366" i="1"/>
  <c r="O358" i="1"/>
  <c r="O350" i="1"/>
  <c r="O342" i="1"/>
  <c r="O334" i="1"/>
  <c r="O326" i="1"/>
  <c r="O318" i="1"/>
  <c r="O310" i="1"/>
  <c r="O302" i="1"/>
  <c r="O294" i="1"/>
  <c r="O286" i="1"/>
  <c r="O278" i="1"/>
  <c r="O270" i="1"/>
  <c r="O262" i="1"/>
  <c r="O254" i="1"/>
  <c r="O246" i="1"/>
  <c r="O238" i="1"/>
  <c r="O230" i="1"/>
  <c r="O222" i="1"/>
  <c r="O214" i="1"/>
  <c r="O206" i="1"/>
  <c r="O198" i="1"/>
  <c r="O190" i="1"/>
  <c r="O182" i="1"/>
  <c r="O174" i="1"/>
  <c r="O166" i="1"/>
  <c r="O158" i="1"/>
  <c r="O150" i="1"/>
  <c r="O142" i="1"/>
  <c r="O134" i="1"/>
  <c r="O126" i="1"/>
  <c r="O118" i="1"/>
  <c r="O110" i="1"/>
  <c r="O102" i="1"/>
  <c r="O94" i="1"/>
  <c r="O86" i="1"/>
  <c r="O78" i="1"/>
  <c r="O70" i="1"/>
  <c r="O62" i="1"/>
  <c r="O54" i="1"/>
  <c r="O46" i="1"/>
  <c r="O38" i="1"/>
  <c r="O30" i="1"/>
  <c r="O22" i="1"/>
  <c r="O14" i="1"/>
  <c r="O6" i="1"/>
  <c r="O325" i="1"/>
  <c r="O317" i="1"/>
  <c r="O309" i="1"/>
  <c r="O301" i="1"/>
  <c r="O293" i="1"/>
  <c r="O285" i="1"/>
  <c r="O277" i="1"/>
  <c r="O269" i="1"/>
  <c r="O261" i="1"/>
  <c r="O253" i="1"/>
  <c r="O245" i="1"/>
  <c r="O237" i="1"/>
  <c r="O229" i="1"/>
  <c r="O221" i="1"/>
  <c r="O213" i="1"/>
  <c r="O205" i="1"/>
  <c r="O197" i="1"/>
  <c r="O189" i="1"/>
  <c r="O181" i="1"/>
  <c r="O173" i="1"/>
  <c r="O165" i="1"/>
  <c r="O157" i="1"/>
  <c r="O149" i="1"/>
  <c r="O141" i="1"/>
  <c r="O133" i="1"/>
  <c r="O125" i="1"/>
  <c r="O117" i="1"/>
  <c r="O109" i="1"/>
  <c r="O101" i="1"/>
  <c r="O93" i="1"/>
  <c r="O85" i="1"/>
  <c r="O77" i="1"/>
  <c r="O69" i="1"/>
  <c r="O61" i="1"/>
  <c r="O53" i="1"/>
  <c r="O45" i="1"/>
  <c r="O37" i="1"/>
  <c r="O29" i="1"/>
  <c r="O21" i="1"/>
  <c r="O13" i="1"/>
  <c r="O5" i="1"/>
  <c r="Q16" i="1"/>
  <c r="Q12" i="1"/>
  <c r="Q13" i="1"/>
  <c r="Q15" i="1"/>
  <c r="Q11" i="1"/>
  <c r="Q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<sst xmlns="http://schemas.openxmlformats.org/spreadsheetml/2006/main" count="13536" uniqueCount="3551">
  <si>
    <t>customer_id</t>
  </si>
  <si>
    <t>age</t>
  </si>
  <si>
    <t>gender</t>
  </si>
  <si>
    <t>city</t>
  </si>
  <si>
    <t>annual_income</t>
  </si>
  <si>
    <t>spend_score</t>
  </si>
  <si>
    <t>total_orders</t>
  </si>
  <si>
    <t>avg_order_value</t>
  </si>
  <si>
    <t>last_purchase_days_ago</t>
  </si>
  <si>
    <t>loyalty_status</t>
  </si>
  <si>
    <t>preferred_channel</t>
  </si>
  <si>
    <t>CUST100000</t>
  </si>
  <si>
    <t>Unknown</t>
  </si>
  <si>
    <t>Hyderabad</t>
  </si>
  <si>
    <t>CUST100001</t>
  </si>
  <si>
    <t>Ahmedabad</t>
  </si>
  <si>
    <t>Silver</t>
  </si>
  <si>
    <t>CUST100002</t>
  </si>
  <si>
    <t>Female</t>
  </si>
  <si>
    <t>Mumbai</t>
  </si>
  <si>
    <t>Gold</t>
  </si>
  <si>
    <t>Online</t>
  </si>
  <si>
    <t>CUST100003</t>
  </si>
  <si>
    <t>Kolkata</t>
  </si>
  <si>
    <t>CUST100004</t>
  </si>
  <si>
    <t>unknown</t>
  </si>
  <si>
    <t>CUST100005</t>
  </si>
  <si>
    <t>Chennai</t>
  </si>
  <si>
    <t>CUST100006</t>
  </si>
  <si>
    <t>Male</t>
  </si>
  <si>
    <t>Website</t>
  </si>
  <si>
    <t>CUST100007</t>
  </si>
  <si>
    <t>In-store</t>
  </si>
  <si>
    <t>CUST100008</t>
  </si>
  <si>
    <t>Delhi</t>
  </si>
  <si>
    <t>Platinum</t>
  </si>
  <si>
    <t>CUST100009</t>
  </si>
  <si>
    <t>Bronze</t>
  </si>
  <si>
    <t>CUST100010</t>
  </si>
  <si>
    <t>CUST100011</t>
  </si>
  <si>
    <t>CUST100012</t>
  </si>
  <si>
    <t>Mobile App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</si>
  <si>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</si>
  <si>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</si>
  <si>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</si>
  <si>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</si>
  <si>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</si>
  <si>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</si>
  <si>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</si>
  <si>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Bengaluru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</si>
  <si>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</si>
  <si>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</si>
  <si>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</si>
  <si>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</si>
  <si>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</si>
  <si>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</si>
  <si>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</si>
  <si>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</si>
  <si>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Pune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</si>
  <si>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</si>
  <si>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</si>
  <si>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</si>
  <si>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</si>
  <si>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</si>
  <si>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</si>
  <si>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</si>
  <si>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</si>
  <si>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</si>
  <si>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</si>
  <si>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</si>
  <si>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</si>
  <si>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</si>
  <si>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</si>
  <si>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NA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</si>
  <si>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</si>
  <si>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</si>
  <si>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</si>
  <si>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</si>
  <si>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</si>
  <si>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</si>
  <si>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</si>
  <si>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</si>
  <si>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</si>
  <si>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</si>
  <si>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</si>
  <si>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</si>
  <si>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</si>
  <si>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</si>
  <si>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</si>
  <si>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</si>
  <si>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</si>
  <si>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</si>
  <si>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</si>
  <si>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</si>
  <si>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</si>
  <si>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</si>
  <si>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</si>
  <si>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</si>
  <si>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</si>
  <si>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</si>
  <si>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</si>
  <si>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</si>
  <si>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</si>
  <si>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</si>
  <si>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</si>
  <si>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</si>
  <si>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</si>
  <si>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</si>
  <si>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</si>
  <si>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</si>
  <si>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</si>
  <si>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</si>
  <si>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</si>
  <si>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</si>
  <si>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</si>
  <si>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</si>
  <si>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</si>
  <si>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</si>
  <si>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</si>
  <si>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</si>
  <si>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</si>
  <si>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</si>
  <si>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</si>
  <si>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</si>
  <si>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</si>
  <si>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</si>
  <si>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</si>
  <si>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</si>
  <si>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</si>
  <si>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</si>
  <si>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</si>
  <si>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</si>
  <si>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</si>
  <si>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</si>
  <si>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</si>
  <si>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</si>
  <si>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</si>
  <si>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</si>
  <si>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</si>
  <si>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</si>
  <si>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</si>
  <si>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</si>
  <si>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</si>
  <si>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</si>
  <si>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</si>
  <si>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</si>
  <si>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</si>
  <si>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</si>
  <si>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</si>
  <si>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</si>
  <si>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</si>
  <si>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</si>
  <si>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</si>
  <si>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</si>
  <si>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</si>
  <si>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</si>
  <si>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</si>
  <si>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</si>
  <si>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</si>
  <si>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</si>
  <si>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</si>
  <si>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</si>
  <si>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</si>
  <si>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</si>
  <si>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</si>
  <si>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</si>
  <si>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</si>
  <si>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</si>
  <si>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</si>
  <si>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</si>
  <si>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</si>
  <si>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</si>
  <si>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</si>
  <si>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</si>
  <si>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</si>
  <si>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</si>
  <si>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</si>
  <si>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</si>
  <si>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</si>
  <si>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</si>
  <si>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</si>
  <si>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</si>
  <si>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</si>
  <si>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</si>
  <si>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</si>
  <si>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</si>
  <si>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</si>
  <si>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</si>
  <si>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</si>
  <si>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</si>
  <si>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</si>
  <si>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</si>
  <si>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</si>
  <si>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</si>
  <si>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</si>
  <si>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</si>
  <si>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</si>
  <si>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</si>
  <si>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</si>
  <si>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</si>
  <si>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</si>
  <si>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</si>
  <si>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</si>
  <si>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</si>
  <si>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</si>
  <si>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</si>
  <si>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</si>
  <si>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</si>
  <si>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</si>
  <si>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</si>
  <si>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</si>
  <si>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</si>
  <si>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</si>
  <si>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</si>
  <si>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</si>
  <si>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</si>
  <si>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</si>
  <si>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</si>
  <si>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</si>
  <si>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</si>
  <si>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</si>
  <si>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</si>
  <si>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</si>
  <si>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</si>
  <si>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</si>
  <si>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</si>
  <si>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</si>
  <si>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</si>
  <si>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</si>
  <si>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</si>
  <si>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</si>
  <si>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</si>
  <si>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</si>
  <si>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</si>
  <si>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</si>
  <si>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</si>
  <si>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</si>
  <si>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</si>
  <si>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</si>
  <si>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</si>
  <si>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</si>
  <si>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</si>
  <si>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</si>
  <si>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</si>
  <si>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</si>
  <si>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</si>
  <si>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</si>
  <si>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</si>
  <si>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</si>
  <si>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</si>
  <si>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</si>
  <si>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</si>
  <si>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</si>
  <si>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</si>
  <si>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</si>
  <si>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</si>
  <si>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</si>
  <si>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</si>
  <si>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</si>
  <si>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</si>
  <si>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</si>
  <si>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</si>
  <si>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</si>
  <si>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</si>
  <si>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</si>
  <si>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</si>
  <si>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</si>
  <si>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</si>
  <si>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</si>
  <si>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</si>
  <si>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</si>
  <si>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</si>
  <si>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</si>
  <si>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</si>
  <si>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</si>
  <si>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</si>
  <si>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</si>
  <si>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</si>
  <si>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</si>
  <si>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</si>
  <si>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</si>
  <si>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</si>
  <si>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</si>
  <si>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</si>
  <si>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</si>
  <si>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</si>
  <si>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</si>
  <si>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</si>
  <si>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</si>
  <si>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</si>
  <si>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</si>
  <si>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</si>
  <si>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</si>
  <si>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</si>
  <si>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</si>
  <si>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</si>
  <si>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</si>
  <si>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</si>
  <si>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</si>
  <si>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</si>
  <si>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</si>
  <si>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</si>
  <si>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</si>
  <si>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</si>
  <si>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</si>
  <si>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</si>
  <si>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</si>
  <si>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</si>
  <si>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</si>
  <si>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</si>
  <si>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</si>
  <si>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</si>
  <si>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</si>
  <si>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</si>
  <si>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</si>
  <si>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</si>
  <si>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</si>
  <si>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</si>
  <si>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</si>
  <si>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</si>
  <si>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</si>
  <si>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</si>
  <si>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</si>
  <si>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</si>
  <si>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</si>
  <si>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</si>
  <si>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</si>
  <si>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</si>
  <si>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</si>
  <si>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</si>
  <si>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</si>
  <si>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</si>
  <si>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</si>
  <si>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</si>
  <si>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</si>
  <si>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</si>
  <si>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</si>
  <si>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</si>
  <si>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</si>
  <si>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</si>
  <si>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</si>
  <si>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</si>
  <si>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</si>
  <si>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</si>
  <si>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</si>
  <si>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</si>
  <si>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</si>
  <si>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</si>
  <si>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</si>
  <si>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</si>
  <si>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</si>
  <si>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</si>
  <si>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</si>
  <si>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</si>
  <si>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</si>
  <si>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</si>
  <si>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</si>
  <si>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</si>
  <si>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</si>
  <si>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</si>
  <si>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</si>
  <si>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</si>
  <si>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</si>
  <si>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</si>
  <si>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</si>
  <si>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</si>
  <si>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</si>
  <si>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</si>
  <si>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</si>
  <si>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</si>
  <si>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</si>
  <si>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</si>
  <si>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</si>
  <si>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</si>
  <si>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</si>
  <si>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</si>
  <si>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</si>
  <si>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</si>
  <si>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</si>
  <si>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</si>
  <si>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</si>
  <si>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</si>
  <si>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</si>
  <si>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</si>
  <si>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</si>
  <si>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</si>
  <si>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</si>
  <si>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</si>
  <si>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</si>
  <si>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</si>
  <si>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</si>
  <si>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</si>
  <si>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</si>
  <si>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</si>
  <si>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</si>
  <si>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</si>
  <si>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</si>
  <si>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</si>
  <si>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</si>
  <si>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</si>
  <si>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</si>
  <si>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</si>
  <si>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</si>
  <si>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</si>
  <si>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</si>
  <si>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</si>
  <si>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</si>
  <si>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</si>
  <si>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</si>
  <si>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</si>
  <si>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</si>
  <si>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</si>
  <si>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</si>
  <si>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</si>
  <si>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</si>
  <si>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</si>
  <si>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</si>
  <si>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</si>
  <si>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</si>
  <si>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</si>
  <si>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</si>
  <si>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</si>
  <si>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</si>
  <si>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</si>
  <si>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</si>
  <si>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</si>
  <si>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</si>
  <si>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</si>
  <si>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</si>
  <si>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</si>
  <si>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</si>
  <si>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</si>
  <si>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</si>
  <si>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</si>
  <si>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</si>
  <si>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</si>
  <si>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</si>
  <si>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</si>
  <si>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</si>
  <si>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</si>
  <si>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</si>
  <si>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</si>
  <si>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</si>
  <si>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</si>
  <si>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</si>
  <si>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</si>
  <si>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</si>
  <si>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</si>
  <si>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</si>
  <si>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</si>
  <si>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</si>
  <si>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</si>
  <si>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</si>
  <si>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</si>
  <si>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</si>
  <si>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</si>
  <si>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</si>
  <si>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</si>
  <si>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</si>
  <si>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</si>
  <si>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</si>
  <si>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</si>
  <si>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</si>
  <si>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</si>
  <si>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</si>
  <si>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</si>
  <si>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</si>
  <si>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</si>
  <si>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</si>
  <si>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</si>
  <si>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</si>
  <si>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</si>
  <si>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</si>
  <si>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</si>
  <si>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</si>
  <si>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</si>
  <si>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</si>
  <si>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</si>
  <si>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</si>
  <si>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</si>
  <si>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</si>
  <si>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</si>
  <si>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</si>
  <si>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</si>
  <si>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</si>
  <si>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</si>
  <si>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</si>
  <si>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</si>
  <si>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</si>
  <si>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</si>
  <si>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</si>
  <si>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</si>
  <si>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</si>
  <si>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</si>
  <si>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</si>
  <si>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</si>
  <si>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</si>
  <si>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</si>
  <si>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</si>
  <si>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</si>
  <si>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</si>
  <si>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</si>
  <si>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</si>
  <si>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</si>
  <si>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</si>
  <si>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</si>
  <si>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</si>
  <si>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</si>
  <si>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</si>
  <si>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</si>
  <si>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</si>
  <si>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</si>
  <si>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</si>
  <si>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</si>
  <si>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</si>
  <si>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</si>
  <si>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</si>
  <si>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</si>
  <si>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</si>
  <si>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</si>
  <si>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</si>
  <si>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</si>
  <si>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</si>
  <si>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</si>
  <si>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</si>
  <si>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</si>
  <si>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</si>
  <si>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</si>
  <si>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</si>
  <si>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</si>
  <si>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</si>
  <si>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</si>
  <si>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</si>
  <si>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</si>
  <si>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</si>
  <si>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</si>
  <si>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</si>
  <si>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</si>
  <si>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</si>
  <si>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</si>
  <si>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</si>
  <si>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</si>
  <si>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</si>
  <si>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</si>
  <si>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</si>
  <si>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</si>
  <si>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</si>
  <si>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</si>
  <si>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</si>
  <si>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</si>
  <si>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</si>
  <si>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</si>
  <si>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</si>
  <si>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</si>
  <si>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</si>
  <si>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</si>
  <si>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</si>
  <si>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</si>
  <si>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</si>
  <si>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</si>
  <si>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</si>
  <si>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</si>
  <si>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</si>
  <si>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</si>
  <si>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</si>
  <si>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</si>
  <si>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</si>
  <si>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</si>
  <si>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</si>
  <si>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</si>
  <si>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</si>
  <si>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</si>
  <si>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</si>
  <si>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</si>
  <si>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</si>
  <si>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</si>
  <si>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</si>
  <si>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</si>
  <si>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</si>
  <si>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</si>
  <si>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</si>
  <si>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</si>
  <si>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</si>
  <si>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</si>
  <si>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</si>
  <si>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</si>
  <si>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</si>
  <si>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</si>
  <si>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</si>
  <si>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</si>
  <si>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</si>
  <si>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</si>
  <si>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</si>
  <si>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</si>
  <si>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</si>
  <si>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</si>
  <si>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</si>
  <si>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</si>
  <si>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</si>
  <si>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</si>
  <si>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</si>
  <si>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</si>
  <si>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</si>
  <si>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</si>
  <si>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</si>
  <si>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</si>
  <si>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</si>
  <si>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</si>
  <si>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</si>
  <si>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</si>
  <si>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</si>
  <si>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</si>
  <si>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</si>
  <si>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</si>
  <si>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</si>
  <si>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</si>
  <si>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</si>
  <si>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</si>
  <si>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</si>
  <si>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</si>
  <si>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</si>
  <si>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</si>
  <si>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</si>
  <si>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</si>
  <si>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</si>
  <si>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</si>
  <si>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</si>
  <si>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</si>
  <si>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</si>
  <si>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</si>
  <si>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</si>
  <si>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</si>
  <si>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</si>
  <si>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</si>
  <si>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</si>
  <si>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</si>
  <si>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</si>
  <si>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</si>
  <si>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</si>
  <si>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</si>
  <si>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</si>
  <si>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</si>
  <si>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</si>
  <si>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</si>
  <si>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</si>
  <si>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</si>
  <si>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</si>
  <si>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</si>
  <si>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</si>
  <si>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</si>
  <si>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</si>
  <si>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</si>
  <si>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</si>
  <si>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</si>
  <si>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</si>
  <si>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</si>
  <si>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</si>
  <si>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</si>
  <si>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</si>
  <si>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</si>
  <si>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</si>
  <si>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</si>
  <si>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</si>
  <si>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</si>
  <si>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</si>
  <si>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</si>
  <si>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</si>
  <si>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</si>
  <si>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</si>
  <si>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</si>
  <si>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</si>
  <si>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</si>
  <si>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</si>
  <si>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</si>
  <si>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</si>
  <si>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</si>
  <si>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</si>
  <si>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</si>
  <si>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</si>
  <si>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</si>
  <si>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</si>
  <si>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</si>
  <si>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</si>
  <si>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</si>
  <si>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</si>
  <si>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</si>
  <si>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</si>
  <si>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</si>
  <si>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</si>
  <si>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</si>
  <si>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</si>
  <si>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</si>
  <si>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</si>
  <si>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</si>
  <si>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</si>
  <si>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</si>
  <si>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</si>
  <si>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</si>
  <si>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</si>
  <si>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</si>
  <si>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</si>
  <si>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</si>
  <si>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</si>
  <si>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</si>
  <si>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</si>
  <si>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</si>
  <si>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</si>
  <si>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</si>
  <si>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</si>
  <si>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</si>
  <si>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</si>
  <si>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</si>
  <si>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</si>
  <si>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</si>
  <si>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</si>
  <si>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</si>
  <si>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</si>
  <si>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</si>
  <si>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</si>
  <si>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</si>
  <si>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</si>
  <si>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</si>
  <si>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</si>
  <si>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</si>
  <si>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</si>
  <si>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</si>
  <si>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</si>
  <si>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</si>
  <si>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</si>
  <si>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</si>
  <si>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</si>
  <si>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</si>
  <si>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</si>
  <si>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</si>
  <si>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</si>
  <si>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</si>
  <si>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</si>
  <si>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</si>
  <si>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</si>
  <si>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</si>
  <si>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</si>
  <si>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</si>
  <si>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</si>
  <si>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</si>
  <si>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</si>
  <si>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</si>
  <si>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</si>
  <si>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</si>
  <si>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</si>
  <si>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</si>
  <si>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</si>
  <si>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</si>
  <si>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</si>
  <si>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</si>
  <si>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</si>
  <si>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</si>
  <si>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</si>
  <si>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</si>
  <si>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</si>
  <si>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</si>
  <si>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</si>
  <si>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</si>
  <si>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</si>
  <si>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</si>
  <si>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</si>
  <si>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</si>
  <si>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</si>
  <si>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</si>
  <si>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</si>
  <si>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</si>
  <si>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</si>
  <si>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</si>
  <si>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</si>
  <si>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</si>
  <si>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</si>
  <si>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</si>
  <si>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</si>
  <si>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</si>
  <si>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</si>
  <si>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</si>
  <si>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</si>
  <si>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</si>
  <si>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</si>
  <si>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</si>
  <si>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</si>
  <si>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</si>
  <si>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</si>
  <si>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</si>
  <si>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</si>
  <si>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</si>
  <si>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</si>
  <si>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</si>
  <si>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</si>
  <si>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</si>
  <si>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</si>
  <si>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</si>
  <si>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</si>
  <si>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</si>
  <si>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</si>
  <si>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</si>
  <si>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</si>
  <si>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</si>
  <si>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</si>
  <si>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</si>
  <si>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</si>
  <si>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</si>
  <si>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</si>
  <si>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</si>
  <si>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</si>
  <si>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</si>
  <si>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</si>
  <si>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</si>
  <si>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</si>
  <si>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</si>
  <si>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</si>
  <si>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</si>
  <si>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</si>
  <si>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</si>
  <si>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</si>
  <si>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</si>
  <si>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</si>
  <si>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</si>
  <si>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</si>
  <si>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</si>
  <si>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</si>
  <si>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</si>
  <si>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</si>
  <si>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</si>
  <si>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</si>
  <si>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</si>
  <si>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</si>
  <si>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</si>
  <si>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</si>
  <si>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</si>
  <si>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</si>
  <si>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</si>
  <si>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</si>
  <si>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</si>
  <si>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</si>
  <si>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</si>
  <si>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</si>
  <si>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</si>
  <si>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</si>
  <si>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</si>
  <si>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</si>
  <si>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</si>
  <si>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</si>
  <si>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</si>
  <si>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</si>
  <si>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</si>
  <si>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</si>
  <si>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</si>
  <si>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</si>
  <si>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</si>
  <si>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</si>
  <si>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</si>
  <si>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</si>
  <si>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</si>
  <si>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</si>
  <si>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</si>
  <si>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</si>
  <si>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</si>
  <si>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</si>
  <si>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</si>
  <si>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</si>
  <si>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</si>
  <si>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</si>
  <si>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</si>
  <si>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</si>
  <si>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</si>
  <si>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</si>
  <si>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</si>
  <si>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</si>
  <si>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</si>
  <si>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</si>
  <si>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</si>
  <si>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</si>
  <si>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</si>
  <si>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</si>
  <si>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</si>
  <si>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</si>
  <si>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</si>
  <si>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</si>
  <si>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</si>
  <si>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</si>
  <si>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</si>
  <si>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</si>
  <si>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</si>
  <si>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</si>
  <si>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</si>
  <si>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</si>
  <si>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</si>
  <si>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</si>
  <si>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</si>
  <si>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</si>
  <si>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</si>
  <si>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</si>
  <si>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</si>
  <si>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</si>
  <si>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</si>
  <si>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</si>
  <si>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</si>
  <si>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</si>
  <si>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</si>
  <si>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</si>
  <si>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</si>
  <si>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</si>
  <si>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</si>
  <si>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</si>
  <si>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</si>
  <si>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</si>
  <si>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</si>
  <si>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</si>
  <si>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</si>
  <si>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</si>
  <si>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</si>
  <si>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</si>
  <si>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</si>
  <si>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</si>
  <si>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</si>
  <si>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</si>
  <si>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</si>
  <si>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</si>
  <si>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</si>
  <si>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</si>
  <si>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</si>
  <si>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</si>
  <si>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</si>
  <si>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</si>
  <si>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</si>
  <si>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</si>
  <si>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</si>
  <si>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</si>
  <si>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</si>
  <si>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</si>
  <si>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</si>
  <si>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</si>
  <si>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</si>
  <si>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</si>
  <si>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</si>
  <si>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</si>
  <si>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</si>
  <si>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</si>
  <si>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</si>
  <si>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</si>
  <si>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</si>
  <si>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</si>
  <si>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</si>
  <si>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</si>
  <si>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</si>
  <si>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</si>
  <si>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</si>
  <si>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</si>
  <si>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</si>
  <si>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</si>
  <si>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</si>
  <si>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</si>
  <si>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</si>
  <si>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</si>
  <si>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</si>
  <si>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</si>
  <si>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</si>
  <si>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</si>
  <si>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</si>
  <si>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</si>
  <si>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</si>
  <si>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</si>
  <si>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</si>
  <si>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</si>
  <si>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</si>
  <si>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</si>
  <si>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</si>
  <si>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</si>
  <si>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</si>
  <si>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</si>
  <si>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</si>
  <si>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</si>
  <si>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</si>
  <si>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</si>
  <si>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</si>
  <si>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</si>
  <si>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</si>
  <si>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</si>
  <si>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</si>
  <si>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</si>
  <si>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</si>
  <si>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</si>
  <si>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</si>
  <si>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</si>
  <si>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</si>
  <si>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</si>
  <si>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</si>
  <si>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</si>
  <si>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</si>
  <si>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</si>
  <si>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</si>
  <si>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</si>
  <si>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</si>
  <si>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</si>
  <si>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</si>
  <si>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</si>
  <si>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</si>
  <si>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</si>
  <si>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</si>
  <si>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</si>
  <si>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</si>
  <si>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</si>
  <si>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</si>
  <si>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</si>
  <si>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</si>
  <si>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</si>
  <si>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</si>
  <si>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</si>
  <si>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</si>
  <si>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</si>
  <si>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</si>
  <si>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</si>
  <si>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</si>
  <si>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</si>
  <si>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</si>
  <si>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</si>
  <si>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</si>
  <si>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</si>
  <si>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</si>
  <si>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</si>
  <si>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</si>
  <si>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</si>
  <si>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</si>
  <si>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</si>
  <si>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</si>
  <si>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</si>
  <si>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</si>
  <si>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</si>
  <si>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</si>
  <si>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</si>
  <si>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</si>
  <si>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</si>
  <si>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</si>
  <si>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</si>
  <si>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</si>
  <si>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</si>
  <si>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</si>
  <si>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</si>
  <si>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</si>
  <si>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</si>
  <si>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</si>
  <si>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</si>
  <si>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</si>
  <si>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</si>
  <si>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</si>
  <si>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</si>
  <si>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</si>
  <si>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</si>
  <si>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</si>
  <si>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</si>
  <si>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</si>
  <si>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</si>
  <si>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</si>
  <si>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</si>
  <si>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</si>
  <si>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</si>
  <si>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</si>
  <si>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</si>
  <si>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</si>
  <si>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</si>
  <si>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</si>
  <si>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</si>
  <si>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</si>
  <si>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</si>
  <si>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</si>
  <si>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</si>
  <si>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</si>
  <si>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</si>
  <si>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</si>
  <si>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</si>
  <si>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</si>
  <si>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</si>
  <si>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</si>
  <si>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</si>
  <si>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</si>
  <si>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</si>
  <si>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</si>
  <si>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</si>
  <si>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</si>
  <si>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</si>
  <si>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</si>
  <si>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</si>
  <si>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</si>
  <si>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</si>
  <si>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</si>
  <si>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</si>
  <si>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</si>
  <si>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</si>
  <si>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</si>
  <si>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</si>
  <si>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</si>
  <si>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</si>
  <si>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</si>
  <si>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</si>
  <si>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</si>
  <si>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</si>
  <si>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</si>
  <si>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</si>
  <si>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</si>
  <si>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</si>
  <si>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</si>
  <si>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</si>
  <si>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</si>
  <si>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</si>
  <si>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</si>
  <si>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</si>
  <si>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</si>
  <si>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</si>
  <si>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</si>
  <si>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</si>
  <si>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</si>
  <si>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</si>
  <si>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</si>
  <si>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</si>
  <si>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</si>
  <si>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</si>
  <si>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</si>
  <si>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</si>
  <si>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</si>
  <si>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</si>
  <si>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</si>
  <si>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</si>
  <si>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</si>
  <si>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</si>
  <si>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</si>
  <si>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</si>
  <si>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</si>
  <si>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</si>
  <si>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</si>
  <si>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</si>
  <si>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</si>
  <si>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</si>
  <si>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</si>
  <si>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</si>
  <si>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</si>
  <si>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</si>
  <si>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</si>
  <si>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</si>
  <si>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</si>
  <si>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</si>
  <si>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</si>
  <si>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</si>
  <si>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</si>
  <si>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</si>
  <si>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</si>
  <si>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</si>
  <si>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</si>
  <si>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</si>
  <si>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</si>
  <si>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</si>
  <si>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</si>
  <si>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</si>
  <si>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</si>
  <si>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</si>
  <si>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</si>
  <si>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</si>
  <si>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</si>
  <si>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</si>
  <si>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</si>
  <si>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</si>
  <si>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</si>
  <si>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</si>
  <si>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</si>
  <si>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</si>
  <si>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</si>
  <si>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</si>
  <si>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</si>
  <si>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</si>
  <si>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</si>
  <si>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</si>
  <si>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</si>
  <si>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</si>
  <si>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</si>
  <si>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</si>
  <si>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</si>
  <si>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</si>
  <si>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</si>
  <si>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</si>
  <si>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</si>
  <si>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</si>
  <si>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</si>
  <si>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</si>
  <si>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</si>
  <si>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</si>
  <si>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</si>
  <si>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</si>
  <si>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</si>
  <si>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</si>
  <si>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</si>
  <si>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</si>
  <si>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</si>
  <si>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</si>
  <si>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</si>
  <si>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</si>
  <si>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</si>
  <si>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</si>
  <si>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</si>
  <si>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</si>
  <si>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</si>
  <si>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</si>
  <si>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</si>
  <si>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</si>
  <si>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</si>
  <si>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</si>
  <si>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</si>
  <si>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</si>
  <si>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</si>
  <si>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</si>
  <si>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</si>
  <si>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</si>
  <si>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</si>
  <si>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</si>
  <si>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</si>
  <si>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</si>
  <si>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</si>
  <si>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</si>
  <si>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</si>
  <si>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</si>
  <si>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</si>
  <si>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</si>
  <si>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</si>
  <si>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</si>
  <si>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</si>
  <si>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</si>
  <si>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</si>
  <si>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</si>
  <si>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</si>
  <si>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</si>
  <si>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</si>
  <si>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</si>
  <si>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</si>
  <si>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</si>
  <si>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</si>
  <si>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</si>
  <si>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</si>
  <si>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</si>
  <si>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</si>
  <si>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</si>
  <si>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</si>
  <si>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</si>
  <si>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</si>
  <si>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</si>
  <si>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</si>
  <si>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</si>
  <si>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</si>
  <si>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</si>
  <si>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</si>
  <si>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</si>
  <si>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</si>
  <si>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</si>
  <si>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</si>
  <si>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</si>
  <si>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</si>
  <si>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</si>
  <si>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</si>
  <si>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</si>
  <si>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</si>
  <si>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</si>
  <si>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</si>
  <si>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</si>
  <si>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</si>
  <si>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</si>
  <si>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</si>
  <si>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</si>
  <si>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</si>
  <si>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</si>
  <si>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</si>
  <si>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</si>
  <si>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</si>
  <si>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</si>
  <si>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</si>
  <si>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</si>
  <si>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</si>
  <si>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</si>
  <si>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</si>
  <si>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</si>
  <si>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</si>
  <si>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</si>
  <si>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</si>
  <si>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</si>
  <si>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</si>
  <si>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</si>
  <si>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</si>
  <si>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</si>
  <si>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</si>
  <si>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</si>
  <si>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</si>
  <si>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</si>
  <si>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</si>
  <si>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</si>
  <si>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</si>
  <si>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</si>
  <si>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</si>
  <si>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</si>
  <si>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</si>
  <si>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</si>
  <si>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</si>
  <si>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</si>
  <si>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</si>
  <si>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</si>
  <si>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</si>
  <si>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</si>
  <si>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</si>
  <si>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</si>
  <si>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</si>
  <si>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</si>
  <si>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</si>
  <si>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</si>
  <si>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</si>
  <si>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</si>
  <si>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</si>
  <si>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</si>
  <si>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</si>
  <si>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</si>
  <si>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</si>
  <si>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</si>
  <si>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</si>
  <si>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</si>
  <si>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</si>
  <si>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</si>
  <si>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</si>
  <si>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</si>
  <si>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</si>
  <si>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</si>
  <si>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</si>
  <si>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</si>
  <si>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</si>
  <si>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</si>
  <si>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</si>
  <si>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</si>
  <si>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</si>
  <si>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</si>
  <si>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</si>
  <si>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</si>
  <si>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</si>
  <si>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</si>
  <si>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</si>
  <si>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</si>
  <si>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</si>
  <si>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</si>
  <si>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</si>
  <si>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</si>
  <si>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</si>
  <si>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</si>
  <si>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</si>
  <si>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</si>
  <si>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</si>
  <si>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</si>
  <si>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</si>
  <si>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</si>
  <si>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</si>
  <si>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</si>
  <si>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</si>
  <si>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</si>
  <si>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</si>
  <si>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</si>
  <si>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</si>
  <si>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</si>
  <si>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</si>
  <si>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</si>
  <si>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</si>
  <si>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</si>
  <si>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</si>
  <si>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</si>
  <si>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</si>
  <si>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</si>
  <si>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</si>
  <si>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</si>
  <si>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</si>
  <si>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</si>
  <si>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</si>
  <si>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</si>
  <si>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</si>
  <si>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</si>
  <si>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</si>
  <si>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</si>
  <si>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</si>
  <si>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</si>
  <si>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</si>
  <si>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</si>
  <si>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</si>
  <si>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</si>
  <si>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</si>
  <si>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</si>
  <si>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</si>
  <si>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</si>
  <si>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</si>
  <si>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</si>
  <si>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</si>
  <si>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</si>
  <si>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</si>
  <si>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</si>
  <si>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</si>
  <si>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</si>
  <si>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</si>
  <si>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</si>
  <si>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</si>
  <si>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</si>
  <si>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</si>
  <si>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</si>
  <si>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</si>
  <si>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</si>
  <si>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</si>
  <si>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</si>
  <si>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</si>
  <si>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</si>
  <si>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</si>
  <si>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</si>
  <si>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</si>
  <si>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</si>
  <si>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</si>
  <si>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</si>
  <si>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</si>
  <si>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</si>
  <si>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</si>
  <si>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</si>
  <si>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</si>
  <si>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</si>
  <si>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</si>
  <si>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</si>
  <si>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</si>
  <si>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</si>
  <si>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</si>
  <si>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</si>
  <si>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</si>
  <si>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</si>
  <si>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</si>
  <si>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</si>
  <si>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</si>
  <si>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</si>
  <si>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</si>
  <si>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</si>
  <si>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</si>
  <si>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</si>
  <si>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</si>
  <si>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</si>
  <si>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</si>
  <si>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</si>
  <si>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</si>
  <si>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</si>
  <si>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</si>
  <si>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</si>
  <si>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</si>
  <si>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</si>
  <si>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</si>
  <si>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</si>
  <si>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</si>
  <si>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</si>
  <si>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</si>
  <si>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</si>
  <si>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</si>
  <si>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</si>
  <si>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</si>
  <si>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</si>
  <si>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</si>
  <si>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</si>
  <si>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</si>
  <si>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</si>
  <si>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</si>
  <si>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</si>
  <si>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</si>
  <si>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</si>
  <si>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</si>
  <si>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</si>
  <si>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</si>
  <si>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</si>
  <si>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</si>
  <si>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</si>
  <si>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</si>
  <si>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</si>
  <si>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</si>
  <si>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</si>
  <si>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</si>
  <si>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</si>
  <si>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</si>
  <si>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</si>
  <si>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</si>
  <si>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</si>
  <si>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</si>
  <si>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</si>
  <si>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</si>
  <si>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</si>
  <si>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</si>
  <si>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</si>
  <si>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</si>
  <si>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</si>
  <si>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</si>
  <si>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</si>
  <si>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</si>
  <si>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</si>
  <si>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</si>
  <si>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</si>
  <si>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</si>
  <si>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</si>
  <si>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</si>
  <si>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</si>
  <si>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</si>
  <si>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</si>
  <si>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</si>
  <si>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</si>
  <si>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</si>
  <si>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</si>
  <si>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</si>
  <si>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</si>
  <si>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</si>
  <si>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</si>
  <si>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</si>
  <si>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</si>
  <si>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</si>
  <si>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</si>
  <si>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</si>
  <si>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</si>
  <si>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</si>
  <si>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</si>
  <si>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</si>
  <si>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</si>
  <si>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</si>
  <si>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</si>
  <si>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</si>
  <si>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</si>
  <si>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</si>
  <si>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</si>
  <si>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</si>
  <si>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</si>
  <si>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</si>
  <si>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</si>
  <si>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</si>
  <si>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</si>
  <si>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</si>
  <si>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</si>
  <si>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</si>
  <si>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</si>
  <si>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</si>
  <si>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</si>
  <si>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</si>
  <si>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</si>
  <si>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</si>
  <si>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</si>
  <si>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</si>
  <si>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</si>
  <si>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</si>
  <si>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</si>
  <si>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</si>
  <si>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</si>
  <si>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</si>
  <si>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</si>
  <si>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</si>
  <si>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</si>
  <si>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</si>
  <si>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</si>
  <si>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</si>
  <si>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</si>
  <si>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</si>
  <si>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</si>
  <si>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</si>
  <si>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</si>
  <si>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</si>
  <si>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</si>
  <si>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</si>
  <si>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</si>
  <si>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</si>
  <si>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</si>
  <si>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</si>
  <si>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</si>
  <si>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</si>
  <si>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</si>
  <si>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</si>
  <si>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</si>
  <si>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</si>
  <si>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</si>
  <si>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</si>
  <si>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</si>
  <si>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</si>
  <si>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</si>
  <si>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</si>
  <si>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</si>
  <si>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</si>
  <si>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</si>
  <si>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</si>
  <si>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</si>
  <si>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</si>
  <si>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</si>
  <si>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</si>
  <si>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</si>
  <si>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</si>
  <si>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</si>
  <si>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</si>
  <si>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</si>
  <si>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</si>
  <si>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</si>
  <si>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</si>
  <si>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</si>
  <si>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</si>
  <si>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</si>
  <si>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</si>
  <si>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</si>
  <si>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</si>
  <si>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</si>
  <si>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</si>
  <si>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</si>
  <si>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</si>
  <si>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</si>
  <si>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</si>
  <si>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</si>
  <si>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</si>
  <si>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</si>
  <si>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</si>
  <si>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</si>
  <si>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</si>
  <si>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</si>
  <si>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</si>
  <si>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</si>
  <si>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</si>
  <si>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</si>
  <si>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</si>
  <si>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</si>
  <si>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</si>
  <si>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</si>
  <si>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</si>
  <si>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</si>
  <si>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</si>
  <si>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</si>
  <si>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</si>
  <si>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</si>
  <si>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</si>
  <si>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</si>
  <si>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</si>
  <si>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</si>
  <si>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</si>
  <si>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</si>
  <si>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</si>
  <si>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</si>
  <si>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</si>
  <si>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</si>
  <si>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</si>
  <si>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</si>
  <si>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</si>
  <si>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</si>
  <si>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</si>
  <si>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</si>
  <si>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</si>
  <si>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</si>
  <si>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</si>
  <si>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</si>
  <si>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</si>
  <si>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</si>
  <si>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</si>
  <si>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</si>
  <si>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</si>
  <si>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</si>
  <si>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</si>
  <si>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</si>
  <si>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</si>
  <si>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</si>
  <si>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</si>
  <si>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</si>
  <si>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</si>
  <si>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</si>
  <si>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</si>
  <si>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</si>
  <si>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</si>
  <si>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</si>
  <si>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</si>
  <si>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</si>
  <si>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</si>
  <si>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</si>
  <si>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</si>
  <si>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</si>
  <si>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</si>
  <si>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</si>
  <si>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</si>
  <si>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</si>
  <si>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</si>
  <si>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</si>
  <si>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</si>
  <si>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</si>
  <si>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</si>
  <si>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</si>
  <si>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</si>
  <si>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</si>
  <si>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</si>
  <si>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</si>
  <si>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</si>
  <si>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</si>
  <si>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</si>
  <si>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</si>
  <si>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</si>
  <si>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</si>
  <si>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</si>
  <si>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</si>
  <si>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</si>
  <si>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</si>
  <si>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</si>
  <si>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</si>
  <si>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</si>
  <si>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</si>
  <si>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</si>
  <si>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</si>
  <si>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</si>
  <si>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</si>
  <si>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</si>
  <si>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</si>
  <si>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</si>
  <si>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</si>
  <si>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</si>
  <si>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</si>
  <si>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</si>
  <si>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</si>
  <si>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</si>
  <si>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</si>
  <si>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</si>
  <si>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</si>
  <si>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</si>
  <si>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</si>
  <si>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</si>
  <si>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</si>
  <si>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</si>
  <si>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</si>
  <si>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</si>
  <si>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</si>
  <si>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</si>
  <si>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</si>
  <si>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</si>
  <si>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</si>
  <si>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</si>
  <si>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</si>
  <si>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</si>
  <si>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</si>
  <si>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</si>
  <si>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</si>
  <si>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</si>
  <si>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</si>
  <si>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</si>
  <si>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</si>
  <si>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</si>
  <si>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</si>
  <si>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</si>
  <si>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</si>
  <si>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</si>
  <si>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</si>
  <si>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</si>
  <si>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</si>
  <si>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</si>
  <si>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</si>
  <si>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</si>
  <si>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</si>
  <si>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</si>
  <si>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</si>
  <si>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</si>
  <si>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</si>
  <si>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</si>
  <si>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</si>
  <si>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</si>
  <si>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</si>
  <si>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</si>
  <si>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</si>
  <si>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</si>
  <si>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</si>
  <si>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</si>
  <si>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</si>
  <si>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</si>
  <si>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</si>
  <si>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</si>
  <si>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</si>
  <si>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</si>
  <si>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</si>
  <si>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</si>
  <si>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</si>
  <si>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</si>
  <si>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</si>
  <si>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</si>
  <si>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</si>
  <si>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</si>
  <si>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</si>
  <si>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</si>
  <si>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</si>
  <si>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</si>
  <si>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</si>
  <si>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</si>
  <si>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</si>
  <si>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</si>
  <si>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</si>
  <si>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</si>
  <si>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</si>
  <si>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</si>
  <si>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</si>
  <si>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</si>
  <si>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</si>
  <si>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</si>
  <si>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</si>
  <si>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</si>
  <si>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</si>
  <si>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</si>
  <si>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</si>
  <si>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</si>
  <si>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</si>
  <si>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</si>
  <si>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</si>
  <si>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</si>
  <si>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</si>
  <si>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</si>
  <si>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</si>
  <si>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</si>
  <si>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</si>
  <si>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</si>
  <si>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</si>
  <si>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</si>
  <si>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</si>
  <si>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</si>
  <si>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</si>
  <si>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</si>
  <si>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</si>
  <si>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</si>
  <si>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</si>
  <si>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</si>
  <si>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</si>
  <si>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</si>
  <si>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</si>
  <si>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</si>
  <si>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</si>
  <si>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</si>
  <si>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</si>
  <si>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</si>
  <si>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</si>
  <si>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</si>
  <si>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</si>
  <si>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</si>
  <si>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</si>
  <si>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</si>
  <si>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</si>
  <si>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</si>
  <si>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</si>
  <si>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</si>
  <si>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</si>
  <si>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</si>
  <si>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</si>
  <si>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</si>
  <si>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</si>
  <si>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</si>
  <si>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</si>
  <si>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</si>
  <si>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</si>
  <si>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</si>
  <si>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</si>
  <si>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</si>
  <si>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</si>
  <si>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</si>
  <si>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</si>
  <si>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</si>
  <si>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</si>
  <si>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</si>
  <si>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</si>
  <si>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</si>
  <si>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</si>
  <si>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</si>
  <si>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</si>
  <si>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</si>
  <si>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</si>
  <si>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</si>
  <si>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</si>
  <si>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</si>
  <si>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</si>
  <si>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</si>
  <si>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</si>
  <si>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</si>
  <si>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</si>
  <si>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</si>
  <si>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</si>
  <si>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</si>
  <si>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</si>
  <si>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</si>
  <si>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</si>
  <si>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</si>
  <si>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</si>
  <si>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</si>
  <si>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</si>
  <si>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</si>
  <si>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</si>
  <si>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</si>
  <si>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</si>
  <si>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</si>
  <si>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</si>
  <si>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</si>
  <si>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</si>
  <si>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</si>
  <si>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</si>
  <si>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</si>
  <si>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</si>
  <si>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</si>
  <si>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</si>
  <si>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</si>
  <si>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</si>
  <si>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</si>
  <si>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</si>
  <si>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</si>
  <si>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</si>
  <si>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</si>
  <si>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</si>
  <si>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</si>
  <si>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</si>
  <si>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</si>
  <si>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</si>
  <si>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</si>
  <si>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</si>
  <si>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</si>
  <si>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</si>
  <si>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</si>
  <si>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</si>
  <si>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</si>
  <si>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</si>
  <si>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</si>
  <si>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</si>
  <si>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</si>
  <si>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</si>
  <si>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</si>
  <si>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</si>
  <si>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</si>
  <si>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</si>
  <si>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</si>
  <si>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</si>
  <si>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</si>
  <si>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</si>
  <si>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</si>
  <si>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</si>
  <si>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</si>
  <si>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</si>
  <si>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</si>
  <si>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</si>
  <si>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</si>
  <si>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</si>
  <si>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</si>
  <si>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</si>
  <si>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</si>
  <si>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</si>
  <si>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</si>
  <si>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</si>
  <si>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</si>
  <si>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</si>
  <si>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</si>
  <si>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</si>
  <si>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</si>
  <si>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</si>
  <si>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</si>
  <si>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</si>
  <si>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</si>
  <si>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</si>
  <si>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</si>
  <si>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</si>
  <si>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</si>
  <si>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</si>
  <si>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</si>
  <si>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</si>
  <si>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</si>
  <si>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</si>
  <si>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</si>
  <si>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</si>
  <si>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</si>
  <si>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</si>
  <si>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</si>
  <si>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</si>
  <si>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</si>
  <si>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</si>
  <si>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</si>
  <si>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</si>
  <si>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</si>
  <si>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</si>
  <si>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</si>
  <si>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</si>
  <si>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</si>
  <si>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</si>
  <si>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</si>
  <si>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</si>
  <si>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</si>
  <si>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</si>
  <si>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</si>
  <si>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</si>
  <si>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</si>
  <si>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</si>
  <si>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</si>
  <si>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</si>
  <si>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</si>
  <si>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</si>
  <si>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</si>
  <si>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</si>
  <si>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</si>
  <si>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</si>
  <si>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</si>
  <si>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</si>
  <si>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</si>
  <si>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</si>
  <si>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</si>
  <si>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</si>
  <si>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</si>
  <si>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</si>
  <si>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</si>
  <si>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</si>
  <si>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</si>
  <si>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</si>
  <si>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</si>
  <si>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</si>
  <si>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</si>
  <si>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</si>
  <si>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</si>
  <si>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</si>
  <si>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</si>
  <si>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</si>
  <si>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</si>
  <si>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</si>
  <si>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</si>
  <si>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</si>
  <si>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</si>
  <si>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</si>
  <si>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</si>
  <si>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</si>
  <si>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</si>
  <si>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</si>
  <si>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</si>
  <si>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</si>
  <si>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</si>
  <si>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</si>
  <si>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</si>
  <si>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</si>
  <si>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</si>
  <si>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</si>
  <si>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</si>
  <si>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</si>
  <si>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</si>
  <si>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</si>
  <si>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</si>
  <si>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</si>
  <si>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</si>
  <si>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</si>
  <si>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</si>
  <si>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</si>
  <si>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</si>
  <si>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</si>
  <si>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</si>
  <si>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</si>
  <si>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</si>
  <si>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</si>
  <si>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</si>
  <si>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</si>
  <si>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</si>
  <si>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</si>
  <si>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</si>
  <si>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</si>
  <si>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</si>
  <si>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</si>
  <si>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</si>
  <si>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</si>
  <si>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</si>
  <si>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</si>
  <si>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</si>
  <si>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</si>
  <si>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</si>
  <si>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</si>
  <si>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</si>
  <si>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</si>
  <si>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</si>
  <si>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</si>
  <si>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</si>
  <si>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</si>
  <si>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</si>
  <si>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</si>
  <si>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</si>
  <si>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</si>
  <si>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</si>
  <si>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</si>
  <si>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</si>
  <si>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</si>
  <si>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</si>
  <si>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</si>
  <si>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</si>
  <si>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</si>
  <si>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</si>
  <si>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</si>
  <si>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</si>
  <si>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</si>
  <si>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</si>
  <si>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</si>
  <si>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</si>
  <si>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</si>
  <si>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</si>
  <si>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</si>
  <si>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</si>
  <si>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</si>
  <si>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</si>
  <si>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</si>
  <si>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</si>
  <si>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</si>
  <si>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</si>
  <si>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</si>
  <si>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</si>
  <si>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</si>
  <si>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</si>
  <si>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</si>
  <si>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</si>
  <si>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</si>
  <si>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</si>
  <si>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</si>
  <si>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</si>
  <si>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</si>
  <si>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</si>
  <si>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</si>
  <si>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</si>
  <si>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</si>
  <si>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</si>
  <si>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</si>
  <si>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</si>
  <si>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</si>
  <si>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</si>
  <si>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</si>
  <si>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</si>
  <si>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</si>
  <si>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</si>
  <si>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</si>
  <si>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</si>
  <si>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</si>
  <si>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</si>
  <si>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</si>
  <si>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</si>
  <si>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</si>
  <si>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</si>
  <si>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</si>
  <si>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</si>
  <si>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</si>
  <si>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</si>
  <si>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</si>
  <si>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</si>
  <si>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</si>
  <si>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</si>
  <si>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</si>
  <si>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</si>
  <si>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</si>
  <si>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</si>
  <si>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</si>
  <si>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</si>
  <si>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</si>
  <si>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</si>
  <si>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</si>
  <si>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</si>
  <si>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</si>
  <si>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</si>
  <si>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</si>
  <si>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</si>
  <si>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</si>
  <si>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</si>
  <si>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</si>
  <si>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</si>
  <si>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</si>
  <si>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</si>
  <si>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</si>
  <si>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</si>
  <si>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</si>
  <si>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</si>
  <si>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</si>
  <si>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</si>
  <si>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</si>
  <si>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</si>
  <si>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</si>
  <si>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</si>
  <si>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</si>
  <si>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</si>
  <si>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</si>
  <si>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</si>
  <si>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</si>
  <si>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</si>
  <si>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</si>
  <si>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</si>
  <si>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</si>
  <si>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</si>
  <si>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</si>
  <si>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</si>
  <si>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</si>
  <si>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</si>
  <si>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</si>
  <si>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</si>
  <si>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</si>
  <si>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</si>
  <si>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</si>
  <si>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</si>
  <si>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</si>
  <si>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</si>
  <si>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</si>
  <si>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</si>
  <si>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</si>
  <si>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</si>
  <si>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</si>
  <si>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</si>
  <si>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</si>
  <si>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</si>
  <si>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</si>
  <si>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</si>
  <si>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</si>
  <si>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</si>
  <si>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</si>
  <si>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</si>
  <si>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</si>
  <si>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</si>
  <si>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</si>
  <si>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</si>
  <si>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</si>
  <si>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</si>
  <si>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</si>
  <si>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</si>
  <si>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</si>
  <si>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</si>
  <si>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</si>
  <si>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</si>
  <si>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</si>
  <si>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</si>
  <si>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</si>
  <si>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</si>
  <si>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</si>
  <si>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</si>
  <si>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</si>
  <si>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</si>
  <si>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</si>
  <si>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</si>
  <si>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</si>
  <si>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</si>
  <si>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</si>
  <si>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</si>
  <si>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</si>
  <si>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</si>
  <si>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</si>
  <si>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</si>
  <si>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</si>
  <si>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</si>
  <si>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</si>
  <si>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</si>
  <si>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</si>
  <si>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</si>
  <si>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</si>
  <si>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</si>
  <si>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</si>
  <si>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</si>
  <si>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</si>
  <si>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</si>
  <si>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</si>
  <si>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</si>
  <si>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</si>
  <si>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</si>
  <si>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</si>
  <si>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</si>
  <si>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</si>
  <si>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</si>
  <si>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</si>
  <si>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</si>
  <si>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</si>
  <si>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</si>
  <si>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</si>
  <si>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</si>
  <si>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</si>
  <si>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</si>
  <si>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</si>
  <si>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</si>
  <si>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</si>
  <si>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</si>
  <si>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</si>
  <si>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</si>
  <si>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</si>
  <si>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</si>
  <si>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</si>
  <si>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</si>
  <si>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</si>
  <si>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</si>
  <si>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</si>
  <si>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</si>
  <si>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</si>
  <si>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</si>
  <si>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</si>
  <si>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</si>
  <si>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</si>
  <si>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</si>
  <si>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</si>
  <si>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</si>
  <si>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</si>
  <si>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</si>
  <si>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</si>
  <si>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</si>
  <si>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</si>
  <si>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</si>
  <si>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</si>
  <si>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</si>
  <si>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</si>
  <si>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</si>
  <si>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</si>
  <si>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</si>
  <si>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</si>
  <si>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</si>
  <si>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</si>
  <si>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</si>
  <si>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</si>
  <si>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</si>
  <si>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</si>
  <si>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</si>
  <si>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</si>
  <si>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</si>
  <si>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</si>
  <si>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</si>
  <si>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</si>
  <si>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</si>
  <si>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</si>
  <si>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</si>
  <si>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</si>
  <si>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</si>
  <si>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</si>
  <si>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</si>
  <si>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</si>
  <si>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</si>
  <si>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</si>
  <si>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</si>
  <si>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</si>
  <si>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</si>
  <si>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</si>
  <si>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</si>
  <si>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</si>
  <si>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</si>
  <si>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</si>
  <si>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</si>
  <si>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</si>
  <si>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</si>
  <si>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</si>
  <si>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</si>
  <si>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</si>
  <si>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</si>
  <si>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</si>
  <si>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</si>
  <si>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</si>
  <si>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</si>
  <si>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</si>
  <si>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</si>
  <si>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</si>
  <si>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</si>
  <si>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</si>
  <si>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</si>
  <si>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</si>
  <si>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</si>
  <si>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</si>
  <si>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</si>
  <si>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</si>
  <si>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</si>
  <si>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</si>
  <si>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</si>
  <si>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</si>
  <si>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</si>
  <si>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</si>
  <si>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</si>
  <si>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</si>
  <si>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</si>
  <si>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</si>
  <si>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</si>
  <si>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</si>
  <si>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</si>
  <si>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</si>
  <si>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</si>
  <si>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</si>
  <si>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</si>
  <si>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</si>
  <si>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</si>
  <si>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</si>
  <si>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</si>
  <si>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</si>
  <si>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</si>
  <si>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</si>
  <si>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</si>
  <si>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</si>
  <si>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</si>
  <si>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</si>
  <si>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</si>
  <si>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</si>
  <si>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</si>
  <si>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</si>
  <si>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</si>
  <si>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</si>
  <si>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</si>
  <si>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</si>
  <si>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</si>
  <si>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</si>
  <si>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</si>
  <si>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</si>
  <si>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</si>
  <si>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</si>
  <si>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</si>
  <si>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</si>
  <si>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</si>
  <si>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</si>
  <si>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</si>
  <si>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</si>
  <si>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</si>
  <si>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</si>
  <si>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</si>
  <si>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</si>
  <si>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</si>
  <si>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</si>
  <si>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</si>
  <si>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</si>
  <si>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</si>
  <si>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</si>
  <si>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</si>
  <si>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</si>
  <si>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</si>
  <si>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</si>
  <si>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</si>
  <si>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</si>
  <si>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</si>
  <si>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</si>
  <si>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</si>
  <si>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</si>
  <si>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</si>
  <si>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</si>
  <si>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</si>
  <si>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</si>
  <si>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</si>
  <si>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</si>
  <si>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</si>
  <si>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</si>
  <si>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</si>
  <si>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</si>
  <si>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</si>
  <si>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</si>
  <si>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</si>
  <si>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</si>
  <si>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</si>
  <si>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</si>
  <si>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</si>
  <si>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</si>
  <si>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</si>
  <si>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</si>
  <si>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</si>
  <si>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</si>
  <si>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</si>
  <si>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</si>
  <si>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</si>
  <si>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</si>
  <si>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</si>
  <si>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</si>
  <si>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</si>
  <si>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</si>
  <si>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</si>
  <si>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</si>
  <si>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</si>
  <si>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</si>
  <si>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</si>
  <si>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</si>
  <si>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</si>
  <si>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</si>
  <si>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</si>
  <si>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</si>
  <si>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</si>
  <si>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</si>
  <si>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</si>
  <si>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</si>
  <si>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</si>
  <si>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</si>
  <si>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</si>
  <si>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</si>
  <si>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</si>
  <si>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</si>
  <si>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</si>
  <si>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</si>
  <si>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</si>
  <si>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</si>
  <si>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</si>
  <si>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</si>
  <si>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</si>
  <si>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</si>
  <si>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</si>
  <si>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</si>
  <si>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</si>
  <si>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</si>
  <si>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</si>
  <si>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</si>
  <si>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</si>
  <si>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</si>
  <si>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</si>
  <si>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</si>
  <si>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</si>
  <si>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</si>
  <si>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</si>
  <si>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</si>
  <si>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</si>
  <si>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</si>
  <si>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</si>
  <si>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</si>
  <si>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</si>
  <si>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</si>
  <si>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</si>
  <si>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</si>
  <si>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</si>
  <si>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</si>
  <si>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</si>
  <si>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</si>
  <si>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</si>
  <si>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</si>
  <si>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</si>
  <si>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</si>
  <si>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</si>
  <si>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</si>
  <si>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</si>
  <si>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</si>
  <si>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</si>
  <si>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</si>
  <si>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</si>
  <si>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</si>
  <si>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</si>
  <si>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</si>
  <si>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</si>
  <si>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</si>
  <si>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</si>
  <si>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</si>
  <si>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</si>
  <si>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</si>
  <si>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</si>
  <si>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</si>
  <si>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</si>
  <si>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</si>
  <si>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</si>
  <si>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</si>
  <si>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</si>
  <si>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</si>
  <si>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</si>
  <si>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</si>
  <si>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</si>
  <si>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</si>
  <si>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</si>
  <si>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</si>
  <si>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</si>
  <si>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</si>
  <si>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</si>
  <si>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</si>
  <si>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</si>
  <si>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</si>
  <si>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</si>
  <si>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</si>
  <si>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</si>
  <si>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</si>
  <si>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</si>
  <si>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</si>
  <si>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</si>
  <si>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</si>
  <si>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</si>
  <si>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</si>
  <si>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</si>
  <si>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</si>
  <si>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</si>
  <si>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</si>
  <si>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</si>
  <si>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</si>
  <si>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</si>
  <si>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</si>
  <si>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</si>
  <si>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</si>
  <si>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</si>
  <si>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</si>
  <si>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</si>
  <si>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</si>
  <si>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</si>
  <si>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</si>
  <si>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</si>
  <si>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</si>
  <si>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</si>
  <si>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</si>
  <si>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</si>
  <si>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</si>
  <si>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</si>
  <si>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</si>
  <si>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</si>
  <si>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</si>
  <si>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</si>
  <si>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</si>
  <si>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</si>
  <si>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</si>
  <si>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</si>
  <si>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</si>
  <si>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</si>
  <si>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</si>
  <si>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</si>
  <si>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</si>
  <si>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</si>
  <si>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</si>
  <si>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</si>
  <si>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</si>
  <si>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</si>
  <si>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</si>
  <si>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</si>
  <si>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</si>
  <si>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</si>
  <si>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</si>
  <si>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</si>
  <si>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</si>
  <si>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</si>
  <si>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</si>
  <si>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</si>
  <si>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</si>
  <si>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</si>
  <si>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</si>
  <si>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</si>
  <si>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</si>
  <si>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</si>
  <si>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</si>
  <si>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</si>
  <si>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</si>
  <si>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</si>
  <si>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</si>
  <si>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</si>
  <si>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</si>
  <si>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</si>
  <si>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</si>
  <si>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</si>
  <si>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</si>
  <si>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</si>
  <si>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</si>
  <si>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</si>
  <si>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</si>
  <si>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</si>
  <si>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</si>
  <si>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</si>
  <si>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</si>
  <si>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</si>
  <si>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</si>
  <si>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</si>
  <si>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</si>
  <si>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</si>
  <si>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</si>
  <si>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</si>
  <si>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</si>
  <si>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</si>
  <si>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</si>
  <si>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</si>
  <si>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</si>
  <si>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</si>
  <si>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</si>
  <si>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</si>
  <si>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</si>
  <si>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</si>
  <si>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</si>
  <si>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</si>
  <si>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</si>
  <si>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</si>
  <si>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</si>
  <si>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</si>
  <si>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</si>
  <si>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</si>
  <si>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</si>
  <si>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</si>
  <si>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</si>
  <si>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</si>
  <si>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</si>
  <si>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</si>
  <si>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</si>
  <si>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</si>
  <si>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</si>
  <si>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</si>
  <si>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</si>
  <si>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</si>
  <si>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</si>
  <si>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</si>
  <si>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</si>
  <si>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</si>
  <si>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</si>
  <si>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</si>
  <si>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</si>
  <si>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</si>
  <si>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</si>
  <si>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</si>
  <si>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</si>
  <si>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</si>
  <si>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</si>
  <si>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</si>
  <si>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</si>
  <si>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</si>
  <si>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</si>
  <si>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</si>
  <si>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</si>
  <si>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</si>
  <si>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</si>
  <si>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</si>
  <si>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</si>
  <si>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</si>
  <si>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</si>
  <si>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</si>
  <si>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</si>
  <si>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</si>
  <si>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</si>
  <si>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</si>
  <si>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</si>
  <si>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</si>
  <si>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</si>
  <si>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</si>
  <si>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</si>
  <si>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</si>
  <si>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</si>
  <si>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</si>
  <si>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</si>
  <si>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</si>
  <si>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</si>
  <si>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</si>
  <si>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</si>
  <si>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</si>
  <si>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</si>
  <si>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</si>
  <si>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</si>
  <si>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</si>
  <si>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</si>
  <si>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</si>
  <si>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</si>
  <si>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</si>
  <si>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</si>
  <si>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</si>
  <si>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</si>
  <si>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</si>
  <si>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</si>
  <si>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</si>
  <si>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</si>
  <si>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</si>
  <si>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</si>
  <si>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</si>
  <si>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</si>
  <si>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</si>
  <si>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</si>
  <si>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</si>
  <si>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</si>
  <si>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</si>
  <si>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</si>
  <si>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</si>
  <si>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</si>
  <si>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</si>
  <si>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</si>
  <si>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</si>
  <si>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</si>
  <si>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</si>
  <si>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</si>
  <si>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</si>
  <si>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</si>
  <si>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</si>
  <si>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</si>
  <si>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</si>
  <si>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</si>
  <si>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</si>
  <si>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</si>
  <si>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</si>
  <si>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</si>
  <si>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</si>
  <si>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</si>
  <si>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</si>
  <si>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</si>
  <si>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</si>
  <si>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</si>
  <si>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</si>
  <si>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</si>
  <si>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</si>
  <si>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</si>
  <si>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</si>
  <si>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</si>
  <si>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</si>
  <si>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</si>
  <si>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</si>
  <si>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</si>
  <si>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</si>
  <si>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</si>
  <si>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</si>
  <si>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</si>
  <si>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</si>
  <si>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</si>
  <si>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</si>
  <si>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</si>
  <si>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</si>
  <si>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</si>
  <si>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</si>
  <si>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</si>
  <si>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</si>
  <si>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</si>
  <si>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</si>
  <si>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</si>
  <si>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</si>
  <si>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</si>
  <si>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</si>
  <si>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</si>
  <si>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</si>
  <si>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</si>
  <si>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</si>
  <si>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</si>
  <si>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</si>
  <si>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</si>
  <si>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</si>
  <si>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</si>
  <si>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</si>
  <si>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</si>
  <si>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</si>
  <si>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</si>
  <si>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</si>
  <si>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</si>
  <si>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</si>
  <si>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</si>
  <si>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</si>
  <si>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</si>
  <si>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</si>
  <si>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</si>
  <si>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</si>
  <si>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</si>
  <si>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</si>
  <si>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</si>
  <si>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</si>
  <si>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</si>
  <si>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</si>
  <si>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</si>
  <si>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</si>
  <si>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</si>
  <si>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</si>
  <si>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</si>
  <si>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</si>
  <si>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</si>
  <si>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</si>
  <si>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</si>
  <si>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</si>
  <si>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</si>
  <si>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</si>
  <si>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</si>
  <si>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</si>
  <si>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</si>
  <si>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</si>
  <si>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</si>
  <si>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</si>
  <si>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</si>
  <si>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</si>
  <si>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</si>
  <si>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</si>
  <si>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</si>
  <si>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</si>
  <si>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</si>
  <si>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</si>
  <si>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</si>
  <si>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</si>
  <si>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</si>
  <si>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</si>
  <si>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</si>
  <si>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</si>
  <si>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</si>
  <si>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</si>
  <si>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</si>
  <si>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</si>
  <si>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</si>
  <si>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</si>
  <si>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</si>
  <si>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</si>
  <si>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</si>
  <si>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</si>
  <si>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</si>
  <si>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</si>
  <si>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</si>
  <si>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</si>
  <si>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</si>
  <si>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</si>
  <si>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</si>
  <si>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</si>
  <si>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</si>
  <si>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</si>
  <si>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</si>
  <si>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</si>
  <si>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</si>
  <si>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</si>
  <si>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</si>
  <si>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</si>
  <si>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</si>
  <si>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</si>
  <si>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</si>
  <si>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</si>
  <si>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</si>
  <si>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</si>
  <si>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</si>
  <si>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</si>
  <si>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</si>
  <si>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</si>
  <si>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</si>
  <si>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</si>
  <si>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</si>
  <si>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</si>
  <si>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</si>
  <si>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</si>
  <si>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</si>
  <si>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</si>
  <si>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</si>
  <si>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</si>
  <si>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</si>
  <si>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</si>
  <si>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</si>
  <si>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</si>
  <si>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</si>
  <si>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</si>
  <si>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</si>
  <si>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</si>
  <si>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</si>
  <si>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</si>
  <si>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</si>
  <si>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</si>
  <si>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</si>
  <si>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</si>
  <si>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</si>
  <si>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</si>
  <si>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</si>
  <si>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</si>
  <si>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</si>
  <si>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</si>
  <si>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</si>
  <si>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</si>
  <si>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</si>
  <si>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</si>
  <si>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</si>
  <si>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</si>
  <si>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</si>
  <si>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</si>
  <si>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</si>
  <si>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</si>
  <si>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</si>
  <si>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</si>
  <si>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</si>
  <si>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</si>
  <si>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</si>
  <si>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</si>
  <si>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</si>
  <si>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</si>
  <si>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</si>
  <si>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</si>
  <si>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</si>
  <si>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</si>
  <si>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</si>
  <si>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</si>
  <si>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</si>
  <si>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</si>
  <si>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</si>
  <si>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</si>
  <si>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</si>
  <si>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</si>
  <si>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</si>
  <si>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</si>
  <si>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</si>
  <si>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</si>
  <si>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</si>
  <si>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</si>
  <si>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</si>
  <si>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</si>
  <si>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</si>
  <si>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</si>
  <si>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</si>
  <si>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</si>
  <si>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</si>
  <si>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</si>
  <si>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</si>
  <si>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</si>
  <si>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</si>
  <si>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</si>
  <si>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</si>
  <si>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</si>
  <si>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</si>
  <si>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</si>
  <si>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</si>
  <si>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</si>
  <si>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</si>
  <si>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</si>
  <si>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</si>
  <si>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</si>
  <si>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</si>
  <si>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</si>
  <si>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</si>
  <si>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</si>
  <si>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</si>
  <si>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</si>
  <si>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</si>
  <si>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</si>
  <si>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</si>
  <si>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</si>
  <si>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</si>
  <si>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</si>
  <si>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</si>
  <si>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</si>
  <si>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</si>
  <si>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</si>
  <si>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</si>
  <si>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</si>
  <si>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</si>
  <si>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</si>
  <si>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</si>
  <si>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</si>
  <si>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</si>
  <si>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</si>
  <si>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</si>
  <si>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</si>
  <si>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</si>
  <si>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</si>
  <si>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</si>
  <si>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</si>
  <si>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</si>
  <si>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</si>
  <si>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</si>
  <si>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</si>
  <si>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</si>
  <si>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</si>
  <si>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</si>
  <si>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</si>
  <si>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</si>
  <si>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</si>
  <si>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</si>
  <si>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</si>
  <si>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</si>
  <si>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</si>
  <si>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</si>
  <si>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</si>
  <si>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</si>
  <si>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</si>
  <si>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</si>
  <si>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</si>
  <si>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</si>
  <si>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</si>
  <si>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</si>
  <si>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</si>
  <si>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</si>
  <si>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</si>
  <si>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</si>
  <si>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</si>
  <si>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</si>
  <si>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</si>
  <si>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</si>
  <si>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</si>
  <si>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</si>
  <si>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</si>
  <si>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</si>
  <si>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</si>
  <si>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</si>
  <si>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</si>
  <si>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</si>
  <si>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</si>
  <si>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</si>
  <si>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</si>
  <si>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</si>
  <si>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</si>
  <si>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</si>
  <si>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</si>
  <si>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</si>
  <si>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</si>
  <si>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</si>
  <si>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</si>
  <si>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</si>
  <si>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</si>
  <si>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</si>
  <si>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</si>
  <si>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</si>
  <si>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</si>
  <si>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</si>
  <si>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</si>
  <si>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</si>
  <si>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</si>
  <si>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</si>
  <si>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</si>
  <si>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</si>
  <si>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</si>
  <si>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</si>
  <si>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</si>
  <si>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</si>
  <si>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</si>
  <si>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</si>
  <si>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</si>
  <si>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</si>
  <si>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</si>
  <si>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</si>
  <si>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</si>
  <si>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</si>
  <si>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</si>
  <si>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</si>
  <si>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</si>
  <si>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</si>
  <si>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</si>
  <si>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</si>
  <si>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</si>
  <si>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</si>
  <si>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</si>
  <si>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</si>
  <si>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</si>
  <si>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</si>
  <si>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</si>
  <si>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</si>
  <si>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</si>
  <si>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</si>
  <si>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</si>
  <si>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</si>
  <si>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</si>
  <si>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</si>
  <si>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</si>
  <si>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</si>
  <si>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</si>
  <si>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</si>
  <si>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</si>
  <si>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</si>
  <si>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</si>
  <si>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</si>
  <si>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</si>
  <si>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</si>
  <si>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</si>
  <si>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</si>
  <si>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</si>
  <si>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</si>
  <si>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</si>
  <si>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</si>
  <si>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</si>
  <si>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</si>
  <si>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</si>
  <si>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</si>
  <si>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</si>
  <si>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</si>
  <si>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</si>
  <si>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</si>
  <si>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</si>
  <si>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</si>
  <si>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</si>
  <si>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</si>
  <si>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</si>
  <si>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</si>
  <si>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</si>
  <si>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</si>
  <si>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</si>
  <si>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</si>
  <si>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</si>
  <si>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</si>
  <si>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</si>
  <si>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</si>
  <si>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</si>
  <si>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</si>
  <si>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</si>
  <si>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</si>
  <si>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</si>
  <si>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</si>
  <si>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</si>
  <si>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</si>
  <si>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</si>
  <si>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</si>
  <si>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</si>
  <si>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</si>
  <si>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</si>
  <si>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</si>
  <si>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</si>
  <si>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</si>
  <si>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</si>
  <si>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</si>
  <si>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</si>
  <si>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</si>
  <si>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</si>
  <si>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</si>
  <si>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</si>
  <si>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</si>
  <si>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</si>
  <si>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</si>
  <si>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</si>
  <si>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</si>
  <si>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</si>
  <si>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</si>
  <si>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</si>
  <si>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</si>
  <si>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</si>
  <si>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</si>
  <si>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</si>
  <si>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</si>
  <si>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</si>
  <si>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</si>
  <si>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</si>
  <si>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</si>
  <si>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</si>
  <si>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</si>
  <si>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</si>
  <si>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</si>
  <si>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</si>
  <si>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</si>
  <si>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</si>
  <si>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</si>
  <si>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</si>
  <si>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</si>
  <si>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</si>
  <si>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</si>
  <si>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</si>
  <si>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</si>
  <si>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</si>
  <si>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</si>
  <si>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</si>
  <si>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</si>
  <si>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</si>
  <si>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</si>
  <si>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</si>
  <si>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</si>
  <si>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</si>
  <si>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</si>
  <si>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</si>
  <si>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</si>
  <si>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</si>
  <si>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</si>
  <si>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</si>
  <si>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</si>
  <si>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</si>
  <si>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</si>
  <si>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</si>
  <si>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</si>
  <si>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</si>
  <si>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</si>
  <si>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</si>
  <si>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</si>
  <si>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</si>
  <si>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</si>
  <si>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</si>
  <si>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</si>
  <si>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</si>
  <si>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</si>
  <si>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</si>
  <si>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</si>
  <si>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</si>
  <si>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</si>
  <si>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</si>
  <si>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</si>
  <si>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</si>
  <si>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</si>
  <si>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</si>
  <si>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</si>
  <si>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</si>
  <si>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</si>
  <si>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</si>
  <si>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</si>
  <si>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</si>
  <si>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</si>
  <si>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</si>
  <si>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</si>
  <si>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</si>
  <si>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</si>
  <si>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</si>
  <si>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</si>
  <si>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</si>
  <si>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</si>
  <si>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</si>
  <si>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</si>
  <si>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</si>
  <si>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</si>
  <si>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</si>
  <si>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</si>
  <si>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</si>
  <si>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</si>
  <si>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</si>
  <si>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</si>
  <si>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</si>
  <si>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</si>
  <si>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</si>
  <si>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</si>
  <si>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</si>
  <si>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</si>
  <si>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</si>
  <si>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</si>
  <si>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</si>
  <si>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</si>
  <si>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</si>
  <si>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</si>
  <si>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</si>
  <si>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</si>
  <si>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</si>
  <si>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</si>
  <si>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</si>
  <si>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</si>
  <si>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</si>
  <si>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</si>
  <si>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</si>
  <si>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</si>
  <si>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</si>
  <si>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</si>
  <si>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</si>
  <si>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</si>
  <si>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</si>
  <si>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</si>
  <si>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</si>
  <si>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</si>
  <si>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</si>
  <si>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</si>
  <si>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</si>
  <si>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</si>
  <si>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</si>
  <si>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</si>
  <si>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</si>
  <si>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</si>
  <si>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</si>
  <si>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</si>
  <si>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</si>
  <si>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</si>
  <si>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</si>
  <si>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</si>
  <si>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</si>
  <si>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</si>
  <si>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</si>
  <si>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</si>
  <si>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</si>
  <si>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</si>
  <si>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</si>
  <si>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</si>
  <si>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</si>
  <si>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</si>
  <si>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</si>
  <si>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</si>
  <si>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</si>
  <si>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</si>
  <si>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</si>
  <si>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</si>
  <si>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</si>
  <si>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</si>
  <si>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</si>
  <si>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</si>
  <si>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</si>
  <si>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</si>
  <si>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</si>
  <si>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</si>
  <si>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</si>
  <si>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</si>
  <si>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</si>
  <si>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</si>
  <si>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</si>
  <si>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</si>
  <si>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</si>
  <si>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</si>
  <si>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</si>
  <si>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</si>
  <si>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</si>
  <si>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</si>
  <si>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</si>
  <si>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</si>
  <si>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</si>
  <si>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</si>
  <si>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</si>
  <si>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</si>
  <si>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</si>
  <si>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</si>
  <si>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</si>
  <si>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</si>
  <si>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</si>
  <si>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</si>
  <si>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</si>
  <si>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</si>
  <si>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</si>
  <si>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</si>
  <si>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</si>
  <si>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</si>
  <si>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</si>
  <si>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</si>
  <si>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</si>
  <si>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</si>
  <si>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</si>
  <si>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</si>
  <si>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</si>
  <si>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</si>
  <si>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</si>
  <si>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</si>
  <si>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</si>
  <si>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</si>
  <si>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</si>
  <si>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</si>
  <si>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</si>
  <si>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</si>
  <si>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</si>
  <si>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</si>
  <si>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</si>
  <si>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</si>
  <si>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</si>
  <si>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</si>
  <si>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</si>
  <si>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</si>
  <si>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</si>
  <si>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</si>
  <si>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</si>
  <si>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</si>
  <si>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</si>
  <si>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</si>
  <si>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</si>
  <si>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</si>
  <si>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</si>
  <si>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</si>
  <si>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</si>
  <si>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</si>
  <si>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</si>
  <si>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</si>
  <si>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</si>
  <si>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</si>
  <si>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</si>
  <si>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</si>
  <si>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</si>
  <si>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</si>
  <si>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</si>
  <si>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</si>
  <si>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</si>
  <si>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</si>
  <si>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</si>
  <si>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</si>
  <si>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</si>
  <si>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</si>
  <si>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</si>
  <si>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</si>
  <si>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</si>
  <si>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</si>
  <si>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</si>
  <si>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</si>
  <si>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</si>
  <si>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</si>
  <si>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</si>
  <si>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</si>
  <si>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</si>
  <si>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</si>
  <si>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</si>
  <si>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</si>
  <si>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</si>
  <si>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</si>
  <si>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</si>
  <si>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</si>
  <si>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</si>
  <si>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</si>
  <si>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</si>
  <si>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</si>
  <si>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</si>
  <si>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</si>
  <si>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</si>
  <si>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</si>
  <si>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</si>
  <si>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</si>
  <si>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</si>
  <si>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</si>
  <si>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</si>
  <si>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</si>
  <si>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</si>
  <si>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</si>
  <si>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</si>
  <si>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</si>
  <si>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</si>
  <si>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</si>
  <si>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</si>
  <si>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</si>
  <si>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</si>
  <si>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</si>
  <si>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</si>
  <si>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</si>
  <si>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</si>
  <si>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</si>
  <si>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</si>
  <si>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</si>
  <si>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</si>
  <si>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</si>
  <si>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</si>
  <si>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</si>
  <si>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</si>
  <si>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</si>
  <si>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</si>
  <si>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</si>
  <si>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</si>
  <si>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</si>
  <si>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</si>
  <si>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</si>
  <si>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</si>
  <si>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</si>
  <si>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</si>
  <si>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</si>
  <si>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</si>
  <si>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</si>
  <si>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</si>
  <si>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</si>
  <si>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</si>
  <si>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</si>
  <si>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</si>
  <si>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</si>
  <si>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</si>
  <si>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</si>
  <si>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</si>
  <si>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</si>
  <si>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</si>
  <si>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</si>
  <si>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</si>
  <si>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</si>
  <si>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</si>
  <si>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</si>
  <si>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</si>
  <si>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</si>
  <si>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</si>
  <si>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</si>
  <si>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</si>
  <si>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</si>
  <si>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</si>
  <si>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</si>
  <si>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</si>
  <si>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</si>
  <si>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</si>
  <si>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</si>
  <si>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</si>
  <si>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</si>
  <si>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</si>
  <si>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</si>
  <si>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</si>
  <si>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</si>
  <si>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</si>
  <si>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</si>
  <si>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</si>
  <si>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</si>
  <si>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</si>
  <si>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</si>
  <si>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</si>
  <si>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</si>
  <si>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</si>
  <si>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</si>
  <si>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</si>
  <si>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</si>
  <si>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</si>
  <si>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</si>
  <si>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</si>
  <si>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</si>
  <si>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</si>
  <si>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</si>
  <si>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</si>
  <si>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</si>
  <si>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</si>
  <si>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</si>
  <si>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</si>
  <si>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</si>
  <si>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</si>
  <si>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</si>
  <si>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</si>
  <si>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</si>
  <si>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</si>
  <si>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</si>
  <si>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</si>
  <si>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</si>
  <si>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</si>
  <si>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spend score blanks%</t>
  </si>
  <si>
    <t>*note: annual_income isn't fully numeric! Need cleaning</t>
  </si>
  <si>
    <t>Age_groups</t>
  </si>
  <si>
    <t>Row Labels</t>
  </si>
  <si>
    <t>Early Career</t>
  </si>
  <si>
    <t>Mature</t>
  </si>
  <si>
    <t>Mid Career</t>
  </si>
  <si>
    <t>Pre-Senior</t>
  </si>
  <si>
    <t>Senior</t>
  </si>
  <si>
    <t>Young Adult</t>
  </si>
  <si>
    <t>Grand Total</t>
  </si>
  <si>
    <t>Count of customer_id</t>
  </si>
  <si>
    <t>Column Labels</t>
  </si>
  <si>
    <t>High Spender</t>
  </si>
  <si>
    <t>Low Spender</t>
  </si>
  <si>
    <t>Medium Spender</t>
  </si>
  <si>
    <t>spend_behavior</t>
  </si>
  <si>
    <t>profile_richness</t>
  </si>
  <si>
    <t>final_segment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</si>
</sst>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2.043198611114" createdVersion="8" refreshedVersion="8" minRefreshableVersion="3" recordCount="3500" xr:uid="{4E32CA44-60C4-453D-8562-9F30F4B59EC1}">
  <cacheSource type="worksheet">
    <worksheetSource name="Table1"/>
  </cacheSource>
  <cacheFields count="14">
    <cacheField name="customer_id" numFmtId="0">
      <sharedItems/>
    </cacheField>
    <cacheField name="age" numFmtId="0">
      <sharedItems containsBlank="1" containsMixedTypes="1" containsNumber="1" containsInteger="1" minValue="18" maxValue="69"/>
    </cacheField>
    <cacheField name="Age_groups" numFmtId="0">
      <sharedItems count="7">
        <s v="Pre-Senior"/>
        <s v="Senior"/>
        <s v="Mature"/>
        <s v="Early Career"/>
        <s v="Mid Career"/>
        <s v="Unknown"/>
        <s v="Young Adult"/>
      </sharedItems>
    </cacheField>
    <cacheField name="gender" numFmtId="0">
      <sharedItems containsBlank="1"/>
    </cacheField>
    <cacheField name="city" numFmtId="0">
      <sharedItems containsBlank="1"/>
    </cacheField>
    <cacheField name="annual_income" numFmtId="0">
      <sharedItems containsBlank="1" containsMixedTypes="1" containsNumber="1" containsInteger="1" minValue="150000" maxValue="1975000"/>
    </cacheField>
    <cacheField name="spend_score" numFmtId="0">
      <sharedItems containsString="0" containsBlank="1" containsNumber="1" containsInteger="1" minValue="1" maxValue="100"/>
    </cacheField>
    <cacheField name="Spend_behavior" numFmtId="0">
      <sharedItems count="4">
        <s v="Medium Spender"/>
        <s v="Unknown"/>
        <s v="Low Spender"/>
        <s v="High Spender"/>
      </sharedItems>
    </cacheField>
    <cacheField name="total_orders" numFmtId="0">
      <sharedItems containsString="0" containsBlank="1" containsNumber="1" containsInteger="1" minValue="1" maxValue="79"/>
    </cacheField>
    <cacheField name="avg_order_value" numFmtId="0">
      <sharedItems containsString="0" containsBlank="1" containsNumber="1" containsInteger="1" minValue="300" maxValue="11900"/>
    </cacheField>
    <cacheField name="last_purchase_days_ago" numFmtId="0">
      <sharedItems containsString="0" containsBlank="1" containsNumber="1" containsInteger="1" minValue="1" maxValue="364"/>
    </cacheField>
    <cacheField name="loyalty_status" numFmtId="0">
      <sharedItems containsBlank="1"/>
    </cacheField>
    <cacheField name="preferred_channel" numFmtId="0">
      <sharedItems containsBlank="1"/>
    </cacheField>
    <cacheField name="Profile_richn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CUST100000"/>
    <n v="56"/>
    <x v="0"/>
    <s v="Unknown"/>
    <s v="Hyderabad"/>
    <n v="1950000"/>
    <n v="50"/>
    <x v="0"/>
    <n v="30"/>
    <n v="11400"/>
    <n v="291"/>
    <m/>
    <m/>
    <s v="Lower"/>
  </r>
  <r>
    <s v="CUST100001"/>
    <n v="69"/>
    <x v="1"/>
    <s v="Unknown"/>
    <s v="Ahmedabad"/>
    <n v="375000"/>
    <m/>
    <x v="1"/>
    <n v="46"/>
    <n v="3500"/>
    <n v="246"/>
    <s v="Silver"/>
    <m/>
    <s v="Lower"/>
  </r>
  <r>
    <s v="CUST100002"/>
    <n v="46"/>
    <x v="2"/>
    <s v="Female"/>
    <s v="Mumbai"/>
    <n v="325000"/>
    <n v="6"/>
    <x v="2"/>
    <n v="76"/>
    <n v="8200"/>
    <n v="266"/>
    <s v="Gold"/>
    <s v="Online"/>
    <s v="Higher"/>
  </r>
  <r>
    <s v="CUST100003"/>
    <n v="32"/>
    <x v="3"/>
    <s v="Female"/>
    <s v="Kolkata"/>
    <n v="650000"/>
    <n v="85"/>
    <x v="3"/>
    <n v="21"/>
    <n v="10200"/>
    <n v="337"/>
    <m/>
    <s v="Online"/>
    <s v="Higher"/>
  </r>
  <r>
    <s v="CUST100004"/>
    <n v="60"/>
    <x v="0"/>
    <s v="Female"/>
    <s v="Hyderabad"/>
    <s v="unknown"/>
    <n v="51"/>
    <x v="0"/>
    <n v="75"/>
    <n v="800"/>
    <n v="243"/>
    <s v="Gold"/>
    <m/>
    <s v="Higher"/>
  </r>
  <r>
    <s v="CUST100005"/>
    <n v="25"/>
    <x v="3"/>
    <s v="Male"/>
    <s v="Chennai"/>
    <n v="1600000"/>
    <n v="36"/>
    <x v="0"/>
    <n v="48"/>
    <n v="8500"/>
    <n v="158"/>
    <s v="Silver"/>
    <m/>
    <s v="Higher"/>
  </r>
  <r>
    <s v="CUST100006"/>
    <n v="38"/>
    <x v="4"/>
    <s v="Male"/>
    <s v="Kolkata"/>
    <n v="1375000"/>
    <n v="71"/>
    <x v="3"/>
    <n v="62"/>
    <n v="3300"/>
    <n v="300"/>
    <s v="Gold"/>
    <s v="Website"/>
    <s v="Higher"/>
  </r>
  <r>
    <s v="CUST100007"/>
    <n v="56"/>
    <x v="0"/>
    <m/>
    <m/>
    <n v="1850000"/>
    <n v="100"/>
    <x v="3"/>
    <n v="58"/>
    <n v="6800"/>
    <n v="327"/>
    <m/>
    <s v="In-store"/>
    <s v="Lower"/>
  </r>
  <r>
    <s v="CUST100008"/>
    <n v="36"/>
    <x v="4"/>
    <m/>
    <s v="Delhi"/>
    <n v="1875000"/>
    <n v="25"/>
    <x v="2"/>
    <n v="18"/>
    <n v="2000"/>
    <n v="18"/>
    <s v="Platinum"/>
    <m/>
    <s v="Lower"/>
  </r>
  <r>
    <s v="CUST100009"/>
    <n v="40"/>
    <x v="4"/>
    <s v="Male"/>
    <s v="Mumbai"/>
    <n v="875000"/>
    <n v="11"/>
    <x v="2"/>
    <n v="59"/>
    <n v="10800"/>
    <n v="83"/>
    <s v="Bronze"/>
    <m/>
    <s v="Higher"/>
  </r>
  <r>
    <s v="CUST100010"/>
    <n v="28"/>
    <x v="3"/>
    <s v="Male"/>
    <s v="Mumbai"/>
    <n v="550000"/>
    <n v="44"/>
    <x v="0"/>
    <n v="48"/>
    <n v="3000"/>
    <n v="335"/>
    <m/>
    <s v="Website"/>
    <s v="Higher"/>
  </r>
  <r>
    <s v="CUST100011"/>
    <n v="28"/>
    <x v="3"/>
    <s v="Female"/>
    <s v="Mumbai"/>
    <m/>
    <n v="14"/>
    <x v="2"/>
    <n v="63"/>
    <n v="7000"/>
    <n v="231"/>
    <s v="Platinum"/>
    <m/>
    <s v="Higher"/>
  </r>
  <r>
    <s v="CUST100012"/>
    <n v="41"/>
    <x v="4"/>
    <m/>
    <s v="Hyderabad"/>
    <n v="625000"/>
    <n v="29"/>
    <x v="2"/>
    <n v="12"/>
    <n v="6700"/>
    <n v="342"/>
    <s v="Silver"/>
    <s v="Mobile App"/>
    <s v="Lower"/>
  </r>
  <r>
    <s v="CUST100013"/>
    <m/>
    <x v="5"/>
    <m/>
    <m/>
    <n v="1325000"/>
    <n v="74"/>
    <x v="3"/>
    <n v="34"/>
    <n v="11300"/>
    <n v="253"/>
    <s v="Platinum"/>
    <m/>
    <s v="Lower"/>
  </r>
  <r>
    <s v="CUST100014"/>
    <n v="53"/>
    <x v="2"/>
    <m/>
    <s v="Kolkata"/>
    <n v="1950000"/>
    <n v="50"/>
    <x v="0"/>
    <n v="61"/>
    <n v="10800"/>
    <n v="167"/>
    <s v="Gold"/>
    <m/>
    <s v="Lower"/>
  </r>
  <r>
    <s v="CUST100015"/>
    <n v="57"/>
    <x v="0"/>
    <s v="Female"/>
    <s v="Delhi"/>
    <n v="175000"/>
    <n v="5"/>
    <x v="2"/>
    <n v="53"/>
    <n v="11600"/>
    <n v="42"/>
    <m/>
    <m/>
    <s v="Higher"/>
  </r>
  <r>
    <s v="CUST100016"/>
    <n v="41"/>
    <x v="4"/>
    <s v="Male"/>
    <m/>
    <n v="1050000"/>
    <n v="72"/>
    <x v="3"/>
    <n v="25"/>
    <n v="8200"/>
    <n v="249"/>
    <s v="Platinum"/>
    <m/>
    <s v="Higher"/>
  </r>
  <r>
    <s v="CUST100017"/>
    <n v="20"/>
    <x v="6"/>
    <s v="Female"/>
    <s v="Ahmedabad"/>
    <n v="150000"/>
    <n v="69"/>
    <x v="3"/>
    <n v="62"/>
    <n v="4700"/>
    <n v="248"/>
    <s v="Platinum"/>
    <m/>
    <s v="Higher"/>
  </r>
  <r>
    <s v="CUST100018"/>
    <n v="39"/>
    <x v="4"/>
    <s v="Unknown"/>
    <s v="Chennai"/>
    <n v="225000"/>
    <n v="88"/>
    <x v="3"/>
    <n v="4"/>
    <n v="6000"/>
    <n v="286"/>
    <m/>
    <s v="In-store"/>
    <s v="Lower"/>
  </r>
  <r>
    <s v="CUST100019"/>
    <m/>
    <x v="5"/>
    <s v="Unknown"/>
    <s v="Bengaluru"/>
    <n v="1475000"/>
    <n v="57"/>
    <x v="0"/>
    <n v="13"/>
    <n v="4900"/>
    <n v="20"/>
    <s v="Gold"/>
    <s v="Mobile App"/>
    <s v="Lower"/>
  </r>
  <r>
    <s v="CUST100020"/>
    <n v="19"/>
    <x v="6"/>
    <s v="Female"/>
    <m/>
    <n v="750000"/>
    <n v="26"/>
    <x v="2"/>
    <n v="42"/>
    <n v="6800"/>
    <n v="352"/>
    <s v="Bronze"/>
    <m/>
    <s v="Higher"/>
  </r>
  <r>
    <s v="CUST100021"/>
    <n v="41"/>
    <x v="4"/>
    <m/>
    <s v="Ahmedabad"/>
    <n v="200000"/>
    <n v="6"/>
    <x v="2"/>
    <n v="49"/>
    <n v="5400"/>
    <n v="42"/>
    <s v="Platinum"/>
    <s v="Online"/>
    <s v="Lower"/>
  </r>
  <r>
    <s v="CUST100022"/>
    <n v="61"/>
    <x v="0"/>
    <s v="Male"/>
    <s v="Delhi"/>
    <n v="350000"/>
    <n v="16"/>
    <x v="2"/>
    <n v="78"/>
    <n v="3800"/>
    <n v="345"/>
    <m/>
    <m/>
    <s v="Higher"/>
  </r>
  <r>
    <s v="CUST100023"/>
    <n v="47"/>
    <x v="2"/>
    <s v="Female"/>
    <s v="Bengaluru"/>
    <m/>
    <n v="60"/>
    <x v="0"/>
    <n v="56"/>
    <n v="300"/>
    <n v="87"/>
    <s v="Silver"/>
    <s v="Mobile App"/>
    <s v="Higher"/>
  </r>
  <r>
    <s v="CUST100024"/>
    <n v="55"/>
    <x v="0"/>
    <s v="Female"/>
    <s v="Bengaluru"/>
    <n v="1975000"/>
    <n v="100"/>
    <x v="3"/>
    <n v="47"/>
    <n v="4100"/>
    <n v="261"/>
    <s v="Gold"/>
    <s v="In-store"/>
    <s v="Higher"/>
  </r>
  <r>
    <s v="CUST100025"/>
    <n v="19"/>
    <x v="6"/>
    <s v="Female"/>
    <m/>
    <n v="975000"/>
    <n v="12"/>
    <x v="2"/>
    <n v="8"/>
    <n v="8900"/>
    <n v="306"/>
    <s v="Gold"/>
    <m/>
    <s v="Higher"/>
  </r>
  <r>
    <s v="CUST100026"/>
    <n v="38"/>
    <x v="4"/>
    <s v="Male"/>
    <s v="Mumbai"/>
    <n v="1200000"/>
    <n v="75"/>
    <x v="3"/>
    <n v="55"/>
    <n v="9200"/>
    <n v="297"/>
    <s v="Platinum"/>
    <s v="In-store"/>
    <s v="Higher"/>
  </r>
  <r>
    <s v="CUST100027"/>
    <n v="50"/>
    <x v="2"/>
    <s v="Unknown"/>
    <s v="Pune"/>
    <n v="1975000"/>
    <n v="3"/>
    <x v="2"/>
    <n v="18"/>
    <n v="7700"/>
    <n v="350"/>
    <m/>
    <m/>
    <s v="Lower"/>
  </r>
  <r>
    <s v="CUST100028"/>
    <n v="29"/>
    <x v="3"/>
    <m/>
    <s v="Delhi"/>
    <n v="675000"/>
    <n v="63"/>
    <x v="0"/>
    <n v="35"/>
    <n v="10800"/>
    <n v="240"/>
    <m/>
    <m/>
    <s v="Lower"/>
  </r>
  <r>
    <s v="CUST100029"/>
    <n v="39"/>
    <x v="4"/>
    <m/>
    <s v="Mumbai"/>
    <n v="1875000"/>
    <n v="64"/>
    <x v="0"/>
    <m/>
    <n v="300"/>
    <n v="167"/>
    <s v="Platinum"/>
    <s v="Online"/>
    <s v="Lower"/>
  </r>
  <r>
    <s v="CUST100030"/>
    <n v="61"/>
    <x v="0"/>
    <s v="Female"/>
    <s v="Delhi"/>
    <n v="175000"/>
    <n v="62"/>
    <x v="0"/>
    <n v="32"/>
    <n v="7700"/>
    <n v="313"/>
    <s v="Platinum"/>
    <s v="Mobile App"/>
    <s v="Higher"/>
  </r>
  <r>
    <s v="CUST100031"/>
    <n v="42"/>
    <x v="4"/>
    <m/>
    <s v="Pune"/>
    <n v="1775000"/>
    <m/>
    <x v="1"/>
    <n v="24"/>
    <n v="9000"/>
    <n v="219"/>
    <m/>
    <s v="Online"/>
    <s v="Lower"/>
  </r>
  <r>
    <s v="CUST100032"/>
    <n v="66"/>
    <x v="1"/>
    <m/>
    <s v="Chennai"/>
    <n v="925000"/>
    <n v="6"/>
    <x v="2"/>
    <n v="7"/>
    <n v="7600"/>
    <n v="133"/>
    <s v="Silver"/>
    <m/>
    <s v="Lower"/>
  </r>
  <r>
    <s v="CUST100033"/>
    <n v="44"/>
    <x v="4"/>
    <s v="Female"/>
    <s v="Pune"/>
    <n v="525000"/>
    <n v="19"/>
    <x v="2"/>
    <n v="13"/>
    <n v="1600"/>
    <n v="207"/>
    <m/>
    <s v="Website"/>
    <s v="Higher"/>
  </r>
  <r>
    <s v="CUST100034"/>
    <n v="59"/>
    <x v="0"/>
    <s v="Male"/>
    <m/>
    <m/>
    <n v="18"/>
    <x v="2"/>
    <n v="69"/>
    <n v="8000"/>
    <n v="51"/>
    <s v="Platinum"/>
    <s v="Mobile App"/>
    <s v="Higher"/>
  </r>
  <r>
    <s v="CUST100035"/>
    <n v="45"/>
    <x v="2"/>
    <s v="Female"/>
    <m/>
    <n v="150000"/>
    <n v="80"/>
    <x v="3"/>
    <n v="42"/>
    <n v="7300"/>
    <n v="106"/>
    <s v="Bronze"/>
    <s v="In-store"/>
    <s v="Higher"/>
  </r>
  <r>
    <s v="CUST100036"/>
    <n v="33"/>
    <x v="3"/>
    <s v="Male"/>
    <m/>
    <n v="1925000"/>
    <n v="87"/>
    <x v="3"/>
    <n v="31"/>
    <n v="2500"/>
    <n v="184"/>
    <m/>
    <m/>
    <s v="Higher"/>
  </r>
  <r>
    <s v="CUST100037"/>
    <n v="32"/>
    <x v="3"/>
    <s v="Male"/>
    <s v="Ahmedabad"/>
    <n v="1325000"/>
    <n v="43"/>
    <x v="0"/>
    <n v="74"/>
    <n v="4500"/>
    <n v="201"/>
    <s v="Silver"/>
    <s v="Online"/>
    <s v="Higher"/>
  </r>
  <r>
    <s v="CUST100038"/>
    <n v="64"/>
    <x v="0"/>
    <m/>
    <s v="Mumbai"/>
    <n v="1375000"/>
    <m/>
    <x v="1"/>
    <n v="26"/>
    <n v="2400"/>
    <n v="11"/>
    <m/>
    <m/>
    <s v="Lower"/>
  </r>
  <r>
    <s v="CUST100039"/>
    <n v="68"/>
    <x v="1"/>
    <s v="Male"/>
    <s v="Ahmedabad"/>
    <n v="450000"/>
    <n v="73"/>
    <x v="3"/>
    <n v="76"/>
    <n v="6200"/>
    <n v="254"/>
    <m/>
    <s v="Website"/>
    <s v="Higher"/>
  </r>
  <r>
    <s v="CUST100040"/>
    <n v="61"/>
    <x v="0"/>
    <m/>
    <m/>
    <n v="500000"/>
    <n v="3"/>
    <x v="2"/>
    <n v="32"/>
    <n v="10200"/>
    <n v="150"/>
    <s v="Gold"/>
    <m/>
    <s v="Lower"/>
  </r>
  <r>
    <s v="CUST100041"/>
    <s v="NA"/>
    <x v="5"/>
    <s v="Unknown"/>
    <s v="Pune"/>
    <n v="1450000"/>
    <n v="72"/>
    <x v="3"/>
    <n v="52"/>
    <n v="2900"/>
    <n v="354"/>
    <s v="Gold"/>
    <m/>
    <s v="Lower"/>
  </r>
  <r>
    <s v="CUST100042"/>
    <n v="69"/>
    <x v="1"/>
    <s v="Female"/>
    <m/>
    <n v="1225000"/>
    <n v="38"/>
    <x v="0"/>
    <n v="20"/>
    <n v="5800"/>
    <n v="355"/>
    <s v="Platinum"/>
    <s v="In-store"/>
    <s v="Higher"/>
  </r>
  <r>
    <s v="CUST100043"/>
    <n v="20"/>
    <x v="6"/>
    <s v="Female"/>
    <s v="Hyderabad"/>
    <n v="325000"/>
    <n v="68"/>
    <x v="3"/>
    <n v="40"/>
    <n v="400"/>
    <n v="96"/>
    <s v="Platinum"/>
    <s v="Online"/>
    <s v="Higher"/>
  </r>
  <r>
    <s v="CUST100044"/>
    <n v="54"/>
    <x v="2"/>
    <m/>
    <s v="Pune"/>
    <n v="1975000"/>
    <n v="76"/>
    <x v="3"/>
    <n v="59"/>
    <n v="4100"/>
    <n v="106"/>
    <m/>
    <s v="Mobile App"/>
    <s v="Lower"/>
  </r>
  <r>
    <s v="CUST100045"/>
    <n v="68"/>
    <x v="1"/>
    <s v="Female"/>
    <s v="Pune"/>
    <n v="1275000"/>
    <n v="44"/>
    <x v="0"/>
    <n v="77"/>
    <n v="5300"/>
    <n v="143"/>
    <s v="Bronze"/>
    <s v="Website"/>
    <s v="Higher"/>
  </r>
  <r>
    <s v="CUST100046"/>
    <n v="24"/>
    <x v="6"/>
    <m/>
    <m/>
    <n v="1850000"/>
    <n v="95"/>
    <x v="3"/>
    <n v="14"/>
    <n v="11200"/>
    <n v="166"/>
    <m/>
    <m/>
    <s v="Lower"/>
  </r>
  <r>
    <s v="CUST100047"/>
    <n v="38"/>
    <x v="4"/>
    <s v="Female"/>
    <s v="Chennai"/>
    <n v="600000"/>
    <n v="89"/>
    <x v="3"/>
    <n v="44"/>
    <n v="2100"/>
    <n v="1"/>
    <s v="Platinum"/>
    <m/>
    <s v="Higher"/>
  </r>
  <r>
    <s v="CUST100048"/>
    <n v="26"/>
    <x v="3"/>
    <m/>
    <s v="Delhi"/>
    <n v="1075000"/>
    <n v="80"/>
    <x v="3"/>
    <n v="48"/>
    <n v="6400"/>
    <n v="46"/>
    <m/>
    <m/>
    <s v="Lower"/>
  </r>
  <r>
    <s v="CUST100049"/>
    <n v="56"/>
    <x v="0"/>
    <m/>
    <m/>
    <n v="400000"/>
    <n v="63"/>
    <x v="0"/>
    <n v="43"/>
    <n v="7300"/>
    <n v="242"/>
    <m/>
    <m/>
    <s v="Lower"/>
  </r>
  <r>
    <s v="CUST100050"/>
    <n v="35"/>
    <x v="4"/>
    <s v="Unknown"/>
    <s v="Delhi"/>
    <n v="1200000"/>
    <n v="42"/>
    <x v="0"/>
    <n v="16"/>
    <n v="7800"/>
    <n v="344"/>
    <m/>
    <s v="Online"/>
    <s v="Lower"/>
  </r>
  <r>
    <s v="CUST100051"/>
    <n v="21"/>
    <x v="6"/>
    <m/>
    <m/>
    <n v="625000"/>
    <n v="64"/>
    <x v="0"/>
    <n v="35"/>
    <n v="6900"/>
    <n v="278"/>
    <m/>
    <s v="Mobile App"/>
    <s v="Lower"/>
  </r>
  <r>
    <s v="CUST100052"/>
    <n v="42"/>
    <x v="4"/>
    <m/>
    <m/>
    <n v="625000"/>
    <n v="54"/>
    <x v="0"/>
    <n v="53"/>
    <n v="6500"/>
    <n v="3"/>
    <m/>
    <s v="In-store"/>
    <s v="Lower"/>
  </r>
  <r>
    <s v="CUST100053"/>
    <n v="31"/>
    <x v="3"/>
    <s v="Female"/>
    <s v="Delhi"/>
    <n v="650000"/>
    <n v="78"/>
    <x v="3"/>
    <n v="34"/>
    <n v="11300"/>
    <n v="142"/>
    <m/>
    <s v="Website"/>
    <s v="Higher"/>
  </r>
  <r>
    <s v="CUST100054"/>
    <n v="67"/>
    <x v="1"/>
    <s v="Female"/>
    <s v="Ahmedabad"/>
    <n v="1550000"/>
    <n v="77"/>
    <x v="3"/>
    <n v="3"/>
    <n v="700"/>
    <n v="61"/>
    <m/>
    <m/>
    <s v="Higher"/>
  </r>
  <r>
    <s v="CUST100055"/>
    <n v="26"/>
    <x v="3"/>
    <m/>
    <m/>
    <n v="1375000"/>
    <n v="71"/>
    <x v="3"/>
    <n v="68"/>
    <n v="7400"/>
    <n v="294"/>
    <m/>
    <m/>
    <s v="Lower"/>
  </r>
  <r>
    <s v="CUST100056"/>
    <n v="43"/>
    <x v="4"/>
    <s v="Male"/>
    <m/>
    <n v="1975000"/>
    <n v="76"/>
    <x v="3"/>
    <n v="5"/>
    <n v="8000"/>
    <n v="225"/>
    <s v="Gold"/>
    <m/>
    <s v="Higher"/>
  </r>
  <r>
    <s v="CUST100057"/>
    <m/>
    <x v="5"/>
    <s v="Unknown"/>
    <m/>
    <n v="775000"/>
    <n v="37"/>
    <x v="0"/>
    <n v="10"/>
    <n v="6300"/>
    <n v="302"/>
    <m/>
    <s v="Mobile App"/>
    <s v="Lower"/>
  </r>
  <r>
    <s v="CUST100058"/>
    <n v="19"/>
    <x v="6"/>
    <s v="Male"/>
    <m/>
    <n v="875000"/>
    <n v="4"/>
    <x v="2"/>
    <n v="52"/>
    <n v="10200"/>
    <n v="170"/>
    <s v="Silver"/>
    <s v="Mobile App"/>
    <s v="Higher"/>
  </r>
  <r>
    <s v="CUST100059"/>
    <n v="37"/>
    <x v="4"/>
    <s v="Female"/>
    <m/>
    <n v="1950000"/>
    <n v="2"/>
    <x v="2"/>
    <n v="29"/>
    <n v="7300"/>
    <n v="134"/>
    <m/>
    <s v="Online"/>
    <s v="Higher"/>
  </r>
  <r>
    <s v="CUST100060"/>
    <n v="45"/>
    <x v="2"/>
    <s v="Female"/>
    <s v="Delhi"/>
    <n v="900000"/>
    <n v="99"/>
    <x v="3"/>
    <n v="31"/>
    <n v="900"/>
    <n v="41"/>
    <s v="Silver"/>
    <s v="Online"/>
    <s v="Higher"/>
  </r>
  <r>
    <s v="CUST100061"/>
    <n v="64"/>
    <x v="0"/>
    <s v="Female"/>
    <s v="Chennai"/>
    <n v="1175000"/>
    <n v="44"/>
    <x v="0"/>
    <n v="66"/>
    <n v="5200"/>
    <n v="231"/>
    <m/>
    <m/>
    <s v="Higher"/>
  </r>
  <r>
    <s v="CUST100062"/>
    <n v="24"/>
    <x v="6"/>
    <s v="Male"/>
    <s v="Kolkata"/>
    <n v="1825000"/>
    <n v="67"/>
    <x v="3"/>
    <n v="76"/>
    <n v="4800"/>
    <n v="226"/>
    <s v="Platinum"/>
    <m/>
    <s v="Higher"/>
  </r>
  <r>
    <s v="CUST100063"/>
    <n v="61"/>
    <x v="0"/>
    <m/>
    <s v="Delhi"/>
    <n v="1650000"/>
    <n v="68"/>
    <x v="3"/>
    <n v="69"/>
    <n v="9800"/>
    <n v="139"/>
    <s v="Bronze"/>
    <s v="Online"/>
    <s v="Lower"/>
  </r>
  <r>
    <s v="CUST100064"/>
    <n v="25"/>
    <x v="3"/>
    <s v="Female"/>
    <s v="Mumbai"/>
    <n v="1650000"/>
    <m/>
    <x v="1"/>
    <n v="37"/>
    <n v="7400"/>
    <n v="110"/>
    <m/>
    <s v="Website"/>
    <s v="Higher"/>
  </r>
  <r>
    <s v="CUST100065"/>
    <n v="64"/>
    <x v="0"/>
    <s v="Male"/>
    <s v="Bengaluru"/>
    <n v="1875000"/>
    <n v="76"/>
    <x v="3"/>
    <n v="27"/>
    <n v="7800"/>
    <n v="297"/>
    <s v="Bronze"/>
    <m/>
    <s v="Higher"/>
  </r>
  <r>
    <s v="CUST100066"/>
    <n v="52"/>
    <x v="2"/>
    <m/>
    <s v="Chennai"/>
    <n v="1825000"/>
    <n v="83"/>
    <x v="3"/>
    <n v="33"/>
    <n v="7600"/>
    <n v="57"/>
    <s v="Gold"/>
    <s v="Online"/>
    <s v="Lower"/>
  </r>
  <r>
    <s v="CUST100067"/>
    <n v="31"/>
    <x v="3"/>
    <s v="Male"/>
    <s v="Ahmedabad"/>
    <n v="550000"/>
    <n v="74"/>
    <x v="3"/>
    <n v="68"/>
    <n v="1600"/>
    <n v="123"/>
    <s v="Silver"/>
    <m/>
    <s v="Higher"/>
  </r>
  <r>
    <s v="CUST100068"/>
    <n v="34"/>
    <x v="3"/>
    <s v="Female"/>
    <s v="Pune"/>
    <n v="600000"/>
    <n v="62"/>
    <x v="0"/>
    <n v="59"/>
    <n v="7500"/>
    <n v="240"/>
    <s v="Gold"/>
    <s v="Online"/>
    <s v="Higher"/>
  </r>
  <r>
    <s v="CUST100069"/>
    <n v="53"/>
    <x v="2"/>
    <s v="Male"/>
    <s v="Delhi"/>
    <n v="1400000"/>
    <n v="1"/>
    <x v="2"/>
    <n v="64"/>
    <n v="10400"/>
    <n v="86"/>
    <s v="Platinum"/>
    <s v="Website"/>
    <s v="Higher"/>
  </r>
  <r>
    <s v="CUST100070"/>
    <n v="67"/>
    <x v="1"/>
    <s v="Female"/>
    <m/>
    <n v="1875000"/>
    <n v="17"/>
    <x v="2"/>
    <n v="44"/>
    <n v="9600"/>
    <n v="176"/>
    <s v="Platinum"/>
    <s v="Online"/>
    <s v="Higher"/>
  </r>
  <r>
    <s v="CUST100071"/>
    <n v="57"/>
    <x v="0"/>
    <s v="Female"/>
    <s v="Delhi"/>
    <n v="1700000"/>
    <n v="16"/>
    <x v="2"/>
    <n v="49"/>
    <n v="7100"/>
    <n v="63"/>
    <m/>
    <s v="Online"/>
    <s v="Higher"/>
  </r>
  <r>
    <s v="CUST100072"/>
    <n v="21"/>
    <x v="6"/>
    <s v="Male"/>
    <s v="Hyderabad"/>
    <m/>
    <n v="9"/>
    <x v="2"/>
    <n v="53"/>
    <n v="6700"/>
    <n v="39"/>
    <m/>
    <m/>
    <s v="Higher"/>
  </r>
  <r>
    <s v="CUST100073"/>
    <n v="19"/>
    <x v="6"/>
    <m/>
    <s v="Chennai"/>
    <n v="875000"/>
    <n v="53"/>
    <x v="0"/>
    <n v="74"/>
    <n v="6700"/>
    <n v="138"/>
    <m/>
    <m/>
    <s v="Lower"/>
  </r>
  <r>
    <s v="CUST100074"/>
    <n v="23"/>
    <x v="6"/>
    <m/>
    <s v="Kolkata"/>
    <n v="750000"/>
    <n v="73"/>
    <x v="3"/>
    <n v="49"/>
    <n v="5900"/>
    <n v="241"/>
    <s v="Platinum"/>
    <m/>
    <s v="Lower"/>
  </r>
  <r>
    <s v="CUST100075"/>
    <m/>
    <x v="5"/>
    <s v="Female"/>
    <s v="Ahmedabad"/>
    <m/>
    <n v="59"/>
    <x v="0"/>
    <n v="66"/>
    <n v="6400"/>
    <n v="226"/>
    <s v="Platinum"/>
    <m/>
    <s v="Higher"/>
  </r>
  <r>
    <s v="CUST100076"/>
    <n v="59"/>
    <x v="0"/>
    <m/>
    <s v="Hyderabad"/>
    <n v="1900000"/>
    <n v="9"/>
    <x v="2"/>
    <n v="63"/>
    <n v="2200"/>
    <n v="206"/>
    <m/>
    <s v="Online"/>
    <s v="Lower"/>
  </r>
  <r>
    <s v="CUST100077"/>
    <n v="21"/>
    <x v="6"/>
    <s v="Male"/>
    <m/>
    <n v="775000"/>
    <n v="12"/>
    <x v="2"/>
    <n v="25"/>
    <n v="11500"/>
    <n v="164"/>
    <s v="Gold"/>
    <m/>
    <s v="Higher"/>
  </r>
  <r>
    <s v="CUST100078"/>
    <m/>
    <x v="5"/>
    <s v="Male"/>
    <s v="Hyderabad"/>
    <n v="1525000"/>
    <n v="41"/>
    <x v="0"/>
    <n v="4"/>
    <n v="7700"/>
    <n v="27"/>
    <s v="Bronze"/>
    <s v="Mobile App"/>
    <s v="Higher"/>
  </r>
  <r>
    <s v="CUST100079"/>
    <n v="46"/>
    <x v="2"/>
    <s v="Female"/>
    <s v="Delhi"/>
    <n v="675000"/>
    <n v="15"/>
    <x v="2"/>
    <n v="51"/>
    <n v="2800"/>
    <n v="183"/>
    <s v="Silver"/>
    <s v="In-store"/>
    <s v="Higher"/>
  </r>
  <r>
    <s v="CUST100080"/>
    <n v="35"/>
    <x v="4"/>
    <s v="Male"/>
    <s v="Ahmedabad"/>
    <n v="600000"/>
    <n v="66"/>
    <x v="0"/>
    <n v="11"/>
    <n v="4600"/>
    <n v="198"/>
    <s v="Platinum"/>
    <s v="In-store"/>
    <s v="Higher"/>
  </r>
  <r>
    <s v="CUST100081"/>
    <n v="43"/>
    <x v="4"/>
    <s v="Male"/>
    <s v="Delhi"/>
    <n v="900000"/>
    <n v="75"/>
    <x v="3"/>
    <n v="17"/>
    <n v="6900"/>
    <n v="337"/>
    <m/>
    <m/>
    <s v="Higher"/>
  </r>
  <r>
    <s v="CUST100082"/>
    <n v="61"/>
    <x v="0"/>
    <s v="Unknown"/>
    <m/>
    <n v="775000"/>
    <n v="11"/>
    <x v="2"/>
    <n v="66"/>
    <n v="7200"/>
    <n v="107"/>
    <s v="Platinum"/>
    <m/>
    <s v="Lower"/>
  </r>
  <r>
    <s v="CUST100083"/>
    <n v="51"/>
    <x v="2"/>
    <s v="Male"/>
    <s v="Pune"/>
    <n v="1175000"/>
    <n v="8"/>
    <x v="2"/>
    <n v="70"/>
    <n v="6400"/>
    <n v="189"/>
    <s v="Gold"/>
    <s v="Website"/>
    <s v="Higher"/>
  </r>
  <r>
    <s v="CUST100084"/>
    <n v="27"/>
    <x v="3"/>
    <s v="Male"/>
    <s v="Ahmedabad"/>
    <n v="1150000"/>
    <n v="55"/>
    <x v="0"/>
    <n v="73"/>
    <n v="10900"/>
    <n v="36"/>
    <s v="Silver"/>
    <m/>
    <s v="Higher"/>
  </r>
  <r>
    <s v="CUST100085"/>
    <n v="53"/>
    <x v="2"/>
    <s v="Female"/>
    <s v="Pune"/>
    <n v="700000"/>
    <n v="96"/>
    <x v="3"/>
    <n v="69"/>
    <n v="4700"/>
    <n v="85"/>
    <s v="Gold"/>
    <m/>
    <s v="Higher"/>
  </r>
  <r>
    <s v="CUST100086"/>
    <n v="31"/>
    <x v="3"/>
    <s v="Female"/>
    <s v="Chennai"/>
    <n v="1300000"/>
    <n v="6"/>
    <x v="2"/>
    <n v="29"/>
    <n v="1300"/>
    <n v="155"/>
    <s v="Bronze"/>
    <m/>
    <s v="Higher"/>
  </r>
  <r>
    <s v="CUST100087"/>
    <n v="48"/>
    <x v="2"/>
    <s v="Female"/>
    <s v="Chennai"/>
    <n v="450000"/>
    <n v="53"/>
    <x v="0"/>
    <n v="73"/>
    <n v="7400"/>
    <n v="169"/>
    <s v="Gold"/>
    <s v="Online"/>
    <s v="Higher"/>
  </r>
  <r>
    <s v="CUST100088"/>
    <n v="65"/>
    <x v="0"/>
    <s v="Female"/>
    <s v="Pune"/>
    <n v="1775000"/>
    <n v="20"/>
    <x v="2"/>
    <n v="72"/>
    <n v="9500"/>
    <n v="284"/>
    <s v="Silver"/>
    <m/>
    <s v="Higher"/>
  </r>
  <r>
    <s v="CUST100089"/>
    <n v="32"/>
    <x v="3"/>
    <s v="Male"/>
    <s v="Chennai"/>
    <n v="1775000"/>
    <n v="39"/>
    <x v="0"/>
    <n v="20"/>
    <n v="7600"/>
    <n v="272"/>
    <s v="Silver"/>
    <s v="Website"/>
    <s v="Higher"/>
  </r>
  <r>
    <s v="CUST100090"/>
    <n v="25"/>
    <x v="3"/>
    <s v="Female"/>
    <s v="Ahmedabad"/>
    <n v="525000"/>
    <n v="99"/>
    <x v="3"/>
    <n v="27"/>
    <n v="3600"/>
    <n v="35"/>
    <s v="Platinum"/>
    <m/>
    <s v="Higher"/>
  </r>
  <r>
    <s v="CUST100091"/>
    <n v="31"/>
    <x v="3"/>
    <s v="Unknown"/>
    <m/>
    <n v="1950000"/>
    <n v="72"/>
    <x v="3"/>
    <n v="8"/>
    <n v="9000"/>
    <n v="184"/>
    <s v="Bronze"/>
    <s v="Mobile App"/>
    <s v="Lower"/>
  </r>
  <r>
    <s v="CUST100092"/>
    <n v="40"/>
    <x v="4"/>
    <s v="Unknown"/>
    <s v="Mumbai"/>
    <n v="825000"/>
    <n v="34"/>
    <x v="0"/>
    <n v="61"/>
    <n v="4800"/>
    <n v="99"/>
    <m/>
    <m/>
    <s v="Lower"/>
  </r>
  <r>
    <s v="CUST100093"/>
    <n v="57"/>
    <x v="0"/>
    <m/>
    <s v="Chennai"/>
    <s v="unknown"/>
    <n v="57"/>
    <x v="0"/>
    <n v="28"/>
    <n v="11400"/>
    <n v="237"/>
    <s v="Platinum"/>
    <s v="In-store"/>
    <s v="Lower"/>
  </r>
  <r>
    <s v="CUST100094"/>
    <n v="38"/>
    <x v="4"/>
    <s v="Male"/>
    <s v="Chennai"/>
    <n v="1000000"/>
    <n v="19"/>
    <x v="2"/>
    <n v="70"/>
    <n v="8300"/>
    <n v="122"/>
    <m/>
    <m/>
    <s v="Higher"/>
  </r>
  <r>
    <s v="CUST100095"/>
    <n v="33"/>
    <x v="3"/>
    <m/>
    <s v="Delhi"/>
    <n v="1150000"/>
    <n v="71"/>
    <x v="3"/>
    <n v="3"/>
    <n v="3400"/>
    <n v="23"/>
    <s v="Gold"/>
    <s v="Mobile App"/>
    <s v="Lower"/>
  </r>
  <r>
    <s v="CUST100096"/>
    <n v="62"/>
    <x v="0"/>
    <m/>
    <s v="Pune"/>
    <s v="unknown"/>
    <n v="31"/>
    <x v="2"/>
    <n v="69"/>
    <n v="7700"/>
    <n v="63"/>
    <s v="Gold"/>
    <s v="Mobile App"/>
    <s v="Lower"/>
  </r>
  <r>
    <s v="CUST100097"/>
    <n v="35"/>
    <x v="4"/>
    <m/>
    <s v="Bengaluru"/>
    <n v="900000"/>
    <n v="82"/>
    <x v="3"/>
    <n v="73"/>
    <n v="10000"/>
    <n v="326"/>
    <s v="Silver"/>
    <s v="Mobile App"/>
    <s v="Lower"/>
  </r>
  <r>
    <s v="CUST100098"/>
    <n v="64"/>
    <x v="0"/>
    <s v="Female"/>
    <s v="Kolkata"/>
    <n v="925000"/>
    <n v="40"/>
    <x v="0"/>
    <n v="7"/>
    <n v="9000"/>
    <n v="150"/>
    <m/>
    <s v="Website"/>
    <s v="Higher"/>
  </r>
  <r>
    <s v="CUST100099"/>
    <m/>
    <x v="5"/>
    <s v="Female"/>
    <s v="Hyderabad"/>
    <n v="1475000"/>
    <n v="14"/>
    <x v="2"/>
    <n v="60"/>
    <m/>
    <n v="195"/>
    <s v="Silver"/>
    <s v="Website"/>
    <s v="Higher"/>
  </r>
  <r>
    <s v="CUST100100"/>
    <n v="41"/>
    <x v="4"/>
    <s v="Female"/>
    <s v="Chennai"/>
    <n v="1925000"/>
    <n v="100"/>
    <x v="3"/>
    <n v="4"/>
    <n v="700"/>
    <n v="80"/>
    <m/>
    <m/>
    <s v="Higher"/>
  </r>
  <r>
    <s v="CUST100101"/>
    <n v="43"/>
    <x v="4"/>
    <s v="Female"/>
    <s v="Hyderabad"/>
    <n v="1600000"/>
    <n v="81"/>
    <x v="3"/>
    <n v="5"/>
    <n v="6500"/>
    <n v="315"/>
    <s v="Silver"/>
    <s v="Website"/>
    <s v="Higher"/>
  </r>
  <r>
    <s v="CUST100102"/>
    <n v="42"/>
    <x v="4"/>
    <m/>
    <s v="Ahmedabad"/>
    <n v="1150000"/>
    <n v="37"/>
    <x v="0"/>
    <n v="11"/>
    <n v="3100"/>
    <n v="153"/>
    <m/>
    <s v="In-store"/>
    <s v="Lower"/>
  </r>
  <r>
    <s v="CUST100103"/>
    <n v="62"/>
    <x v="0"/>
    <s v="Female"/>
    <s v="Bengaluru"/>
    <n v="1775000"/>
    <n v="44"/>
    <x v="0"/>
    <n v="15"/>
    <n v="5000"/>
    <n v="17"/>
    <m/>
    <s v="Online"/>
    <s v="Higher"/>
  </r>
  <r>
    <s v="CUST100104"/>
    <n v="58"/>
    <x v="0"/>
    <s v="Female"/>
    <s v="Kolkata"/>
    <n v="1475000"/>
    <n v="9"/>
    <x v="2"/>
    <n v="64"/>
    <n v="11400"/>
    <n v="39"/>
    <s v="Platinum"/>
    <m/>
    <s v="Higher"/>
  </r>
  <r>
    <s v="CUST100105"/>
    <n v="46"/>
    <x v="2"/>
    <m/>
    <s v="Pune"/>
    <n v="1125000"/>
    <n v="58"/>
    <x v="0"/>
    <n v="13"/>
    <n v="10000"/>
    <n v="333"/>
    <m/>
    <m/>
    <s v="Lower"/>
  </r>
  <r>
    <s v="CUST100106"/>
    <n v="32"/>
    <x v="3"/>
    <s v="Male"/>
    <s v="Mumbai"/>
    <n v="825000"/>
    <n v="20"/>
    <x v="2"/>
    <n v="7"/>
    <n v="1800"/>
    <n v="348"/>
    <m/>
    <m/>
    <s v="Higher"/>
  </r>
  <r>
    <s v="CUST100107"/>
    <n v="62"/>
    <x v="0"/>
    <s v="Unknown"/>
    <s v="Kolkata"/>
    <n v="1050000"/>
    <n v="92"/>
    <x v="3"/>
    <n v="6"/>
    <n v="2700"/>
    <n v="202"/>
    <s v="Silver"/>
    <m/>
    <s v="Lower"/>
  </r>
  <r>
    <s v="CUST100108"/>
    <n v="18"/>
    <x v="6"/>
    <s v="Male"/>
    <s v="Kolkata"/>
    <n v="1750000"/>
    <n v="50"/>
    <x v="0"/>
    <n v="56"/>
    <n v="10300"/>
    <n v="280"/>
    <m/>
    <s v="Online"/>
    <s v="Higher"/>
  </r>
  <r>
    <s v="CUST100109"/>
    <n v="42"/>
    <x v="4"/>
    <s v="Male"/>
    <s v="Mumbai"/>
    <n v="1975000"/>
    <n v="20"/>
    <x v="2"/>
    <n v="64"/>
    <n v="7400"/>
    <n v="88"/>
    <s v="Platinum"/>
    <m/>
    <s v="Higher"/>
  </r>
  <r>
    <s v="CUST100110"/>
    <n v="24"/>
    <x v="6"/>
    <s v="Female"/>
    <m/>
    <n v="1500000"/>
    <n v="36"/>
    <x v="0"/>
    <n v="50"/>
    <n v="3100"/>
    <n v="300"/>
    <s v="Platinum"/>
    <m/>
    <s v="Higher"/>
  </r>
  <r>
    <s v="CUST100111"/>
    <n v="26"/>
    <x v="3"/>
    <s v="Male"/>
    <s v="Pune"/>
    <n v="225000"/>
    <n v="27"/>
    <x v="2"/>
    <n v="30"/>
    <n v="5400"/>
    <n v="292"/>
    <s v="Bronze"/>
    <m/>
    <s v="Higher"/>
  </r>
  <r>
    <s v="CUST100112"/>
    <n v="41"/>
    <x v="4"/>
    <m/>
    <s v="Delhi"/>
    <n v="375000"/>
    <n v="72"/>
    <x v="3"/>
    <n v="22"/>
    <n v="4800"/>
    <n v="355"/>
    <m/>
    <s v="Mobile App"/>
    <s v="Lower"/>
  </r>
  <r>
    <s v="CUST100113"/>
    <n v="18"/>
    <x v="6"/>
    <s v="Male"/>
    <s v="Hyderabad"/>
    <n v="1300000"/>
    <n v="32"/>
    <x v="2"/>
    <n v="25"/>
    <n v="2700"/>
    <n v="70"/>
    <s v="Gold"/>
    <s v="In-store"/>
    <s v="Higher"/>
  </r>
  <r>
    <s v="CUST100114"/>
    <n v="61"/>
    <x v="0"/>
    <s v="Female"/>
    <s v="Chennai"/>
    <m/>
    <n v="1"/>
    <x v="2"/>
    <n v="28"/>
    <n v="10800"/>
    <n v="124"/>
    <s v="Gold"/>
    <m/>
    <s v="Higher"/>
  </r>
  <r>
    <s v="CUST100115"/>
    <n v="25"/>
    <x v="3"/>
    <s v="Male"/>
    <s v="Kolkata"/>
    <n v="475000"/>
    <n v="17"/>
    <x v="2"/>
    <n v="39"/>
    <n v="2500"/>
    <n v="80"/>
    <s v="Bronze"/>
    <s v="In-store"/>
    <s v="Higher"/>
  </r>
  <r>
    <s v="CUST100116"/>
    <n v="41"/>
    <x v="4"/>
    <m/>
    <s v="Ahmedabad"/>
    <n v="1075000"/>
    <n v="9"/>
    <x v="2"/>
    <n v="67"/>
    <n v="3600"/>
    <n v="45"/>
    <s v="Silver"/>
    <m/>
    <s v="Lower"/>
  </r>
  <r>
    <s v="CUST100117"/>
    <n v="28"/>
    <x v="3"/>
    <s v="Unknown"/>
    <s v="Mumbai"/>
    <n v="425000"/>
    <n v="84"/>
    <x v="3"/>
    <n v="5"/>
    <n v="6900"/>
    <n v="233"/>
    <s v="Bronze"/>
    <s v="Online"/>
    <s v="Lower"/>
  </r>
  <r>
    <s v="CUST100118"/>
    <n v="68"/>
    <x v="1"/>
    <s v="Female"/>
    <s v="Hyderabad"/>
    <n v="1250000"/>
    <n v="45"/>
    <x v="0"/>
    <n v="65"/>
    <n v="9600"/>
    <n v="154"/>
    <s v="Silver"/>
    <m/>
    <s v="Higher"/>
  </r>
  <r>
    <s v="CUST100119"/>
    <n v="34"/>
    <x v="3"/>
    <s v="Male"/>
    <s v="Bengaluru"/>
    <n v="550000"/>
    <n v="96"/>
    <x v="3"/>
    <n v="15"/>
    <n v="11600"/>
    <n v="180"/>
    <m/>
    <m/>
    <s v="Higher"/>
  </r>
  <r>
    <s v="CUST100120"/>
    <n v="25"/>
    <x v="3"/>
    <s v="Unknown"/>
    <s v="Mumbai"/>
    <n v="1000000"/>
    <n v="66"/>
    <x v="0"/>
    <n v="67"/>
    <n v="11900"/>
    <n v="31"/>
    <m/>
    <s v="In-store"/>
    <s v="Lower"/>
  </r>
  <r>
    <s v="CUST100121"/>
    <n v="52"/>
    <x v="2"/>
    <s v="Female"/>
    <s v="Bengaluru"/>
    <n v="1775000"/>
    <n v="32"/>
    <x v="2"/>
    <n v="40"/>
    <n v="3600"/>
    <n v="85"/>
    <s v="Platinum"/>
    <s v="Mobile App"/>
    <s v="Higher"/>
  </r>
  <r>
    <s v="CUST100122"/>
    <n v="52"/>
    <x v="2"/>
    <m/>
    <s v="Pune"/>
    <m/>
    <n v="45"/>
    <x v="0"/>
    <n v="69"/>
    <n v="3400"/>
    <n v="45"/>
    <s v="Platinum"/>
    <s v="Mobile App"/>
    <s v="Lower"/>
  </r>
  <r>
    <s v="CUST100123"/>
    <n v="50"/>
    <x v="2"/>
    <m/>
    <s v="Kolkata"/>
    <n v="1150000"/>
    <n v="9"/>
    <x v="2"/>
    <n v="77"/>
    <n v="11900"/>
    <n v="323"/>
    <s v="Platinum"/>
    <m/>
    <s v="Lower"/>
  </r>
  <r>
    <s v="CUST100124"/>
    <n v="22"/>
    <x v="6"/>
    <m/>
    <s v="Ahmedabad"/>
    <n v="1800000"/>
    <n v="30"/>
    <x v="2"/>
    <n v="43"/>
    <n v="3100"/>
    <n v="332"/>
    <s v="Platinum"/>
    <s v="Online"/>
    <s v="Lower"/>
  </r>
  <r>
    <s v="CUST100125"/>
    <n v="59"/>
    <x v="0"/>
    <m/>
    <s v="Chennai"/>
    <n v="850000"/>
    <n v="84"/>
    <x v="3"/>
    <n v="1"/>
    <n v="1100"/>
    <n v="243"/>
    <s v="Gold"/>
    <s v="Website"/>
    <s v="Lower"/>
  </r>
  <r>
    <s v="CUST100126"/>
    <n v="56"/>
    <x v="0"/>
    <s v="Male"/>
    <s v="Bengaluru"/>
    <n v="575000"/>
    <n v="38"/>
    <x v="0"/>
    <n v="22"/>
    <n v="6800"/>
    <n v="40"/>
    <s v="Platinum"/>
    <m/>
    <s v="Higher"/>
  </r>
  <r>
    <s v="CUST100127"/>
    <n v="58"/>
    <x v="0"/>
    <s v="Male"/>
    <s v="Hyderabad"/>
    <n v="625000"/>
    <n v="60"/>
    <x v="0"/>
    <n v="62"/>
    <n v="5900"/>
    <n v="182"/>
    <s v="Platinum"/>
    <m/>
    <s v="Higher"/>
  </r>
  <r>
    <s v="CUST100128"/>
    <n v="45"/>
    <x v="2"/>
    <s v="Female"/>
    <m/>
    <n v="475000"/>
    <n v="1"/>
    <x v="2"/>
    <n v="79"/>
    <n v="4100"/>
    <n v="297"/>
    <s v="Platinum"/>
    <s v="Mobile App"/>
    <s v="Higher"/>
  </r>
  <r>
    <s v="CUST100129"/>
    <n v="24"/>
    <x v="6"/>
    <s v="Male"/>
    <s v="Pune"/>
    <n v="975000"/>
    <n v="5"/>
    <x v="2"/>
    <n v="26"/>
    <n v="900"/>
    <n v="81"/>
    <s v="Silver"/>
    <s v="Mobile App"/>
    <s v="Higher"/>
  </r>
  <r>
    <s v="CUST100130"/>
    <n v="26"/>
    <x v="3"/>
    <m/>
    <m/>
    <n v="1350000"/>
    <n v="63"/>
    <x v="0"/>
    <n v="18"/>
    <n v="11200"/>
    <n v="38"/>
    <m/>
    <s v="Online"/>
    <s v="Lower"/>
  </r>
  <r>
    <s v="CUST100131"/>
    <n v="25"/>
    <x v="3"/>
    <m/>
    <s v="Pune"/>
    <n v="1475000"/>
    <n v="99"/>
    <x v="3"/>
    <n v="48"/>
    <n v="7100"/>
    <n v="356"/>
    <s v="Platinum"/>
    <s v="Mobile App"/>
    <s v="Lower"/>
  </r>
  <r>
    <s v="CUST100132"/>
    <n v="29"/>
    <x v="3"/>
    <s v="Male"/>
    <s v="Delhi"/>
    <n v="900000"/>
    <n v="36"/>
    <x v="0"/>
    <n v="9"/>
    <n v="1000"/>
    <n v="57"/>
    <s v="Bronze"/>
    <m/>
    <s v="Higher"/>
  </r>
  <r>
    <s v="CUST100133"/>
    <n v="51"/>
    <x v="2"/>
    <m/>
    <s v="Hyderabad"/>
    <n v="1575000"/>
    <n v="65"/>
    <x v="0"/>
    <n v="1"/>
    <n v="9800"/>
    <n v="322"/>
    <s v="Platinum"/>
    <s v="Online"/>
    <s v="Lower"/>
  </r>
  <r>
    <s v="CUST100134"/>
    <n v="50"/>
    <x v="2"/>
    <s v="Unknown"/>
    <m/>
    <n v="1175000"/>
    <n v="78"/>
    <x v="3"/>
    <n v="9"/>
    <m/>
    <n v="30"/>
    <s v="Platinum"/>
    <s v="In-store"/>
    <s v="Lower"/>
  </r>
  <r>
    <s v="CUST100135"/>
    <n v="65"/>
    <x v="0"/>
    <m/>
    <s v="Ahmedabad"/>
    <n v="1575000"/>
    <n v="73"/>
    <x v="3"/>
    <n v="23"/>
    <m/>
    <n v="266"/>
    <s v="Gold"/>
    <s v="Online"/>
    <s v="Lower"/>
  </r>
  <r>
    <s v="CUST100136"/>
    <s v="NA"/>
    <x v="5"/>
    <s v="Unknown"/>
    <s v="Kolkata"/>
    <n v="875000"/>
    <n v="94"/>
    <x v="3"/>
    <n v="45"/>
    <n v="2000"/>
    <n v="227"/>
    <m/>
    <m/>
    <s v="Lower"/>
  </r>
  <r>
    <s v="CUST100137"/>
    <n v="40"/>
    <x v="4"/>
    <s v="Unknown"/>
    <s v="Mumbai"/>
    <n v="750000"/>
    <n v="24"/>
    <x v="2"/>
    <n v="2"/>
    <n v="10400"/>
    <n v="317"/>
    <s v="Platinum"/>
    <m/>
    <s v="Lower"/>
  </r>
  <r>
    <s v="CUST100138"/>
    <n v="41"/>
    <x v="4"/>
    <m/>
    <s v="Chennai"/>
    <n v="1700000"/>
    <n v="4"/>
    <x v="2"/>
    <n v="14"/>
    <n v="11200"/>
    <n v="292"/>
    <m/>
    <s v="In-store"/>
    <s v="Lower"/>
  </r>
  <r>
    <s v="CUST100139"/>
    <n v="54"/>
    <x v="2"/>
    <s v="Unknown"/>
    <s v="Kolkata"/>
    <n v="600000"/>
    <n v="78"/>
    <x v="3"/>
    <n v="38"/>
    <n v="8400"/>
    <n v="54"/>
    <s v="Silver"/>
    <m/>
    <s v="Lower"/>
  </r>
  <r>
    <s v="CUST100140"/>
    <n v="52"/>
    <x v="2"/>
    <s v="Female"/>
    <s v="Kolkata"/>
    <n v="1925000"/>
    <n v="89"/>
    <x v="3"/>
    <n v="40"/>
    <n v="5100"/>
    <n v="97"/>
    <m/>
    <s v="Online"/>
    <s v="Higher"/>
  </r>
  <r>
    <s v="CUST100141"/>
    <n v="61"/>
    <x v="0"/>
    <s v="Female"/>
    <s v="Pune"/>
    <n v="325000"/>
    <n v="68"/>
    <x v="3"/>
    <n v="63"/>
    <n v="10700"/>
    <n v="4"/>
    <m/>
    <m/>
    <s v="Higher"/>
  </r>
  <r>
    <s v="CUST100142"/>
    <n v="57"/>
    <x v="0"/>
    <s v="Female"/>
    <s v="Ahmedabad"/>
    <n v="200000"/>
    <n v="25"/>
    <x v="2"/>
    <n v="16"/>
    <n v="11100"/>
    <n v="310"/>
    <m/>
    <m/>
    <s v="Higher"/>
  </r>
  <r>
    <s v="CUST100143"/>
    <n v="39"/>
    <x v="4"/>
    <m/>
    <s v="Pune"/>
    <n v="1800000"/>
    <n v="74"/>
    <x v="3"/>
    <n v="75"/>
    <n v="1800"/>
    <n v="91"/>
    <s v="Platinum"/>
    <s v="In-store"/>
    <s v="Lower"/>
  </r>
  <r>
    <s v="CUST100144"/>
    <n v="44"/>
    <x v="4"/>
    <s v="Female"/>
    <m/>
    <n v="550000"/>
    <n v="99"/>
    <x v="3"/>
    <n v="6"/>
    <n v="2300"/>
    <n v="89"/>
    <s v="Platinum"/>
    <s v="Website"/>
    <s v="Higher"/>
  </r>
  <r>
    <s v="CUST100145"/>
    <n v="52"/>
    <x v="2"/>
    <m/>
    <s v="Bengaluru"/>
    <n v="475000"/>
    <n v="7"/>
    <x v="2"/>
    <n v="3"/>
    <n v="1200"/>
    <n v="320"/>
    <s v="Platinum"/>
    <s v="Online"/>
    <s v="Lower"/>
  </r>
  <r>
    <s v="CUST100146"/>
    <n v="18"/>
    <x v="6"/>
    <s v="Male"/>
    <s v="Chennai"/>
    <n v="350000"/>
    <n v="13"/>
    <x v="2"/>
    <n v="14"/>
    <n v="10800"/>
    <n v="92"/>
    <s v="Gold"/>
    <m/>
    <s v="Higher"/>
  </r>
  <r>
    <s v="CUST100147"/>
    <n v="52"/>
    <x v="2"/>
    <m/>
    <s v="Bengaluru"/>
    <n v="1675000"/>
    <n v="68"/>
    <x v="3"/>
    <n v="66"/>
    <n v="600"/>
    <n v="150"/>
    <m/>
    <s v="Mobile App"/>
    <s v="Lower"/>
  </r>
  <r>
    <s v="CUST100148"/>
    <n v="54"/>
    <x v="2"/>
    <s v="Male"/>
    <s v="Mumbai"/>
    <n v="650000"/>
    <n v="43"/>
    <x v="0"/>
    <n v="75"/>
    <n v="4600"/>
    <n v="234"/>
    <s v="Gold"/>
    <s v="In-store"/>
    <s v="Higher"/>
  </r>
  <r>
    <s v="CUST100149"/>
    <n v="64"/>
    <x v="0"/>
    <s v="Unknown"/>
    <m/>
    <m/>
    <n v="57"/>
    <x v="0"/>
    <n v="67"/>
    <n v="1000"/>
    <n v="337"/>
    <s v="Gold"/>
    <s v="Website"/>
    <s v="Lower"/>
  </r>
  <r>
    <s v="CUST100150"/>
    <n v="31"/>
    <x v="3"/>
    <s v="Male"/>
    <s v="Hyderabad"/>
    <n v="1050000"/>
    <n v="36"/>
    <x v="0"/>
    <n v="31"/>
    <n v="11300"/>
    <n v="59"/>
    <s v="Gold"/>
    <s v="Website"/>
    <s v="Higher"/>
  </r>
  <r>
    <s v="CUST100151"/>
    <n v="20"/>
    <x v="6"/>
    <s v="Male"/>
    <s v="Mumbai"/>
    <n v="400000"/>
    <n v="14"/>
    <x v="2"/>
    <n v="33"/>
    <n v="11900"/>
    <n v="185"/>
    <s v="Silver"/>
    <s v="In-store"/>
    <s v="Higher"/>
  </r>
  <r>
    <s v="CUST100152"/>
    <n v="18"/>
    <x v="6"/>
    <s v="Male"/>
    <s v="Mumbai"/>
    <n v="625000"/>
    <n v="82"/>
    <x v="3"/>
    <n v="1"/>
    <n v="5700"/>
    <n v="44"/>
    <m/>
    <s v="Website"/>
    <s v="Higher"/>
  </r>
  <r>
    <s v="CUST100153"/>
    <n v="22"/>
    <x v="6"/>
    <s v="Female"/>
    <s v="Delhi"/>
    <n v="1000000"/>
    <n v="72"/>
    <x v="3"/>
    <n v="44"/>
    <n v="2100"/>
    <n v="180"/>
    <s v="Silver"/>
    <m/>
    <s v="Higher"/>
  </r>
  <r>
    <s v="CUST100154"/>
    <n v="43"/>
    <x v="4"/>
    <s v="Male"/>
    <s v="Chennai"/>
    <n v="1450000"/>
    <n v="96"/>
    <x v="3"/>
    <n v="15"/>
    <n v="11300"/>
    <n v="76"/>
    <s v="Silver"/>
    <s v="Website"/>
    <s v="Higher"/>
  </r>
  <r>
    <s v="CUST100155"/>
    <s v="NA"/>
    <x v="5"/>
    <s v="Female"/>
    <s v="Pune"/>
    <n v="1300000"/>
    <n v="27"/>
    <x v="2"/>
    <n v="37"/>
    <n v="6600"/>
    <n v="144"/>
    <m/>
    <s v="Online"/>
    <s v="Higher"/>
  </r>
  <r>
    <s v="CUST100156"/>
    <n v="31"/>
    <x v="3"/>
    <s v="Female"/>
    <s v="Ahmedabad"/>
    <m/>
    <n v="37"/>
    <x v="0"/>
    <n v="27"/>
    <n v="4200"/>
    <n v="101"/>
    <s v="Silver"/>
    <s v="Mobile App"/>
    <s v="Higher"/>
  </r>
  <r>
    <s v="CUST100157"/>
    <n v="56"/>
    <x v="0"/>
    <s v="Female"/>
    <s v="Bengaluru"/>
    <n v="1425000"/>
    <n v="87"/>
    <x v="3"/>
    <n v="48"/>
    <n v="10600"/>
    <n v="272"/>
    <m/>
    <m/>
    <s v="Higher"/>
  </r>
  <r>
    <s v="CUST100158"/>
    <n v="44"/>
    <x v="4"/>
    <m/>
    <s v="Mumbai"/>
    <n v="325000"/>
    <n v="71"/>
    <x v="3"/>
    <n v="27"/>
    <n v="5300"/>
    <n v="55"/>
    <m/>
    <s v="In-store"/>
    <s v="Lower"/>
  </r>
  <r>
    <s v="CUST100159"/>
    <n v="26"/>
    <x v="3"/>
    <m/>
    <s v="Bengaluru"/>
    <n v="225000"/>
    <n v="76"/>
    <x v="3"/>
    <n v="12"/>
    <n v="1100"/>
    <n v="189"/>
    <m/>
    <s v="Mobile App"/>
    <s v="Lower"/>
  </r>
  <r>
    <s v="CUST100160"/>
    <n v="32"/>
    <x v="3"/>
    <s v="Unknown"/>
    <s v="Bengaluru"/>
    <n v="800000"/>
    <n v="25"/>
    <x v="2"/>
    <n v="67"/>
    <n v="3200"/>
    <n v="351"/>
    <s v="Platinum"/>
    <m/>
    <s v="Lower"/>
  </r>
  <r>
    <s v="CUST100161"/>
    <n v="32"/>
    <x v="3"/>
    <s v="Male"/>
    <s v="Hyderabad"/>
    <n v="1225000"/>
    <n v="67"/>
    <x v="3"/>
    <n v="30"/>
    <n v="5800"/>
    <n v="335"/>
    <s v="Gold"/>
    <m/>
    <s v="Higher"/>
  </r>
  <r>
    <s v="CUST100162"/>
    <n v="43"/>
    <x v="4"/>
    <s v="Unknown"/>
    <s v="Chennai"/>
    <n v="1125000"/>
    <n v="90"/>
    <x v="3"/>
    <n v="66"/>
    <n v="8300"/>
    <n v="77"/>
    <m/>
    <s v="Mobile App"/>
    <s v="Lower"/>
  </r>
  <r>
    <s v="CUST100163"/>
    <n v="59"/>
    <x v="0"/>
    <s v="Female"/>
    <s v="Chennai"/>
    <n v="1300000"/>
    <n v="4"/>
    <x v="2"/>
    <n v="7"/>
    <n v="10600"/>
    <n v="296"/>
    <m/>
    <s v="Website"/>
    <s v="Higher"/>
  </r>
  <r>
    <s v="CUST100164"/>
    <n v="30"/>
    <x v="3"/>
    <s v="Unknown"/>
    <m/>
    <n v="1225000"/>
    <n v="100"/>
    <x v="3"/>
    <n v="34"/>
    <n v="4600"/>
    <n v="219"/>
    <s v="Silver"/>
    <m/>
    <s v="Lower"/>
  </r>
  <r>
    <s v="CUST100165"/>
    <n v="68"/>
    <x v="1"/>
    <s v="Male"/>
    <s v="Kolkata"/>
    <n v="1325000"/>
    <n v="79"/>
    <x v="3"/>
    <n v="32"/>
    <n v="6100"/>
    <n v="277"/>
    <m/>
    <s v="In-store"/>
    <s v="Higher"/>
  </r>
  <r>
    <s v="CUST100166"/>
    <n v="49"/>
    <x v="2"/>
    <s v="Female"/>
    <s v="Chennai"/>
    <n v="1425000"/>
    <n v="96"/>
    <x v="3"/>
    <n v="39"/>
    <n v="1700"/>
    <n v="66"/>
    <s v="Bronze"/>
    <s v="In-store"/>
    <s v="Higher"/>
  </r>
  <r>
    <s v="CUST100167"/>
    <n v="56"/>
    <x v="0"/>
    <m/>
    <s v="Bengaluru"/>
    <n v="1825000"/>
    <n v="93"/>
    <x v="3"/>
    <n v="43"/>
    <n v="7000"/>
    <n v="136"/>
    <s v="Silver"/>
    <s v="Online"/>
    <s v="Lower"/>
  </r>
  <r>
    <s v="CUST100168"/>
    <n v="66"/>
    <x v="1"/>
    <s v="Female"/>
    <s v="Pune"/>
    <n v="400000"/>
    <n v="74"/>
    <x v="3"/>
    <n v="43"/>
    <n v="7200"/>
    <n v="234"/>
    <s v="Silver"/>
    <s v="Website"/>
    <s v="Higher"/>
  </r>
  <r>
    <s v="CUST100169"/>
    <n v="69"/>
    <x v="1"/>
    <m/>
    <s v="Bengaluru"/>
    <s v="unknown"/>
    <n v="85"/>
    <x v="3"/>
    <n v="78"/>
    <n v="6300"/>
    <n v="199"/>
    <m/>
    <s v="Online"/>
    <s v="Lower"/>
  </r>
  <r>
    <s v="CUST100170"/>
    <n v="49"/>
    <x v="2"/>
    <s v="Male"/>
    <s v="Pune"/>
    <n v="1950000"/>
    <n v="16"/>
    <x v="2"/>
    <n v="3"/>
    <n v="8200"/>
    <n v="266"/>
    <s v="Bronze"/>
    <s v="Online"/>
    <s v="Higher"/>
  </r>
  <r>
    <s v="CUST100171"/>
    <n v="21"/>
    <x v="6"/>
    <s v="Female"/>
    <m/>
    <n v="225000"/>
    <n v="19"/>
    <x v="2"/>
    <n v="46"/>
    <n v="9200"/>
    <n v="43"/>
    <s v="Bronze"/>
    <s v="Website"/>
    <s v="Higher"/>
  </r>
  <r>
    <s v="CUST100172"/>
    <n v="47"/>
    <x v="2"/>
    <s v="Female"/>
    <s v="Pune"/>
    <m/>
    <n v="29"/>
    <x v="2"/>
    <n v="32"/>
    <n v="10300"/>
    <n v="361"/>
    <s v="Platinum"/>
    <m/>
    <s v="Higher"/>
  </r>
  <r>
    <s v="CUST100173"/>
    <n v="54"/>
    <x v="2"/>
    <s v="Male"/>
    <s v="Chennai"/>
    <n v="1950000"/>
    <n v="51"/>
    <x v="0"/>
    <n v="43"/>
    <n v="2500"/>
    <n v="228"/>
    <s v="Silver"/>
    <m/>
    <s v="Higher"/>
  </r>
  <r>
    <s v="CUST100174"/>
    <n v="40"/>
    <x v="4"/>
    <s v="Male"/>
    <s v="Hyderabad"/>
    <s v="unknown"/>
    <n v="18"/>
    <x v="2"/>
    <m/>
    <n v="7900"/>
    <n v="227"/>
    <s v="Gold"/>
    <s v="Online"/>
    <s v="Higher"/>
  </r>
  <r>
    <s v="CUST100175"/>
    <n v="56"/>
    <x v="0"/>
    <s v="Female"/>
    <s v="Pune"/>
    <n v="1325000"/>
    <n v="58"/>
    <x v="0"/>
    <n v="3"/>
    <n v="4900"/>
    <n v="63"/>
    <m/>
    <s v="Mobile App"/>
    <s v="Higher"/>
  </r>
  <r>
    <s v="CUST100176"/>
    <n v="62"/>
    <x v="0"/>
    <m/>
    <s v="Bengaluru"/>
    <n v="775000"/>
    <n v="44"/>
    <x v="0"/>
    <n v="74"/>
    <n v="1900"/>
    <n v="171"/>
    <s v="Silver"/>
    <m/>
    <s v="Lower"/>
  </r>
  <r>
    <s v="CUST100177"/>
    <n v="32"/>
    <x v="3"/>
    <s v="Female"/>
    <s v="Ahmedabad"/>
    <s v="unknown"/>
    <n v="16"/>
    <x v="2"/>
    <n v="63"/>
    <n v="5900"/>
    <n v="250"/>
    <s v="Gold"/>
    <m/>
    <s v="Higher"/>
  </r>
  <r>
    <s v="CUST100178"/>
    <n v="60"/>
    <x v="0"/>
    <s v="Female"/>
    <s v="Chennai"/>
    <n v="1100000"/>
    <n v="65"/>
    <x v="0"/>
    <n v="40"/>
    <n v="5600"/>
    <n v="338"/>
    <s v="Gold"/>
    <s v="Website"/>
    <s v="Higher"/>
  </r>
  <r>
    <s v="CUST100179"/>
    <n v="46"/>
    <x v="2"/>
    <s v="Male"/>
    <s v="Ahmedabad"/>
    <n v="1575000"/>
    <n v="2"/>
    <x v="2"/>
    <n v="18"/>
    <n v="9300"/>
    <n v="250"/>
    <m/>
    <s v="In-store"/>
    <s v="Higher"/>
  </r>
  <r>
    <s v="CUST100180"/>
    <n v="53"/>
    <x v="2"/>
    <s v="Unknown"/>
    <m/>
    <n v="600000"/>
    <n v="56"/>
    <x v="0"/>
    <n v="67"/>
    <n v="5400"/>
    <n v="307"/>
    <s v="Silver"/>
    <m/>
    <s v="Lower"/>
  </r>
  <r>
    <s v="CUST100181"/>
    <n v="30"/>
    <x v="3"/>
    <s v="Female"/>
    <m/>
    <s v="unknown"/>
    <n v="79"/>
    <x v="3"/>
    <n v="62"/>
    <n v="2400"/>
    <n v="238"/>
    <m/>
    <s v="Online"/>
    <s v="Higher"/>
  </r>
  <r>
    <s v="CUST100182"/>
    <n v="49"/>
    <x v="2"/>
    <m/>
    <s v="Bengaluru"/>
    <s v="unknown"/>
    <n v="28"/>
    <x v="2"/>
    <n v="10"/>
    <n v="10300"/>
    <n v="56"/>
    <s v="Platinum"/>
    <s v="Mobile App"/>
    <s v="Lower"/>
  </r>
  <r>
    <s v="CUST100183"/>
    <n v="24"/>
    <x v="6"/>
    <s v="Male"/>
    <m/>
    <n v="1575000"/>
    <n v="65"/>
    <x v="0"/>
    <n v="52"/>
    <n v="8500"/>
    <n v="171"/>
    <s v="Gold"/>
    <m/>
    <s v="Higher"/>
  </r>
  <r>
    <s v="CUST100184"/>
    <n v="68"/>
    <x v="1"/>
    <s v="Female"/>
    <s v="Kolkata"/>
    <n v="825000"/>
    <n v="5"/>
    <x v="2"/>
    <n v="73"/>
    <n v="4100"/>
    <n v="34"/>
    <s v="Bronze"/>
    <s v="Website"/>
    <s v="Higher"/>
  </r>
  <r>
    <s v="CUST100185"/>
    <n v="39"/>
    <x v="4"/>
    <s v="Female"/>
    <m/>
    <n v="1775000"/>
    <n v="22"/>
    <x v="2"/>
    <n v="46"/>
    <n v="10100"/>
    <n v="315"/>
    <s v="Gold"/>
    <s v="In-store"/>
    <s v="Higher"/>
  </r>
  <r>
    <s v="CUST100186"/>
    <n v="45"/>
    <x v="2"/>
    <m/>
    <s v="Chennai"/>
    <n v="375000"/>
    <n v="100"/>
    <x v="3"/>
    <n v="55"/>
    <n v="1500"/>
    <n v="130"/>
    <s v="Platinum"/>
    <m/>
    <s v="Lower"/>
  </r>
  <r>
    <s v="CUST100187"/>
    <n v="19"/>
    <x v="6"/>
    <s v="Female"/>
    <s v="Ahmedabad"/>
    <s v="unknown"/>
    <n v="13"/>
    <x v="2"/>
    <n v="46"/>
    <n v="8000"/>
    <n v="130"/>
    <s v="Gold"/>
    <s v="Mobile App"/>
    <s v="Higher"/>
  </r>
  <r>
    <s v="CUST100188"/>
    <n v="59"/>
    <x v="0"/>
    <s v="Unknown"/>
    <s v="Bengaluru"/>
    <n v="1575000"/>
    <n v="65"/>
    <x v="0"/>
    <n v="75"/>
    <n v="11400"/>
    <n v="151"/>
    <m/>
    <s v="In-store"/>
    <s v="Lower"/>
  </r>
  <r>
    <s v="CUST100189"/>
    <n v="62"/>
    <x v="0"/>
    <s v="Female"/>
    <s v="Kolkata"/>
    <n v="1950000"/>
    <n v="16"/>
    <x v="2"/>
    <n v="60"/>
    <n v="9700"/>
    <n v="143"/>
    <s v="Silver"/>
    <s v="Website"/>
    <s v="Higher"/>
  </r>
  <r>
    <s v="CUST100190"/>
    <m/>
    <x v="5"/>
    <s v="Female"/>
    <s v="Bengaluru"/>
    <n v="475000"/>
    <n v="86"/>
    <x v="3"/>
    <n v="26"/>
    <n v="11100"/>
    <n v="118"/>
    <s v="Bronze"/>
    <m/>
    <s v="Higher"/>
  </r>
  <r>
    <s v="CUST100191"/>
    <n v="23"/>
    <x v="6"/>
    <m/>
    <s v="Kolkata"/>
    <n v="500000"/>
    <n v="64"/>
    <x v="0"/>
    <n v="27"/>
    <n v="6800"/>
    <n v="204"/>
    <m/>
    <m/>
    <s v="Lower"/>
  </r>
  <r>
    <s v="CUST100192"/>
    <n v="45"/>
    <x v="2"/>
    <s v="Male"/>
    <m/>
    <n v="950000"/>
    <n v="32"/>
    <x v="2"/>
    <n v="38"/>
    <n v="11200"/>
    <n v="235"/>
    <m/>
    <s v="Online"/>
    <s v="Higher"/>
  </r>
  <r>
    <s v="CUST100193"/>
    <n v="45"/>
    <x v="2"/>
    <s v="Unknown"/>
    <m/>
    <n v="550000"/>
    <n v="80"/>
    <x v="3"/>
    <n v="22"/>
    <n v="5400"/>
    <n v="17"/>
    <s v="Silver"/>
    <s v="Website"/>
    <s v="Lower"/>
  </r>
  <r>
    <s v="CUST100194"/>
    <n v="61"/>
    <x v="0"/>
    <s v="Male"/>
    <s v="Pune"/>
    <n v="725000"/>
    <n v="51"/>
    <x v="0"/>
    <n v="26"/>
    <n v="10500"/>
    <n v="82"/>
    <s v="Bronze"/>
    <s v="Mobile App"/>
    <s v="Higher"/>
  </r>
  <r>
    <s v="CUST100195"/>
    <n v="61"/>
    <x v="0"/>
    <s v="Female"/>
    <s v="Delhi"/>
    <n v="875000"/>
    <n v="79"/>
    <x v="3"/>
    <n v="69"/>
    <n v="10300"/>
    <n v="14"/>
    <s v="Platinum"/>
    <m/>
    <s v="Higher"/>
  </r>
  <r>
    <s v="CUST100196"/>
    <n v="37"/>
    <x v="4"/>
    <s v="Female"/>
    <s v="Bengaluru"/>
    <n v="1675000"/>
    <n v="58"/>
    <x v="0"/>
    <n v="35"/>
    <n v="1600"/>
    <n v="81"/>
    <s v="Gold"/>
    <m/>
    <s v="Higher"/>
  </r>
  <r>
    <s v="CUST100197"/>
    <n v="47"/>
    <x v="2"/>
    <s v="Male"/>
    <s v="Pune"/>
    <n v="450000"/>
    <n v="46"/>
    <x v="0"/>
    <n v="66"/>
    <n v="7500"/>
    <n v="207"/>
    <s v="Bronze"/>
    <s v="In-store"/>
    <s v="Higher"/>
  </r>
  <r>
    <s v="CUST100198"/>
    <n v="28"/>
    <x v="3"/>
    <s v="Male"/>
    <s v="Chennai"/>
    <n v="1675000"/>
    <n v="52"/>
    <x v="0"/>
    <n v="73"/>
    <n v="7600"/>
    <n v="204"/>
    <m/>
    <m/>
    <s v="Higher"/>
  </r>
  <r>
    <s v="CUST100199"/>
    <s v="NA"/>
    <x v="5"/>
    <m/>
    <s v="Pune"/>
    <n v="1300000"/>
    <n v="63"/>
    <x v="0"/>
    <n v="51"/>
    <n v="6500"/>
    <n v="272"/>
    <s v="Platinum"/>
    <m/>
    <s v="Lower"/>
  </r>
  <r>
    <s v="CUST100200"/>
    <n v="45"/>
    <x v="2"/>
    <s v="Female"/>
    <s v="Mumbai"/>
    <n v="525000"/>
    <n v="76"/>
    <x v="3"/>
    <n v="18"/>
    <n v="7300"/>
    <n v="32"/>
    <s v="Silver"/>
    <s v="Mobile App"/>
    <s v="Higher"/>
  </r>
  <r>
    <s v="CUST100201"/>
    <n v="42"/>
    <x v="4"/>
    <s v="Female"/>
    <m/>
    <n v="1775000"/>
    <n v="60"/>
    <x v="0"/>
    <n v="43"/>
    <n v="3000"/>
    <n v="23"/>
    <s v="Bronze"/>
    <s v="Online"/>
    <s v="Higher"/>
  </r>
  <r>
    <s v="CUST100202"/>
    <n v="56"/>
    <x v="0"/>
    <s v="Male"/>
    <s v="Mumbai"/>
    <n v="1200000"/>
    <n v="65"/>
    <x v="0"/>
    <n v="12"/>
    <n v="11200"/>
    <n v="102"/>
    <s v="Platinum"/>
    <m/>
    <s v="Higher"/>
  </r>
  <r>
    <s v="CUST100203"/>
    <n v="50"/>
    <x v="2"/>
    <s v="Male"/>
    <s v="Bengaluru"/>
    <n v="325000"/>
    <n v="81"/>
    <x v="3"/>
    <n v="3"/>
    <n v="9100"/>
    <n v="162"/>
    <s v="Silver"/>
    <m/>
    <s v="Higher"/>
  </r>
  <r>
    <s v="CUST100204"/>
    <n v="18"/>
    <x v="6"/>
    <m/>
    <s v="Ahmedabad"/>
    <n v="200000"/>
    <n v="55"/>
    <x v="0"/>
    <n v="7"/>
    <n v="4800"/>
    <n v="98"/>
    <m/>
    <s v="Online"/>
    <s v="Lower"/>
  </r>
  <r>
    <s v="CUST100205"/>
    <n v="44"/>
    <x v="4"/>
    <m/>
    <s v="Ahmedabad"/>
    <n v="425000"/>
    <n v="57"/>
    <x v="0"/>
    <n v="6"/>
    <n v="3000"/>
    <n v="144"/>
    <s v="Gold"/>
    <s v="Online"/>
    <s v="Lower"/>
  </r>
  <r>
    <s v="CUST100206"/>
    <n v="69"/>
    <x v="1"/>
    <s v="Male"/>
    <s v="Chennai"/>
    <n v="525000"/>
    <n v="92"/>
    <x v="3"/>
    <n v="45"/>
    <n v="400"/>
    <n v="104"/>
    <s v="Platinum"/>
    <s v="In-store"/>
    <s v="Higher"/>
  </r>
  <r>
    <s v="CUST100207"/>
    <n v="30"/>
    <x v="3"/>
    <s v="Unknown"/>
    <s v="Pune"/>
    <n v="1600000"/>
    <n v="71"/>
    <x v="3"/>
    <n v="39"/>
    <n v="1900"/>
    <n v="324"/>
    <m/>
    <m/>
    <s v="Lower"/>
  </r>
  <r>
    <s v="CUST100208"/>
    <n v="58"/>
    <x v="0"/>
    <s v="Female"/>
    <s v="Ahmedabad"/>
    <n v="1350000"/>
    <n v="73"/>
    <x v="3"/>
    <n v="51"/>
    <n v="6100"/>
    <n v="171"/>
    <m/>
    <s v="In-store"/>
    <s v="Higher"/>
  </r>
  <r>
    <s v="CUST100209"/>
    <n v="20"/>
    <x v="6"/>
    <s v="Male"/>
    <s v="Kolkata"/>
    <n v="1700000"/>
    <n v="86"/>
    <x v="3"/>
    <n v="9"/>
    <n v="5400"/>
    <n v="64"/>
    <m/>
    <s v="Online"/>
    <s v="Higher"/>
  </r>
  <r>
    <s v="CUST100210"/>
    <n v="56"/>
    <x v="0"/>
    <m/>
    <s v="Kolkata"/>
    <n v="1675000"/>
    <n v="26"/>
    <x v="2"/>
    <n v="23"/>
    <n v="600"/>
    <n v="244"/>
    <s v="Silver"/>
    <s v="Website"/>
    <s v="Lower"/>
  </r>
  <r>
    <s v="CUST100211"/>
    <n v="23"/>
    <x v="6"/>
    <m/>
    <s v="Chennai"/>
    <n v="1350000"/>
    <n v="12"/>
    <x v="2"/>
    <n v="12"/>
    <n v="7900"/>
    <n v="71"/>
    <s v="Bronze"/>
    <s v="Online"/>
    <s v="Lower"/>
  </r>
  <r>
    <s v="CUST100212"/>
    <n v="25"/>
    <x v="3"/>
    <s v="Male"/>
    <m/>
    <n v="1400000"/>
    <n v="71"/>
    <x v="3"/>
    <n v="62"/>
    <n v="8400"/>
    <n v="274"/>
    <s v="Gold"/>
    <s v="In-store"/>
    <s v="Higher"/>
  </r>
  <r>
    <s v="CUST100213"/>
    <n v="44"/>
    <x v="4"/>
    <s v="Male"/>
    <m/>
    <n v="950000"/>
    <n v="46"/>
    <x v="0"/>
    <n v="73"/>
    <n v="500"/>
    <n v="125"/>
    <s v="Silver"/>
    <s v="Mobile App"/>
    <s v="Higher"/>
  </r>
  <r>
    <s v="CUST100214"/>
    <n v="26"/>
    <x v="3"/>
    <s v="Male"/>
    <s v="Pune"/>
    <n v="875000"/>
    <n v="47"/>
    <x v="0"/>
    <n v="77"/>
    <n v="11700"/>
    <n v="317"/>
    <s v="Platinum"/>
    <s v="Mobile App"/>
    <s v="Higher"/>
  </r>
  <r>
    <s v="CUST100215"/>
    <n v="54"/>
    <x v="2"/>
    <s v="Female"/>
    <s v="Bengaluru"/>
    <n v="1600000"/>
    <n v="79"/>
    <x v="3"/>
    <n v="40"/>
    <n v="3900"/>
    <n v="331"/>
    <s v="Gold"/>
    <m/>
    <s v="Higher"/>
  </r>
  <r>
    <s v="CUST100216"/>
    <n v="50"/>
    <x v="2"/>
    <s v="Unknown"/>
    <s v="Hyderabad"/>
    <m/>
    <n v="38"/>
    <x v="0"/>
    <n v="54"/>
    <n v="9900"/>
    <n v="107"/>
    <m/>
    <m/>
    <s v="Lower"/>
  </r>
  <r>
    <s v="CUST100217"/>
    <n v="68"/>
    <x v="1"/>
    <s v="Female"/>
    <s v="Hyderabad"/>
    <n v="500000"/>
    <n v="21"/>
    <x v="2"/>
    <m/>
    <n v="10700"/>
    <n v="148"/>
    <s v="Gold"/>
    <s v="Mobile App"/>
    <s v="Higher"/>
  </r>
  <r>
    <s v="CUST100218"/>
    <n v="59"/>
    <x v="0"/>
    <s v="Female"/>
    <s v="Hyderabad"/>
    <n v="700000"/>
    <n v="14"/>
    <x v="2"/>
    <n v="7"/>
    <n v="2600"/>
    <n v="192"/>
    <m/>
    <s v="In-store"/>
    <s v="Higher"/>
  </r>
  <r>
    <s v="CUST100219"/>
    <n v="61"/>
    <x v="0"/>
    <s v="Male"/>
    <s v="Ahmedabad"/>
    <n v="1250000"/>
    <n v="2"/>
    <x v="2"/>
    <n v="17"/>
    <n v="7400"/>
    <n v="337"/>
    <s v="Silver"/>
    <s v="Mobile App"/>
    <s v="Higher"/>
  </r>
  <r>
    <s v="CUST100220"/>
    <n v="41"/>
    <x v="4"/>
    <s v="Female"/>
    <m/>
    <n v="1675000"/>
    <n v="72"/>
    <x v="3"/>
    <n v="50"/>
    <n v="3700"/>
    <n v="226"/>
    <s v="Bronze"/>
    <s v="Website"/>
    <s v="Higher"/>
  </r>
  <r>
    <s v="CUST100221"/>
    <n v="32"/>
    <x v="3"/>
    <m/>
    <m/>
    <n v="1900000"/>
    <n v="70"/>
    <x v="3"/>
    <n v="24"/>
    <n v="400"/>
    <n v="242"/>
    <m/>
    <s v="Online"/>
    <s v="Lower"/>
  </r>
  <r>
    <s v="CUST100222"/>
    <m/>
    <x v="5"/>
    <m/>
    <s v="Pune"/>
    <n v="500000"/>
    <m/>
    <x v="1"/>
    <n v="2"/>
    <n v="3500"/>
    <n v="362"/>
    <s v="Gold"/>
    <s v="Online"/>
    <s v="Lower"/>
  </r>
  <r>
    <s v="CUST100223"/>
    <n v="49"/>
    <x v="2"/>
    <m/>
    <s v="Pune"/>
    <n v="1275000"/>
    <m/>
    <x v="1"/>
    <n v="33"/>
    <n v="7800"/>
    <n v="284"/>
    <s v="Bronze"/>
    <s v="In-store"/>
    <s v="Lower"/>
  </r>
  <r>
    <s v="CUST100224"/>
    <n v="49"/>
    <x v="2"/>
    <s v="Male"/>
    <m/>
    <n v="1725000"/>
    <n v="33"/>
    <x v="2"/>
    <n v="21"/>
    <n v="8800"/>
    <n v="163"/>
    <s v="Bronze"/>
    <m/>
    <s v="Higher"/>
  </r>
  <r>
    <s v="CUST100225"/>
    <n v="41"/>
    <x v="4"/>
    <s v="Female"/>
    <s v="Chennai"/>
    <n v="1275000"/>
    <n v="6"/>
    <x v="2"/>
    <n v="74"/>
    <n v="7900"/>
    <n v="8"/>
    <m/>
    <s v="Online"/>
    <s v="Higher"/>
  </r>
  <r>
    <s v="CUST100226"/>
    <n v="58"/>
    <x v="0"/>
    <s v="Female"/>
    <s v="Pune"/>
    <n v="1525000"/>
    <n v="90"/>
    <x v="3"/>
    <n v="53"/>
    <n v="1200"/>
    <n v="347"/>
    <s v="Gold"/>
    <s v="Mobile App"/>
    <s v="Higher"/>
  </r>
  <r>
    <s v="CUST100227"/>
    <n v="69"/>
    <x v="1"/>
    <s v="Male"/>
    <s v="Chennai"/>
    <n v="1225000"/>
    <n v="37"/>
    <x v="0"/>
    <n v="46"/>
    <n v="8300"/>
    <n v="152"/>
    <s v="Gold"/>
    <s v="Website"/>
    <s v="Higher"/>
  </r>
  <r>
    <s v="CUST100228"/>
    <n v="66"/>
    <x v="1"/>
    <m/>
    <s v="Mumbai"/>
    <m/>
    <n v="14"/>
    <x v="2"/>
    <n v="45"/>
    <n v="6400"/>
    <n v="322"/>
    <s v="Bronze"/>
    <m/>
    <s v="Lower"/>
  </r>
  <r>
    <s v="CUST100229"/>
    <n v="66"/>
    <x v="1"/>
    <m/>
    <s v="Kolkata"/>
    <n v="850000"/>
    <n v="37"/>
    <x v="0"/>
    <n v="9"/>
    <n v="4500"/>
    <n v="95"/>
    <s v="Platinum"/>
    <m/>
    <s v="Lower"/>
  </r>
  <r>
    <s v="CUST100230"/>
    <n v="69"/>
    <x v="1"/>
    <m/>
    <m/>
    <n v="1675000"/>
    <n v="8"/>
    <x v="2"/>
    <n v="6"/>
    <n v="7100"/>
    <n v="214"/>
    <s v="Platinum"/>
    <m/>
    <s v="Lower"/>
  </r>
  <r>
    <s v="CUST100231"/>
    <n v="29"/>
    <x v="3"/>
    <s v="Male"/>
    <s v="Pune"/>
    <n v="1425000"/>
    <n v="77"/>
    <x v="3"/>
    <n v="51"/>
    <n v="6100"/>
    <n v="64"/>
    <s v="Gold"/>
    <s v="Online"/>
    <s v="Higher"/>
  </r>
  <r>
    <s v="CUST100232"/>
    <n v="56"/>
    <x v="0"/>
    <s v="Female"/>
    <m/>
    <n v="1475000"/>
    <n v="13"/>
    <x v="2"/>
    <n v="35"/>
    <n v="1100"/>
    <n v="65"/>
    <s v="Bronze"/>
    <m/>
    <s v="Higher"/>
  </r>
  <r>
    <s v="CUST100233"/>
    <n v="19"/>
    <x v="6"/>
    <s v="Female"/>
    <s v="Kolkata"/>
    <n v="1550000"/>
    <n v="40"/>
    <x v="0"/>
    <n v="53"/>
    <n v="7900"/>
    <n v="270"/>
    <s v="Bronze"/>
    <m/>
    <s v="Higher"/>
  </r>
  <r>
    <s v="CUST100234"/>
    <n v="20"/>
    <x v="6"/>
    <s v="Male"/>
    <s v="Kolkata"/>
    <n v="1775000"/>
    <n v="92"/>
    <x v="3"/>
    <n v="19"/>
    <n v="6200"/>
    <n v="25"/>
    <s v="Silver"/>
    <s v="In-store"/>
    <s v="Higher"/>
  </r>
  <r>
    <s v="CUST100235"/>
    <n v="66"/>
    <x v="1"/>
    <m/>
    <s v="Delhi"/>
    <n v="675000"/>
    <n v="58"/>
    <x v="0"/>
    <n v="69"/>
    <n v="6500"/>
    <n v="100"/>
    <s v="Bronze"/>
    <s v="Mobile App"/>
    <s v="Lower"/>
  </r>
  <r>
    <s v="CUST100236"/>
    <n v="54"/>
    <x v="2"/>
    <m/>
    <m/>
    <n v="625000"/>
    <n v="18"/>
    <x v="2"/>
    <n v="25"/>
    <n v="5400"/>
    <n v="105"/>
    <m/>
    <m/>
    <s v="Lower"/>
  </r>
  <r>
    <s v="CUST100237"/>
    <n v="66"/>
    <x v="1"/>
    <m/>
    <m/>
    <n v="950000"/>
    <n v="57"/>
    <x v="0"/>
    <n v="11"/>
    <n v="2500"/>
    <n v="131"/>
    <s v="Platinum"/>
    <s v="Website"/>
    <s v="Lower"/>
  </r>
  <r>
    <s v="CUST100238"/>
    <n v="34"/>
    <x v="3"/>
    <m/>
    <m/>
    <n v="1925000"/>
    <n v="83"/>
    <x v="3"/>
    <n v="74"/>
    <n v="3200"/>
    <n v="321"/>
    <s v="Silver"/>
    <s v="Mobile App"/>
    <s v="Lower"/>
  </r>
  <r>
    <s v="CUST100239"/>
    <n v="66"/>
    <x v="1"/>
    <s v="Unknown"/>
    <s v="Pune"/>
    <n v="750000"/>
    <n v="38"/>
    <x v="0"/>
    <n v="17"/>
    <n v="4500"/>
    <n v="19"/>
    <m/>
    <s v="In-store"/>
    <s v="Lower"/>
  </r>
  <r>
    <s v="CUST100240"/>
    <n v="19"/>
    <x v="6"/>
    <s v="Male"/>
    <s v="Bengaluru"/>
    <n v="1275000"/>
    <n v="32"/>
    <x v="2"/>
    <n v="36"/>
    <m/>
    <n v="225"/>
    <s v="Platinum"/>
    <s v="In-store"/>
    <s v="Higher"/>
  </r>
  <r>
    <s v="CUST100241"/>
    <n v="19"/>
    <x v="6"/>
    <s v="Male"/>
    <s v="Mumbai"/>
    <n v="1950000"/>
    <n v="86"/>
    <x v="3"/>
    <n v="21"/>
    <n v="7000"/>
    <n v="106"/>
    <m/>
    <m/>
    <s v="Higher"/>
  </r>
  <r>
    <s v="CUST100242"/>
    <n v="45"/>
    <x v="2"/>
    <s v="Unknown"/>
    <s v="Chennai"/>
    <n v="1550000"/>
    <n v="66"/>
    <x v="0"/>
    <n v="18"/>
    <n v="2300"/>
    <n v="54"/>
    <m/>
    <s v="Mobile App"/>
    <s v="Lower"/>
  </r>
  <r>
    <s v="CUST100243"/>
    <m/>
    <x v="5"/>
    <s v="Unknown"/>
    <s v="Bengaluru"/>
    <n v="250000"/>
    <n v="77"/>
    <x v="3"/>
    <n v="60"/>
    <n v="4500"/>
    <n v="226"/>
    <s v="Gold"/>
    <s v="Online"/>
    <s v="Lower"/>
  </r>
  <r>
    <s v="CUST100244"/>
    <n v="40"/>
    <x v="4"/>
    <m/>
    <s v="Mumbai"/>
    <n v="1500000"/>
    <n v="87"/>
    <x v="3"/>
    <n v="18"/>
    <n v="7500"/>
    <n v="360"/>
    <m/>
    <s v="In-store"/>
    <s v="Lower"/>
  </r>
  <r>
    <s v="CUST100245"/>
    <n v="54"/>
    <x v="2"/>
    <s v="Female"/>
    <s v="Bengaluru"/>
    <n v="1650000"/>
    <n v="25"/>
    <x v="2"/>
    <n v="1"/>
    <n v="900"/>
    <n v="15"/>
    <s v="Gold"/>
    <m/>
    <s v="Higher"/>
  </r>
  <r>
    <s v="CUST100246"/>
    <n v="49"/>
    <x v="2"/>
    <m/>
    <s v="Chennai"/>
    <n v="325000"/>
    <n v="92"/>
    <x v="3"/>
    <n v="14"/>
    <n v="1800"/>
    <n v="48"/>
    <s v="Platinum"/>
    <s v="Website"/>
    <s v="Lower"/>
  </r>
  <r>
    <s v="CUST100247"/>
    <n v="50"/>
    <x v="2"/>
    <s v="Female"/>
    <s v="Ahmedabad"/>
    <n v="525000"/>
    <n v="58"/>
    <x v="0"/>
    <n v="8"/>
    <n v="2500"/>
    <n v="139"/>
    <s v="Platinum"/>
    <s v="Website"/>
    <s v="Higher"/>
  </r>
  <r>
    <s v="CUST100248"/>
    <n v="18"/>
    <x v="6"/>
    <s v="Female"/>
    <m/>
    <n v="1325000"/>
    <n v="75"/>
    <x v="3"/>
    <n v="66"/>
    <n v="6000"/>
    <n v="34"/>
    <m/>
    <s v="In-store"/>
    <s v="Higher"/>
  </r>
  <r>
    <s v="CUST100249"/>
    <n v="36"/>
    <x v="4"/>
    <s v="Male"/>
    <s v="Bengaluru"/>
    <n v="1650000"/>
    <n v="33"/>
    <x v="2"/>
    <n v="51"/>
    <n v="8900"/>
    <n v="355"/>
    <m/>
    <m/>
    <s v="Higher"/>
  </r>
  <r>
    <s v="CUST100250"/>
    <n v="19"/>
    <x v="6"/>
    <m/>
    <s v="Pune"/>
    <n v="500000"/>
    <n v="88"/>
    <x v="3"/>
    <n v="79"/>
    <n v="3300"/>
    <n v="210"/>
    <s v="Gold"/>
    <s v="Mobile App"/>
    <s v="Lower"/>
  </r>
  <r>
    <s v="CUST100251"/>
    <m/>
    <x v="5"/>
    <s v="Male"/>
    <m/>
    <n v="1750000"/>
    <n v="66"/>
    <x v="0"/>
    <n v="60"/>
    <n v="7100"/>
    <n v="19"/>
    <s v="Gold"/>
    <s v="Website"/>
    <s v="Higher"/>
  </r>
  <r>
    <s v="CUST100252"/>
    <n v="61"/>
    <x v="0"/>
    <s v="Male"/>
    <s v="Hyderabad"/>
    <n v="675000"/>
    <n v="30"/>
    <x v="2"/>
    <n v="34"/>
    <n v="800"/>
    <n v="196"/>
    <s v="Silver"/>
    <m/>
    <s v="Higher"/>
  </r>
  <r>
    <s v="CUST100253"/>
    <n v="43"/>
    <x v="4"/>
    <s v="Female"/>
    <s v="Pune"/>
    <n v="200000"/>
    <n v="81"/>
    <x v="3"/>
    <n v="36"/>
    <n v="11700"/>
    <n v="326"/>
    <s v="Bronze"/>
    <m/>
    <s v="Higher"/>
  </r>
  <r>
    <s v="CUST100254"/>
    <n v="49"/>
    <x v="2"/>
    <s v="Unknown"/>
    <s v="Chennai"/>
    <n v="1475000"/>
    <n v="34"/>
    <x v="0"/>
    <n v="62"/>
    <n v="6700"/>
    <n v="115"/>
    <m/>
    <s v="Online"/>
    <s v="Lower"/>
  </r>
  <r>
    <s v="CUST100255"/>
    <n v="23"/>
    <x v="6"/>
    <m/>
    <m/>
    <n v="475000"/>
    <m/>
    <x v="1"/>
    <n v="1"/>
    <n v="6100"/>
    <n v="352"/>
    <m/>
    <s v="In-store"/>
    <s v="Lower"/>
  </r>
  <r>
    <s v="CUST100256"/>
    <n v="49"/>
    <x v="2"/>
    <s v="Female"/>
    <s v="Pune"/>
    <n v="1025000"/>
    <n v="86"/>
    <x v="3"/>
    <n v="42"/>
    <n v="11400"/>
    <n v="75"/>
    <s v="Silver"/>
    <m/>
    <s v="Higher"/>
  </r>
  <r>
    <s v="CUST100257"/>
    <s v="NA"/>
    <x v="5"/>
    <s v="Male"/>
    <s v="Kolkata"/>
    <n v="1800000"/>
    <n v="69"/>
    <x v="3"/>
    <n v="1"/>
    <n v="3000"/>
    <n v="150"/>
    <s v="Platinum"/>
    <s v="Mobile App"/>
    <s v="Higher"/>
  </r>
  <r>
    <s v="CUST100258"/>
    <n v="21"/>
    <x v="6"/>
    <s v="Male"/>
    <m/>
    <n v="375000"/>
    <n v="48"/>
    <x v="0"/>
    <n v="54"/>
    <n v="2000"/>
    <n v="36"/>
    <m/>
    <s v="Website"/>
    <s v="Higher"/>
  </r>
  <r>
    <s v="CUST100259"/>
    <s v="NA"/>
    <x v="5"/>
    <m/>
    <m/>
    <n v="1350000"/>
    <n v="40"/>
    <x v="0"/>
    <n v="47"/>
    <n v="9000"/>
    <n v="242"/>
    <m/>
    <s v="Online"/>
    <s v="Lower"/>
  </r>
  <r>
    <s v="CUST100260"/>
    <n v="28"/>
    <x v="3"/>
    <s v="Male"/>
    <s v="Kolkata"/>
    <n v="1750000"/>
    <n v="51"/>
    <x v="0"/>
    <n v="39"/>
    <n v="7900"/>
    <n v="151"/>
    <s v="Gold"/>
    <s v="Mobile App"/>
    <s v="Higher"/>
  </r>
  <r>
    <s v="CUST100261"/>
    <n v="34"/>
    <x v="3"/>
    <s v="Male"/>
    <s v="Pune"/>
    <n v="1550000"/>
    <n v="80"/>
    <x v="3"/>
    <n v="30"/>
    <n v="9900"/>
    <n v="63"/>
    <s v="Silver"/>
    <s v="Website"/>
    <s v="Higher"/>
  </r>
  <r>
    <s v="CUST100262"/>
    <n v="55"/>
    <x v="0"/>
    <m/>
    <s v="Mumbai"/>
    <n v="800000"/>
    <n v="13"/>
    <x v="2"/>
    <n v="7"/>
    <n v="1200"/>
    <n v="154"/>
    <m/>
    <s v="In-store"/>
    <s v="Lower"/>
  </r>
  <r>
    <s v="CUST100263"/>
    <n v="41"/>
    <x v="4"/>
    <s v="Male"/>
    <s v="Delhi"/>
    <m/>
    <n v="90"/>
    <x v="3"/>
    <n v="22"/>
    <n v="900"/>
    <n v="188"/>
    <m/>
    <s v="Mobile App"/>
    <s v="Higher"/>
  </r>
  <r>
    <s v="CUST100264"/>
    <n v="22"/>
    <x v="6"/>
    <s v="Male"/>
    <s v="Mumbai"/>
    <n v="250000"/>
    <n v="31"/>
    <x v="2"/>
    <n v="50"/>
    <n v="3900"/>
    <n v="223"/>
    <m/>
    <s v="Website"/>
    <s v="Higher"/>
  </r>
  <r>
    <s v="CUST100265"/>
    <n v="69"/>
    <x v="1"/>
    <s v="Female"/>
    <m/>
    <n v="1900000"/>
    <n v="39"/>
    <x v="0"/>
    <n v="45"/>
    <n v="9800"/>
    <n v="93"/>
    <s v="Bronze"/>
    <s v="Online"/>
    <s v="Higher"/>
  </r>
  <r>
    <s v="CUST100266"/>
    <n v="51"/>
    <x v="2"/>
    <m/>
    <m/>
    <n v="1550000"/>
    <n v="63"/>
    <x v="0"/>
    <n v="74"/>
    <n v="4700"/>
    <n v="5"/>
    <s v="Gold"/>
    <s v="Website"/>
    <s v="Lower"/>
  </r>
  <r>
    <s v="CUST100267"/>
    <n v="23"/>
    <x v="6"/>
    <m/>
    <m/>
    <n v="500000"/>
    <n v="48"/>
    <x v="0"/>
    <n v="72"/>
    <n v="8800"/>
    <n v="166"/>
    <m/>
    <m/>
    <s v="Lower"/>
  </r>
  <r>
    <s v="CUST100268"/>
    <n v="39"/>
    <x v="4"/>
    <m/>
    <m/>
    <m/>
    <n v="87"/>
    <x v="3"/>
    <n v="10"/>
    <n v="1800"/>
    <n v="25"/>
    <s v="Gold"/>
    <s v="Online"/>
    <s v="Lower"/>
  </r>
  <r>
    <s v="CUST100269"/>
    <n v="28"/>
    <x v="3"/>
    <s v="Female"/>
    <s v="Kolkata"/>
    <n v="875000"/>
    <n v="48"/>
    <x v="0"/>
    <n v="14"/>
    <n v="9000"/>
    <n v="98"/>
    <m/>
    <s v="Mobile App"/>
    <s v="Higher"/>
  </r>
  <r>
    <s v="CUST100270"/>
    <n v="65"/>
    <x v="0"/>
    <s v="Unknown"/>
    <s v="Delhi"/>
    <n v="625000"/>
    <n v="61"/>
    <x v="0"/>
    <n v="46"/>
    <n v="11800"/>
    <n v="268"/>
    <s v="Silver"/>
    <m/>
    <s v="Lower"/>
  </r>
  <r>
    <s v="CUST100271"/>
    <n v="33"/>
    <x v="3"/>
    <m/>
    <s v="Pune"/>
    <n v="1050000"/>
    <n v="12"/>
    <x v="2"/>
    <n v="75"/>
    <m/>
    <n v="150"/>
    <m/>
    <s v="In-store"/>
    <s v="Lower"/>
  </r>
  <r>
    <s v="CUST100272"/>
    <n v="50"/>
    <x v="2"/>
    <s v="Male"/>
    <s v="Chennai"/>
    <n v="200000"/>
    <n v="78"/>
    <x v="3"/>
    <n v="6"/>
    <n v="1600"/>
    <n v="252"/>
    <m/>
    <s v="Online"/>
    <s v="Higher"/>
  </r>
  <r>
    <s v="CUST100273"/>
    <n v="26"/>
    <x v="3"/>
    <s v="Male"/>
    <s v="Mumbai"/>
    <n v="1950000"/>
    <n v="56"/>
    <x v="0"/>
    <n v="21"/>
    <n v="1300"/>
    <n v="84"/>
    <m/>
    <s v="Online"/>
    <s v="Higher"/>
  </r>
  <r>
    <s v="CUST100274"/>
    <n v="23"/>
    <x v="6"/>
    <m/>
    <s v="Mumbai"/>
    <n v="1150000"/>
    <n v="18"/>
    <x v="2"/>
    <n v="62"/>
    <n v="8500"/>
    <n v="285"/>
    <s v="Silver"/>
    <s v="Online"/>
    <s v="Lower"/>
  </r>
  <r>
    <s v="CUST100275"/>
    <n v="33"/>
    <x v="3"/>
    <m/>
    <s v="Hyderabad"/>
    <n v="1100000"/>
    <n v="27"/>
    <x v="2"/>
    <n v="19"/>
    <n v="8900"/>
    <n v="172"/>
    <s v="Gold"/>
    <s v="Website"/>
    <s v="Lower"/>
  </r>
  <r>
    <s v="CUST100276"/>
    <n v="46"/>
    <x v="2"/>
    <m/>
    <s v="Delhi"/>
    <n v="775000"/>
    <n v="28"/>
    <x v="2"/>
    <n v="62"/>
    <n v="3600"/>
    <n v="221"/>
    <s v="Gold"/>
    <m/>
    <s v="Lower"/>
  </r>
  <r>
    <s v="CUST100277"/>
    <n v="20"/>
    <x v="6"/>
    <s v="Male"/>
    <s v="Chennai"/>
    <n v="175000"/>
    <n v="82"/>
    <x v="3"/>
    <n v="53"/>
    <n v="6200"/>
    <n v="109"/>
    <m/>
    <m/>
    <s v="Higher"/>
  </r>
  <r>
    <s v="CUST100278"/>
    <n v="37"/>
    <x v="4"/>
    <s v="Female"/>
    <s v="Mumbai"/>
    <n v="700000"/>
    <n v="80"/>
    <x v="3"/>
    <n v="24"/>
    <n v="10600"/>
    <n v="27"/>
    <m/>
    <s v="In-store"/>
    <s v="Higher"/>
  </r>
  <r>
    <s v="CUST100279"/>
    <n v="53"/>
    <x v="2"/>
    <s v="Male"/>
    <s v="Chennai"/>
    <n v="700000"/>
    <n v="52"/>
    <x v="0"/>
    <n v="56"/>
    <n v="1500"/>
    <n v="246"/>
    <s v="Silver"/>
    <s v="In-store"/>
    <s v="Higher"/>
  </r>
  <r>
    <s v="CUST100280"/>
    <n v="36"/>
    <x v="4"/>
    <s v="Male"/>
    <s v="Pune"/>
    <n v="525000"/>
    <n v="16"/>
    <x v="2"/>
    <n v="62"/>
    <n v="4100"/>
    <n v="55"/>
    <s v="Platinum"/>
    <m/>
    <s v="Higher"/>
  </r>
  <r>
    <s v="CUST100281"/>
    <n v="43"/>
    <x v="4"/>
    <m/>
    <m/>
    <n v="350000"/>
    <n v="77"/>
    <x v="3"/>
    <n v="34"/>
    <n v="4600"/>
    <n v="133"/>
    <s v="Gold"/>
    <s v="Website"/>
    <s v="Lower"/>
  </r>
  <r>
    <s v="CUST100282"/>
    <n v="20"/>
    <x v="6"/>
    <s v="Female"/>
    <s v="Chennai"/>
    <n v="450000"/>
    <n v="58"/>
    <x v="0"/>
    <n v="22"/>
    <n v="3000"/>
    <n v="52"/>
    <s v="Platinum"/>
    <s v="Website"/>
    <s v="Higher"/>
  </r>
  <r>
    <s v="CUST100283"/>
    <n v="36"/>
    <x v="4"/>
    <m/>
    <s v="Mumbai"/>
    <n v="825000"/>
    <n v="93"/>
    <x v="3"/>
    <n v="68"/>
    <n v="4200"/>
    <n v="253"/>
    <m/>
    <m/>
    <s v="Lower"/>
  </r>
  <r>
    <s v="CUST100284"/>
    <n v="37"/>
    <x v="4"/>
    <m/>
    <s v="Kolkata"/>
    <n v="800000"/>
    <n v="9"/>
    <x v="2"/>
    <n v="57"/>
    <n v="1800"/>
    <n v="269"/>
    <s v="Platinum"/>
    <m/>
    <s v="Lower"/>
  </r>
  <r>
    <s v="CUST100285"/>
    <n v="49"/>
    <x v="2"/>
    <m/>
    <s v="Delhi"/>
    <n v="1400000"/>
    <n v="26"/>
    <x v="2"/>
    <n v="10"/>
    <n v="5200"/>
    <n v="298"/>
    <m/>
    <s v="Mobile App"/>
    <s v="Lower"/>
  </r>
  <r>
    <s v="CUST100286"/>
    <n v="24"/>
    <x v="6"/>
    <s v="Male"/>
    <m/>
    <n v="1725000"/>
    <n v="28"/>
    <x v="2"/>
    <n v="66"/>
    <n v="11700"/>
    <n v="79"/>
    <m/>
    <s v="Website"/>
    <s v="Higher"/>
  </r>
  <r>
    <s v="CUST100287"/>
    <n v="69"/>
    <x v="1"/>
    <s v="Male"/>
    <s v="Bengaluru"/>
    <n v="1425000"/>
    <n v="77"/>
    <x v="3"/>
    <n v="8"/>
    <n v="3000"/>
    <n v="18"/>
    <s v="Platinum"/>
    <s v="Online"/>
    <s v="Higher"/>
  </r>
  <r>
    <s v="CUST100288"/>
    <n v="58"/>
    <x v="0"/>
    <m/>
    <s v="Ahmedabad"/>
    <n v="1075000"/>
    <n v="36"/>
    <x v="0"/>
    <n v="38"/>
    <n v="7000"/>
    <n v="306"/>
    <m/>
    <s v="In-store"/>
    <s v="Lower"/>
  </r>
  <r>
    <s v="CUST100289"/>
    <n v="50"/>
    <x v="2"/>
    <s v="Male"/>
    <s v="Ahmedabad"/>
    <n v="1750000"/>
    <n v="9"/>
    <x v="2"/>
    <n v="62"/>
    <n v="9400"/>
    <n v="258"/>
    <s v="Gold"/>
    <s v="Website"/>
    <s v="Higher"/>
  </r>
  <r>
    <s v="CUST100290"/>
    <n v="57"/>
    <x v="0"/>
    <s v="Male"/>
    <s v="Bengaluru"/>
    <n v="575000"/>
    <n v="47"/>
    <x v="0"/>
    <n v="28"/>
    <n v="6200"/>
    <n v="343"/>
    <m/>
    <m/>
    <s v="Higher"/>
  </r>
  <r>
    <s v="CUST100291"/>
    <n v="56"/>
    <x v="0"/>
    <s v="Female"/>
    <s v="Chennai"/>
    <n v="1700000"/>
    <n v="78"/>
    <x v="3"/>
    <n v="10"/>
    <n v="1400"/>
    <n v="107"/>
    <s v="Platinum"/>
    <s v="Online"/>
    <s v="Higher"/>
  </r>
  <r>
    <s v="CUST100292"/>
    <n v="35"/>
    <x v="4"/>
    <s v="Male"/>
    <s v="Delhi"/>
    <n v="1400000"/>
    <n v="51"/>
    <x v="0"/>
    <n v="45"/>
    <n v="1800"/>
    <n v="47"/>
    <s v="Gold"/>
    <s v="Mobile App"/>
    <s v="Higher"/>
  </r>
  <r>
    <s v="CUST100293"/>
    <n v="57"/>
    <x v="0"/>
    <s v="Male"/>
    <s v="Chennai"/>
    <n v="350000"/>
    <n v="76"/>
    <x v="3"/>
    <n v="65"/>
    <n v="5500"/>
    <n v="246"/>
    <s v="Platinum"/>
    <m/>
    <s v="Higher"/>
  </r>
  <r>
    <s v="CUST100294"/>
    <n v="18"/>
    <x v="6"/>
    <s v="Female"/>
    <m/>
    <n v="450000"/>
    <n v="57"/>
    <x v="0"/>
    <n v="67"/>
    <n v="5600"/>
    <n v="89"/>
    <s v="Gold"/>
    <s v="Mobile App"/>
    <s v="Higher"/>
  </r>
  <r>
    <s v="CUST100295"/>
    <n v="28"/>
    <x v="3"/>
    <s v="Female"/>
    <s v="Delhi"/>
    <n v="1125000"/>
    <n v="32"/>
    <x v="2"/>
    <n v="9"/>
    <n v="5100"/>
    <n v="203"/>
    <m/>
    <s v="Online"/>
    <s v="Higher"/>
  </r>
  <r>
    <s v="CUST100296"/>
    <n v="45"/>
    <x v="2"/>
    <s v="Unknown"/>
    <s v="Bengaluru"/>
    <n v="1500000"/>
    <m/>
    <x v="1"/>
    <n v="5"/>
    <n v="3800"/>
    <n v="240"/>
    <m/>
    <s v="Online"/>
    <s v="Lower"/>
  </r>
  <r>
    <s v="CUST100297"/>
    <n v="42"/>
    <x v="4"/>
    <m/>
    <s v="Chennai"/>
    <n v="1200000"/>
    <n v="67"/>
    <x v="3"/>
    <n v="10"/>
    <n v="6400"/>
    <n v="268"/>
    <m/>
    <m/>
    <s v="Lower"/>
  </r>
  <r>
    <s v="CUST100298"/>
    <n v="67"/>
    <x v="1"/>
    <m/>
    <s v="Hyderabad"/>
    <n v="1225000"/>
    <n v="57"/>
    <x v="0"/>
    <n v="12"/>
    <n v="8600"/>
    <n v="13"/>
    <m/>
    <m/>
    <s v="Lower"/>
  </r>
  <r>
    <s v="CUST100299"/>
    <n v="40"/>
    <x v="4"/>
    <m/>
    <s v="Mumbai"/>
    <n v="1825000"/>
    <n v="54"/>
    <x v="0"/>
    <n v="58"/>
    <n v="2800"/>
    <n v="137"/>
    <s v="Silver"/>
    <m/>
    <s v="Lower"/>
  </r>
  <r>
    <s v="CUST100300"/>
    <n v="48"/>
    <x v="2"/>
    <s v="Male"/>
    <s v="Kolkata"/>
    <n v="950000"/>
    <n v="16"/>
    <x v="2"/>
    <n v="21"/>
    <n v="5800"/>
    <n v="315"/>
    <s v="Gold"/>
    <s v="In-store"/>
    <s v="Higher"/>
  </r>
  <r>
    <s v="CUST100301"/>
    <n v="47"/>
    <x v="2"/>
    <s v="Male"/>
    <m/>
    <n v="725000"/>
    <n v="62"/>
    <x v="0"/>
    <n v="21"/>
    <n v="9200"/>
    <n v="173"/>
    <s v="Gold"/>
    <m/>
    <s v="Higher"/>
  </r>
  <r>
    <s v="CUST100302"/>
    <n v="59"/>
    <x v="0"/>
    <s v="Female"/>
    <s v="Kolkata"/>
    <n v="1025000"/>
    <n v="84"/>
    <x v="3"/>
    <n v="65"/>
    <n v="2400"/>
    <n v="230"/>
    <s v="Platinum"/>
    <m/>
    <s v="Higher"/>
  </r>
  <r>
    <s v="CUST100303"/>
    <n v="52"/>
    <x v="2"/>
    <m/>
    <m/>
    <n v="375000"/>
    <n v="96"/>
    <x v="3"/>
    <n v="3"/>
    <n v="7500"/>
    <n v="198"/>
    <m/>
    <s v="In-store"/>
    <s v="Lower"/>
  </r>
  <r>
    <s v="CUST100304"/>
    <n v="24"/>
    <x v="6"/>
    <s v="Male"/>
    <s v="Chennai"/>
    <n v="625000"/>
    <n v="56"/>
    <x v="0"/>
    <n v="69"/>
    <n v="7100"/>
    <n v="243"/>
    <s v="Bronze"/>
    <s v="Mobile App"/>
    <s v="Higher"/>
  </r>
  <r>
    <s v="CUST100305"/>
    <n v="33"/>
    <x v="3"/>
    <s v="Female"/>
    <s v="Pune"/>
    <m/>
    <n v="23"/>
    <x v="2"/>
    <n v="64"/>
    <n v="8300"/>
    <n v="43"/>
    <m/>
    <s v="Online"/>
    <s v="Higher"/>
  </r>
  <r>
    <s v="CUST100306"/>
    <n v="43"/>
    <x v="4"/>
    <s v="Male"/>
    <s v="Delhi"/>
    <n v="425000"/>
    <n v="17"/>
    <x v="2"/>
    <n v="49"/>
    <n v="5100"/>
    <n v="330"/>
    <s v="Bronze"/>
    <s v="Mobile App"/>
    <s v="Higher"/>
  </r>
  <r>
    <s v="CUST100307"/>
    <n v="65"/>
    <x v="0"/>
    <m/>
    <s v="Chennai"/>
    <n v="1675000"/>
    <n v="80"/>
    <x v="3"/>
    <n v="72"/>
    <n v="10000"/>
    <n v="279"/>
    <s v="Silver"/>
    <m/>
    <s v="Lower"/>
  </r>
  <r>
    <s v="CUST100308"/>
    <n v="69"/>
    <x v="1"/>
    <s v="Female"/>
    <s v="Delhi"/>
    <n v="575000"/>
    <n v="38"/>
    <x v="0"/>
    <n v="17"/>
    <n v="400"/>
    <n v="79"/>
    <m/>
    <s v="Website"/>
    <s v="Higher"/>
  </r>
  <r>
    <s v="CUST100309"/>
    <n v="66"/>
    <x v="1"/>
    <m/>
    <m/>
    <n v="1700000"/>
    <n v="72"/>
    <x v="3"/>
    <n v="73"/>
    <n v="5500"/>
    <n v="279"/>
    <s v="Gold"/>
    <m/>
    <s v="Lower"/>
  </r>
  <r>
    <s v="CUST100310"/>
    <n v="19"/>
    <x v="6"/>
    <m/>
    <s v="Hyderabad"/>
    <n v="750000"/>
    <n v="83"/>
    <x v="3"/>
    <n v="32"/>
    <m/>
    <n v="232"/>
    <s v="Bronze"/>
    <s v="Website"/>
    <s v="Lower"/>
  </r>
  <r>
    <s v="CUST100311"/>
    <n v="18"/>
    <x v="6"/>
    <s v="Unknown"/>
    <s v="Kolkata"/>
    <n v="425000"/>
    <n v="30"/>
    <x v="2"/>
    <n v="70"/>
    <n v="900"/>
    <n v="101"/>
    <s v="Silver"/>
    <s v="Online"/>
    <s v="Lower"/>
  </r>
  <r>
    <s v="CUST100312"/>
    <n v="65"/>
    <x v="0"/>
    <s v="Unknown"/>
    <s v="Mumbai"/>
    <n v="650000"/>
    <n v="58"/>
    <x v="0"/>
    <n v="21"/>
    <n v="10200"/>
    <n v="162"/>
    <m/>
    <s v="Online"/>
    <s v="Lower"/>
  </r>
  <r>
    <s v="CUST100313"/>
    <n v="29"/>
    <x v="3"/>
    <s v="Female"/>
    <m/>
    <n v="750000"/>
    <n v="98"/>
    <x v="3"/>
    <n v="7"/>
    <n v="7900"/>
    <n v="144"/>
    <s v="Silver"/>
    <m/>
    <s v="Higher"/>
  </r>
  <r>
    <s v="CUST100314"/>
    <n v="22"/>
    <x v="6"/>
    <s v="Male"/>
    <m/>
    <n v="400000"/>
    <n v="78"/>
    <x v="3"/>
    <n v="7"/>
    <n v="2200"/>
    <n v="109"/>
    <m/>
    <s v="Online"/>
    <s v="Higher"/>
  </r>
  <r>
    <s v="CUST100315"/>
    <n v="54"/>
    <x v="2"/>
    <m/>
    <s v="Kolkata"/>
    <n v="1725000"/>
    <n v="22"/>
    <x v="2"/>
    <n v="27"/>
    <n v="9600"/>
    <n v="233"/>
    <s v="Bronze"/>
    <s v="In-store"/>
    <s v="Lower"/>
  </r>
  <r>
    <s v="CUST100316"/>
    <n v="49"/>
    <x v="2"/>
    <s v="Male"/>
    <m/>
    <n v="1950000"/>
    <n v="17"/>
    <x v="2"/>
    <n v="8"/>
    <n v="3200"/>
    <n v="111"/>
    <s v="Platinum"/>
    <s v="In-store"/>
    <s v="Higher"/>
  </r>
  <r>
    <s v="CUST100317"/>
    <s v="NA"/>
    <x v="5"/>
    <s v="Male"/>
    <s v="Pune"/>
    <n v="1375000"/>
    <n v="15"/>
    <x v="2"/>
    <n v="73"/>
    <n v="7700"/>
    <n v="232"/>
    <s v="Platinum"/>
    <s v="Website"/>
    <s v="Higher"/>
  </r>
  <r>
    <s v="CUST100318"/>
    <n v="26"/>
    <x v="3"/>
    <s v="Female"/>
    <s v="Pune"/>
    <n v="1675000"/>
    <n v="48"/>
    <x v="0"/>
    <n v="28"/>
    <n v="9700"/>
    <n v="238"/>
    <m/>
    <s v="Mobile App"/>
    <s v="Higher"/>
  </r>
  <r>
    <s v="CUST100319"/>
    <n v="58"/>
    <x v="0"/>
    <s v="Male"/>
    <s v="Ahmedabad"/>
    <n v="1350000"/>
    <n v="32"/>
    <x v="2"/>
    <n v="79"/>
    <n v="6900"/>
    <n v="197"/>
    <s v="Silver"/>
    <m/>
    <s v="Higher"/>
  </r>
  <r>
    <s v="CUST100320"/>
    <n v="52"/>
    <x v="2"/>
    <m/>
    <s v="Ahmedabad"/>
    <n v="475000"/>
    <n v="77"/>
    <x v="3"/>
    <n v="66"/>
    <n v="6100"/>
    <n v="273"/>
    <s v="Gold"/>
    <s v="Mobile App"/>
    <s v="Lower"/>
  </r>
  <r>
    <s v="CUST100321"/>
    <n v="36"/>
    <x v="4"/>
    <s v="Male"/>
    <s v="Pune"/>
    <n v="150000"/>
    <n v="85"/>
    <x v="3"/>
    <n v="71"/>
    <n v="6800"/>
    <n v="86"/>
    <s v="Bronze"/>
    <s v="Website"/>
    <s v="Higher"/>
  </r>
  <r>
    <s v="CUST100322"/>
    <n v="65"/>
    <x v="0"/>
    <s v="Unknown"/>
    <s v="Bengaluru"/>
    <n v="750000"/>
    <n v="40"/>
    <x v="0"/>
    <n v="47"/>
    <n v="11400"/>
    <n v="295"/>
    <s v="Platinum"/>
    <s v="In-store"/>
    <s v="Lower"/>
  </r>
  <r>
    <s v="CUST100323"/>
    <n v="33"/>
    <x v="3"/>
    <s v="Male"/>
    <s v="Hyderabad"/>
    <n v="1600000"/>
    <n v="97"/>
    <x v="3"/>
    <n v="10"/>
    <n v="500"/>
    <n v="41"/>
    <s v="Platinum"/>
    <m/>
    <s v="Higher"/>
  </r>
  <r>
    <s v="CUST100324"/>
    <n v="20"/>
    <x v="6"/>
    <s v="Male"/>
    <s v="Delhi"/>
    <n v="1925000"/>
    <n v="57"/>
    <x v="0"/>
    <n v="33"/>
    <n v="5800"/>
    <n v="48"/>
    <s v="Silver"/>
    <m/>
    <s v="Higher"/>
  </r>
  <r>
    <s v="CUST100325"/>
    <n v="37"/>
    <x v="4"/>
    <s v="Male"/>
    <s v="Hyderabad"/>
    <n v="1850000"/>
    <n v="58"/>
    <x v="0"/>
    <n v="7"/>
    <n v="8100"/>
    <n v="77"/>
    <s v="Platinum"/>
    <s v="Website"/>
    <s v="Higher"/>
  </r>
  <r>
    <s v="CUST100326"/>
    <n v="41"/>
    <x v="4"/>
    <m/>
    <m/>
    <n v="250000"/>
    <n v="91"/>
    <x v="3"/>
    <n v="3"/>
    <n v="1900"/>
    <n v="178"/>
    <s v="Silver"/>
    <s v="Mobile App"/>
    <s v="Lower"/>
  </r>
  <r>
    <s v="CUST100327"/>
    <m/>
    <x v="5"/>
    <m/>
    <m/>
    <n v="600000"/>
    <n v="99"/>
    <x v="3"/>
    <n v="14"/>
    <n v="11400"/>
    <n v="257"/>
    <s v="Bronze"/>
    <s v="Website"/>
    <s v="Lower"/>
  </r>
  <r>
    <s v="CUST100328"/>
    <n v="50"/>
    <x v="2"/>
    <s v="Male"/>
    <s v="Mumbai"/>
    <n v="700000"/>
    <n v="16"/>
    <x v="2"/>
    <n v="44"/>
    <n v="5400"/>
    <n v="117"/>
    <s v="Silver"/>
    <s v="Website"/>
    <s v="Higher"/>
  </r>
  <r>
    <s v="CUST100329"/>
    <n v="41"/>
    <x v="4"/>
    <s v="Female"/>
    <m/>
    <n v="350000"/>
    <n v="28"/>
    <x v="2"/>
    <n v="46"/>
    <n v="900"/>
    <n v="19"/>
    <s v="Platinum"/>
    <s v="Online"/>
    <s v="Higher"/>
  </r>
  <r>
    <s v="CUST100330"/>
    <n v="69"/>
    <x v="1"/>
    <s v="Male"/>
    <s v="Hyderabad"/>
    <n v="1375000"/>
    <n v="98"/>
    <x v="3"/>
    <n v="61"/>
    <n v="11400"/>
    <n v="59"/>
    <s v="Silver"/>
    <s v="In-store"/>
    <s v="Higher"/>
  </r>
  <r>
    <s v="CUST100331"/>
    <n v="28"/>
    <x v="3"/>
    <s v="Female"/>
    <s v="Pune"/>
    <n v="525000"/>
    <n v="1"/>
    <x v="2"/>
    <n v="36"/>
    <n v="700"/>
    <n v="196"/>
    <s v="Platinum"/>
    <m/>
    <s v="Higher"/>
  </r>
  <r>
    <s v="CUST100332"/>
    <n v="66"/>
    <x v="1"/>
    <s v="Female"/>
    <s v="Kolkata"/>
    <n v="950000"/>
    <n v="41"/>
    <x v="0"/>
    <n v="13"/>
    <n v="10000"/>
    <n v="107"/>
    <m/>
    <s v="Online"/>
    <s v="Higher"/>
  </r>
  <r>
    <s v="CUST100333"/>
    <n v="25"/>
    <x v="3"/>
    <s v="Female"/>
    <m/>
    <n v="175000"/>
    <n v="48"/>
    <x v="0"/>
    <n v="16"/>
    <n v="9900"/>
    <n v="284"/>
    <m/>
    <s v="In-store"/>
    <s v="Higher"/>
  </r>
  <r>
    <s v="CUST100334"/>
    <n v="53"/>
    <x v="2"/>
    <s v="Male"/>
    <s v="Pune"/>
    <n v="475000"/>
    <n v="31"/>
    <x v="2"/>
    <m/>
    <n v="5600"/>
    <n v="34"/>
    <s v="Platinum"/>
    <s v="Website"/>
    <s v="Higher"/>
  </r>
  <r>
    <s v="CUST100335"/>
    <n v="55"/>
    <x v="0"/>
    <s v="Unknown"/>
    <s v="Hyderabad"/>
    <n v="150000"/>
    <n v="36"/>
    <x v="0"/>
    <n v="5"/>
    <n v="6300"/>
    <n v="295"/>
    <s v="Platinum"/>
    <s v="In-store"/>
    <s v="Lower"/>
  </r>
  <r>
    <s v="CUST100336"/>
    <n v="57"/>
    <x v="0"/>
    <m/>
    <s v="Kolkata"/>
    <n v="1575000"/>
    <n v="33"/>
    <x v="2"/>
    <n v="38"/>
    <n v="11100"/>
    <n v="251"/>
    <s v="Platinum"/>
    <s v="Mobile App"/>
    <s v="Lower"/>
  </r>
  <r>
    <s v="CUST100337"/>
    <n v="37"/>
    <x v="4"/>
    <m/>
    <s v="Mumbai"/>
    <n v="525000"/>
    <n v="33"/>
    <x v="2"/>
    <n v="50"/>
    <n v="1800"/>
    <n v="126"/>
    <m/>
    <m/>
    <s v="Lower"/>
  </r>
  <r>
    <s v="CUST100338"/>
    <n v="52"/>
    <x v="2"/>
    <s v="Male"/>
    <s v="Hyderabad"/>
    <n v="1300000"/>
    <n v="82"/>
    <x v="3"/>
    <n v="38"/>
    <n v="10300"/>
    <n v="339"/>
    <m/>
    <s v="Online"/>
    <s v="Higher"/>
  </r>
  <r>
    <s v="CUST100339"/>
    <n v="65"/>
    <x v="0"/>
    <m/>
    <s v="Delhi"/>
    <n v="1225000"/>
    <n v="23"/>
    <x v="2"/>
    <n v="56"/>
    <n v="6900"/>
    <n v="106"/>
    <s v="Gold"/>
    <m/>
    <s v="Lower"/>
  </r>
  <r>
    <s v="CUST100340"/>
    <n v="42"/>
    <x v="4"/>
    <m/>
    <s v="Chennai"/>
    <n v="475000"/>
    <n v="60"/>
    <x v="0"/>
    <n v="63"/>
    <n v="6100"/>
    <n v="180"/>
    <s v="Platinum"/>
    <s v="Website"/>
    <s v="Lower"/>
  </r>
  <r>
    <s v="CUST100341"/>
    <n v="52"/>
    <x v="2"/>
    <m/>
    <s v="Kolkata"/>
    <n v="725000"/>
    <n v="87"/>
    <x v="3"/>
    <n v="48"/>
    <n v="4900"/>
    <n v="110"/>
    <s v="Gold"/>
    <s v="Mobile App"/>
    <s v="Lower"/>
  </r>
  <r>
    <s v="CUST100342"/>
    <n v="42"/>
    <x v="4"/>
    <s v="Unknown"/>
    <s v="Hyderabad"/>
    <n v="1500000"/>
    <n v="79"/>
    <x v="3"/>
    <n v="59"/>
    <n v="5000"/>
    <n v="228"/>
    <s v="Bronze"/>
    <s v="In-store"/>
    <s v="Lower"/>
  </r>
  <r>
    <s v="CUST100343"/>
    <n v="46"/>
    <x v="2"/>
    <m/>
    <s v="Pune"/>
    <n v="500000"/>
    <n v="90"/>
    <x v="3"/>
    <n v="77"/>
    <n v="10900"/>
    <n v="121"/>
    <m/>
    <s v="In-store"/>
    <s v="Lower"/>
  </r>
  <r>
    <s v="CUST100344"/>
    <n v="35"/>
    <x v="4"/>
    <s v="Male"/>
    <s v="Delhi"/>
    <n v="1925000"/>
    <n v="30"/>
    <x v="2"/>
    <n v="44"/>
    <n v="11700"/>
    <n v="107"/>
    <s v="Silver"/>
    <s v="Mobile App"/>
    <s v="Higher"/>
  </r>
  <r>
    <s v="CUST100345"/>
    <n v="63"/>
    <x v="0"/>
    <m/>
    <s v="Bengaluru"/>
    <n v="975000"/>
    <n v="89"/>
    <x v="3"/>
    <n v="55"/>
    <n v="6600"/>
    <n v="131"/>
    <s v="Gold"/>
    <s v="In-store"/>
    <s v="Lower"/>
  </r>
  <r>
    <s v="CUST100346"/>
    <n v="35"/>
    <x v="4"/>
    <s v="Female"/>
    <s v="Kolkata"/>
    <n v="175000"/>
    <n v="45"/>
    <x v="0"/>
    <n v="55"/>
    <n v="5200"/>
    <n v="23"/>
    <m/>
    <s v="Online"/>
    <s v="Higher"/>
  </r>
  <r>
    <s v="CUST100347"/>
    <n v="19"/>
    <x v="6"/>
    <s v="Male"/>
    <s v="Delhi"/>
    <n v="800000"/>
    <n v="80"/>
    <x v="3"/>
    <n v="1"/>
    <n v="8700"/>
    <n v="145"/>
    <s v="Bronze"/>
    <m/>
    <s v="Higher"/>
  </r>
  <r>
    <s v="CUST100348"/>
    <m/>
    <x v="5"/>
    <s v="Male"/>
    <s v="Pune"/>
    <n v="1975000"/>
    <n v="39"/>
    <x v="0"/>
    <n v="8"/>
    <n v="4300"/>
    <n v="327"/>
    <m/>
    <s v="In-store"/>
    <s v="Higher"/>
  </r>
  <r>
    <s v="CUST100349"/>
    <n v="52"/>
    <x v="2"/>
    <m/>
    <s v="Hyderabad"/>
    <n v="1925000"/>
    <n v="45"/>
    <x v="0"/>
    <n v="4"/>
    <n v="7400"/>
    <n v="154"/>
    <s v="Silver"/>
    <s v="Website"/>
    <s v="Lower"/>
  </r>
  <r>
    <s v="CUST100350"/>
    <n v="33"/>
    <x v="3"/>
    <s v="Female"/>
    <m/>
    <n v="700000"/>
    <n v="78"/>
    <x v="3"/>
    <n v="53"/>
    <n v="2400"/>
    <n v="107"/>
    <s v="Platinum"/>
    <s v="In-store"/>
    <s v="Higher"/>
  </r>
  <r>
    <s v="CUST100351"/>
    <n v="58"/>
    <x v="0"/>
    <s v="Unknown"/>
    <s v="Mumbai"/>
    <n v="1825000"/>
    <n v="81"/>
    <x v="3"/>
    <n v="58"/>
    <n v="11700"/>
    <n v="146"/>
    <s v="Platinum"/>
    <m/>
    <s v="Lower"/>
  </r>
  <r>
    <s v="CUST100352"/>
    <n v="53"/>
    <x v="2"/>
    <m/>
    <m/>
    <n v="475000"/>
    <n v="12"/>
    <x v="2"/>
    <n v="37"/>
    <n v="5600"/>
    <n v="252"/>
    <s v="Platinum"/>
    <s v="Website"/>
    <s v="Lower"/>
  </r>
  <r>
    <s v="CUST100353"/>
    <n v="50"/>
    <x v="2"/>
    <s v="Unknown"/>
    <s v="Chennai"/>
    <n v="1700000"/>
    <n v="93"/>
    <x v="3"/>
    <n v="49"/>
    <n v="700"/>
    <n v="302"/>
    <m/>
    <s v="In-store"/>
    <s v="Lower"/>
  </r>
  <r>
    <s v="CUST100354"/>
    <n v="21"/>
    <x v="6"/>
    <s v="Unknown"/>
    <s v="Delhi"/>
    <n v="1750000"/>
    <n v="32"/>
    <x v="2"/>
    <n v="67"/>
    <n v="1900"/>
    <n v="70"/>
    <m/>
    <s v="In-store"/>
    <s v="Lower"/>
  </r>
  <r>
    <s v="CUST100355"/>
    <n v="50"/>
    <x v="2"/>
    <s v="Female"/>
    <s v="Chennai"/>
    <n v="1825000"/>
    <n v="56"/>
    <x v="0"/>
    <n v="19"/>
    <n v="10300"/>
    <n v="31"/>
    <m/>
    <s v="Website"/>
    <s v="Higher"/>
  </r>
  <r>
    <s v="CUST100356"/>
    <n v="31"/>
    <x v="3"/>
    <s v="Unknown"/>
    <s v="Mumbai"/>
    <n v="1700000"/>
    <n v="24"/>
    <x v="2"/>
    <n v="1"/>
    <n v="8000"/>
    <n v="93"/>
    <m/>
    <s v="Online"/>
    <s v="Lower"/>
  </r>
  <r>
    <s v="CUST100357"/>
    <n v="38"/>
    <x v="4"/>
    <s v="Male"/>
    <s v="Delhi"/>
    <n v="1725000"/>
    <n v="13"/>
    <x v="2"/>
    <n v="29"/>
    <n v="10500"/>
    <n v="137"/>
    <s v="Bronze"/>
    <m/>
    <s v="Higher"/>
  </r>
  <r>
    <s v="CUST100358"/>
    <n v="65"/>
    <x v="0"/>
    <s v="Female"/>
    <s v="Ahmedabad"/>
    <n v="925000"/>
    <n v="20"/>
    <x v="2"/>
    <n v="33"/>
    <n v="4300"/>
    <n v="163"/>
    <m/>
    <m/>
    <s v="Higher"/>
  </r>
  <r>
    <s v="CUST100359"/>
    <n v="37"/>
    <x v="4"/>
    <s v="Male"/>
    <s v="Pune"/>
    <n v="450000"/>
    <n v="79"/>
    <x v="3"/>
    <n v="52"/>
    <n v="9400"/>
    <n v="81"/>
    <s v="Bronze"/>
    <s v="Online"/>
    <s v="Higher"/>
  </r>
  <r>
    <s v="CUST100360"/>
    <n v="25"/>
    <x v="3"/>
    <s v="Unknown"/>
    <s v="Delhi"/>
    <n v="1775000"/>
    <n v="56"/>
    <x v="0"/>
    <n v="41"/>
    <n v="9700"/>
    <n v="316"/>
    <s v="Platinum"/>
    <s v="In-store"/>
    <s v="Lower"/>
  </r>
  <r>
    <s v="CUST100361"/>
    <n v="24"/>
    <x v="6"/>
    <s v="Unknown"/>
    <s v="Pune"/>
    <n v="600000"/>
    <n v="53"/>
    <x v="0"/>
    <n v="23"/>
    <n v="8300"/>
    <n v="76"/>
    <s v="Silver"/>
    <m/>
    <s v="Lower"/>
  </r>
  <r>
    <s v="CUST100362"/>
    <n v="20"/>
    <x v="6"/>
    <s v="Male"/>
    <m/>
    <n v="725000"/>
    <n v="68"/>
    <x v="3"/>
    <n v="5"/>
    <n v="3700"/>
    <n v="63"/>
    <m/>
    <s v="Online"/>
    <s v="Higher"/>
  </r>
  <r>
    <s v="CUST100363"/>
    <n v="34"/>
    <x v="3"/>
    <s v="Unknown"/>
    <m/>
    <n v="400000"/>
    <n v="54"/>
    <x v="0"/>
    <n v="71"/>
    <n v="4200"/>
    <n v="100"/>
    <m/>
    <s v="Online"/>
    <s v="Lower"/>
  </r>
  <r>
    <s v="CUST100364"/>
    <n v="50"/>
    <x v="2"/>
    <s v="Male"/>
    <s v="Kolkata"/>
    <n v="1600000"/>
    <n v="34"/>
    <x v="0"/>
    <n v="57"/>
    <n v="2400"/>
    <n v="48"/>
    <s v="Silver"/>
    <m/>
    <s v="Higher"/>
  </r>
  <r>
    <s v="CUST100365"/>
    <n v="65"/>
    <x v="0"/>
    <s v="Female"/>
    <m/>
    <n v="500000"/>
    <n v="28"/>
    <x v="2"/>
    <n v="6"/>
    <n v="11100"/>
    <n v="74"/>
    <s v="Bronze"/>
    <s v="Website"/>
    <s v="Higher"/>
  </r>
  <r>
    <s v="CUST100366"/>
    <n v="29"/>
    <x v="3"/>
    <s v="Male"/>
    <s v="Hyderabad"/>
    <n v="375000"/>
    <n v="50"/>
    <x v="0"/>
    <n v="49"/>
    <n v="5000"/>
    <n v="314"/>
    <m/>
    <s v="Mobile App"/>
    <s v="Higher"/>
  </r>
  <r>
    <s v="CUST100367"/>
    <n v="68"/>
    <x v="1"/>
    <s v="Male"/>
    <s v="Kolkata"/>
    <n v="1150000"/>
    <n v="2"/>
    <x v="2"/>
    <n v="22"/>
    <n v="5500"/>
    <n v="192"/>
    <s v="Bronze"/>
    <s v="Website"/>
    <s v="Higher"/>
  </r>
  <r>
    <s v="CUST100368"/>
    <n v="39"/>
    <x v="4"/>
    <s v="Female"/>
    <s v="Kolkata"/>
    <n v="800000"/>
    <n v="94"/>
    <x v="3"/>
    <n v="77"/>
    <n v="9500"/>
    <n v="30"/>
    <s v="Bronze"/>
    <s v="In-store"/>
    <s v="Higher"/>
  </r>
  <r>
    <s v="CUST100369"/>
    <s v="NA"/>
    <x v="5"/>
    <s v="Male"/>
    <s v="Bengaluru"/>
    <n v="1625000"/>
    <n v="26"/>
    <x v="2"/>
    <n v="76"/>
    <n v="1200"/>
    <n v="157"/>
    <s v="Gold"/>
    <s v="Website"/>
    <s v="Higher"/>
  </r>
  <r>
    <s v="CUST100370"/>
    <n v="39"/>
    <x v="4"/>
    <s v="Unknown"/>
    <s v="Kolkata"/>
    <n v="1950000"/>
    <n v="51"/>
    <x v="0"/>
    <n v="4"/>
    <n v="2000"/>
    <n v="266"/>
    <m/>
    <m/>
    <s v="Lower"/>
  </r>
  <r>
    <s v="CUST100371"/>
    <n v="63"/>
    <x v="0"/>
    <m/>
    <s v="Mumbai"/>
    <n v="1425000"/>
    <n v="47"/>
    <x v="0"/>
    <n v="72"/>
    <n v="10100"/>
    <n v="256"/>
    <s v="Bronze"/>
    <s v="Mobile App"/>
    <s v="Lower"/>
  </r>
  <r>
    <s v="CUST100372"/>
    <n v="47"/>
    <x v="2"/>
    <m/>
    <m/>
    <n v="825000"/>
    <n v="26"/>
    <x v="2"/>
    <n v="64"/>
    <n v="11000"/>
    <n v="39"/>
    <s v="Platinum"/>
    <s v="Mobile App"/>
    <s v="Lower"/>
  </r>
  <r>
    <s v="CUST100373"/>
    <n v="55"/>
    <x v="0"/>
    <s v="Female"/>
    <m/>
    <n v="1750000"/>
    <n v="84"/>
    <x v="3"/>
    <n v="37"/>
    <n v="8200"/>
    <n v="55"/>
    <s v="Bronze"/>
    <s v="Online"/>
    <s v="Higher"/>
  </r>
  <r>
    <s v="CUST100374"/>
    <n v="55"/>
    <x v="0"/>
    <m/>
    <s v="Pune"/>
    <n v="550000"/>
    <n v="92"/>
    <x v="3"/>
    <n v="31"/>
    <n v="11600"/>
    <n v="28"/>
    <m/>
    <m/>
    <s v="Lower"/>
  </r>
  <r>
    <s v="CUST100375"/>
    <n v="62"/>
    <x v="0"/>
    <s v="Female"/>
    <s v="Hyderabad"/>
    <n v="1225000"/>
    <n v="84"/>
    <x v="3"/>
    <n v="37"/>
    <n v="5100"/>
    <n v="118"/>
    <s v="Platinum"/>
    <s v="In-store"/>
    <s v="Higher"/>
  </r>
  <r>
    <s v="CUST100376"/>
    <n v="68"/>
    <x v="1"/>
    <m/>
    <s v="Kolkata"/>
    <n v="375000"/>
    <n v="75"/>
    <x v="3"/>
    <n v="45"/>
    <n v="7300"/>
    <n v="209"/>
    <s v="Bronze"/>
    <s v="Online"/>
    <s v="Lower"/>
  </r>
  <r>
    <s v="CUST100377"/>
    <m/>
    <x v="5"/>
    <m/>
    <s v="Hyderabad"/>
    <n v="1700000"/>
    <n v="74"/>
    <x v="3"/>
    <n v="8"/>
    <n v="3200"/>
    <n v="75"/>
    <s v="Platinum"/>
    <s v="Website"/>
    <s v="Lower"/>
  </r>
  <r>
    <s v="CUST100378"/>
    <n v="25"/>
    <x v="3"/>
    <m/>
    <m/>
    <n v="1300000"/>
    <n v="61"/>
    <x v="0"/>
    <n v="40"/>
    <n v="2100"/>
    <n v="65"/>
    <s v="Bronze"/>
    <s v="Website"/>
    <s v="Lower"/>
  </r>
  <r>
    <s v="CUST100379"/>
    <n v="44"/>
    <x v="4"/>
    <s v="Male"/>
    <s v="Hyderabad"/>
    <n v="1075000"/>
    <n v="23"/>
    <x v="2"/>
    <n v="5"/>
    <n v="5700"/>
    <n v="337"/>
    <m/>
    <m/>
    <s v="Higher"/>
  </r>
  <r>
    <s v="CUST100380"/>
    <n v="44"/>
    <x v="4"/>
    <s v="Male"/>
    <m/>
    <n v="1875000"/>
    <n v="37"/>
    <x v="0"/>
    <n v="28"/>
    <n v="6200"/>
    <n v="356"/>
    <s v="Platinum"/>
    <s v="Online"/>
    <s v="Higher"/>
  </r>
  <r>
    <s v="CUST100381"/>
    <n v="51"/>
    <x v="2"/>
    <s v="Female"/>
    <s v="Kolkata"/>
    <m/>
    <n v="41"/>
    <x v="0"/>
    <m/>
    <n v="8900"/>
    <n v="100"/>
    <s v="Silver"/>
    <m/>
    <s v="Higher"/>
  </r>
  <r>
    <s v="CUST100382"/>
    <n v="38"/>
    <x v="4"/>
    <s v="Female"/>
    <m/>
    <n v="1450000"/>
    <n v="52"/>
    <x v="0"/>
    <n v="9"/>
    <n v="7400"/>
    <n v="46"/>
    <s v="Gold"/>
    <s v="Online"/>
    <s v="Higher"/>
  </r>
  <r>
    <s v="CUST100383"/>
    <n v="47"/>
    <x v="2"/>
    <s v="Unknown"/>
    <s v="Kolkata"/>
    <n v="1225000"/>
    <n v="83"/>
    <x v="3"/>
    <n v="2"/>
    <n v="8300"/>
    <n v="316"/>
    <s v="Platinum"/>
    <s v="Online"/>
    <s v="Lower"/>
  </r>
  <r>
    <s v="CUST100384"/>
    <n v="50"/>
    <x v="2"/>
    <m/>
    <s v="Bengaluru"/>
    <n v="1975000"/>
    <n v="82"/>
    <x v="3"/>
    <n v="63"/>
    <n v="2300"/>
    <n v="156"/>
    <m/>
    <s v="Online"/>
    <s v="Lower"/>
  </r>
  <r>
    <s v="CUST100385"/>
    <n v="45"/>
    <x v="2"/>
    <s v="Unknown"/>
    <s v="Bengaluru"/>
    <n v="1475000"/>
    <n v="49"/>
    <x v="0"/>
    <n v="51"/>
    <n v="2800"/>
    <n v="240"/>
    <s v="Gold"/>
    <s v="Mobile App"/>
    <s v="Lower"/>
  </r>
  <r>
    <s v="CUST100386"/>
    <n v="64"/>
    <x v="0"/>
    <s v="Male"/>
    <m/>
    <n v="625000"/>
    <n v="27"/>
    <x v="2"/>
    <n v="31"/>
    <n v="3000"/>
    <n v="353"/>
    <s v="Gold"/>
    <m/>
    <s v="Higher"/>
  </r>
  <r>
    <s v="CUST100387"/>
    <n v="50"/>
    <x v="2"/>
    <m/>
    <s v="Bengaluru"/>
    <n v="900000"/>
    <n v="6"/>
    <x v="2"/>
    <n v="7"/>
    <n v="4100"/>
    <n v="259"/>
    <s v="Bronze"/>
    <s v="In-store"/>
    <s v="Lower"/>
  </r>
  <r>
    <s v="CUST100388"/>
    <n v="22"/>
    <x v="6"/>
    <s v="Female"/>
    <s v="Pune"/>
    <n v="300000"/>
    <n v="74"/>
    <x v="3"/>
    <n v="30"/>
    <n v="3500"/>
    <n v="136"/>
    <s v="Platinum"/>
    <s v="In-store"/>
    <s v="Higher"/>
  </r>
  <r>
    <s v="CUST100389"/>
    <n v="65"/>
    <x v="0"/>
    <s v="Male"/>
    <s v="Pune"/>
    <n v="1575000"/>
    <n v="66"/>
    <x v="0"/>
    <n v="58"/>
    <n v="4200"/>
    <n v="198"/>
    <m/>
    <s v="In-store"/>
    <s v="Higher"/>
  </r>
  <r>
    <s v="CUST100390"/>
    <n v="36"/>
    <x v="4"/>
    <s v="Unknown"/>
    <s v="Bengaluru"/>
    <n v="375000"/>
    <n v="24"/>
    <x v="2"/>
    <n v="3"/>
    <n v="8500"/>
    <n v="187"/>
    <s v="Gold"/>
    <s v="Mobile App"/>
    <s v="Lower"/>
  </r>
  <r>
    <s v="CUST100391"/>
    <n v="21"/>
    <x v="6"/>
    <s v="Male"/>
    <s v="Bengaluru"/>
    <n v="375000"/>
    <n v="38"/>
    <x v="0"/>
    <n v="51"/>
    <n v="3100"/>
    <n v="116"/>
    <m/>
    <m/>
    <s v="Higher"/>
  </r>
  <r>
    <s v="CUST100392"/>
    <n v="52"/>
    <x v="2"/>
    <s v="Female"/>
    <s v="Ahmedabad"/>
    <n v="1100000"/>
    <n v="28"/>
    <x v="2"/>
    <n v="56"/>
    <n v="2200"/>
    <n v="58"/>
    <m/>
    <m/>
    <s v="Higher"/>
  </r>
  <r>
    <s v="CUST100393"/>
    <n v="66"/>
    <x v="1"/>
    <m/>
    <s v="Ahmedabad"/>
    <n v="825000"/>
    <n v="28"/>
    <x v="2"/>
    <n v="73"/>
    <n v="2200"/>
    <n v="70"/>
    <m/>
    <m/>
    <s v="Lower"/>
  </r>
  <r>
    <s v="CUST100394"/>
    <n v="34"/>
    <x v="3"/>
    <m/>
    <s v="Kolkata"/>
    <n v="875000"/>
    <n v="66"/>
    <x v="0"/>
    <n v="10"/>
    <n v="7600"/>
    <n v="93"/>
    <m/>
    <s v="Mobile App"/>
    <s v="Lower"/>
  </r>
  <r>
    <s v="CUST100395"/>
    <n v="61"/>
    <x v="0"/>
    <s v="Female"/>
    <m/>
    <n v="1050000"/>
    <n v="61"/>
    <x v="0"/>
    <n v="61"/>
    <n v="1400"/>
    <n v="229"/>
    <m/>
    <m/>
    <s v="Higher"/>
  </r>
  <r>
    <s v="CUST100396"/>
    <n v="45"/>
    <x v="2"/>
    <s v="Female"/>
    <s v="Chennai"/>
    <n v="1800000"/>
    <n v="46"/>
    <x v="0"/>
    <n v="50"/>
    <n v="9900"/>
    <n v="137"/>
    <s v="Bronze"/>
    <s v="Online"/>
    <s v="Higher"/>
  </r>
  <r>
    <s v="CUST100397"/>
    <n v="47"/>
    <x v="2"/>
    <s v="Female"/>
    <s v="Chennai"/>
    <n v="1200000"/>
    <n v="69"/>
    <x v="3"/>
    <n v="47"/>
    <n v="2700"/>
    <n v="105"/>
    <s v="Silver"/>
    <s v="Website"/>
    <s v="Higher"/>
  </r>
  <r>
    <s v="CUST100398"/>
    <n v="46"/>
    <x v="2"/>
    <m/>
    <s v="Bengaluru"/>
    <n v="1425000"/>
    <n v="75"/>
    <x v="3"/>
    <n v="1"/>
    <n v="2700"/>
    <n v="305"/>
    <s v="Platinum"/>
    <s v="Online"/>
    <s v="Lower"/>
  </r>
  <r>
    <s v="CUST100399"/>
    <n v="63"/>
    <x v="0"/>
    <s v="Female"/>
    <s v="Hyderabad"/>
    <n v="1525000"/>
    <n v="74"/>
    <x v="3"/>
    <n v="57"/>
    <n v="11900"/>
    <n v="339"/>
    <s v="Gold"/>
    <s v="In-store"/>
    <s v="Higher"/>
  </r>
  <r>
    <s v="CUST100400"/>
    <m/>
    <x v="5"/>
    <s v="Unknown"/>
    <s v="Bengaluru"/>
    <m/>
    <n v="43"/>
    <x v="0"/>
    <n v="38"/>
    <n v="600"/>
    <n v="17"/>
    <s v="Platinum"/>
    <s v="Online"/>
    <s v="Lower"/>
  </r>
  <r>
    <s v="CUST100401"/>
    <n v="23"/>
    <x v="6"/>
    <s v="Male"/>
    <s v="Ahmedabad"/>
    <n v="1825000"/>
    <n v="59"/>
    <x v="0"/>
    <n v="62"/>
    <n v="600"/>
    <n v="54"/>
    <m/>
    <s v="Mobile App"/>
    <s v="Higher"/>
  </r>
  <r>
    <s v="CUST100402"/>
    <n v="52"/>
    <x v="2"/>
    <m/>
    <s v="Kolkata"/>
    <n v="350000"/>
    <n v="2"/>
    <x v="2"/>
    <n v="79"/>
    <n v="1100"/>
    <n v="112"/>
    <s v="Gold"/>
    <s v="In-store"/>
    <s v="Lower"/>
  </r>
  <r>
    <s v="CUST100403"/>
    <n v="58"/>
    <x v="0"/>
    <s v="Female"/>
    <s v="Bengaluru"/>
    <n v="700000"/>
    <n v="15"/>
    <x v="2"/>
    <n v="70"/>
    <n v="1700"/>
    <n v="172"/>
    <s v="Bronze"/>
    <s v="Website"/>
    <s v="Higher"/>
  </r>
  <r>
    <s v="CUST100404"/>
    <n v="54"/>
    <x v="2"/>
    <s v="Female"/>
    <m/>
    <n v="1700000"/>
    <n v="37"/>
    <x v="0"/>
    <n v="65"/>
    <n v="2800"/>
    <n v="305"/>
    <s v="Platinum"/>
    <m/>
    <s v="Higher"/>
  </r>
  <r>
    <s v="CUST100405"/>
    <n v="41"/>
    <x v="4"/>
    <s v="Female"/>
    <s v="Hyderabad"/>
    <n v="1650000"/>
    <n v="71"/>
    <x v="3"/>
    <n v="62"/>
    <n v="8100"/>
    <n v="144"/>
    <s v="Bronze"/>
    <m/>
    <s v="Higher"/>
  </r>
  <r>
    <s v="CUST100406"/>
    <n v="46"/>
    <x v="2"/>
    <s v="Male"/>
    <m/>
    <n v="1125000"/>
    <n v="20"/>
    <x v="2"/>
    <n v="56"/>
    <n v="9200"/>
    <n v="85"/>
    <s v="Bronze"/>
    <s v="In-store"/>
    <s v="Higher"/>
  </r>
  <r>
    <s v="CUST100407"/>
    <n v="66"/>
    <x v="1"/>
    <m/>
    <s v="Kolkata"/>
    <n v="1225000"/>
    <n v="98"/>
    <x v="3"/>
    <n v="67"/>
    <n v="9400"/>
    <n v="12"/>
    <s v="Platinum"/>
    <s v="Online"/>
    <s v="Lower"/>
  </r>
  <r>
    <s v="CUST100408"/>
    <n v="63"/>
    <x v="0"/>
    <s v="Male"/>
    <s v="Kolkata"/>
    <n v="725000"/>
    <n v="35"/>
    <x v="0"/>
    <n v="17"/>
    <n v="7300"/>
    <n v="252"/>
    <s v="Platinum"/>
    <m/>
    <s v="Higher"/>
  </r>
  <r>
    <s v="CUST100409"/>
    <m/>
    <x v="5"/>
    <s v="Male"/>
    <s v="Pune"/>
    <n v="1400000"/>
    <n v="34"/>
    <x v="0"/>
    <n v="8"/>
    <n v="3400"/>
    <n v="216"/>
    <s v="Gold"/>
    <m/>
    <s v="Higher"/>
  </r>
  <r>
    <s v="CUST100410"/>
    <n v="48"/>
    <x v="2"/>
    <m/>
    <s v="Delhi"/>
    <n v="1575000"/>
    <n v="86"/>
    <x v="3"/>
    <n v="60"/>
    <n v="7800"/>
    <n v="126"/>
    <m/>
    <m/>
    <s v="Lower"/>
  </r>
  <r>
    <s v="CUST100411"/>
    <n v="52"/>
    <x v="2"/>
    <m/>
    <m/>
    <n v="950000"/>
    <n v="31"/>
    <x v="2"/>
    <n v="40"/>
    <n v="10100"/>
    <n v="98"/>
    <m/>
    <m/>
    <s v="Lower"/>
  </r>
  <r>
    <s v="CUST100412"/>
    <n v="50"/>
    <x v="2"/>
    <m/>
    <s v="Pune"/>
    <n v="525000"/>
    <n v="87"/>
    <x v="3"/>
    <m/>
    <n v="5400"/>
    <n v="304"/>
    <m/>
    <s v="In-store"/>
    <s v="Lower"/>
  </r>
  <r>
    <s v="CUST100413"/>
    <n v="69"/>
    <x v="1"/>
    <m/>
    <s v="Ahmedabad"/>
    <n v="675000"/>
    <n v="19"/>
    <x v="2"/>
    <n v="62"/>
    <n v="3400"/>
    <n v="28"/>
    <s v="Bronze"/>
    <m/>
    <s v="Lower"/>
  </r>
  <r>
    <s v="CUST100414"/>
    <n v="38"/>
    <x v="4"/>
    <s v="Male"/>
    <s v="Mumbai"/>
    <n v="1550000"/>
    <n v="68"/>
    <x v="3"/>
    <n v="41"/>
    <n v="1100"/>
    <n v="336"/>
    <m/>
    <s v="Mobile App"/>
    <s v="Higher"/>
  </r>
  <r>
    <s v="CUST100415"/>
    <n v="49"/>
    <x v="2"/>
    <s v="Female"/>
    <s v="Hyderabad"/>
    <n v="1675000"/>
    <n v="24"/>
    <x v="2"/>
    <n v="12"/>
    <n v="8000"/>
    <n v="266"/>
    <s v="Silver"/>
    <m/>
    <s v="Higher"/>
  </r>
  <r>
    <s v="CUST100416"/>
    <n v="40"/>
    <x v="4"/>
    <s v="Male"/>
    <s v="Mumbai"/>
    <n v="1900000"/>
    <n v="84"/>
    <x v="3"/>
    <n v="54"/>
    <n v="1500"/>
    <n v="52"/>
    <s v="Gold"/>
    <s v="Website"/>
    <s v="Higher"/>
  </r>
  <r>
    <s v="CUST100417"/>
    <n v="50"/>
    <x v="2"/>
    <s v="Unknown"/>
    <m/>
    <n v="1925000"/>
    <n v="39"/>
    <x v="0"/>
    <n v="11"/>
    <n v="5800"/>
    <n v="143"/>
    <s v="Gold"/>
    <m/>
    <s v="Lower"/>
  </r>
  <r>
    <s v="CUST100418"/>
    <n v="20"/>
    <x v="6"/>
    <s v="Female"/>
    <s v="Ahmedabad"/>
    <n v="1875000"/>
    <n v="92"/>
    <x v="3"/>
    <n v="60"/>
    <n v="4600"/>
    <n v="132"/>
    <m/>
    <s v="Mobile App"/>
    <s v="Higher"/>
  </r>
  <r>
    <s v="CUST100419"/>
    <n v="35"/>
    <x v="4"/>
    <m/>
    <s v="Ahmedabad"/>
    <n v="875000"/>
    <n v="54"/>
    <x v="0"/>
    <n v="68"/>
    <n v="9900"/>
    <n v="346"/>
    <m/>
    <s v="Mobile App"/>
    <s v="Lower"/>
  </r>
  <r>
    <s v="CUST100420"/>
    <n v="42"/>
    <x v="4"/>
    <s v="Female"/>
    <s v="Mumbai"/>
    <n v="700000"/>
    <n v="39"/>
    <x v="0"/>
    <n v="78"/>
    <n v="9800"/>
    <n v="207"/>
    <s v="Bronze"/>
    <s v="In-store"/>
    <s v="Higher"/>
  </r>
  <r>
    <s v="CUST100421"/>
    <n v="59"/>
    <x v="0"/>
    <s v="Male"/>
    <m/>
    <n v="925000"/>
    <n v="17"/>
    <x v="2"/>
    <n v="46"/>
    <n v="8500"/>
    <n v="62"/>
    <s v="Gold"/>
    <m/>
    <s v="Higher"/>
  </r>
  <r>
    <s v="CUST100422"/>
    <n v="48"/>
    <x v="2"/>
    <s v="Male"/>
    <s v="Delhi"/>
    <n v="1550000"/>
    <n v="19"/>
    <x v="2"/>
    <n v="38"/>
    <n v="3200"/>
    <n v="363"/>
    <s v="Gold"/>
    <s v="In-store"/>
    <s v="Higher"/>
  </r>
  <r>
    <s v="CUST100423"/>
    <m/>
    <x v="5"/>
    <s v="Female"/>
    <m/>
    <n v="350000"/>
    <n v="48"/>
    <x v="0"/>
    <n v="61"/>
    <n v="1800"/>
    <n v="132"/>
    <s v="Silver"/>
    <s v="Website"/>
    <s v="Higher"/>
  </r>
  <r>
    <s v="CUST100424"/>
    <n v="20"/>
    <x v="6"/>
    <s v="Female"/>
    <s v="Mumbai"/>
    <n v="900000"/>
    <n v="35"/>
    <x v="0"/>
    <n v="17"/>
    <n v="1400"/>
    <n v="41"/>
    <s v="Bronze"/>
    <s v="Website"/>
    <s v="Higher"/>
  </r>
  <r>
    <s v="CUST100425"/>
    <n v="57"/>
    <x v="0"/>
    <s v="Male"/>
    <m/>
    <n v="1900000"/>
    <n v="32"/>
    <x v="2"/>
    <n v="66"/>
    <n v="7600"/>
    <n v="201"/>
    <s v="Bronze"/>
    <s v="Online"/>
    <s v="Higher"/>
  </r>
  <r>
    <s v="CUST100426"/>
    <n v="63"/>
    <x v="0"/>
    <s v="Male"/>
    <m/>
    <n v="350000"/>
    <n v="47"/>
    <x v="0"/>
    <n v="72"/>
    <n v="6800"/>
    <n v="99"/>
    <m/>
    <s v="Website"/>
    <s v="Higher"/>
  </r>
  <r>
    <s v="CUST100427"/>
    <n v="41"/>
    <x v="4"/>
    <s v="Unknown"/>
    <s v="Chennai"/>
    <n v="450000"/>
    <n v="47"/>
    <x v="0"/>
    <n v="36"/>
    <n v="2000"/>
    <n v="311"/>
    <m/>
    <m/>
    <s v="Lower"/>
  </r>
  <r>
    <s v="CUST100428"/>
    <n v="67"/>
    <x v="1"/>
    <s v="Unknown"/>
    <m/>
    <n v="1575000"/>
    <n v="64"/>
    <x v="0"/>
    <n v="74"/>
    <n v="1500"/>
    <n v="284"/>
    <m/>
    <m/>
    <s v="Lower"/>
  </r>
  <r>
    <s v="CUST100429"/>
    <n v="49"/>
    <x v="2"/>
    <s v="Male"/>
    <s v="Kolkata"/>
    <n v="200000"/>
    <n v="46"/>
    <x v="0"/>
    <n v="7"/>
    <n v="9500"/>
    <n v="357"/>
    <s v="Bronze"/>
    <s v="In-store"/>
    <s v="Higher"/>
  </r>
  <r>
    <s v="CUST100430"/>
    <n v="64"/>
    <x v="0"/>
    <s v="Male"/>
    <s v="Pune"/>
    <n v="1000000"/>
    <n v="35"/>
    <x v="0"/>
    <n v="16"/>
    <n v="2600"/>
    <n v="47"/>
    <s v="Silver"/>
    <s v="Mobile App"/>
    <s v="Higher"/>
  </r>
  <r>
    <s v="CUST100431"/>
    <n v="39"/>
    <x v="4"/>
    <m/>
    <s v="Hyderabad"/>
    <n v="650000"/>
    <n v="94"/>
    <x v="3"/>
    <n v="14"/>
    <n v="10400"/>
    <n v="137"/>
    <s v="Bronze"/>
    <s v="Online"/>
    <s v="Lower"/>
  </r>
  <r>
    <s v="CUST100432"/>
    <n v="40"/>
    <x v="4"/>
    <s v="Male"/>
    <m/>
    <n v="1725000"/>
    <n v="17"/>
    <x v="2"/>
    <m/>
    <n v="1400"/>
    <n v="130"/>
    <m/>
    <s v="Website"/>
    <s v="Higher"/>
  </r>
  <r>
    <s v="CUST100433"/>
    <n v="19"/>
    <x v="6"/>
    <s v="Unknown"/>
    <s v="Delhi"/>
    <n v="1425000"/>
    <n v="42"/>
    <x v="0"/>
    <n v="25"/>
    <n v="6200"/>
    <n v="195"/>
    <s v="Platinum"/>
    <s v="Mobile App"/>
    <s v="Lower"/>
  </r>
  <r>
    <s v="CUST100434"/>
    <n v="44"/>
    <x v="4"/>
    <s v="Female"/>
    <s v="Delhi"/>
    <n v="975000"/>
    <n v="29"/>
    <x v="2"/>
    <n v="4"/>
    <n v="6200"/>
    <n v="117"/>
    <s v="Platinum"/>
    <s v="In-store"/>
    <s v="Higher"/>
  </r>
  <r>
    <s v="CUST100435"/>
    <n v="59"/>
    <x v="0"/>
    <s v="Male"/>
    <m/>
    <n v="1000000"/>
    <n v="70"/>
    <x v="3"/>
    <n v="29"/>
    <n v="9500"/>
    <n v="364"/>
    <s v="Silver"/>
    <m/>
    <s v="Higher"/>
  </r>
  <r>
    <s v="CUST100436"/>
    <n v="19"/>
    <x v="6"/>
    <s v="Unknown"/>
    <s v="Bengaluru"/>
    <n v="500000"/>
    <n v="17"/>
    <x v="2"/>
    <n v="56"/>
    <n v="8800"/>
    <n v="69"/>
    <m/>
    <s v="Online"/>
    <s v="Lower"/>
  </r>
  <r>
    <s v="CUST100437"/>
    <n v="43"/>
    <x v="4"/>
    <s v="Unknown"/>
    <s v="Ahmedabad"/>
    <n v="275000"/>
    <n v="81"/>
    <x v="3"/>
    <n v="6"/>
    <n v="10200"/>
    <n v="28"/>
    <s v="Gold"/>
    <m/>
    <s v="Lower"/>
  </r>
  <r>
    <s v="CUST100438"/>
    <n v="34"/>
    <x v="3"/>
    <m/>
    <m/>
    <n v="925000"/>
    <n v="14"/>
    <x v="2"/>
    <n v="1"/>
    <n v="300"/>
    <n v="335"/>
    <s v="Bronze"/>
    <s v="Mobile App"/>
    <s v="Lower"/>
  </r>
  <r>
    <s v="CUST100439"/>
    <n v="57"/>
    <x v="0"/>
    <s v="Male"/>
    <s v="Ahmedabad"/>
    <n v="1425000"/>
    <n v="24"/>
    <x v="2"/>
    <n v="39"/>
    <n v="4500"/>
    <n v="14"/>
    <m/>
    <s v="In-store"/>
    <s v="Higher"/>
  </r>
  <r>
    <s v="CUST100440"/>
    <n v="50"/>
    <x v="2"/>
    <m/>
    <s v="Chennai"/>
    <n v="825000"/>
    <n v="57"/>
    <x v="0"/>
    <n v="1"/>
    <n v="5700"/>
    <n v="46"/>
    <m/>
    <s v="In-store"/>
    <s v="Lower"/>
  </r>
  <r>
    <s v="CUST100441"/>
    <n v="26"/>
    <x v="3"/>
    <s v="Male"/>
    <s v="Mumbai"/>
    <n v="1725000"/>
    <n v="50"/>
    <x v="0"/>
    <n v="63"/>
    <n v="4200"/>
    <n v="16"/>
    <m/>
    <s v="Online"/>
    <s v="Higher"/>
  </r>
  <r>
    <s v="CUST100442"/>
    <n v="60"/>
    <x v="0"/>
    <m/>
    <s v="Chennai"/>
    <n v="600000"/>
    <n v="57"/>
    <x v="0"/>
    <n v="57"/>
    <n v="6600"/>
    <n v="209"/>
    <m/>
    <s v="Online"/>
    <s v="Lower"/>
  </r>
  <r>
    <s v="CUST100443"/>
    <m/>
    <x v="5"/>
    <s v="Male"/>
    <m/>
    <n v="500000"/>
    <m/>
    <x v="1"/>
    <n v="67"/>
    <n v="3600"/>
    <n v="158"/>
    <s v="Bronze"/>
    <s v="Website"/>
    <s v="Higher"/>
  </r>
  <r>
    <s v="CUST100444"/>
    <n v="65"/>
    <x v="0"/>
    <s v="Female"/>
    <s v="Delhi"/>
    <n v="275000"/>
    <n v="61"/>
    <x v="0"/>
    <n v="65"/>
    <n v="3600"/>
    <n v="337"/>
    <s v="Gold"/>
    <s v="Website"/>
    <s v="Higher"/>
  </r>
  <r>
    <s v="CUST100445"/>
    <n v="56"/>
    <x v="0"/>
    <s v="Female"/>
    <s v="Bengaluru"/>
    <n v="1950000"/>
    <n v="39"/>
    <x v="0"/>
    <n v="65"/>
    <n v="5000"/>
    <n v="227"/>
    <s v="Bronze"/>
    <m/>
    <s v="Higher"/>
  </r>
  <r>
    <s v="CUST100446"/>
    <n v="46"/>
    <x v="2"/>
    <s v="Male"/>
    <m/>
    <n v="1075000"/>
    <n v="55"/>
    <x v="0"/>
    <n v="21"/>
    <n v="3500"/>
    <n v="241"/>
    <s v="Gold"/>
    <m/>
    <s v="Higher"/>
  </r>
  <r>
    <s v="CUST100447"/>
    <n v="59"/>
    <x v="0"/>
    <s v="Female"/>
    <s v="Ahmedabad"/>
    <n v="775000"/>
    <n v="96"/>
    <x v="3"/>
    <n v="30"/>
    <n v="7000"/>
    <n v="58"/>
    <m/>
    <s v="Online"/>
    <s v="Higher"/>
  </r>
  <r>
    <s v="CUST100448"/>
    <s v="NA"/>
    <x v="5"/>
    <m/>
    <s v="Pune"/>
    <n v="1400000"/>
    <n v="36"/>
    <x v="0"/>
    <n v="33"/>
    <n v="10400"/>
    <n v="304"/>
    <s v="Silver"/>
    <s v="Online"/>
    <s v="Lower"/>
  </r>
  <r>
    <s v="CUST100449"/>
    <n v="43"/>
    <x v="4"/>
    <s v="Unknown"/>
    <s v="Ahmedabad"/>
    <n v="1950000"/>
    <n v="37"/>
    <x v="0"/>
    <n v="48"/>
    <n v="3200"/>
    <n v="305"/>
    <s v="Gold"/>
    <s v="Mobile App"/>
    <s v="Lower"/>
  </r>
  <r>
    <s v="CUST100450"/>
    <n v="52"/>
    <x v="2"/>
    <s v="Unknown"/>
    <s v="Kolkata"/>
    <n v="1450000"/>
    <n v="14"/>
    <x v="2"/>
    <n v="22"/>
    <n v="11900"/>
    <n v="345"/>
    <m/>
    <s v="Website"/>
    <s v="Lower"/>
  </r>
  <r>
    <s v="CUST100451"/>
    <n v="67"/>
    <x v="1"/>
    <s v="Male"/>
    <s v="Hyderabad"/>
    <n v="1525000"/>
    <n v="27"/>
    <x v="2"/>
    <n v="54"/>
    <n v="11800"/>
    <n v="130"/>
    <s v="Silver"/>
    <s v="In-store"/>
    <s v="Higher"/>
  </r>
  <r>
    <s v="CUST100452"/>
    <n v="42"/>
    <x v="4"/>
    <m/>
    <m/>
    <n v="1600000"/>
    <n v="83"/>
    <x v="3"/>
    <n v="4"/>
    <n v="11200"/>
    <n v="217"/>
    <m/>
    <s v="Website"/>
    <s v="Lower"/>
  </r>
  <r>
    <s v="CUST100453"/>
    <n v="41"/>
    <x v="4"/>
    <s v="Female"/>
    <s v="Chennai"/>
    <n v="1875000"/>
    <n v="31"/>
    <x v="2"/>
    <n v="55"/>
    <n v="8600"/>
    <n v="14"/>
    <s v="Platinum"/>
    <s v="Website"/>
    <s v="Higher"/>
  </r>
  <r>
    <s v="CUST100454"/>
    <n v="30"/>
    <x v="3"/>
    <s v="Male"/>
    <s v="Pune"/>
    <n v="1575000"/>
    <n v="73"/>
    <x v="3"/>
    <n v="44"/>
    <n v="9200"/>
    <n v="359"/>
    <s v="Silver"/>
    <s v="Online"/>
    <s v="Higher"/>
  </r>
  <r>
    <s v="CUST100455"/>
    <n v="24"/>
    <x v="6"/>
    <m/>
    <s v="Delhi"/>
    <n v="450000"/>
    <m/>
    <x v="1"/>
    <n v="12"/>
    <n v="8100"/>
    <n v="243"/>
    <s v="Gold"/>
    <s v="Online"/>
    <s v="Lower"/>
  </r>
  <r>
    <s v="CUST100456"/>
    <n v="53"/>
    <x v="2"/>
    <m/>
    <s v="Delhi"/>
    <n v="1200000"/>
    <n v="81"/>
    <x v="3"/>
    <m/>
    <n v="7300"/>
    <n v="145"/>
    <s v="Silver"/>
    <s v="Website"/>
    <s v="Lower"/>
  </r>
  <r>
    <s v="CUST100457"/>
    <n v="62"/>
    <x v="0"/>
    <s v="Male"/>
    <s v="Delhi"/>
    <m/>
    <n v="83"/>
    <x v="3"/>
    <n v="79"/>
    <n v="7300"/>
    <n v="326"/>
    <m/>
    <m/>
    <s v="Higher"/>
  </r>
  <r>
    <s v="CUST100458"/>
    <n v="37"/>
    <x v="4"/>
    <s v="Male"/>
    <m/>
    <n v="1400000"/>
    <n v="44"/>
    <x v="0"/>
    <n v="74"/>
    <n v="11600"/>
    <n v="103"/>
    <s v="Silver"/>
    <m/>
    <s v="Higher"/>
  </r>
  <r>
    <s v="CUST100459"/>
    <n v="18"/>
    <x v="6"/>
    <s v="Unknown"/>
    <s v="Kolkata"/>
    <n v="600000"/>
    <n v="68"/>
    <x v="3"/>
    <n v="52"/>
    <n v="3100"/>
    <n v="217"/>
    <m/>
    <m/>
    <s v="Lower"/>
  </r>
  <r>
    <s v="CUST100460"/>
    <n v="25"/>
    <x v="3"/>
    <s v="Male"/>
    <s v="Delhi"/>
    <n v="650000"/>
    <n v="48"/>
    <x v="0"/>
    <n v="76"/>
    <n v="2500"/>
    <n v="358"/>
    <s v="Platinum"/>
    <s v="Website"/>
    <s v="Higher"/>
  </r>
  <r>
    <s v="CUST100461"/>
    <n v="63"/>
    <x v="0"/>
    <s v="Male"/>
    <s v="Delhi"/>
    <n v="725000"/>
    <n v="57"/>
    <x v="0"/>
    <n v="65"/>
    <n v="3600"/>
    <n v="64"/>
    <s v="Gold"/>
    <m/>
    <s v="Higher"/>
  </r>
  <r>
    <s v="CUST100462"/>
    <n v="33"/>
    <x v="3"/>
    <s v="Male"/>
    <m/>
    <n v="775000"/>
    <n v="75"/>
    <x v="3"/>
    <n v="65"/>
    <n v="8600"/>
    <n v="158"/>
    <m/>
    <m/>
    <s v="Higher"/>
  </r>
  <r>
    <s v="CUST100463"/>
    <n v="31"/>
    <x v="3"/>
    <s v="Unknown"/>
    <s v="Kolkata"/>
    <n v="1250000"/>
    <n v="22"/>
    <x v="2"/>
    <n v="10"/>
    <n v="1700"/>
    <n v="162"/>
    <s v="Silver"/>
    <m/>
    <s v="Lower"/>
  </r>
  <r>
    <s v="CUST100464"/>
    <n v="29"/>
    <x v="3"/>
    <s v="Male"/>
    <s v="Bengaluru"/>
    <n v="825000"/>
    <n v="4"/>
    <x v="2"/>
    <n v="18"/>
    <n v="9900"/>
    <n v="18"/>
    <s v="Bronze"/>
    <s v="Website"/>
    <s v="Higher"/>
  </r>
  <r>
    <s v="CUST100465"/>
    <n v="68"/>
    <x v="1"/>
    <s v="Male"/>
    <s v="Bengaluru"/>
    <n v="850000"/>
    <n v="81"/>
    <x v="3"/>
    <n v="47"/>
    <n v="5500"/>
    <n v="216"/>
    <m/>
    <m/>
    <s v="Higher"/>
  </r>
  <r>
    <s v="CUST100466"/>
    <n v="40"/>
    <x v="4"/>
    <m/>
    <s v="Kolkata"/>
    <n v="550000"/>
    <n v="72"/>
    <x v="3"/>
    <n v="66"/>
    <n v="1900"/>
    <n v="319"/>
    <s v="Silver"/>
    <s v="Online"/>
    <s v="Lower"/>
  </r>
  <r>
    <s v="CUST100467"/>
    <n v="32"/>
    <x v="3"/>
    <m/>
    <s v="Hyderabad"/>
    <n v="1825000"/>
    <n v="46"/>
    <x v="0"/>
    <n v="49"/>
    <n v="6600"/>
    <n v="49"/>
    <m/>
    <s v="Online"/>
    <s v="Lower"/>
  </r>
  <r>
    <s v="CUST100468"/>
    <n v="45"/>
    <x v="2"/>
    <s v="Male"/>
    <m/>
    <n v="1225000"/>
    <n v="59"/>
    <x v="0"/>
    <n v="72"/>
    <n v="8600"/>
    <n v="56"/>
    <s v="Bronze"/>
    <s v="Online"/>
    <s v="Higher"/>
  </r>
  <r>
    <s v="CUST100469"/>
    <n v="51"/>
    <x v="2"/>
    <m/>
    <s v="Pune"/>
    <n v="1650000"/>
    <n v="34"/>
    <x v="0"/>
    <n v="22"/>
    <n v="6300"/>
    <n v="347"/>
    <m/>
    <s v="In-store"/>
    <s v="Lower"/>
  </r>
  <r>
    <s v="CUST100470"/>
    <n v="19"/>
    <x v="6"/>
    <s v="Unknown"/>
    <s v="Ahmedabad"/>
    <n v="1825000"/>
    <n v="11"/>
    <x v="2"/>
    <n v="26"/>
    <n v="5900"/>
    <n v="58"/>
    <m/>
    <s v="Online"/>
    <s v="Lower"/>
  </r>
  <r>
    <s v="CUST100471"/>
    <n v="49"/>
    <x v="2"/>
    <s v="Male"/>
    <m/>
    <n v="1975000"/>
    <n v="31"/>
    <x v="2"/>
    <n v="9"/>
    <n v="7900"/>
    <n v="155"/>
    <s v="Bronze"/>
    <s v="Online"/>
    <s v="Higher"/>
  </r>
  <r>
    <s v="CUST100472"/>
    <n v="40"/>
    <x v="4"/>
    <m/>
    <s v="Mumbai"/>
    <n v="750000"/>
    <n v="11"/>
    <x v="2"/>
    <n v="21"/>
    <n v="11000"/>
    <n v="55"/>
    <s v="Bronze"/>
    <s v="Website"/>
    <s v="Lower"/>
  </r>
  <r>
    <s v="CUST100473"/>
    <n v="39"/>
    <x v="4"/>
    <s v="Male"/>
    <s v="Bengaluru"/>
    <n v="1800000"/>
    <n v="56"/>
    <x v="0"/>
    <n v="63"/>
    <n v="9000"/>
    <n v="341"/>
    <s v="Bronze"/>
    <m/>
    <s v="Higher"/>
  </r>
  <r>
    <s v="CUST100474"/>
    <n v="68"/>
    <x v="1"/>
    <s v="Male"/>
    <s v="Kolkata"/>
    <n v="175000"/>
    <n v="38"/>
    <x v="0"/>
    <n v="6"/>
    <m/>
    <n v="19"/>
    <s v="Platinum"/>
    <m/>
    <s v="Higher"/>
  </r>
  <r>
    <s v="CUST100475"/>
    <n v="42"/>
    <x v="4"/>
    <s v="Unknown"/>
    <s v="Pune"/>
    <n v="1350000"/>
    <n v="21"/>
    <x v="2"/>
    <n v="14"/>
    <n v="11300"/>
    <n v="151"/>
    <m/>
    <s v="Online"/>
    <s v="Lower"/>
  </r>
  <r>
    <s v="CUST100476"/>
    <n v="39"/>
    <x v="4"/>
    <m/>
    <s v="Kolkata"/>
    <n v="1875000"/>
    <n v="94"/>
    <x v="3"/>
    <n v="33"/>
    <n v="3900"/>
    <n v="359"/>
    <m/>
    <s v="Online"/>
    <s v="Lower"/>
  </r>
  <r>
    <s v="CUST100477"/>
    <n v="39"/>
    <x v="4"/>
    <m/>
    <s v="Ahmedabad"/>
    <n v="775000"/>
    <n v="10"/>
    <x v="2"/>
    <n v="71"/>
    <n v="900"/>
    <n v="108"/>
    <s v="Bronze"/>
    <s v="Online"/>
    <s v="Lower"/>
  </r>
  <r>
    <s v="CUST100478"/>
    <n v="66"/>
    <x v="1"/>
    <s v="Unknown"/>
    <s v="Pune"/>
    <n v="1925000"/>
    <n v="26"/>
    <x v="2"/>
    <n v="24"/>
    <n v="1000"/>
    <n v="47"/>
    <m/>
    <m/>
    <s v="Lower"/>
  </r>
  <r>
    <s v="CUST100479"/>
    <n v="69"/>
    <x v="1"/>
    <s v="Male"/>
    <s v="Bengaluru"/>
    <n v="800000"/>
    <n v="91"/>
    <x v="3"/>
    <n v="73"/>
    <n v="8900"/>
    <n v="207"/>
    <m/>
    <s v="Website"/>
    <s v="Higher"/>
  </r>
  <r>
    <s v="CUST100480"/>
    <n v="59"/>
    <x v="0"/>
    <s v="Female"/>
    <s v="Delhi"/>
    <n v="575000"/>
    <n v="8"/>
    <x v="2"/>
    <n v="75"/>
    <n v="8000"/>
    <n v="363"/>
    <s v="Bronze"/>
    <s v="Website"/>
    <s v="Higher"/>
  </r>
  <r>
    <s v="CUST100481"/>
    <n v="23"/>
    <x v="6"/>
    <s v="Male"/>
    <s v="Kolkata"/>
    <n v="1475000"/>
    <n v="8"/>
    <x v="2"/>
    <n v="51"/>
    <n v="7000"/>
    <n v="340"/>
    <s v="Silver"/>
    <s v="Website"/>
    <s v="Higher"/>
  </r>
  <r>
    <s v="CUST100482"/>
    <n v="32"/>
    <x v="3"/>
    <s v="Female"/>
    <s v="Mumbai"/>
    <n v="150000"/>
    <n v="60"/>
    <x v="0"/>
    <n v="2"/>
    <n v="2300"/>
    <n v="128"/>
    <s v="Bronze"/>
    <m/>
    <s v="Higher"/>
  </r>
  <r>
    <s v="CUST100483"/>
    <m/>
    <x v="5"/>
    <s v="Unknown"/>
    <s v="Bengaluru"/>
    <n v="1650000"/>
    <n v="72"/>
    <x v="3"/>
    <n v="15"/>
    <n v="6300"/>
    <n v="185"/>
    <s v="Bronze"/>
    <s v="In-store"/>
    <s v="Lower"/>
  </r>
  <r>
    <s v="CUST100484"/>
    <n v="60"/>
    <x v="0"/>
    <s v="Unknown"/>
    <s v="Chennai"/>
    <n v="200000"/>
    <n v="34"/>
    <x v="0"/>
    <n v="35"/>
    <n v="11200"/>
    <n v="58"/>
    <m/>
    <m/>
    <s v="Lower"/>
  </r>
  <r>
    <s v="CUST100485"/>
    <n v="54"/>
    <x v="2"/>
    <s v="Unknown"/>
    <s v="Mumbai"/>
    <n v="1825000"/>
    <n v="16"/>
    <x v="2"/>
    <n v="36"/>
    <n v="7600"/>
    <n v="143"/>
    <s v="Gold"/>
    <s v="Website"/>
    <s v="Lower"/>
  </r>
  <r>
    <s v="CUST100486"/>
    <n v="50"/>
    <x v="2"/>
    <s v="Female"/>
    <s v="Hyderabad"/>
    <n v="1150000"/>
    <n v="13"/>
    <x v="2"/>
    <n v="39"/>
    <n v="8800"/>
    <n v="97"/>
    <m/>
    <s v="Mobile App"/>
    <s v="Higher"/>
  </r>
  <r>
    <s v="CUST100487"/>
    <n v="25"/>
    <x v="3"/>
    <s v="Unknown"/>
    <m/>
    <n v="1050000"/>
    <n v="87"/>
    <x v="3"/>
    <n v="4"/>
    <n v="9600"/>
    <n v="47"/>
    <m/>
    <s v="In-store"/>
    <s v="Lower"/>
  </r>
  <r>
    <s v="CUST100488"/>
    <m/>
    <x v="5"/>
    <s v="Male"/>
    <s v="Bengaluru"/>
    <n v="1400000"/>
    <n v="76"/>
    <x v="3"/>
    <n v="64"/>
    <n v="9600"/>
    <n v="191"/>
    <m/>
    <s v="Online"/>
    <s v="Higher"/>
  </r>
  <r>
    <s v="CUST100489"/>
    <n v="61"/>
    <x v="0"/>
    <s v="Unknown"/>
    <s v="Delhi"/>
    <n v="500000"/>
    <n v="91"/>
    <x v="3"/>
    <n v="74"/>
    <n v="8200"/>
    <n v="140"/>
    <s v="Silver"/>
    <m/>
    <s v="Lower"/>
  </r>
  <r>
    <s v="CUST100490"/>
    <n v="61"/>
    <x v="0"/>
    <s v="Female"/>
    <s v="Bengaluru"/>
    <n v="325000"/>
    <n v="22"/>
    <x v="2"/>
    <n v="6"/>
    <n v="7700"/>
    <n v="103"/>
    <s v="Platinum"/>
    <m/>
    <s v="Higher"/>
  </r>
  <r>
    <s v="CUST100491"/>
    <n v="22"/>
    <x v="6"/>
    <m/>
    <s v="Ahmedabad"/>
    <n v="1075000"/>
    <n v="96"/>
    <x v="3"/>
    <n v="57"/>
    <n v="8800"/>
    <n v="231"/>
    <s v="Gold"/>
    <m/>
    <s v="Lower"/>
  </r>
  <r>
    <s v="CUST100492"/>
    <n v="56"/>
    <x v="0"/>
    <s v="Female"/>
    <s v="Pune"/>
    <n v="1525000"/>
    <n v="27"/>
    <x v="2"/>
    <n v="30"/>
    <n v="3100"/>
    <n v="340"/>
    <s v="Silver"/>
    <s v="In-store"/>
    <s v="Higher"/>
  </r>
  <r>
    <s v="CUST100493"/>
    <n v="21"/>
    <x v="6"/>
    <s v="Female"/>
    <s v="Kolkata"/>
    <n v="1300000"/>
    <n v="64"/>
    <x v="0"/>
    <n v="74"/>
    <n v="2700"/>
    <n v="49"/>
    <s v="Silver"/>
    <s v="Mobile App"/>
    <s v="Higher"/>
  </r>
  <r>
    <s v="CUST100494"/>
    <n v="23"/>
    <x v="6"/>
    <s v="Unknown"/>
    <s v="Pune"/>
    <n v="375000"/>
    <n v="2"/>
    <x v="2"/>
    <n v="67"/>
    <n v="6000"/>
    <n v="112"/>
    <m/>
    <s v="In-store"/>
    <s v="Lower"/>
  </r>
  <r>
    <s v="CUST100495"/>
    <n v="62"/>
    <x v="0"/>
    <s v="Male"/>
    <s v="Pune"/>
    <n v="1350000"/>
    <n v="97"/>
    <x v="3"/>
    <n v="15"/>
    <n v="1600"/>
    <n v="316"/>
    <s v="Gold"/>
    <m/>
    <s v="Higher"/>
  </r>
  <r>
    <s v="CUST100496"/>
    <n v="49"/>
    <x v="2"/>
    <s v="Male"/>
    <s v="Bengaluru"/>
    <n v="1150000"/>
    <n v="26"/>
    <x v="2"/>
    <n v="17"/>
    <n v="8000"/>
    <n v="322"/>
    <m/>
    <s v="Website"/>
    <s v="Higher"/>
  </r>
  <r>
    <s v="CUST100497"/>
    <n v="69"/>
    <x v="1"/>
    <m/>
    <s v="Ahmedabad"/>
    <n v="875000"/>
    <n v="92"/>
    <x v="3"/>
    <n v="18"/>
    <n v="6800"/>
    <n v="87"/>
    <s v="Platinum"/>
    <s v="Online"/>
    <s v="Lower"/>
  </r>
  <r>
    <s v="CUST100498"/>
    <n v="47"/>
    <x v="2"/>
    <m/>
    <s v="Kolkata"/>
    <n v="250000"/>
    <n v="83"/>
    <x v="3"/>
    <n v="19"/>
    <n v="5600"/>
    <n v="282"/>
    <m/>
    <s v="Website"/>
    <s v="Lower"/>
  </r>
  <r>
    <s v="CUST100499"/>
    <n v="64"/>
    <x v="0"/>
    <m/>
    <s v="Kolkata"/>
    <n v="1900000"/>
    <n v="69"/>
    <x v="3"/>
    <n v="76"/>
    <n v="7900"/>
    <n v="327"/>
    <s v="Bronze"/>
    <s v="Website"/>
    <s v="Lower"/>
  </r>
  <r>
    <s v="CUST100500"/>
    <n v="52"/>
    <x v="2"/>
    <s v="Unknown"/>
    <s v="Pune"/>
    <n v="900000"/>
    <n v="97"/>
    <x v="3"/>
    <n v="69"/>
    <n v="6900"/>
    <n v="252"/>
    <m/>
    <m/>
    <s v="Lower"/>
  </r>
  <r>
    <s v="CUST100501"/>
    <s v="NA"/>
    <x v="5"/>
    <m/>
    <s v="Hyderabad"/>
    <n v="1425000"/>
    <n v="84"/>
    <x v="3"/>
    <n v="24"/>
    <n v="3200"/>
    <n v="74"/>
    <s v="Bronze"/>
    <s v="Website"/>
    <s v="Lower"/>
  </r>
  <r>
    <s v="CUST100502"/>
    <n v="57"/>
    <x v="0"/>
    <m/>
    <m/>
    <n v="700000"/>
    <n v="30"/>
    <x v="2"/>
    <n v="48"/>
    <n v="2000"/>
    <n v="47"/>
    <s v="Silver"/>
    <s v="Website"/>
    <s v="Lower"/>
  </r>
  <r>
    <s v="CUST100503"/>
    <n v="69"/>
    <x v="1"/>
    <s v="Male"/>
    <s v="Ahmedabad"/>
    <n v="1325000"/>
    <n v="8"/>
    <x v="2"/>
    <n v="30"/>
    <n v="5600"/>
    <n v="76"/>
    <s v="Platinum"/>
    <m/>
    <s v="Higher"/>
  </r>
  <r>
    <s v="CUST100504"/>
    <n v="33"/>
    <x v="3"/>
    <m/>
    <s v="Hyderabad"/>
    <n v="1125000"/>
    <n v="38"/>
    <x v="0"/>
    <n v="15"/>
    <n v="10200"/>
    <n v="96"/>
    <m/>
    <m/>
    <s v="Lower"/>
  </r>
  <r>
    <s v="CUST100505"/>
    <n v="30"/>
    <x v="3"/>
    <s v="Female"/>
    <m/>
    <n v="275000"/>
    <n v="61"/>
    <x v="0"/>
    <n v="47"/>
    <n v="2300"/>
    <n v="31"/>
    <s v="Bronze"/>
    <s v="Mobile App"/>
    <s v="Higher"/>
  </r>
  <r>
    <s v="CUST100506"/>
    <n v="67"/>
    <x v="1"/>
    <s v="Female"/>
    <m/>
    <n v="1075000"/>
    <n v="81"/>
    <x v="3"/>
    <n v="44"/>
    <n v="5500"/>
    <n v="22"/>
    <s v="Platinum"/>
    <s v="Website"/>
    <s v="Higher"/>
  </r>
  <r>
    <s v="CUST100507"/>
    <n v="59"/>
    <x v="0"/>
    <s v="Female"/>
    <s v="Mumbai"/>
    <n v="1150000"/>
    <n v="65"/>
    <x v="0"/>
    <n v="27"/>
    <n v="8500"/>
    <n v="17"/>
    <m/>
    <s v="In-store"/>
    <s v="Higher"/>
  </r>
  <r>
    <s v="CUST100508"/>
    <n v="47"/>
    <x v="2"/>
    <s v="Female"/>
    <s v="Pune"/>
    <n v="800000"/>
    <n v="67"/>
    <x v="3"/>
    <n v="64"/>
    <n v="1800"/>
    <n v="212"/>
    <m/>
    <s v="Online"/>
    <s v="Higher"/>
  </r>
  <r>
    <s v="CUST100509"/>
    <n v="36"/>
    <x v="4"/>
    <s v="Female"/>
    <s v="Kolkata"/>
    <m/>
    <n v="46"/>
    <x v="0"/>
    <n v="41"/>
    <n v="3000"/>
    <n v="148"/>
    <m/>
    <m/>
    <s v="Higher"/>
  </r>
  <r>
    <s v="CUST100510"/>
    <n v="34"/>
    <x v="3"/>
    <m/>
    <s v="Bengaluru"/>
    <n v="1850000"/>
    <n v="90"/>
    <x v="3"/>
    <n v="68"/>
    <n v="600"/>
    <n v="235"/>
    <s v="Silver"/>
    <s v="Online"/>
    <s v="Lower"/>
  </r>
  <r>
    <s v="CUST100511"/>
    <n v="36"/>
    <x v="4"/>
    <s v="Male"/>
    <s v="Kolkata"/>
    <n v="1550000"/>
    <n v="95"/>
    <x v="3"/>
    <n v="5"/>
    <n v="11700"/>
    <n v="354"/>
    <m/>
    <m/>
    <s v="Higher"/>
  </r>
  <r>
    <s v="CUST100512"/>
    <n v="45"/>
    <x v="2"/>
    <m/>
    <s v="Kolkata"/>
    <n v="550000"/>
    <n v="72"/>
    <x v="3"/>
    <n v="53"/>
    <n v="5700"/>
    <n v="305"/>
    <s v="Bronze"/>
    <m/>
    <s v="Lower"/>
  </r>
  <r>
    <s v="CUST100513"/>
    <s v="NA"/>
    <x v="5"/>
    <s v="Female"/>
    <s v="Delhi"/>
    <n v="1900000"/>
    <n v="43"/>
    <x v="0"/>
    <n v="8"/>
    <n v="1700"/>
    <n v="87"/>
    <s v="Silver"/>
    <m/>
    <s v="Higher"/>
  </r>
  <r>
    <s v="CUST100514"/>
    <n v="43"/>
    <x v="4"/>
    <s v="Female"/>
    <s v="Kolkata"/>
    <n v="1300000"/>
    <n v="59"/>
    <x v="0"/>
    <n v="22"/>
    <n v="6600"/>
    <n v="38"/>
    <s v="Platinum"/>
    <s v="Mobile App"/>
    <s v="Higher"/>
  </r>
  <r>
    <s v="CUST100515"/>
    <n v="54"/>
    <x v="2"/>
    <s v="Unknown"/>
    <s v="Mumbai"/>
    <n v="450000"/>
    <n v="46"/>
    <x v="0"/>
    <n v="7"/>
    <n v="6700"/>
    <n v="53"/>
    <s v="Silver"/>
    <s v="Website"/>
    <s v="Lower"/>
  </r>
  <r>
    <s v="CUST100516"/>
    <n v="43"/>
    <x v="4"/>
    <s v="Male"/>
    <s v="Hyderabad"/>
    <n v="400000"/>
    <n v="72"/>
    <x v="3"/>
    <n v="22"/>
    <n v="11400"/>
    <n v="28"/>
    <s v="Platinum"/>
    <m/>
    <s v="Higher"/>
  </r>
  <r>
    <s v="CUST100517"/>
    <m/>
    <x v="5"/>
    <m/>
    <m/>
    <n v="725000"/>
    <n v="35"/>
    <x v="0"/>
    <n v="46"/>
    <n v="11300"/>
    <n v="77"/>
    <s v="Gold"/>
    <m/>
    <s v="Lower"/>
  </r>
  <r>
    <s v="CUST100518"/>
    <n v="40"/>
    <x v="4"/>
    <s v="Female"/>
    <s v="Kolkata"/>
    <n v="1950000"/>
    <n v="39"/>
    <x v="0"/>
    <n v="30"/>
    <n v="1800"/>
    <n v="200"/>
    <s v="Bronze"/>
    <s v="Online"/>
    <s v="Higher"/>
  </r>
  <r>
    <s v="CUST100519"/>
    <n v="26"/>
    <x v="3"/>
    <s v="Female"/>
    <s v="Kolkata"/>
    <n v="225000"/>
    <n v="92"/>
    <x v="3"/>
    <n v="16"/>
    <m/>
    <n v="173"/>
    <s v="Bronze"/>
    <s v="Website"/>
    <s v="Higher"/>
  </r>
  <r>
    <s v="CUST100520"/>
    <n v="29"/>
    <x v="3"/>
    <s v="Male"/>
    <s v="Delhi"/>
    <n v="1275000"/>
    <n v="51"/>
    <x v="0"/>
    <n v="79"/>
    <n v="2200"/>
    <n v="274"/>
    <s v="Platinum"/>
    <s v="Mobile App"/>
    <s v="Higher"/>
  </r>
  <r>
    <s v="CUST100521"/>
    <m/>
    <x v="5"/>
    <s v="Male"/>
    <s v="Ahmedabad"/>
    <n v="575000"/>
    <n v="4"/>
    <x v="2"/>
    <n v="5"/>
    <n v="6600"/>
    <n v="50"/>
    <m/>
    <m/>
    <s v="Higher"/>
  </r>
  <r>
    <s v="CUST100522"/>
    <n v="18"/>
    <x v="6"/>
    <s v="Female"/>
    <s v="Bengaluru"/>
    <n v="1200000"/>
    <n v="80"/>
    <x v="3"/>
    <n v="67"/>
    <n v="3500"/>
    <n v="345"/>
    <m/>
    <m/>
    <s v="Higher"/>
  </r>
  <r>
    <s v="CUST100523"/>
    <n v="18"/>
    <x v="6"/>
    <s v="Female"/>
    <s v="Ahmedabad"/>
    <n v="950000"/>
    <n v="77"/>
    <x v="3"/>
    <n v="23"/>
    <n v="8300"/>
    <n v="177"/>
    <m/>
    <m/>
    <s v="Higher"/>
  </r>
  <r>
    <s v="CUST100524"/>
    <n v="64"/>
    <x v="0"/>
    <s v="Male"/>
    <s v="Bengaluru"/>
    <n v="375000"/>
    <n v="84"/>
    <x v="3"/>
    <n v="61"/>
    <n v="7100"/>
    <n v="301"/>
    <s v="Gold"/>
    <s v="Online"/>
    <s v="Higher"/>
  </r>
  <r>
    <s v="CUST100525"/>
    <n v="51"/>
    <x v="2"/>
    <m/>
    <m/>
    <n v="1950000"/>
    <n v="51"/>
    <x v="0"/>
    <n v="74"/>
    <n v="7100"/>
    <n v="227"/>
    <s v="Platinum"/>
    <m/>
    <s v="Lower"/>
  </r>
  <r>
    <s v="CUST100526"/>
    <n v="49"/>
    <x v="2"/>
    <s v="Male"/>
    <s v="Kolkata"/>
    <n v="1600000"/>
    <n v="5"/>
    <x v="2"/>
    <n v="5"/>
    <n v="6000"/>
    <n v="127"/>
    <s v="Gold"/>
    <m/>
    <s v="Higher"/>
  </r>
  <r>
    <s v="CUST100527"/>
    <m/>
    <x v="5"/>
    <m/>
    <s v="Delhi"/>
    <n v="900000"/>
    <n v="55"/>
    <x v="0"/>
    <n v="23"/>
    <n v="4100"/>
    <n v="349"/>
    <s v="Platinum"/>
    <s v="Online"/>
    <s v="Lower"/>
  </r>
  <r>
    <s v="CUST100528"/>
    <n v="65"/>
    <x v="0"/>
    <s v="Female"/>
    <s v="Chennai"/>
    <n v="825000"/>
    <m/>
    <x v="1"/>
    <n v="79"/>
    <n v="7900"/>
    <n v="21"/>
    <s v="Gold"/>
    <m/>
    <s v="Higher"/>
  </r>
  <r>
    <s v="CUST100529"/>
    <n v="42"/>
    <x v="4"/>
    <m/>
    <s v="Pune"/>
    <n v="1625000"/>
    <n v="20"/>
    <x v="2"/>
    <n v="25"/>
    <n v="11000"/>
    <n v="199"/>
    <s v="Platinum"/>
    <s v="Website"/>
    <s v="Lower"/>
  </r>
  <r>
    <s v="CUST100530"/>
    <n v="57"/>
    <x v="0"/>
    <s v="Unknown"/>
    <m/>
    <n v="200000"/>
    <n v="24"/>
    <x v="2"/>
    <n v="8"/>
    <n v="3800"/>
    <n v="189"/>
    <s v="Bronze"/>
    <s v="Website"/>
    <s v="Lower"/>
  </r>
  <r>
    <s v="CUST100531"/>
    <n v="62"/>
    <x v="0"/>
    <s v="Male"/>
    <s v="Hyderabad"/>
    <n v="1500000"/>
    <n v="36"/>
    <x v="0"/>
    <n v="21"/>
    <n v="9600"/>
    <n v="332"/>
    <s v="Gold"/>
    <s v="Online"/>
    <s v="Higher"/>
  </r>
  <r>
    <s v="CUST100532"/>
    <m/>
    <x v="5"/>
    <s v="Female"/>
    <m/>
    <n v="475000"/>
    <n v="34"/>
    <x v="0"/>
    <n v="2"/>
    <n v="7000"/>
    <n v="152"/>
    <s v="Gold"/>
    <s v="Website"/>
    <s v="Higher"/>
  </r>
  <r>
    <s v="CUST100533"/>
    <n v="18"/>
    <x v="6"/>
    <s v="Female"/>
    <s v="Hyderabad"/>
    <n v="1575000"/>
    <n v="54"/>
    <x v="0"/>
    <n v="22"/>
    <n v="8900"/>
    <n v="160"/>
    <s v="Platinum"/>
    <m/>
    <s v="Higher"/>
  </r>
  <r>
    <s v="CUST100534"/>
    <n v="33"/>
    <x v="3"/>
    <s v="Male"/>
    <m/>
    <n v="500000"/>
    <n v="34"/>
    <x v="0"/>
    <n v="72"/>
    <n v="2300"/>
    <n v="347"/>
    <s v="Silver"/>
    <m/>
    <s v="Higher"/>
  </r>
  <r>
    <s v="CUST100535"/>
    <n v="56"/>
    <x v="0"/>
    <s v="Male"/>
    <s v="Ahmedabad"/>
    <n v="175000"/>
    <n v="83"/>
    <x v="3"/>
    <n v="72"/>
    <n v="6500"/>
    <n v="96"/>
    <s v="Silver"/>
    <m/>
    <s v="Higher"/>
  </r>
  <r>
    <s v="CUST100536"/>
    <n v="22"/>
    <x v="6"/>
    <s v="Unknown"/>
    <s v="Mumbai"/>
    <n v="725000"/>
    <n v="17"/>
    <x v="2"/>
    <n v="68"/>
    <n v="8700"/>
    <n v="352"/>
    <s v="Bronze"/>
    <s v="Mobile App"/>
    <s v="Lower"/>
  </r>
  <r>
    <s v="CUST100537"/>
    <n v="39"/>
    <x v="4"/>
    <s v="Female"/>
    <s v="Kolkata"/>
    <n v="1725000"/>
    <n v="5"/>
    <x v="2"/>
    <n v="64"/>
    <n v="800"/>
    <n v="75"/>
    <m/>
    <m/>
    <s v="Higher"/>
  </r>
  <r>
    <s v="CUST100538"/>
    <n v="46"/>
    <x v="2"/>
    <m/>
    <s v="Chennai"/>
    <n v="1900000"/>
    <n v="89"/>
    <x v="3"/>
    <n v="19"/>
    <n v="2600"/>
    <m/>
    <m/>
    <s v="Mobile App"/>
    <s v="Lower"/>
  </r>
  <r>
    <s v="CUST100539"/>
    <s v="NA"/>
    <x v="5"/>
    <s v="Female"/>
    <s v="Hyderabad"/>
    <n v="725000"/>
    <n v="18"/>
    <x v="2"/>
    <n v="53"/>
    <n v="11300"/>
    <n v="82"/>
    <s v="Bronze"/>
    <s v="Website"/>
    <s v="Higher"/>
  </r>
  <r>
    <s v="CUST100540"/>
    <n v="20"/>
    <x v="6"/>
    <s v="Male"/>
    <s v="Pune"/>
    <n v="800000"/>
    <n v="55"/>
    <x v="0"/>
    <n v="52"/>
    <n v="5500"/>
    <n v="128"/>
    <m/>
    <s v="Online"/>
    <s v="Higher"/>
  </r>
  <r>
    <s v="CUST100541"/>
    <n v="29"/>
    <x v="3"/>
    <m/>
    <s v="Hyderabad"/>
    <n v="1050000"/>
    <n v="53"/>
    <x v="0"/>
    <n v="47"/>
    <n v="9700"/>
    <n v="359"/>
    <m/>
    <m/>
    <s v="Lower"/>
  </r>
  <r>
    <s v="CUST100542"/>
    <n v="43"/>
    <x v="4"/>
    <s v="Male"/>
    <s v="Mumbai"/>
    <n v="1100000"/>
    <n v="50"/>
    <x v="0"/>
    <n v="54"/>
    <n v="8500"/>
    <n v="133"/>
    <m/>
    <s v="Online"/>
    <s v="Higher"/>
  </r>
  <r>
    <s v="CUST100543"/>
    <n v="33"/>
    <x v="3"/>
    <s v="Male"/>
    <m/>
    <n v="1700000"/>
    <n v="72"/>
    <x v="3"/>
    <n v="44"/>
    <n v="10400"/>
    <n v="139"/>
    <m/>
    <s v="Mobile App"/>
    <s v="Higher"/>
  </r>
  <r>
    <s v="CUST100544"/>
    <n v="68"/>
    <x v="1"/>
    <m/>
    <s v="Delhi"/>
    <n v="775000"/>
    <n v="91"/>
    <x v="3"/>
    <n v="7"/>
    <n v="7800"/>
    <n v="246"/>
    <m/>
    <s v="Website"/>
    <s v="Lower"/>
  </r>
  <r>
    <s v="CUST100545"/>
    <n v="54"/>
    <x v="2"/>
    <s v="Female"/>
    <m/>
    <n v="1750000"/>
    <n v="79"/>
    <x v="3"/>
    <n v="1"/>
    <n v="8000"/>
    <n v="291"/>
    <s v="Platinum"/>
    <m/>
    <s v="Higher"/>
  </r>
  <r>
    <s v="CUST100546"/>
    <n v="39"/>
    <x v="4"/>
    <s v="Male"/>
    <m/>
    <n v="225000"/>
    <n v="45"/>
    <x v="0"/>
    <n v="63"/>
    <n v="5200"/>
    <n v="112"/>
    <s v="Silver"/>
    <s v="Website"/>
    <s v="Higher"/>
  </r>
  <r>
    <s v="CUST100547"/>
    <n v="46"/>
    <x v="2"/>
    <s v="Female"/>
    <s v="Delhi"/>
    <n v="850000"/>
    <n v="13"/>
    <x v="2"/>
    <n v="39"/>
    <n v="1400"/>
    <n v="203"/>
    <s v="Bronze"/>
    <m/>
    <s v="Higher"/>
  </r>
  <r>
    <s v="CUST100548"/>
    <n v="31"/>
    <x v="3"/>
    <m/>
    <m/>
    <n v="150000"/>
    <n v="16"/>
    <x v="2"/>
    <n v="19"/>
    <n v="5800"/>
    <n v="170"/>
    <s v="Platinum"/>
    <s v="Website"/>
    <s v="Lower"/>
  </r>
  <r>
    <s v="CUST100549"/>
    <n v="45"/>
    <x v="2"/>
    <s v="Male"/>
    <s v="Pune"/>
    <n v="1375000"/>
    <n v="86"/>
    <x v="3"/>
    <n v="31"/>
    <n v="1700"/>
    <n v="87"/>
    <m/>
    <s v="Online"/>
    <s v="Higher"/>
  </r>
  <r>
    <s v="CUST100550"/>
    <n v="22"/>
    <x v="6"/>
    <s v="Unknown"/>
    <m/>
    <n v="400000"/>
    <n v="84"/>
    <x v="3"/>
    <n v="77"/>
    <n v="8500"/>
    <n v="119"/>
    <s v="Bronze"/>
    <s v="In-store"/>
    <s v="Lower"/>
  </r>
  <r>
    <s v="CUST100551"/>
    <n v="64"/>
    <x v="0"/>
    <s v="Female"/>
    <s v="Pune"/>
    <n v="1975000"/>
    <n v="13"/>
    <x v="2"/>
    <n v="24"/>
    <n v="9400"/>
    <n v="98"/>
    <s v="Silver"/>
    <m/>
    <s v="Higher"/>
  </r>
  <r>
    <s v="CUST100552"/>
    <n v="66"/>
    <x v="1"/>
    <s v="Unknown"/>
    <s v="Pune"/>
    <n v="1600000"/>
    <n v="20"/>
    <x v="2"/>
    <n v="69"/>
    <n v="4200"/>
    <n v="240"/>
    <m/>
    <m/>
    <s v="Lower"/>
  </r>
  <r>
    <s v="CUST100553"/>
    <n v="47"/>
    <x v="2"/>
    <m/>
    <s v="Delhi"/>
    <n v="1675000"/>
    <n v="66"/>
    <x v="0"/>
    <n v="65"/>
    <n v="4300"/>
    <n v="337"/>
    <s v="Platinum"/>
    <m/>
    <s v="Lower"/>
  </r>
  <r>
    <s v="CUST100554"/>
    <n v="63"/>
    <x v="0"/>
    <s v="Male"/>
    <s v="Ahmedabad"/>
    <n v="1025000"/>
    <n v="99"/>
    <x v="3"/>
    <n v="33"/>
    <n v="7100"/>
    <n v="138"/>
    <s v="Silver"/>
    <m/>
    <s v="Higher"/>
  </r>
  <r>
    <s v="CUST100555"/>
    <n v="69"/>
    <x v="1"/>
    <m/>
    <s v="Bengaluru"/>
    <n v="1525000"/>
    <n v="47"/>
    <x v="0"/>
    <n v="59"/>
    <n v="7100"/>
    <n v="82"/>
    <s v="Bronze"/>
    <m/>
    <s v="Lower"/>
  </r>
  <r>
    <s v="CUST100556"/>
    <n v="22"/>
    <x v="6"/>
    <s v="Female"/>
    <s v="Kolkata"/>
    <n v="650000"/>
    <n v="19"/>
    <x v="2"/>
    <n v="33"/>
    <n v="800"/>
    <n v="236"/>
    <s v="Gold"/>
    <m/>
    <s v="Higher"/>
  </r>
  <r>
    <s v="CUST100557"/>
    <n v="29"/>
    <x v="3"/>
    <s v="Male"/>
    <s v="Hyderabad"/>
    <n v="450000"/>
    <n v="45"/>
    <x v="0"/>
    <n v="32"/>
    <n v="8900"/>
    <n v="136"/>
    <s v="Platinum"/>
    <s v="Online"/>
    <s v="Higher"/>
  </r>
  <r>
    <s v="CUST100558"/>
    <n v="33"/>
    <x v="3"/>
    <s v="Male"/>
    <s v="Bengaluru"/>
    <n v="350000"/>
    <n v="37"/>
    <x v="0"/>
    <n v="59"/>
    <n v="6900"/>
    <n v="282"/>
    <s v="Bronze"/>
    <s v="Website"/>
    <s v="Higher"/>
  </r>
  <r>
    <s v="CUST100559"/>
    <n v="43"/>
    <x v="4"/>
    <m/>
    <s v="Mumbai"/>
    <n v="400000"/>
    <n v="54"/>
    <x v="0"/>
    <n v="41"/>
    <n v="10300"/>
    <n v="3"/>
    <s v="Bronze"/>
    <s v="Online"/>
    <s v="Lower"/>
  </r>
  <r>
    <s v="CUST100560"/>
    <n v="43"/>
    <x v="4"/>
    <s v="Female"/>
    <s v="Ahmedabad"/>
    <m/>
    <n v="6"/>
    <x v="2"/>
    <n v="12"/>
    <n v="3500"/>
    <n v="59"/>
    <s v="Silver"/>
    <s v="Website"/>
    <s v="Higher"/>
  </r>
  <r>
    <s v="CUST100561"/>
    <n v="65"/>
    <x v="0"/>
    <s v="Male"/>
    <s v="Bengaluru"/>
    <n v="1875000"/>
    <n v="14"/>
    <x v="2"/>
    <n v="73"/>
    <n v="4500"/>
    <n v="116"/>
    <s v="Bronze"/>
    <s v="In-store"/>
    <s v="Higher"/>
  </r>
  <r>
    <s v="CUST100562"/>
    <n v="38"/>
    <x v="4"/>
    <s v="Male"/>
    <s v="Delhi"/>
    <n v="150000"/>
    <n v="4"/>
    <x v="2"/>
    <n v="11"/>
    <n v="2300"/>
    <n v="131"/>
    <s v="Platinum"/>
    <m/>
    <s v="Higher"/>
  </r>
  <r>
    <s v="CUST100563"/>
    <n v="56"/>
    <x v="0"/>
    <s v="Male"/>
    <s v="Mumbai"/>
    <n v="1875000"/>
    <n v="86"/>
    <x v="3"/>
    <n v="19"/>
    <n v="8600"/>
    <n v="201"/>
    <m/>
    <s v="In-store"/>
    <s v="Higher"/>
  </r>
  <r>
    <s v="CUST100564"/>
    <n v="53"/>
    <x v="2"/>
    <m/>
    <s v="Chennai"/>
    <s v="unknown"/>
    <n v="55"/>
    <x v="0"/>
    <n v="54"/>
    <n v="6700"/>
    <n v="292"/>
    <s v="Platinum"/>
    <s v="Mobile App"/>
    <s v="Lower"/>
  </r>
  <r>
    <s v="CUST100565"/>
    <n v="50"/>
    <x v="2"/>
    <s v="Unknown"/>
    <s v="Ahmedabad"/>
    <n v="1525000"/>
    <n v="100"/>
    <x v="3"/>
    <n v="57"/>
    <n v="10500"/>
    <n v="342"/>
    <s v="Bronze"/>
    <s v="Website"/>
    <s v="Lower"/>
  </r>
  <r>
    <s v="CUST100566"/>
    <n v="47"/>
    <x v="2"/>
    <m/>
    <s v="Bengaluru"/>
    <n v="900000"/>
    <n v="34"/>
    <x v="0"/>
    <n v="42"/>
    <n v="11300"/>
    <n v="98"/>
    <s v="Silver"/>
    <s v="Online"/>
    <s v="Lower"/>
  </r>
  <r>
    <s v="CUST100567"/>
    <n v="54"/>
    <x v="2"/>
    <s v="Female"/>
    <s v="Mumbai"/>
    <n v="1050000"/>
    <n v="27"/>
    <x v="2"/>
    <n v="71"/>
    <n v="1900"/>
    <n v="216"/>
    <s v="Platinum"/>
    <s v="Online"/>
    <s v="Higher"/>
  </r>
  <r>
    <s v="CUST100568"/>
    <n v="40"/>
    <x v="4"/>
    <s v="Unknown"/>
    <s v="Chennai"/>
    <n v="1300000"/>
    <n v="7"/>
    <x v="2"/>
    <n v="31"/>
    <n v="9500"/>
    <n v="124"/>
    <s v="Gold"/>
    <m/>
    <s v="Lower"/>
  </r>
  <r>
    <s v="CUST100569"/>
    <n v="27"/>
    <x v="3"/>
    <s v="Unknown"/>
    <m/>
    <n v="1300000"/>
    <n v="3"/>
    <x v="2"/>
    <n v="52"/>
    <n v="1000"/>
    <n v="73"/>
    <m/>
    <s v="Online"/>
    <s v="Lower"/>
  </r>
  <r>
    <s v="CUST100570"/>
    <m/>
    <x v="5"/>
    <m/>
    <s v="Mumbai"/>
    <n v="1850000"/>
    <n v="47"/>
    <x v="0"/>
    <n v="2"/>
    <n v="6600"/>
    <m/>
    <m/>
    <s v="Mobile App"/>
    <s v="Lower"/>
  </r>
  <r>
    <s v="CUST100571"/>
    <n v="22"/>
    <x v="6"/>
    <s v="Male"/>
    <s v="Delhi"/>
    <n v="1575000"/>
    <n v="97"/>
    <x v="3"/>
    <n v="38"/>
    <n v="9200"/>
    <n v="130"/>
    <s v="Silver"/>
    <m/>
    <s v="Higher"/>
  </r>
  <r>
    <s v="CUST100572"/>
    <n v="53"/>
    <x v="2"/>
    <m/>
    <m/>
    <n v="1025000"/>
    <n v="2"/>
    <x v="2"/>
    <n v="32"/>
    <n v="3000"/>
    <n v="27"/>
    <s v="Silver"/>
    <s v="Online"/>
    <s v="Lower"/>
  </r>
  <r>
    <s v="CUST100573"/>
    <n v="51"/>
    <x v="2"/>
    <m/>
    <s v="Delhi"/>
    <n v="925000"/>
    <n v="80"/>
    <x v="3"/>
    <n v="10"/>
    <n v="10000"/>
    <n v="165"/>
    <m/>
    <m/>
    <s v="Lower"/>
  </r>
  <r>
    <s v="CUST100574"/>
    <n v="69"/>
    <x v="1"/>
    <s v="Male"/>
    <s v="Bengaluru"/>
    <n v="1725000"/>
    <n v="25"/>
    <x v="2"/>
    <n v="8"/>
    <n v="9200"/>
    <n v="68"/>
    <m/>
    <s v="In-store"/>
    <s v="Higher"/>
  </r>
  <r>
    <s v="CUST100575"/>
    <n v="48"/>
    <x v="2"/>
    <m/>
    <s v="Kolkata"/>
    <n v="1900000"/>
    <n v="60"/>
    <x v="0"/>
    <n v="75"/>
    <n v="1500"/>
    <n v="14"/>
    <s v="Platinum"/>
    <s v="Online"/>
    <s v="Lower"/>
  </r>
  <r>
    <s v="CUST100576"/>
    <n v="27"/>
    <x v="3"/>
    <s v="Male"/>
    <s v="Bengaluru"/>
    <n v="1175000"/>
    <n v="79"/>
    <x v="3"/>
    <n v="20"/>
    <n v="11000"/>
    <n v="98"/>
    <s v="Bronze"/>
    <s v="Online"/>
    <s v="Higher"/>
  </r>
  <r>
    <s v="CUST100577"/>
    <n v="36"/>
    <x v="4"/>
    <m/>
    <m/>
    <n v="1325000"/>
    <n v="24"/>
    <x v="2"/>
    <n v="20"/>
    <n v="10300"/>
    <n v="279"/>
    <s v="Bronze"/>
    <s v="Online"/>
    <s v="Lower"/>
  </r>
  <r>
    <s v="CUST100578"/>
    <n v="49"/>
    <x v="2"/>
    <s v="Female"/>
    <s v="Pune"/>
    <n v="1975000"/>
    <n v="15"/>
    <x v="2"/>
    <n v="9"/>
    <n v="1500"/>
    <n v="247"/>
    <s v="Gold"/>
    <m/>
    <s v="Higher"/>
  </r>
  <r>
    <s v="CUST100579"/>
    <n v="18"/>
    <x v="6"/>
    <s v="Unknown"/>
    <s v="Bengaluru"/>
    <n v="875000"/>
    <n v="95"/>
    <x v="3"/>
    <n v="72"/>
    <n v="4000"/>
    <n v="112"/>
    <m/>
    <m/>
    <s v="Lower"/>
  </r>
  <r>
    <s v="CUST100580"/>
    <n v="22"/>
    <x v="6"/>
    <m/>
    <m/>
    <n v="650000"/>
    <n v="14"/>
    <x v="2"/>
    <n v="15"/>
    <n v="2700"/>
    <n v="207"/>
    <s v="Bronze"/>
    <s v="Online"/>
    <s v="Lower"/>
  </r>
  <r>
    <s v="CUST100581"/>
    <n v="62"/>
    <x v="0"/>
    <s v="Male"/>
    <s v="Mumbai"/>
    <n v="1625000"/>
    <n v="54"/>
    <x v="0"/>
    <n v="63"/>
    <n v="11300"/>
    <n v="352"/>
    <s v="Gold"/>
    <m/>
    <s v="Higher"/>
  </r>
  <r>
    <s v="CUST100582"/>
    <n v="21"/>
    <x v="6"/>
    <s v="Female"/>
    <m/>
    <n v="450000"/>
    <n v="78"/>
    <x v="3"/>
    <n v="21"/>
    <n v="6400"/>
    <n v="334"/>
    <s v="Gold"/>
    <m/>
    <s v="Higher"/>
  </r>
  <r>
    <s v="CUST100583"/>
    <n v="33"/>
    <x v="3"/>
    <s v="Female"/>
    <s v="Bengaluru"/>
    <n v="150000"/>
    <n v="6"/>
    <x v="2"/>
    <n v="5"/>
    <n v="2500"/>
    <n v="233"/>
    <s v="Silver"/>
    <s v="Mobile App"/>
    <s v="Higher"/>
  </r>
  <r>
    <s v="CUST100584"/>
    <n v="41"/>
    <x v="4"/>
    <s v="Male"/>
    <s v="Mumbai"/>
    <n v="1750000"/>
    <n v="78"/>
    <x v="3"/>
    <n v="35"/>
    <n v="8800"/>
    <n v="61"/>
    <s v="Silver"/>
    <s v="In-store"/>
    <s v="Higher"/>
  </r>
  <r>
    <s v="CUST100585"/>
    <n v="33"/>
    <x v="3"/>
    <s v="Unknown"/>
    <s v="Delhi"/>
    <n v="950000"/>
    <n v="81"/>
    <x v="3"/>
    <n v="68"/>
    <n v="2300"/>
    <n v="85"/>
    <m/>
    <s v="Online"/>
    <s v="Lower"/>
  </r>
  <r>
    <s v="CUST100586"/>
    <s v="NA"/>
    <x v="5"/>
    <m/>
    <s v="Ahmedabad"/>
    <n v="1075000"/>
    <n v="18"/>
    <x v="2"/>
    <n v="48"/>
    <n v="5600"/>
    <n v="183"/>
    <s v="Platinum"/>
    <s v="Online"/>
    <s v="Lower"/>
  </r>
  <r>
    <s v="CUST100587"/>
    <n v="19"/>
    <x v="6"/>
    <s v="Male"/>
    <s v="Kolkata"/>
    <n v="750000"/>
    <n v="20"/>
    <x v="2"/>
    <m/>
    <n v="6500"/>
    <n v="239"/>
    <m/>
    <s v="Online"/>
    <s v="Higher"/>
  </r>
  <r>
    <s v="CUST100588"/>
    <n v="66"/>
    <x v="1"/>
    <s v="Unknown"/>
    <s v="Delhi"/>
    <n v="775000"/>
    <n v="62"/>
    <x v="0"/>
    <n v="62"/>
    <n v="3200"/>
    <n v="250"/>
    <m/>
    <m/>
    <s v="Lower"/>
  </r>
  <r>
    <s v="CUST100589"/>
    <n v="45"/>
    <x v="2"/>
    <m/>
    <s v="Delhi"/>
    <s v="unknown"/>
    <n v="81"/>
    <x v="3"/>
    <n v="35"/>
    <n v="7700"/>
    <n v="71"/>
    <m/>
    <s v="Website"/>
    <s v="Lower"/>
  </r>
  <r>
    <s v="CUST100590"/>
    <n v="49"/>
    <x v="2"/>
    <s v="Female"/>
    <m/>
    <n v="1600000"/>
    <n v="80"/>
    <x v="3"/>
    <n v="70"/>
    <n v="7000"/>
    <n v="228"/>
    <s v="Gold"/>
    <s v="In-store"/>
    <s v="Higher"/>
  </r>
  <r>
    <s v="CUST100591"/>
    <n v="44"/>
    <x v="4"/>
    <m/>
    <s v="Pune"/>
    <n v="950000"/>
    <n v="40"/>
    <x v="0"/>
    <n v="21"/>
    <n v="9900"/>
    <n v="85"/>
    <m/>
    <m/>
    <s v="Lower"/>
  </r>
  <r>
    <s v="CUST100592"/>
    <n v="37"/>
    <x v="4"/>
    <s v="Female"/>
    <s v="Hyderabad"/>
    <n v="1150000"/>
    <n v="39"/>
    <x v="0"/>
    <m/>
    <n v="11300"/>
    <n v="306"/>
    <m/>
    <s v="Online"/>
    <s v="Higher"/>
  </r>
  <r>
    <s v="CUST100593"/>
    <n v="41"/>
    <x v="4"/>
    <s v="Female"/>
    <m/>
    <n v="875000"/>
    <n v="52"/>
    <x v="0"/>
    <n v="39"/>
    <n v="7800"/>
    <n v="271"/>
    <s v="Gold"/>
    <s v="Website"/>
    <s v="Higher"/>
  </r>
  <r>
    <s v="CUST100594"/>
    <n v="29"/>
    <x v="3"/>
    <s v="Female"/>
    <s v="Pune"/>
    <n v="1550000"/>
    <n v="32"/>
    <x v="2"/>
    <n v="34"/>
    <n v="7500"/>
    <n v="290"/>
    <m/>
    <s v="Website"/>
    <s v="Higher"/>
  </r>
  <r>
    <s v="CUST100595"/>
    <n v="67"/>
    <x v="1"/>
    <s v="Male"/>
    <m/>
    <n v="1350000"/>
    <n v="73"/>
    <x v="3"/>
    <n v="15"/>
    <n v="3400"/>
    <n v="236"/>
    <s v="Platinum"/>
    <s v="Website"/>
    <s v="Higher"/>
  </r>
  <r>
    <s v="CUST100596"/>
    <n v="52"/>
    <x v="2"/>
    <s v="Male"/>
    <s v="Kolkata"/>
    <n v="1325000"/>
    <n v="27"/>
    <x v="2"/>
    <n v="6"/>
    <n v="7700"/>
    <n v="291"/>
    <s v="Silver"/>
    <s v="In-store"/>
    <s v="Higher"/>
  </r>
  <r>
    <s v="CUST100597"/>
    <n v="50"/>
    <x v="2"/>
    <s v="Female"/>
    <m/>
    <n v="1925000"/>
    <n v="52"/>
    <x v="0"/>
    <n v="66"/>
    <n v="10300"/>
    <n v="39"/>
    <s v="Silver"/>
    <s v="Website"/>
    <s v="Higher"/>
  </r>
  <r>
    <s v="CUST100598"/>
    <n v="50"/>
    <x v="2"/>
    <s v="Female"/>
    <m/>
    <n v="1350000"/>
    <n v="97"/>
    <x v="3"/>
    <n v="56"/>
    <n v="2600"/>
    <n v="206"/>
    <s v="Gold"/>
    <m/>
    <s v="Higher"/>
  </r>
  <r>
    <s v="CUST100599"/>
    <n v="68"/>
    <x v="1"/>
    <m/>
    <m/>
    <n v="1300000"/>
    <n v="63"/>
    <x v="0"/>
    <n v="49"/>
    <n v="900"/>
    <n v="183"/>
    <m/>
    <s v="Online"/>
    <s v="Lower"/>
  </r>
  <r>
    <s v="CUST100600"/>
    <n v="60"/>
    <x v="0"/>
    <s v="Male"/>
    <s v="Chennai"/>
    <n v="1525000"/>
    <n v="74"/>
    <x v="3"/>
    <n v="1"/>
    <n v="7400"/>
    <n v="187"/>
    <m/>
    <m/>
    <s v="Higher"/>
  </r>
  <r>
    <s v="CUST100601"/>
    <n v="54"/>
    <x v="2"/>
    <m/>
    <s v="Delhi"/>
    <n v="1750000"/>
    <n v="63"/>
    <x v="0"/>
    <n v="65"/>
    <n v="9900"/>
    <n v="133"/>
    <s v="Bronze"/>
    <s v="Online"/>
    <s v="Lower"/>
  </r>
  <r>
    <s v="CUST100602"/>
    <n v="29"/>
    <x v="3"/>
    <m/>
    <s v="Ahmedabad"/>
    <n v="425000"/>
    <n v="17"/>
    <x v="2"/>
    <n v="28"/>
    <n v="9100"/>
    <n v="30"/>
    <s v="Platinum"/>
    <s v="Mobile App"/>
    <s v="Lower"/>
  </r>
  <r>
    <s v="CUST100603"/>
    <n v="20"/>
    <x v="6"/>
    <s v="Male"/>
    <s v="Chennai"/>
    <n v="1850000"/>
    <n v="49"/>
    <x v="0"/>
    <n v="20"/>
    <n v="300"/>
    <n v="255"/>
    <m/>
    <m/>
    <s v="Higher"/>
  </r>
  <r>
    <s v="CUST100604"/>
    <n v="18"/>
    <x v="6"/>
    <s v="Female"/>
    <m/>
    <n v="275000"/>
    <n v="100"/>
    <x v="3"/>
    <n v="48"/>
    <n v="500"/>
    <n v="143"/>
    <s v="Bronze"/>
    <s v="Website"/>
    <s v="Higher"/>
  </r>
  <r>
    <s v="CUST100605"/>
    <n v="50"/>
    <x v="2"/>
    <s v="Male"/>
    <s v="Chennai"/>
    <n v="1750000"/>
    <n v="81"/>
    <x v="3"/>
    <n v="72"/>
    <n v="10600"/>
    <n v="103"/>
    <s v="Platinum"/>
    <m/>
    <s v="Higher"/>
  </r>
  <r>
    <s v="CUST100606"/>
    <n v="57"/>
    <x v="0"/>
    <s v="Male"/>
    <s v="Ahmedabad"/>
    <n v="750000"/>
    <n v="82"/>
    <x v="3"/>
    <n v="65"/>
    <n v="3000"/>
    <n v="74"/>
    <s v="Platinum"/>
    <m/>
    <s v="Higher"/>
  </r>
  <r>
    <s v="CUST100607"/>
    <n v="27"/>
    <x v="3"/>
    <m/>
    <m/>
    <n v="150000"/>
    <n v="23"/>
    <x v="2"/>
    <n v="51"/>
    <n v="4500"/>
    <n v="55"/>
    <s v="Silver"/>
    <m/>
    <s v="Lower"/>
  </r>
  <r>
    <s v="CUST100608"/>
    <n v="60"/>
    <x v="0"/>
    <s v="Female"/>
    <m/>
    <n v="925000"/>
    <n v="98"/>
    <x v="3"/>
    <n v="43"/>
    <n v="9900"/>
    <n v="236"/>
    <s v="Gold"/>
    <m/>
    <s v="Higher"/>
  </r>
  <r>
    <s v="CUST100609"/>
    <n v="61"/>
    <x v="0"/>
    <s v="Female"/>
    <m/>
    <n v="200000"/>
    <n v="72"/>
    <x v="3"/>
    <n v="49"/>
    <n v="4800"/>
    <n v="60"/>
    <m/>
    <m/>
    <s v="Higher"/>
  </r>
  <r>
    <s v="CUST100610"/>
    <n v="46"/>
    <x v="2"/>
    <s v="Male"/>
    <s v="Chennai"/>
    <n v="1350000"/>
    <n v="13"/>
    <x v="2"/>
    <n v="25"/>
    <n v="300"/>
    <n v="24"/>
    <s v="Platinum"/>
    <m/>
    <s v="Higher"/>
  </r>
  <r>
    <s v="CUST100611"/>
    <n v="30"/>
    <x v="3"/>
    <m/>
    <s v="Mumbai"/>
    <n v="600000"/>
    <n v="23"/>
    <x v="2"/>
    <n v="74"/>
    <n v="4000"/>
    <n v="22"/>
    <m/>
    <s v="Online"/>
    <s v="Lower"/>
  </r>
  <r>
    <s v="CUST100612"/>
    <n v="29"/>
    <x v="3"/>
    <s v="Female"/>
    <s v="Bengaluru"/>
    <n v="1625000"/>
    <n v="57"/>
    <x v="0"/>
    <n v="76"/>
    <n v="11900"/>
    <n v="32"/>
    <s v="Platinum"/>
    <s v="In-store"/>
    <s v="Higher"/>
  </r>
  <r>
    <s v="CUST100613"/>
    <n v="48"/>
    <x v="2"/>
    <s v="Female"/>
    <m/>
    <n v="850000"/>
    <n v="62"/>
    <x v="0"/>
    <n v="41"/>
    <n v="9300"/>
    <n v="351"/>
    <m/>
    <s v="Website"/>
    <s v="Higher"/>
  </r>
  <r>
    <s v="CUST100614"/>
    <n v="63"/>
    <x v="0"/>
    <s v="Unknown"/>
    <s v="Chennai"/>
    <n v="1375000"/>
    <n v="54"/>
    <x v="0"/>
    <n v="71"/>
    <n v="10400"/>
    <n v="339"/>
    <s v="Silver"/>
    <s v="Website"/>
    <s v="Lower"/>
  </r>
  <r>
    <s v="CUST100615"/>
    <n v="19"/>
    <x v="6"/>
    <m/>
    <s v="Hyderabad"/>
    <n v="175000"/>
    <n v="20"/>
    <x v="2"/>
    <n v="64"/>
    <n v="3700"/>
    <n v="3"/>
    <s v="Gold"/>
    <s v="Online"/>
    <s v="Lower"/>
  </r>
  <r>
    <s v="CUST100616"/>
    <n v="68"/>
    <x v="1"/>
    <s v="Female"/>
    <s v="Kolkata"/>
    <n v="1950000"/>
    <n v="86"/>
    <x v="3"/>
    <n v="61"/>
    <n v="7600"/>
    <n v="70"/>
    <s v="Bronze"/>
    <m/>
    <s v="Higher"/>
  </r>
  <r>
    <s v="CUST100617"/>
    <n v="67"/>
    <x v="1"/>
    <s v="Unknown"/>
    <s v="Hyderabad"/>
    <n v="1525000"/>
    <n v="52"/>
    <x v="0"/>
    <n v="12"/>
    <n v="7800"/>
    <n v="160"/>
    <s v="Bronze"/>
    <s v="Online"/>
    <s v="Lower"/>
  </r>
  <r>
    <s v="CUST100618"/>
    <n v="52"/>
    <x v="2"/>
    <s v="Male"/>
    <s v="Chennai"/>
    <n v="550000"/>
    <n v="23"/>
    <x v="2"/>
    <m/>
    <n v="7600"/>
    <n v="88"/>
    <m/>
    <m/>
    <s v="Higher"/>
  </r>
  <r>
    <s v="CUST100619"/>
    <n v="40"/>
    <x v="4"/>
    <s v="Male"/>
    <s v="Delhi"/>
    <n v="1625000"/>
    <n v="35"/>
    <x v="0"/>
    <n v="69"/>
    <n v="5600"/>
    <m/>
    <s v="Silver"/>
    <s v="In-store"/>
    <s v="Higher"/>
  </r>
  <r>
    <s v="CUST100620"/>
    <n v="34"/>
    <x v="3"/>
    <m/>
    <s v="Delhi"/>
    <n v="1025000"/>
    <n v="67"/>
    <x v="3"/>
    <n v="14"/>
    <n v="10000"/>
    <n v="59"/>
    <s v="Platinum"/>
    <s v="Website"/>
    <s v="Lower"/>
  </r>
  <r>
    <s v="CUST100621"/>
    <n v="43"/>
    <x v="4"/>
    <s v="Female"/>
    <s v="Chennai"/>
    <n v="1650000"/>
    <n v="34"/>
    <x v="0"/>
    <n v="34"/>
    <n v="2600"/>
    <n v="252"/>
    <s v="Silver"/>
    <m/>
    <s v="Higher"/>
  </r>
  <r>
    <s v="CUST100622"/>
    <n v="25"/>
    <x v="3"/>
    <s v="Male"/>
    <m/>
    <n v="550000"/>
    <n v="33"/>
    <x v="2"/>
    <n v="48"/>
    <n v="3000"/>
    <n v="219"/>
    <s v="Gold"/>
    <s v="Mobile App"/>
    <s v="Higher"/>
  </r>
  <r>
    <s v="CUST100623"/>
    <n v="46"/>
    <x v="2"/>
    <s v="Unknown"/>
    <m/>
    <n v="1350000"/>
    <n v="46"/>
    <x v="0"/>
    <n v="61"/>
    <n v="2400"/>
    <n v="201"/>
    <s v="Bronze"/>
    <s v="Online"/>
    <s v="Lower"/>
  </r>
  <r>
    <s v="CUST100624"/>
    <n v="43"/>
    <x v="4"/>
    <s v="Female"/>
    <m/>
    <m/>
    <n v="81"/>
    <x v="3"/>
    <m/>
    <n v="11100"/>
    <n v="77"/>
    <m/>
    <s v="Mobile App"/>
    <s v="Higher"/>
  </r>
  <r>
    <s v="CUST100625"/>
    <n v="27"/>
    <x v="3"/>
    <s v="Female"/>
    <s v="Ahmedabad"/>
    <n v="1625000"/>
    <n v="45"/>
    <x v="0"/>
    <n v="35"/>
    <n v="1800"/>
    <n v="255"/>
    <s v="Bronze"/>
    <s v="Website"/>
    <s v="Higher"/>
  </r>
  <r>
    <s v="CUST100626"/>
    <n v="43"/>
    <x v="4"/>
    <s v="Female"/>
    <s v="Bengaluru"/>
    <n v="625000"/>
    <n v="19"/>
    <x v="2"/>
    <n v="65"/>
    <n v="1500"/>
    <n v="247"/>
    <s v="Gold"/>
    <s v="Online"/>
    <s v="Higher"/>
  </r>
  <r>
    <s v="CUST100627"/>
    <n v="51"/>
    <x v="2"/>
    <s v="Female"/>
    <m/>
    <n v="1375000"/>
    <n v="94"/>
    <x v="3"/>
    <n v="59"/>
    <n v="10200"/>
    <n v="270"/>
    <s v="Platinum"/>
    <s v="Website"/>
    <s v="Higher"/>
  </r>
  <r>
    <s v="CUST100628"/>
    <n v="68"/>
    <x v="1"/>
    <s v="Male"/>
    <s v="Hyderabad"/>
    <n v="200000"/>
    <n v="87"/>
    <x v="3"/>
    <n v="36"/>
    <n v="10200"/>
    <n v="307"/>
    <s v="Silver"/>
    <s v="Online"/>
    <s v="Higher"/>
  </r>
  <r>
    <s v="CUST100629"/>
    <n v="58"/>
    <x v="0"/>
    <s v="Male"/>
    <s v="Bengaluru"/>
    <n v="1200000"/>
    <n v="15"/>
    <x v="2"/>
    <n v="79"/>
    <n v="6400"/>
    <n v="139"/>
    <s v="Bronze"/>
    <m/>
    <s v="Higher"/>
  </r>
  <r>
    <s v="CUST100630"/>
    <n v="24"/>
    <x v="6"/>
    <m/>
    <s v="Hyderabad"/>
    <n v="1550000"/>
    <n v="78"/>
    <x v="3"/>
    <n v="19"/>
    <n v="4500"/>
    <n v="78"/>
    <s v="Bronze"/>
    <s v="Website"/>
    <s v="Lower"/>
  </r>
  <r>
    <s v="CUST100631"/>
    <n v="21"/>
    <x v="6"/>
    <m/>
    <m/>
    <n v="1375000"/>
    <n v="66"/>
    <x v="0"/>
    <n v="42"/>
    <n v="8900"/>
    <n v="80"/>
    <m/>
    <s v="Mobile App"/>
    <s v="Lower"/>
  </r>
  <r>
    <s v="CUST100632"/>
    <m/>
    <x v="5"/>
    <s v="Male"/>
    <s v="Chennai"/>
    <n v="1825000"/>
    <n v="39"/>
    <x v="0"/>
    <n v="69"/>
    <n v="8000"/>
    <n v="10"/>
    <s v="Silver"/>
    <s v="In-store"/>
    <s v="Higher"/>
  </r>
  <r>
    <s v="CUST100633"/>
    <n v="67"/>
    <x v="1"/>
    <m/>
    <s v="Ahmedabad"/>
    <n v="1375000"/>
    <n v="18"/>
    <x v="2"/>
    <n v="19"/>
    <n v="3400"/>
    <n v="336"/>
    <m/>
    <m/>
    <s v="Lower"/>
  </r>
  <r>
    <s v="CUST100634"/>
    <n v="62"/>
    <x v="0"/>
    <s v="Male"/>
    <s v="Hyderabad"/>
    <n v="1050000"/>
    <n v="70"/>
    <x v="3"/>
    <n v="39"/>
    <n v="6900"/>
    <n v="124"/>
    <m/>
    <m/>
    <s v="Higher"/>
  </r>
  <r>
    <s v="CUST100635"/>
    <n v="28"/>
    <x v="3"/>
    <s v="Male"/>
    <m/>
    <n v="1275000"/>
    <n v="59"/>
    <x v="0"/>
    <n v="69"/>
    <n v="9300"/>
    <n v="186"/>
    <s v="Platinum"/>
    <s v="Online"/>
    <s v="Higher"/>
  </r>
  <r>
    <s v="CUST100636"/>
    <n v="46"/>
    <x v="2"/>
    <s v="Male"/>
    <s v="Ahmedabad"/>
    <n v="1175000"/>
    <n v="32"/>
    <x v="2"/>
    <n v="52"/>
    <n v="8500"/>
    <n v="34"/>
    <s v="Bronze"/>
    <s v="Mobile App"/>
    <s v="Higher"/>
  </r>
  <r>
    <s v="CUST100637"/>
    <n v="53"/>
    <x v="2"/>
    <m/>
    <m/>
    <n v="500000"/>
    <n v="21"/>
    <x v="2"/>
    <n v="12"/>
    <n v="8800"/>
    <n v="121"/>
    <m/>
    <s v="Website"/>
    <s v="Lower"/>
  </r>
  <r>
    <s v="CUST100638"/>
    <n v="42"/>
    <x v="4"/>
    <s v="Unknown"/>
    <s v="Chennai"/>
    <n v="950000"/>
    <n v="40"/>
    <x v="0"/>
    <n v="47"/>
    <n v="5900"/>
    <n v="80"/>
    <s v="Silver"/>
    <s v="Mobile App"/>
    <s v="Lower"/>
  </r>
  <r>
    <s v="CUST100639"/>
    <n v="38"/>
    <x v="4"/>
    <s v="Female"/>
    <s v="Kolkata"/>
    <n v="400000"/>
    <n v="92"/>
    <x v="3"/>
    <n v="76"/>
    <n v="6700"/>
    <n v="206"/>
    <s v="Platinum"/>
    <m/>
    <s v="Higher"/>
  </r>
  <r>
    <s v="CUST100640"/>
    <n v="53"/>
    <x v="2"/>
    <s v="Female"/>
    <s v="Delhi"/>
    <n v="625000"/>
    <n v="27"/>
    <x v="2"/>
    <n v="36"/>
    <n v="7100"/>
    <n v="53"/>
    <m/>
    <s v="Online"/>
    <s v="Higher"/>
  </r>
  <r>
    <s v="CUST100641"/>
    <n v="27"/>
    <x v="3"/>
    <s v="Female"/>
    <s v="Pune"/>
    <n v="725000"/>
    <n v="2"/>
    <x v="2"/>
    <n v="63"/>
    <n v="5100"/>
    <n v="156"/>
    <s v="Platinum"/>
    <s v="Mobile App"/>
    <s v="Higher"/>
  </r>
  <r>
    <s v="CUST100642"/>
    <n v="54"/>
    <x v="2"/>
    <m/>
    <s v="Ahmedabad"/>
    <n v="1725000"/>
    <n v="97"/>
    <x v="3"/>
    <n v="76"/>
    <n v="3500"/>
    <n v="274"/>
    <s v="Platinum"/>
    <s v="Website"/>
    <s v="Lower"/>
  </r>
  <r>
    <s v="CUST100643"/>
    <n v="26"/>
    <x v="3"/>
    <s v="Male"/>
    <s v="Kolkata"/>
    <n v="1750000"/>
    <n v="80"/>
    <x v="3"/>
    <n v="51"/>
    <n v="11700"/>
    <n v="358"/>
    <s v="Gold"/>
    <m/>
    <s v="Higher"/>
  </r>
  <r>
    <s v="CUST100644"/>
    <n v="41"/>
    <x v="4"/>
    <m/>
    <s v="Kolkata"/>
    <n v="1950000"/>
    <n v="39"/>
    <x v="0"/>
    <n v="43"/>
    <n v="2100"/>
    <n v="135"/>
    <s v="Gold"/>
    <m/>
    <s v="Lower"/>
  </r>
  <r>
    <s v="CUST100645"/>
    <n v="52"/>
    <x v="2"/>
    <s v="Female"/>
    <s v="Ahmedabad"/>
    <m/>
    <n v="86"/>
    <x v="3"/>
    <n v="34"/>
    <n v="3800"/>
    <n v="98"/>
    <s v="Platinum"/>
    <s v="In-store"/>
    <s v="Higher"/>
  </r>
  <r>
    <s v="CUST100646"/>
    <n v="66"/>
    <x v="1"/>
    <s v="Male"/>
    <s v="Kolkata"/>
    <n v="550000"/>
    <n v="56"/>
    <x v="0"/>
    <n v="49"/>
    <n v="11700"/>
    <n v="241"/>
    <s v="Gold"/>
    <s v="In-store"/>
    <s v="Higher"/>
  </r>
  <r>
    <s v="CUST100647"/>
    <n v="52"/>
    <x v="2"/>
    <s v="Unknown"/>
    <s v="Hyderabad"/>
    <n v="1650000"/>
    <n v="13"/>
    <x v="2"/>
    <n v="18"/>
    <n v="7200"/>
    <n v="45"/>
    <s v="Silver"/>
    <m/>
    <s v="Lower"/>
  </r>
  <r>
    <s v="CUST100648"/>
    <n v="65"/>
    <x v="0"/>
    <s v="Female"/>
    <s v="Kolkata"/>
    <n v="500000"/>
    <n v="56"/>
    <x v="0"/>
    <n v="61"/>
    <n v="1700"/>
    <n v="199"/>
    <s v="Bronze"/>
    <m/>
    <s v="Higher"/>
  </r>
  <r>
    <s v="CUST100649"/>
    <n v="53"/>
    <x v="2"/>
    <s v="Unknown"/>
    <m/>
    <n v="1400000"/>
    <n v="66"/>
    <x v="0"/>
    <n v="57"/>
    <n v="10200"/>
    <n v="291"/>
    <m/>
    <s v="Online"/>
    <s v="Lower"/>
  </r>
  <r>
    <s v="CUST100650"/>
    <n v="35"/>
    <x v="4"/>
    <m/>
    <s v="Bengaluru"/>
    <n v="800000"/>
    <n v="78"/>
    <x v="3"/>
    <n v="5"/>
    <n v="9900"/>
    <n v="114"/>
    <s v="Silver"/>
    <s v="Mobile App"/>
    <s v="Lower"/>
  </r>
  <r>
    <s v="CUST100651"/>
    <n v="66"/>
    <x v="1"/>
    <s v="Male"/>
    <s v="Hyderabad"/>
    <n v="1975000"/>
    <n v="56"/>
    <x v="0"/>
    <n v="24"/>
    <n v="2600"/>
    <n v="277"/>
    <s v="Bronze"/>
    <s v="Mobile App"/>
    <s v="Higher"/>
  </r>
  <r>
    <s v="CUST100652"/>
    <n v="56"/>
    <x v="0"/>
    <s v="Male"/>
    <s v="Kolkata"/>
    <n v="1650000"/>
    <m/>
    <x v="1"/>
    <n v="64"/>
    <n v="2900"/>
    <n v="241"/>
    <s v="Gold"/>
    <m/>
    <s v="Higher"/>
  </r>
  <r>
    <s v="CUST100653"/>
    <n v="49"/>
    <x v="2"/>
    <s v="Male"/>
    <m/>
    <n v="1575000"/>
    <n v="28"/>
    <x v="2"/>
    <n v="59"/>
    <n v="5100"/>
    <n v="156"/>
    <m/>
    <m/>
    <s v="Higher"/>
  </r>
  <r>
    <s v="CUST100654"/>
    <n v="41"/>
    <x v="4"/>
    <s v="Unknown"/>
    <s v="Delhi"/>
    <n v="900000"/>
    <n v="64"/>
    <x v="0"/>
    <n v="38"/>
    <n v="7700"/>
    <n v="352"/>
    <s v="Silver"/>
    <s v="Website"/>
    <s v="Lower"/>
  </r>
  <r>
    <s v="CUST100655"/>
    <n v="40"/>
    <x v="4"/>
    <s v="Female"/>
    <s v="Chennai"/>
    <n v="425000"/>
    <n v="71"/>
    <x v="3"/>
    <n v="33"/>
    <n v="11500"/>
    <n v="44"/>
    <m/>
    <s v="Website"/>
    <s v="Higher"/>
  </r>
  <r>
    <s v="CUST100656"/>
    <n v="49"/>
    <x v="2"/>
    <s v="Female"/>
    <s v="Kolkata"/>
    <n v="1275000"/>
    <n v="82"/>
    <x v="3"/>
    <n v="10"/>
    <n v="2500"/>
    <n v="80"/>
    <s v="Platinum"/>
    <s v="In-store"/>
    <s v="Higher"/>
  </r>
  <r>
    <s v="CUST100657"/>
    <n v="54"/>
    <x v="2"/>
    <s v="Male"/>
    <s v="Mumbai"/>
    <n v="900000"/>
    <n v="64"/>
    <x v="0"/>
    <n v="37"/>
    <n v="3500"/>
    <n v="312"/>
    <s v="Bronze"/>
    <s v="Online"/>
    <s v="Higher"/>
  </r>
  <r>
    <s v="CUST100658"/>
    <n v="29"/>
    <x v="3"/>
    <m/>
    <s v="Delhi"/>
    <n v="925000"/>
    <n v="56"/>
    <x v="0"/>
    <n v="11"/>
    <n v="4300"/>
    <n v="138"/>
    <s v="Bronze"/>
    <s v="Online"/>
    <s v="Lower"/>
  </r>
  <r>
    <s v="CUST100659"/>
    <n v="66"/>
    <x v="1"/>
    <m/>
    <m/>
    <n v="925000"/>
    <n v="41"/>
    <x v="0"/>
    <n v="24"/>
    <n v="11200"/>
    <n v="151"/>
    <m/>
    <m/>
    <s v="Lower"/>
  </r>
  <r>
    <s v="CUST100660"/>
    <s v="NA"/>
    <x v="5"/>
    <s v="Male"/>
    <m/>
    <n v="1450000"/>
    <n v="100"/>
    <x v="3"/>
    <n v="71"/>
    <n v="11300"/>
    <n v="242"/>
    <m/>
    <s v="In-store"/>
    <s v="Higher"/>
  </r>
  <r>
    <s v="CUST100661"/>
    <n v="30"/>
    <x v="3"/>
    <s v="Male"/>
    <s v="Kolkata"/>
    <n v="1650000"/>
    <n v="41"/>
    <x v="0"/>
    <n v="21"/>
    <n v="5800"/>
    <n v="143"/>
    <s v="Platinum"/>
    <s v="In-store"/>
    <s v="Higher"/>
  </r>
  <r>
    <s v="CUST100662"/>
    <n v="40"/>
    <x v="4"/>
    <s v="Female"/>
    <m/>
    <n v="1275000"/>
    <n v="100"/>
    <x v="3"/>
    <n v="20"/>
    <n v="3100"/>
    <n v="311"/>
    <s v="Gold"/>
    <s v="Website"/>
    <s v="Higher"/>
  </r>
  <r>
    <s v="CUST100663"/>
    <n v="42"/>
    <x v="4"/>
    <s v="Male"/>
    <s v="Kolkata"/>
    <n v="1975000"/>
    <n v="4"/>
    <x v="2"/>
    <n v="10"/>
    <n v="3300"/>
    <n v="299"/>
    <s v="Silver"/>
    <s v="Mobile App"/>
    <s v="Higher"/>
  </r>
  <r>
    <s v="CUST100664"/>
    <n v="52"/>
    <x v="2"/>
    <s v="Female"/>
    <s v="Pune"/>
    <n v="300000"/>
    <n v="57"/>
    <x v="0"/>
    <n v="47"/>
    <n v="6700"/>
    <n v="50"/>
    <s v="Silver"/>
    <s v="Online"/>
    <s v="Higher"/>
  </r>
  <r>
    <s v="CUST100665"/>
    <n v="58"/>
    <x v="0"/>
    <m/>
    <s v="Bengaluru"/>
    <n v="225000"/>
    <n v="30"/>
    <x v="2"/>
    <n v="47"/>
    <n v="10000"/>
    <n v="262"/>
    <s v="Silver"/>
    <s v="In-store"/>
    <s v="Lower"/>
  </r>
  <r>
    <s v="CUST100666"/>
    <n v="47"/>
    <x v="2"/>
    <s v="Male"/>
    <m/>
    <n v="1425000"/>
    <n v="88"/>
    <x v="3"/>
    <n v="15"/>
    <n v="2000"/>
    <n v="161"/>
    <s v="Gold"/>
    <s v="Website"/>
    <s v="Higher"/>
  </r>
  <r>
    <s v="CUST100667"/>
    <n v="34"/>
    <x v="3"/>
    <s v="Unknown"/>
    <s v="Bengaluru"/>
    <n v="900000"/>
    <n v="84"/>
    <x v="3"/>
    <n v="44"/>
    <n v="8400"/>
    <n v="62"/>
    <s v="Platinum"/>
    <s v="Website"/>
    <s v="Lower"/>
  </r>
  <r>
    <s v="CUST100668"/>
    <n v="66"/>
    <x v="1"/>
    <m/>
    <s v="Delhi"/>
    <m/>
    <n v="46"/>
    <x v="0"/>
    <n v="62"/>
    <n v="800"/>
    <n v="55"/>
    <s v="Silver"/>
    <s v="Website"/>
    <s v="Lower"/>
  </r>
  <r>
    <s v="CUST100669"/>
    <n v="37"/>
    <x v="4"/>
    <s v="Unknown"/>
    <s v="Pune"/>
    <n v="1025000"/>
    <n v="56"/>
    <x v="0"/>
    <n v="6"/>
    <n v="5400"/>
    <n v="31"/>
    <s v="Bronze"/>
    <s v="Mobile App"/>
    <s v="Lower"/>
  </r>
  <r>
    <s v="CUST100670"/>
    <n v="65"/>
    <x v="0"/>
    <m/>
    <s v="Chennai"/>
    <n v="1475000"/>
    <n v="31"/>
    <x v="2"/>
    <n v="66"/>
    <n v="4200"/>
    <n v="330"/>
    <s v="Bronze"/>
    <s v="In-store"/>
    <s v="Lower"/>
  </r>
  <r>
    <s v="CUST100671"/>
    <n v="42"/>
    <x v="4"/>
    <s v="Female"/>
    <s v="Hyderabad"/>
    <n v="1475000"/>
    <n v="88"/>
    <x v="3"/>
    <n v="76"/>
    <n v="6700"/>
    <n v="290"/>
    <s v="Bronze"/>
    <m/>
    <s v="Higher"/>
  </r>
  <r>
    <s v="CUST100672"/>
    <n v="39"/>
    <x v="4"/>
    <s v="Unknown"/>
    <s v="Bengaluru"/>
    <n v="550000"/>
    <n v="7"/>
    <x v="2"/>
    <n v="4"/>
    <n v="11300"/>
    <n v="169"/>
    <m/>
    <m/>
    <s v="Lower"/>
  </r>
  <r>
    <s v="CUST100673"/>
    <n v="30"/>
    <x v="3"/>
    <s v="Female"/>
    <s v="Pune"/>
    <m/>
    <n v="90"/>
    <x v="3"/>
    <n v="23"/>
    <n v="4400"/>
    <n v="266"/>
    <m/>
    <s v="Website"/>
    <s v="Higher"/>
  </r>
  <r>
    <s v="CUST100674"/>
    <n v="36"/>
    <x v="4"/>
    <s v="Unknown"/>
    <s v="Bengaluru"/>
    <n v="875000"/>
    <n v="77"/>
    <x v="3"/>
    <n v="13"/>
    <n v="9600"/>
    <n v="308"/>
    <s v="Gold"/>
    <s v="Website"/>
    <s v="Lower"/>
  </r>
  <r>
    <s v="CUST100675"/>
    <n v="66"/>
    <x v="1"/>
    <s v="Unknown"/>
    <s v="Ahmedabad"/>
    <n v="675000"/>
    <n v="54"/>
    <x v="0"/>
    <m/>
    <n v="7000"/>
    <n v="185"/>
    <s v="Silver"/>
    <s v="Mobile App"/>
    <s v="Lower"/>
  </r>
  <r>
    <s v="CUST100676"/>
    <n v="53"/>
    <x v="2"/>
    <s v="Female"/>
    <m/>
    <n v="1200000"/>
    <n v="8"/>
    <x v="2"/>
    <n v="31"/>
    <n v="3400"/>
    <n v="334"/>
    <m/>
    <s v="Website"/>
    <s v="Higher"/>
  </r>
  <r>
    <s v="CUST100677"/>
    <n v="29"/>
    <x v="3"/>
    <s v="Female"/>
    <s v="Chennai"/>
    <n v="800000"/>
    <n v="55"/>
    <x v="0"/>
    <n v="16"/>
    <n v="1200"/>
    <n v="3"/>
    <s v="Bronze"/>
    <m/>
    <s v="Higher"/>
  </r>
  <r>
    <s v="CUST100678"/>
    <n v="58"/>
    <x v="0"/>
    <s v="Unknown"/>
    <m/>
    <n v="1050000"/>
    <n v="69"/>
    <x v="3"/>
    <n v="41"/>
    <n v="10900"/>
    <n v="161"/>
    <m/>
    <s v="In-store"/>
    <s v="Lower"/>
  </r>
  <r>
    <s v="CUST100679"/>
    <n v="36"/>
    <x v="4"/>
    <s v="Male"/>
    <s v="Kolkata"/>
    <n v="1275000"/>
    <n v="44"/>
    <x v="0"/>
    <n v="1"/>
    <n v="7100"/>
    <n v="260"/>
    <s v="Bronze"/>
    <s v="Website"/>
    <s v="Higher"/>
  </r>
  <r>
    <s v="CUST100680"/>
    <n v="29"/>
    <x v="3"/>
    <m/>
    <s v="Bengaluru"/>
    <n v="1000000"/>
    <n v="13"/>
    <x v="2"/>
    <n v="12"/>
    <n v="1100"/>
    <n v="48"/>
    <s v="Silver"/>
    <s v="Website"/>
    <s v="Lower"/>
  </r>
  <r>
    <s v="CUST100681"/>
    <n v="26"/>
    <x v="3"/>
    <m/>
    <s v="Kolkata"/>
    <n v="225000"/>
    <n v="93"/>
    <x v="3"/>
    <n v="56"/>
    <n v="7100"/>
    <n v="254"/>
    <s v="Gold"/>
    <s v="In-store"/>
    <s v="Lower"/>
  </r>
  <r>
    <s v="CUST100682"/>
    <n v="24"/>
    <x v="6"/>
    <s v="Female"/>
    <s v="Mumbai"/>
    <n v="775000"/>
    <n v="20"/>
    <x v="2"/>
    <n v="50"/>
    <n v="6300"/>
    <n v="74"/>
    <s v="Platinum"/>
    <s v="Online"/>
    <s v="Higher"/>
  </r>
  <r>
    <s v="CUST100683"/>
    <n v="45"/>
    <x v="2"/>
    <s v="Female"/>
    <s v="Bengaluru"/>
    <n v="600000"/>
    <n v="78"/>
    <x v="3"/>
    <n v="20"/>
    <n v="1300"/>
    <n v="335"/>
    <s v="Platinum"/>
    <m/>
    <s v="Higher"/>
  </r>
  <r>
    <s v="CUST100684"/>
    <n v="31"/>
    <x v="3"/>
    <s v="Female"/>
    <s v="Pune"/>
    <n v="1250000"/>
    <n v="32"/>
    <x v="2"/>
    <n v="66"/>
    <n v="10100"/>
    <n v="166"/>
    <s v="Bronze"/>
    <m/>
    <s v="Higher"/>
  </r>
  <r>
    <s v="CUST100685"/>
    <n v="48"/>
    <x v="2"/>
    <s v="Male"/>
    <s v="Chennai"/>
    <n v="775000"/>
    <n v="60"/>
    <x v="0"/>
    <n v="36"/>
    <n v="9300"/>
    <n v="260"/>
    <m/>
    <m/>
    <s v="Higher"/>
  </r>
  <r>
    <s v="CUST100686"/>
    <n v="69"/>
    <x v="1"/>
    <s v="Male"/>
    <s v="Kolkata"/>
    <n v="675000"/>
    <n v="50"/>
    <x v="0"/>
    <n v="79"/>
    <n v="7000"/>
    <n v="4"/>
    <m/>
    <s v="Website"/>
    <s v="Higher"/>
  </r>
  <r>
    <s v="CUST100687"/>
    <n v="36"/>
    <x v="4"/>
    <s v="Unknown"/>
    <s v="Bengaluru"/>
    <n v="1575000"/>
    <n v="27"/>
    <x v="2"/>
    <n v="38"/>
    <n v="7600"/>
    <n v="119"/>
    <s v="Bronze"/>
    <s v="In-store"/>
    <s v="Lower"/>
  </r>
  <r>
    <s v="CUST100688"/>
    <n v="64"/>
    <x v="0"/>
    <s v="Unknown"/>
    <s v="Mumbai"/>
    <n v="1700000"/>
    <n v="25"/>
    <x v="2"/>
    <n v="22"/>
    <n v="10500"/>
    <n v="273"/>
    <s v="Silver"/>
    <m/>
    <s v="Lower"/>
  </r>
  <r>
    <s v="CUST100689"/>
    <n v="33"/>
    <x v="3"/>
    <s v="Male"/>
    <m/>
    <n v="825000"/>
    <n v="52"/>
    <x v="0"/>
    <n v="61"/>
    <n v="9900"/>
    <n v="226"/>
    <s v="Bronze"/>
    <s v="Mobile App"/>
    <s v="Higher"/>
  </r>
  <r>
    <s v="CUST100690"/>
    <m/>
    <x v="5"/>
    <m/>
    <s v="Pune"/>
    <n v="1750000"/>
    <n v="68"/>
    <x v="3"/>
    <n v="50"/>
    <n v="10400"/>
    <n v="352"/>
    <s v="Silver"/>
    <s v="Online"/>
    <s v="Lower"/>
  </r>
  <r>
    <s v="CUST100691"/>
    <n v="22"/>
    <x v="6"/>
    <m/>
    <s v="Ahmedabad"/>
    <n v="1225000"/>
    <n v="21"/>
    <x v="2"/>
    <n v="59"/>
    <n v="1000"/>
    <n v="70"/>
    <s v="Gold"/>
    <s v="Website"/>
    <s v="Lower"/>
  </r>
  <r>
    <s v="CUST100692"/>
    <n v="52"/>
    <x v="2"/>
    <s v="Female"/>
    <s v="Bengaluru"/>
    <n v="1200000"/>
    <n v="18"/>
    <x v="2"/>
    <n v="20"/>
    <n v="5100"/>
    <n v="182"/>
    <s v="Gold"/>
    <s v="Online"/>
    <s v="Higher"/>
  </r>
  <r>
    <s v="CUST100693"/>
    <n v="29"/>
    <x v="3"/>
    <s v="Male"/>
    <s v="Ahmedabad"/>
    <n v="1050000"/>
    <n v="39"/>
    <x v="0"/>
    <n v="36"/>
    <n v="2600"/>
    <n v="353"/>
    <s v="Bronze"/>
    <s v="Website"/>
    <s v="Higher"/>
  </r>
  <r>
    <s v="CUST100694"/>
    <n v="42"/>
    <x v="4"/>
    <s v="Unknown"/>
    <s v="Delhi"/>
    <n v="1775000"/>
    <n v="15"/>
    <x v="2"/>
    <n v="15"/>
    <n v="10500"/>
    <n v="264"/>
    <s v="Gold"/>
    <s v="Website"/>
    <s v="Lower"/>
  </r>
  <r>
    <s v="CUST100695"/>
    <n v="69"/>
    <x v="1"/>
    <m/>
    <s v="Chennai"/>
    <n v="550000"/>
    <n v="53"/>
    <x v="0"/>
    <n v="62"/>
    <n v="3500"/>
    <n v="181"/>
    <m/>
    <s v="Website"/>
    <s v="Lower"/>
  </r>
  <r>
    <s v="CUST100696"/>
    <n v="38"/>
    <x v="4"/>
    <s v="Female"/>
    <s v="Bengaluru"/>
    <n v="1125000"/>
    <n v="38"/>
    <x v="0"/>
    <n v="3"/>
    <n v="10700"/>
    <n v="5"/>
    <s v="Silver"/>
    <s v="Online"/>
    <s v="Higher"/>
  </r>
  <r>
    <s v="CUST100697"/>
    <n v="53"/>
    <x v="2"/>
    <s v="Unknown"/>
    <m/>
    <n v="1075000"/>
    <n v="48"/>
    <x v="0"/>
    <n v="5"/>
    <n v="10900"/>
    <n v="197"/>
    <s v="Platinum"/>
    <m/>
    <s v="Lower"/>
  </r>
  <r>
    <s v="CUST100698"/>
    <m/>
    <x v="5"/>
    <s v="Unknown"/>
    <s v="Mumbai"/>
    <n v="1650000"/>
    <n v="52"/>
    <x v="0"/>
    <n v="56"/>
    <n v="2100"/>
    <n v="47"/>
    <s v="Platinum"/>
    <s v="Mobile App"/>
    <s v="Lower"/>
  </r>
  <r>
    <s v="CUST100699"/>
    <n v="40"/>
    <x v="4"/>
    <s v="Male"/>
    <s v="Kolkata"/>
    <n v="350000"/>
    <n v="88"/>
    <x v="3"/>
    <n v="31"/>
    <n v="400"/>
    <n v="40"/>
    <s v="Gold"/>
    <m/>
    <s v="Higher"/>
  </r>
  <r>
    <s v="CUST100700"/>
    <n v="33"/>
    <x v="3"/>
    <s v="Male"/>
    <m/>
    <s v="unknown"/>
    <n v="72"/>
    <x v="3"/>
    <n v="35"/>
    <n v="5700"/>
    <n v="122"/>
    <s v="Silver"/>
    <s v="In-store"/>
    <s v="Higher"/>
  </r>
  <r>
    <s v="CUST100701"/>
    <n v="56"/>
    <x v="0"/>
    <s v="Unknown"/>
    <s v="Delhi"/>
    <m/>
    <n v="28"/>
    <x v="2"/>
    <n v="71"/>
    <n v="1300"/>
    <n v="135"/>
    <m/>
    <s v="In-store"/>
    <s v="Lower"/>
  </r>
  <r>
    <s v="CUST100702"/>
    <n v="62"/>
    <x v="0"/>
    <s v="Female"/>
    <s v="Chennai"/>
    <n v="1650000"/>
    <n v="85"/>
    <x v="3"/>
    <n v="70"/>
    <n v="10100"/>
    <n v="140"/>
    <s v="Platinum"/>
    <m/>
    <s v="Higher"/>
  </r>
  <r>
    <s v="CUST100703"/>
    <m/>
    <x v="5"/>
    <s v="Unknown"/>
    <m/>
    <n v="525000"/>
    <n v="16"/>
    <x v="2"/>
    <n v="26"/>
    <n v="1900"/>
    <n v="350"/>
    <m/>
    <s v="Mobile App"/>
    <s v="Lower"/>
  </r>
  <r>
    <s v="CUST100704"/>
    <n v="59"/>
    <x v="0"/>
    <m/>
    <s v="Pune"/>
    <n v="175000"/>
    <n v="16"/>
    <x v="2"/>
    <n v="1"/>
    <n v="4400"/>
    <n v="153"/>
    <m/>
    <s v="Mobile App"/>
    <s v="Lower"/>
  </r>
  <r>
    <s v="CUST100705"/>
    <n v="56"/>
    <x v="0"/>
    <s v="Unknown"/>
    <s v="Ahmedabad"/>
    <n v="1925000"/>
    <n v="35"/>
    <x v="0"/>
    <n v="7"/>
    <n v="6300"/>
    <n v="28"/>
    <s v="Platinum"/>
    <s v="Website"/>
    <s v="Lower"/>
  </r>
  <r>
    <s v="CUST100706"/>
    <n v="31"/>
    <x v="3"/>
    <s v="Male"/>
    <s v="Delhi"/>
    <n v="1200000"/>
    <n v="17"/>
    <x v="2"/>
    <n v="36"/>
    <n v="500"/>
    <n v="77"/>
    <s v="Platinum"/>
    <s v="Website"/>
    <s v="Higher"/>
  </r>
  <r>
    <s v="CUST100707"/>
    <n v="48"/>
    <x v="2"/>
    <m/>
    <s v="Kolkata"/>
    <n v="1175000"/>
    <n v="73"/>
    <x v="3"/>
    <n v="76"/>
    <n v="8800"/>
    <n v="175"/>
    <s v="Gold"/>
    <s v="In-store"/>
    <s v="Lower"/>
  </r>
  <r>
    <s v="CUST100708"/>
    <n v="22"/>
    <x v="6"/>
    <s v="Male"/>
    <s v="Pune"/>
    <s v="unknown"/>
    <n v="99"/>
    <x v="3"/>
    <n v="25"/>
    <n v="3700"/>
    <n v="49"/>
    <s v="Silver"/>
    <s v="Website"/>
    <s v="Higher"/>
  </r>
  <r>
    <s v="CUST100709"/>
    <n v="52"/>
    <x v="2"/>
    <s v="Male"/>
    <m/>
    <n v="1550000"/>
    <n v="52"/>
    <x v="0"/>
    <n v="59"/>
    <n v="8700"/>
    <n v="342"/>
    <s v="Bronze"/>
    <s v="Website"/>
    <s v="Higher"/>
  </r>
  <r>
    <s v="CUST100710"/>
    <n v="40"/>
    <x v="4"/>
    <s v="Female"/>
    <s v="Kolkata"/>
    <n v="1800000"/>
    <n v="93"/>
    <x v="3"/>
    <n v="61"/>
    <n v="9100"/>
    <n v="310"/>
    <s v="Silver"/>
    <s v="Mobile App"/>
    <s v="Higher"/>
  </r>
  <r>
    <s v="CUST100711"/>
    <n v="46"/>
    <x v="2"/>
    <s v="Female"/>
    <s v="Mumbai"/>
    <n v="875000"/>
    <n v="82"/>
    <x v="3"/>
    <n v="29"/>
    <n v="10500"/>
    <n v="274"/>
    <s v="Bronze"/>
    <s v="Online"/>
    <s v="Higher"/>
  </r>
  <r>
    <s v="CUST100712"/>
    <n v="60"/>
    <x v="0"/>
    <s v="Unknown"/>
    <s v="Ahmedabad"/>
    <n v="450000"/>
    <n v="12"/>
    <x v="2"/>
    <n v="18"/>
    <n v="6800"/>
    <n v="27"/>
    <s v="Platinum"/>
    <m/>
    <s v="Lower"/>
  </r>
  <r>
    <s v="CUST100713"/>
    <n v="28"/>
    <x v="3"/>
    <s v="Male"/>
    <m/>
    <n v="600000"/>
    <n v="83"/>
    <x v="3"/>
    <n v="41"/>
    <n v="300"/>
    <n v="328"/>
    <m/>
    <m/>
    <s v="Higher"/>
  </r>
  <r>
    <s v="CUST100714"/>
    <n v="35"/>
    <x v="4"/>
    <s v="Female"/>
    <s v="Bengaluru"/>
    <n v="300000"/>
    <n v="48"/>
    <x v="0"/>
    <n v="19"/>
    <n v="900"/>
    <n v="221"/>
    <s v="Silver"/>
    <m/>
    <s v="Higher"/>
  </r>
  <r>
    <s v="CUST100715"/>
    <n v="64"/>
    <x v="0"/>
    <s v="Male"/>
    <s v="Delhi"/>
    <n v="350000"/>
    <n v="22"/>
    <x v="2"/>
    <n v="4"/>
    <n v="2200"/>
    <n v="122"/>
    <m/>
    <s v="Website"/>
    <s v="Higher"/>
  </r>
  <r>
    <s v="CUST100716"/>
    <n v="29"/>
    <x v="3"/>
    <s v="Unknown"/>
    <s v="Bengaluru"/>
    <n v="1475000"/>
    <n v="49"/>
    <x v="0"/>
    <n v="65"/>
    <n v="4500"/>
    <n v="361"/>
    <s v="Silver"/>
    <s v="Website"/>
    <s v="Lower"/>
  </r>
  <r>
    <s v="CUST100717"/>
    <n v="26"/>
    <x v="3"/>
    <m/>
    <s v="Pune"/>
    <n v="1650000"/>
    <n v="52"/>
    <x v="0"/>
    <n v="41"/>
    <m/>
    <n v="69"/>
    <m/>
    <m/>
    <s v="Lower"/>
  </r>
  <r>
    <s v="CUST100718"/>
    <n v="27"/>
    <x v="3"/>
    <m/>
    <s v="Bengaluru"/>
    <n v="175000"/>
    <n v="79"/>
    <x v="3"/>
    <n v="15"/>
    <n v="800"/>
    <n v="71"/>
    <s v="Silver"/>
    <m/>
    <s v="Lower"/>
  </r>
  <r>
    <s v="CUST100719"/>
    <n v="61"/>
    <x v="0"/>
    <s v="Female"/>
    <m/>
    <n v="1375000"/>
    <n v="1"/>
    <x v="2"/>
    <n v="54"/>
    <n v="5700"/>
    <n v="150"/>
    <m/>
    <s v="Mobile App"/>
    <s v="Higher"/>
  </r>
  <r>
    <s v="CUST100720"/>
    <n v="34"/>
    <x v="3"/>
    <s v="Unknown"/>
    <s v="Hyderabad"/>
    <m/>
    <n v="66"/>
    <x v="0"/>
    <n v="64"/>
    <n v="10200"/>
    <n v="187"/>
    <m/>
    <m/>
    <s v="Lower"/>
  </r>
  <r>
    <s v="CUST100721"/>
    <n v="55"/>
    <x v="0"/>
    <s v="Female"/>
    <s v="Pune"/>
    <n v="900000"/>
    <n v="64"/>
    <x v="0"/>
    <n v="72"/>
    <n v="11700"/>
    <n v="246"/>
    <s v="Gold"/>
    <m/>
    <s v="Higher"/>
  </r>
  <r>
    <s v="CUST100722"/>
    <n v="24"/>
    <x v="6"/>
    <s v="Male"/>
    <s v="Ahmedabad"/>
    <n v="950000"/>
    <n v="8"/>
    <x v="2"/>
    <n v="15"/>
    <n v="2300"/>
    <n v="196"/>
    <s v="Platinum"/>
    <m/>
    <s v="Higher"/>
  </r>
  <r>
    <s v="CUST100723"/>
    <n v="63"/>
    <x v="0"/>
    <m/>
    <s v="Kolkata"/>
    <n v="400000"/>
    <n v="86"/>
    <x v="3"/>
    <n v="79"/>
    <n v="5300"/>
    <n v="32"/>
    <s v="Gold"/>
    <s v="Website"/>
    <s v="Lower"/>
  </r>
  <r>
    <s v="CUST100724"/>
    <n v="30"/>
    <x v="3"/>
    <s v="Female"/>
    <s v="Ahmedabad"/>
    <n v="950000"/>
    <n v="25"/>
    <x v="2"/>
    <n v="50"/>
    <n v="4800"/>
    <n v="109"/>
    <s v="Gold"/>
    <s v="Website"/>
    <s v="Higher"/>
  </r>
  <r>
    <s v="CUST100725"/>
    <n v="57"/>
    <x v="0"/>
    <s v="Male"/>
    <s v="Bengaluru"/>
    <n v="300000"/>
    <n v="66"/>
    <x v="0"/>
    <n v="22"/>
    <n v="3700"/>
    <n v="353"/>
    <s v="Silver"/>
    <m/>
    <s v="Higher"/>
  </r>
  <r>
    <s v="CUST100726"/>
    <n v="59"/>
    <x v="0"/>
    <s v="Male"/>
    <s v="Chennai"/>
    <n v="900000"/>
    <n v="73"/>
    <x v="3"/>
    <n v="18"/>
    <n v="10200"/>
    <n v="1"/>
    <s v="Platinum"/>
    <m/>
    <s v="Higher"/>
  </r>
  <r>
    <s v="CUST100727"/>
    <n v="26"/>
    <x v="3"/>
    <s v="Female"/>
    <s v="Pune"/>
    <n v="1325000"/>
    <n v="73"/>
    <x v="3"/>
    <m/>
    <n v="1000"/>
    <n v="182"/>
    <m/>
    <s v="Website"/>
    <s v="Higher"/>
  </r>
  <r>
    <s v="CUST100728"/>
    <n v="67"/>
    <x v="1"/>
    <m/>
    <s v="Kolkata"/>
    <n v="1300000"/>
    <n v="77"/>
    <x v="3"/>
    <n v="2"/>
    <n v="11600"/>
    <n v="174"/>
    <s v="Silver"/>
    <m/>
    <s v="Lower"/>
  </r>
  <r>
    <s v="CUST100729"/>
    <n v="44"/>
    <x v="4"/>
    <s v="Unknown"/>
    <m/>
    <n v="1450000"/>
    <n v="70"/>
    <x v="3"/>
    <n v="36"/>
    <n v="7000"/>
    <n v="169"/>
    <s v="Bronze"/>
    <m/>
    <s v="Lower"/>
  </r>
  <r>
    <s v="CUST100730"/>
    <n v="19"/>
    <x v="6"/>
    <s v="Male"/>
    <s v="Mumbai"/>
    <n v="600000"/>
    <n v="94"/>
    <x v="3"/>
    <n v="20"/>
    <n v="10900"/>
    <n v="248"/>
    <s v="Silver"/>
    <s v="Mobile App"/>
    <s v="Higher"/>
  </r>
  <r>
    <s v="CUST100731"/>
    <n v="22"/>
    <x v="6"/>
    <s v="Unknown"/>
    <s v="Ahmedabad"/>
    <n v="275000"/>
    <n v="79"/>
    <x v="3"/>
    <n v="16"/>
    <n v="1800"/>
    <n v="108"/>
    <m/>
    <s v="Website"/>
    <s v="Lower"/>
  </r>
  <r>
    <s v="CUST100732"/>
    <n v="46"/>
    <x v="2"/>
    <m/>
    <s v="Ahmedabad"/>
    <n v="1350000"/>
    <n v="51"/>
    <x v="0"/>
    <n v="67"/>
    <n v="6900"/>
    <n v="297"/>
    <m/>
    <s v="Online"/>
    <s v="Lower"/>
  </r>
  <r>
    <s v="CUST100733"/>
    <n v="54"/>
    <x v="2"/>
    <s v="Female"/>
    <s v="Pune"/>
    <n v="1950000"/>
    <n v="53"/>
    <x v="0"/>
    <n v="30"/>
    <n v="7300"/>
    <n v="264"/>
    <s v="Silver"/>
    <m/>
    <s v="Higher"/>
  </r>
  <r>
    <s v="CUST100734"/>
    <n v="55"/>
    <x v="0"/>
    <s v="Male"/>
    <s v="Chennai"/>
    <n v="1375000"/>
    <n v="15"/>
    <x v="2"/>
    <n v="55"/>
    <n v="6600"/>
    <n v="30"/>
    <s v="Bronze"/>
    <s v="Website"/>
    <s v="Higher"/>
  </r>
  <r>
    <s v="CUST100735"/>
    <n v="36"/>
    <x v="4"/>
    <s v="Female"/>
    <s v="Bengaluru"/>
    <n v="425000"/>
    <n v="50"/>
    <x v="0"/>
    <n v="66"/>
    <n v="400"/>
    <n v="302"/>
    <s v="Silver"/>
    <s v="Mobile App"/>
    <s v="Higher"/>
  </r>
  <r>
    <s v="CUST100736"/>
    <n v="25"/>
    <x v="3"/>
    <s v="Male"/>
    <s v="Bengaluru"/>
    <n v="700000"/>
    <n v="71"/>
    <x v="3"/>
    <n v="26"/>
    <n v="300"/>
    <n v="361"/>
    <m/>
    <s v="Mobile App"/>
    <s v="Higher"/>
  </r>
  <r>
    <s v="CUST100737"/>
    <n v="65"/>
    <x v="0"/>
    <s v="Unknown"/>
    <s v="Pune"/>
    <n v="1475000"/>
    <n v="75"/>
    <x v="3"/>
    <n v="57"/>
    <n v="6000"/>
    <n v="352"/>
    <s v="Bronze"/>
    <s v="Website"/>
    <s v="Lower"/>
  </r>
  <r>
    <s v="CUST100738"/>
    <n v="62"/>
    <x v="0"/>
    <s v="Male"/>
    <s v="Ahmedabad"/>
    <n v="1850000"/>
    <n v="38"/>
    <x v="0"/>
    <n v="69"/>
    <n v="300"/>
    <n v="317"/>
    <s v="Platinum"/>
    <s v="In-store"/>
    <s v="Higher"/>
  </r>
  <r>
    <s v="CUST100739"/>
    <n v="18"/>
    <x v="6"/>
    <s v="Male"/>
    <s v="Kolkata"/>
    <n v="1600000"/>
    <n v="40"/>
    <x v="0"/>
    <n v="2"/>
    <n v="10400"/>
    <n v="225"/>
    <m/>
    <m/>
    <s v="Higher"/>
  </r>
  <r>
    <s v="CUST100740"/>
    <n v="39"/>
    <x v="4"/>
    <s v="Female"/>
    <s v="Mumbai"/>
    <n v="1025000"/>
    <n v="66"/>
    <x v="0"/>
    <n v="56"/>
    <n v="11700"/>
    <n v="89"/>
    <s v="Silver"/>
    <m/>
    <s v="Higher"/>
  </r>
  <r>
    <s v="CUST100741"/>
    <n v="69"/>
    <x v="1"/>
    <s v="Female"/>
    <s v="Pune"/>
    <n v="200000"/>
    <n v="39"/>
    <x v="0"/>
    <n v="62"/>
    <n v="900"/>
    <n v="234"/>
    <s v="Bronze"/>
    <m/>
    <s v="Higher"/>
  </r>
  <r>
    <s v="CUST100742"/>
    <n v="34"/>
    <x v="3"/>
    <m/>
    <s v="Kolkata"/>
    <n v="1575000"/>
    <n v="74"/>
    <x v="3"/>
    <n v="34"/>
    <n v="9000"/>
    <n v="168"/>
    <m/>
    <s v="Mobile App"/>
    <s v="Lower"/>
  </r>
  <r>
    <s v="CUST100743"/>
    <n v="24"/>
    <x v="6"/>
    <s v="Male"/>
    <s v="Kolkata"/>
    <n v="1500000"/>
    <n v="17"/>
    <x v="2"/>
    <n v="56"/>
    <n v="7100"/>
    <n v="231"/>
    <s v="Platinum"/>
    <s v="Website"/>
    <s v="Higher"/>
  </r>
  <r>
    <s v="CUST100744"/>
    <n v="42"/>
    <x v="4"/>
    <s v="Female"/>
    <m/>
    <n v="1550000"/>
    <n v="7"/>
    <x v="2"/>
    <n v="55"/>
    <n v="8700"/>
    <n v="126"/>
    <m/>
    <s v="In-store"/>
    <s v="Higher"/>
  </r>
  <r>
    <s v="CUST100745"/>
    <n v="62"/>
    <x v="0"/>
    <s v="Male"/>
    <m/>
    <n v="550000"/>
    <n v="39"/>
    <x v="0"/>
    <n v="20"/>
    <n v="9400"/>
    <n v="61"/>
    <s v="Gold"/>
    <m/>
    <s v="Higher"/>
  </r>
  <r>
    <s v="CUST100746"/>
    <n v="21"/>
    <x v="6"/>
    <s v="Unknown"/>
    <s v="Hyderabad"/>
    <n v="1100000"/>
    <n v="68"/>
    <x v="3"/>
    <n v="50"/>
    <n v="2000"/>
    <n v="120"/>
    <s v="Bronze"/>
    <s v="Online"/>
    <s v="Lower"/>
  </r>
  <r>
    <s v="CUST100747"/>
    <n v="53"/>
    <x v="2"/>
    <m/>
    <s v="Mumbai"/>
    <n v="1825000"/>
    <n v="35"/>
    <x v="0"/>
    <n v="25"/>
    <n v="9000"/>
    <n v="190"/>
    <m/>
    <m/>
    <s v="Lower"/>
  </r>
  <r>
    <s v="CUST100748"/>
    <n v="23"/>
    <x v="6"/>
    <s v="Unknown"/>
    <s v="Delhi"/>
    <n v="1500000"/>
    <n v="51"/>
    <x v="0"/>
    <n v="25"/>
    <n v="3400"/>
    <n v="121"/>
    <s v="Platinum"/>
    <m/>
    <s v="Lower"/>
  </r>
  <r>
    <s v="CUST100749"/>
    <n v="48"/>
    <x v="2"/>
    <s v="Female"/>
    <s v="Chennai"/>
    <n v="1250000"/>
    <n v="47"/>
    <x v="0"/>
    <n v="53"/>
    <n v="4700"/>
    <n v="48"/>
    <m/>
    <m/>
    <s v="Higher"/>
  </r>
  <r>
    <s v="CUST100750"/>
    <n v="36"/>
    <x v="4"/>
    <s v="Unknown"/>
    <s v="Hyderabad"/>
    <m/>
    <n v="36"/>
    <x v="0"/>
    <n v="14"/>
    <n v="3500"/>
    <n v="202"/>
    <s v="Silver"/>
    <s v="In-store"/>
    <s v="Lower"/>
  </r>
  <r>
    <s v="CUST100751"/>
    <n v="61"/>
    <x v="0"/>
    <s v="Male"/>
    <m/>
    <n v="150000"/>
    <n v="64"/>
    <x v="0"/>
    <n v="60"/>
    <n v="7600"/>
    <n v="59"/>
    <s v="Gold"/>
    <m/>
    <s v="Higher"/>
  </r>
  <r>
    <s v="CUST100752"/>
    <m/>
    <x v="5"/>
    <s v="Unknown"/>
    <s v="Mumbai"/>
    <n v="650000"/>
    <n v="95"/>
    <x v="3"/>
    <n v="43"/>
    <n v="7500"/>
    <n v="185"/>
    <s v="Bronze"/>
    <m/>
    <s v="Lower"/>
  </r>
  <r>
    <s v="CUST100753"/>
    <n v="56"/>
    <x v="0"/>
    <s v="Female"/>
    <s v="Bengaluru"/>
    <n v="650000"/>
    <n v="89"/>
    <x v="3"/>
    <n v="62"/>
    <n v="5100"/>
    <n v="223"/>
    <m/>
    <s v="Website"/>
    <s v="Higher"/>
  </r>
  <r>
    <s v="CUST100754"/>
    <n v="44"/>
    <x v="4"/>
    <m/>
    <s v="Hyderabad"/>
    <n v="1425000"/>
    <n v="13"/>
    <x v="2"/>
    <n v="76"/>
    <n v="3500"/>
    <n v="11"/>
    <s v="Platinum"/>
    <m/>
    <s v="Lower"/>
  </r>
  <r>
    <s v="CUST100755"/>
    <n v="27"/>
    <x v="3"/>
    <s v="Male"/>
    <s v="Bengaluru"/>
    <n v="1200000"/>
    <n v="18"/>
    <x v="2"/>
    <n v="69"/>
    <n v="9900"/>
    <n v="281"/>
    <s v="Gold"/>
    <s v="Online"/>
    <s v="Higher"/>
  </r>
  <r>
    <s v="CUST100756"/>
    <n v="43"/>
    <x v="4"/>
    <m/>
    <s v="Chennai"/>
    <n v="1425000"/>
    <n v="21"/>
    <x v="2"/>
    <n v="63"/>
    <n v="7300"/>
    <n v="189"/>
    <s v="Platinum"/>
    <s v="Website"/>
    <s v="Lower"/>
  </r>
  <r>
    <s v="CUST100757"/>
    <n v="36"/>
    <x v="4"/>
    <s v="Male"/>
    <s v="Bengaluru"/>
    <n v="1800000"/>
    <n v="65"/>
    <x v="0"/>
    <n v="2"/>
    <n v="7000"/>
    <n v="302"/>
    <m/>
    <s v="Mobile App"/>
    <s v="Higher"/>
  </r>
  <r>
    <s v="CUST100758"/>
    <n v="56"/>
    <x v="0"/>
    <s v="Unknown"/>
    <s v="Chennai"/>
    <n v="1225000"/>
    <n v="100"/>
    <x v="3"/>
    <n v="54"/>
    <n v="3000"/>
    <n v="310"/>
    <s v="Platinum"/>
    <s v="In-store"/>
    <s v="Lower"/>
  </r>
  <r>
    <s v="CUST100759"/>
    <n v="20"/>
    <x v="6"/>
    <s v="Female"/>
    <s v="Mumbai"/>
    <n v="925000"/>
    <n v="8"/>
    <x v="2"/>
    <n v="16"/>
    <n v="8900"/>
    <n v="237"/>
    <s v="Platinum"/>
    <m/>
    <s v="Higher"/>
  </r>
  <r>
    <s v="CUST100760"/>
    <n v="62"/>
    <x v="0"/>
    <s v="Male"/>
    <s v="Ahmedabad"/>
    <n v="375000"/>
    <n v="48"/>
    <x v="0"/>
    <n v="55"/>
    <n v="5500"/>
    <n v="34"/>
    <m/>
    <s v="Website"/>
    <s v="Higher"/>
  </r>
  <r>
    <s v="CUST100761"/>
    <n v="30"/>
    <x v="3"/>
    <m/>
    <s v="Chennai"/>
    <n v="1725000"/>
    <n v="85"/>
    <x v="3"/>
    <n v="43"/>
    <n v="9800"/>
    <n v="340"/>
    <m/>
    <m/>
    <s v="Lower"/>
  </r>
  <r>
    <s v="CUST100762"/>
    <n v="67"/>
    <x v="1"/>
    <s v="Unknown"/>
    <s v="Kolkata"/>
    <n v="1850000"/>
    <n v="43"/>
    <x v="0"/>
    <n v="61"/>
    <n v="4600"/>
    <n v="135"/>
    <s v="Gold"/>
    <s v="Website"/>
    <s v="Lower"/>
  </r>
  <r>
    <s v="CUST100763"/>
    <n v="45"/>
    <x v="2"/>
    <m/>
    <s v="Delhi"/>
    <n v="1825000"/>
    <n v="53"/>
    <x v="0"/>
    <n v="38"/>
    <n v="8200"/>
    <n v="62"/>
    <s v="Bronze"/>
    <m/>
    <s v="Lower"/>
  </r>
  <r>
    <s v="CUST100764"/>
    <n v="37"/>
    <x v="4"/>
    <s v="Female"/>
    <s v="Delhi"/>
    <n v="825000"/>
    <n v="85"/>
    <x v="3"/>
    <n v="45"/>
    <n v="11200"/>
    <n v="313"/>
    <m/>
    <s v="Mobile App"/>
    <s v="Higher"/>
  </r>
  <r>
    <s v="CUST100765"/>
    <n v="45"/>
    <x v="2"/>
    <m/>
    <s v="Pune"/>
    <n v="1450000"/>
    <n v="27"/>
    <x v="2"/>
    <n v="51"/>
    <n v="5700"/>
    <n v="227"/>
    <s v="Gold"/>
    <m/>
    <s v="Lower"/>
  </r>
  <r>
    <s v="CUST100766"/>
    <n v="25"/>
    <x v="3"/>
    <s v="Unknown"/>
    <s v="Delhi"/>
    <n v="1400000"/>
    <n v="19"/>
    <x v="2"/>
    <n v="42"/>
    <n v="1200"/>
    <n v="93"/>
    <s v="Platinum"/>
    <s v="Mobile App"/>
    <s v="Lower"/>
  </r>
  <r>
    <s v="CUST100767"/>
    <n v="58"/>
    <x v="0"/>
    <m/>
    <s v="Pune"/>
    <n v="1450000"/>
    <n v="23"/>
    <x v="2"/>
    <n v="24"/>
    <n v="1600"/>
    <n v="116"/>
    <s v="Platinum"/>
    <m/>
    <s v="Lower"/>
  </r>
  <r>
    <s v="CUST100768"/>
    <n v="56"/>
    <x v="0"/>
    <s v="Male"/>
    <s v="Delhi"/>
    <n v="225000"/>
    <n v="50"/>
    <x v="0"/>
    <n v="30"/>
    <n v="10500"/>
    <n v="332"/>
    <m/>
    <m/>
    <s v="Higher"/>
  </r>
  <r>
    <s v="CUST100769"/>
    <n v="18"/>
    <x v="6"/>
    <m/>
    <s v="Chennai"/>
    <n v="550000"/>
    <n v="51"/>
    <x v="0"/>
    <n v="37"/>
    <n v="3800"/>
    <n v="133"/>
    <s v="Silver"/>
    <s v="Website"/>
    <s v="Lower"/>
  </r>
  <r>
    <s v="CUST100770"/>
    <n v="20"/>
    <x v="6"/>
    <s v="Female"/>
    <s v="Kolkata"/>
    <n v="1800000"/>
    <n v="43"/>
    <x v="0"/>
    <n v="53"/>
    <n v="3600"/>
    <n v="332"/>
    <m/>
    <s v="Online"/>
    <s v="Higher"/>
  </r>
  <r>
    <s v="CUST100771"/>
    <n v="30"/>
    <x v="3"/>
    <s v="Unknown"/>
    <s v="Ahmedabad"/>
    <n v="1975000"/>
    <n v="99"/>
    <x v="3"/>
    <n v="63"/>
    <n v="9000"/>
    <n v="293"/>
    <s v="Gold"/>
    <s v="Online"/>
    <s v="Lower"/>
  </r>
  <r>
    <s v="CUST100772"/>
    <n v="45"/>
    <x v="2"/>
    <s v="Male"/>
    <s v="Bengaluru"/>
    <n v="1300000"/>
    <n v="51"/>
    <x v="0"/>
    <n v="11"/>
    <n v="2000"/>
    <n v="193"/>
    <m/>
    <m/>
    <s v="Higher"/>
  </r>
  <r>
    <s v="CUST100773"/>
    <n v="66"/>
    <x v="1"/>
    <s v="Female"/>
    <m/>
    <n v="1525000"/>
    <n v="69"/>
    <x v="3"/>
    <n v="78"/>
    <n v="1800"/>
    <n v="30"/>
    <s v="Gold"/>
    <s v="Website"/>
    <s v="Higher"/>
  </r>
  <r>
    <s v="CUST100774"/>
    <n v="42"/>
    <x v="4"/>
    <s v="Male"/>
    <s v="Delhi"/>
    <n v="700000"/>
    <n v="41"/>
    <x v="0"/>
    <n v="23"/>
    <n v="10700"/>
    <n v="298"/>
    <s v="Bronze"/>
    <s v="Online"/>
    <s v="Higher"/>
  </r>
  <r>
    <s v="CUST100775"/>
    <n v="50"/>
    <x v="2"/>
    <m/>
    <s v="Ahmedabad"/>
    <n v="575000"/>
    <n v="72"/>
    <x v="3"/>
    <m/>
    <n v="3900"/>
    <n v="61"/>
    <m/>
    <m/>
    <s v="Lower"/>
  </r>
  <r>
    <s v="CUST100776"/>
    <n v="55"/>
    <x v="0"/>
    <s v="Female"/>
    <s v="Ahmedabad"/>
    <n v="150000"/>
    <n v="11"/>
    <x v="2"/>
    <n v="50"/>
    <n v="4300"/>
    <n v="304"/>
    <s v="Gold"/>
    <s v="Mobile App"/>
    <s v="Higher"/>
  </r>
  <r>
    <s v="CUST100777"/>
    <m/>
    <x v="5"/>
    <s v="Female"/>
    <s v="Chennai"/>
    <n v="1000000"/>
    <n v="80"/>
    <x v="3"/>
    <n v="55"/>
    <n v="2700"/>
    <n v="340"/>
    <m/>
    <s v="Website"/>
    <s v="Higher"/>
  </r>
  <r>
    <s v="CUST100778"/>
    <n v="23"/>
    <x v="6"/>
    <m/>
    <s v="Mumbai"/>
    <n v="1725000"/>
    <n v="88"/>
    <x v="3"/>
    <n v="55"/>
    <n v="1000"/>
    <n v="349"/>
    <s v="Gold"/>
    <s v="Mobile App"/>
    <s v="Lower"/>
  </r>
  <r>
    <s v="CUST100779"/>
    <n v="61"/>
    <x v="0"/>
    <s v="Male"/>
    <s v="Mumbai"/>
    <n v="1575000"/>
    <n v="85"/>
    <x v="3"/>
    <n v="4"/>
    <n v="9000"/>
    <n v="324"/>
    <s v="Silver"/>
    <s v="Website"/>
    <s v="Higher"/>
  </r>
  <r>
    <s v="CUST100780"/>
    <n v="62"/>
    <x v="0"/>
    <s v="Male"/>
    <s v="Delhi"/>
    <n v="1600000"/>
    <n v="52"/>
    <x v="0"/>
    <n v="54"/>
    <n v="8600"/>
    <n v="302"/>
    <s v="Platinum"/>
    <s v="Mobile App"/>
    <s v="Higher"/>
  </r>
  <r>
    <s v="CUST100781"/>
    <n v="49"/>
    <x v="2"/>
    <s v="Male"/>
    <m/>
    <n v="150000"/>
    <n v="23"/>
    <x v="2"/>
    <n v="61"/>
    <n v="11400"/>
    <n v="28"/>
    <s v="Platinum"/>
    <s v="Mobile App"/>
    <s v="Higher"/>
  </r>
  <r>
    <s v="CUST100782"/>
    <n v="62"/>
    <x v="0"/>
    <s v="Female"/>
    <s v="Delhi"/>
    <n v="200000"/>
    <n v="49"/>
    <x v="0"/>
    <n v="78"/>
    <n v="9600"/>
    <n v="77"/>
    <m/>
    <s v="Online"/>
    <s v="Higher"/>
  </r>
  <r>
    <s v="CUST100783"/>
    <n v="64"/>
    <x v="0"/>
    <s v="Female"/>
    <s v="Delhi"/>
    <n v="1800000"/>
    <n v="38"/>
    <x v="0"/>
    <n v="5"/>
    <n v="8600"/>
    <n v="121"/>
    <s v="Gold"/>
    <s v="Website"/>
    <s v="Higher"/>
  </r>
  <r>
    <s v="CUST100784"/>
    <n v="38"/>
    <x v="4"/>
    <s v="Female"/>
    <s v="Pune"/>
    <n v="1050000"/>
    <n v="47"/>
    <x v="0"/>
    <n v="18"/>
    <n v="2000"/>
    <n v="3"/>
    <s v="Gold"/>
    <m/>
    <s v="Higher"/>
  </r>
  <r>
    <s v="CUST100785"/>
    <n v="33"/>
    <x v="3"/>
    <s v="Female"/>
    <s v="Kolkata"/>
    <n v="850000"/>
    <n v="72"/>
    <x v="3"/>
    <n v="44"/>
    <n v="7000"/>
    <n v="37"/>
    <s v="Gold"/>
    <s v="Online"/>
    <s v="Higher"/>
  </r>
  <r>
    <s v="CUST100786"/>
    <m/>
    <x v="5"/>
    <m/>
    <s v="Kolkata"/>
    <n v="950000"/>
    <n v="7"/>
    <x v="2"/>
    <n v="31"/>
    <n v="5000"/>
    <n v="147"/>
    <s v="Gold"/>
    <s v="Mobile App"/>
    <s v="Lower"/>
  </r>
  <r>
    <s v="CUST100787"/>
    <n v="38"/>
    <x v="4"/>
    <m/>
    <m/>
    <n v="1650000"/>
    <n v="66"/>
    <x v="0"/>
    <n v="21"/>
    <n v="10200"/>
    <n v="92"/>
    <s v="Silver"/>
    <s v="Mobile App"/>
    <s v="Lower"/>
  </r>
  <r>
    <s v="CUST100788"/>
    <n v="28"/>
    <x v="3"/>
    <m/>
    <s v="Pune"/>
    <n v="225000"/>
    <n v="94"/>
    <x v="3"/>
    <n v="47"/>
    <n v="7200"/>
    <n v="339"/>
    <m/>
    <m/>
    <s v="Lower"/>
  </r>
  <r>
    <s v="CUST100789"/>
    <n v="54"/>
    <x v="2"/>
    <s v="Female"/>
    <s v="Ahmedabad"/>
    <n v="475000"/>
    <n v="77"/>
    <x v="3"/>
    <n v="30"/>
    <n v="6900"/>
    <n v="273"/>
    <s v="Silver"/>
    <m/>
    <s v="Higher"/>
  </r>
  <r>
    <s v="CUST100790"/>
    <n v="53"/>
    <x v="2"/>
    <s v="Female"/>
    <s v="Pune"/>
    <n v="950000"/>
    <n v="62"/>
    <x v="0"/>
    <n v="55"/>
    <n v="2000"/>
    <n v="87"/>
    <s v="Silver"/>
    <s v="Mobile App"/>
    <s v="Higher"/>
  </r>
  <r>
    <s v="CUST100791"/>
    <n v="52"/>
    <x v="2"/>
    <m/>
    <s v="Delhi"/>
    <n v="675000"/>
    <n v="87"/>
    <x v="3"/>
    <n v="68"/>
    <n v="11300"/>
    <n v="40"/>
    <s v="Silver"/>
    <m/>
    <s v="Lower"/>
  </r>
  <r>
    <s v="CUST100792"/>
    <n v="36"/>
    <x v="4"/>
    <s v="Male"/>
    <s v="Mumbai"/>
    <n v="1325000"/>
    <n v="29"/>
    <x v="2"/>
    <n v="69"/>
    <n v="10600"/>
    <n v="178"/>
    <s v="Platinum"/>
    <s v="In-store"/>
    <s v="Higher"/>
  </r>
  <r>
    <s v="CUST100793"/>
    <n v="37"/>
    <x v="4"/>
    <s v="Male"/>
    <s v="Hyderabad"/>
    <n v="200000"/>
    <n v="38"/>
    <x v="0"/>
    <n v="41"/>
    <n v="2000"/>
    <n v="329"/>
    <s v="Silver"/>
    <s v="Online"/>
    <s v="Higher"/>
  </r>
  <r>
    <s v="CUST100794"/>
    <n v="35"/>
    <x v="4"/>
    <m/>
    <m/>
    <n v="700000"/>
    <m/>
    <x v="1"/>
    <n v="45"/>
    <n v="5800"/>
    <n v="285"/>
    <s v="Gold"/>
    <s v="Website"/>
    <s v="Lower"/>
  </r>
  <r>
    <s v="CUST100795"/>
    <n v="64"/>
    <x v="0"/>
    <m/>
    <s v="Ahmedabad"/>
    <n v="1825000"/>
    <n v="84"/>
    <x v="3"/>
    <n v="74"/>
    <n v="2500"/>
    <n v="42"/>
    <s v="Silver"/>
    <m/>
    <s v="Lower"/>
  </r>
  <r>
    <s v="CUST100796"/>
    <n v="58"/>
    <x v="0"/>
    <m/>
    <s v="Chennai"/>
    <n v="650000"/>
    <n v="33"/>
    <x v="2"/>
    <m/>
    <n v="3700"/>
    <n v="285"/>
    <s v="Gold"/>
    <m/>
    <s v="Lower"/>
  </r>
  <r>
    <s v="CUST100797"/>
    <n v="66"/>
    <x v="1"/>
    <s v="Male"/>
    <s v="Hyderabad"/>
    <n v="1200000"/>
    <n v="29"/>
    <x v="2"/>
    <n v="30"/>
    <n v="800"/>
    <n v="66"/>
    <m/>
    <s v="In-store"/>
    <s v="Higher"/>
  </r>
  <r>
    <s v="CUST100798"/>
    <n v="31"/>
    <x v="3"/>
    <s v="Male"/>
    <s v="Hyderabad"/>
    <n v="775000"/>
    <n v="79"/>
    <x v="3"/>
    <n v="77"/>
    <m/>
    <n v="124"/>
    <m/>
    <s v="Website"/>
    <s v="Higher"/>
  </r>
  <r>
    <s v="CUST100799"/>
    <n v="32"/>
    <x v="3"/>
    <s v="Male"/>
    <s v="Pune"/>
    <n v="1150000"/>
    <n v="23"/>
    <x v="2"/>
    <n v="45"/>
    <n v="2800"/>
    <n v="145"/>
    <s v="Platinum"/>
    <s v="In-store"/>
    <s v="Higher"/>
  </r>
  <r>
    <s v="CUST100800"/>
    <n v="48"/>
    <x v="2"/>
    <s v="Male"/>
    <s v="Bengaluru"/>
    <n v="1075000"/>
    <n v="3"/>
    <x v="2"/>
    <n v="45"/>
    <n v="8700"/>
    <n v="120"/>
    <m/>
    <s v="Website"/>
    <s v="Higher"/>
  </r>
  <r>
    <s v="CUST100801"/>
    <n v="18"/>
    <x v="6"/>
    <s v="Female"/>
    <s v="Hyderabad"/>
    <n v="400000"/>
    <m/>
    <x v="1"/>
    <n v="79"/>
    <n v="6300"/>
    <n v="109"/>
    <m/>
    <s v="Online"/>
    <s v="Higher"/>
  </r>
  <r>
    <s v="CUST100802"/>
    <m/>
    <x v="5"/>
    <s v="Male"/>
    <s v="Delhi"/>
    <n v="850000"/>
    <n v="93"/>
    <x v="3"/>
    <n v="45"/>
    <n v="9000"/>
    <n v="92"/>
    <m/>
    <m/>
    <s v="Higher"/>
  </r>
  <r>
    <s v="CUST100803"/>
    <m/>
    <x v="5"/>
    <s v="Male"/>
    <m/>
    <n v="1625000"/>
    <n v="45"/>
    <x v="0"/>
    <n v="55"/>
    <n v="1700"/>
    <n v="308"/>
    <s v="Platinum"/>
    <s v="Online"/>
    <s v="Higher"/>
  </r>
  <r>
    <s v="CUST100804"/>
    <m/>
    <x v="5"/>
    <s v="Unknown"/>
    <s v="Mumbai"/>
    <n v="1800000"/>
    <n v="8"/>
    <x v="2"/>
    <n v="59"/>
    <n v="9300"/>
    <n v="60"/>
    <s v="Gold"/>
    <s v="Website"/>
    <s v="Lower"/>
  </r>
  <r>
    <s v="CUST100805"/>
    <n v="20"/>
    <x v="6"/>
    <m/>
    <s v="Mumbai"/>
    <n v="1750000"/>
    <n v="86"/>
    <x v="3"/>
    <n v="5"/>
    <n v="3400"/>
    <n v="350"/>
    <m/>
    <m/>
    <s v="Lower"/>
  </r>
  <r>
    <s v="CUST100806"/>
    <n v="33"/>
    <x v="3"/>
    <s v="Male"/>
    <m/>
    <n v="1650000"/>
    <n v="29"/>
    <x v="2"/>
    <n v="32"/>
    <n v="1400"/>
    <n v="227"/>
    <m/>
    <s v="In-store"/>
    <s v="Higher"/>
  </r>
  <r>
    <s v="CUST100807"/>
    <n v="40"/>
    <x v="4"/>
    <s v="Female"/>
    <s v="Kolkata"/>
    <n v="600000"/>
    <n v="2"/>
    <x v="2"/>
    <n v="6"/>
    <n v="700"/>
    <n v="240"/>
    <s v="Gold"/>
    <s v="Mobile App"/>
    <s v="Higher"/>
  </r>
  <r>
    <s v="CUST100808"/>
    <n v="28"/>
    <x v="3"/>
    <s v="Female"/>
    <s v="Delhi"/>
    <n v="1275000"/>
    <n v="50"/>
    <x v="0"/>
    <n v="26"/>
    <n v="6600"/>
    <n v="212"/>
    <s v="Gold"/>
    <s v="In-store"/>
    <s v="Higher"/>
  </r>
  <r>
    <s v="CUST100809"/>
    <n v="29"/>
    <x v="3"/>
    <s v="Male"/>
    <s v="Chennai"/>
    <n v="1350000"/>
    <n v="65"/>
    <x v="0"/>
    <n v="37"/>
    <n v="7300"/>
    <n v="98"/>
    <s v="Platinum"/>
    <s v="Mobile App"/>
    <s v="Higher"/>
  </r>
  <r>
    <s v="CUST100810"/>
    <n v="27"/>
    <x v="3"/>
    <m/>
    <s v="Hyderabad"/>
    <n v="675000"/>
    <n v="20"/>
    <x v="2"/>
    <n v="13"/>
    <n v="8800"/>
    <n v="14"/>
    <s v="Silver"/>
    <s v="In-store"/>
    <s v="Lower"/>
  </r>
  <r>
    <s v="CUST100811"/>
    <n v="49"/>
    <x v="2"/>
    <m/>
    <s v="Kolkata"/>
    <n v="1550000"/>
    <n v="52"/>
    <x v="0"/>
    <n v="69"/>
    <n v="2900"/>
    <n v="218"/>
    <s v="Bronze"/>
    <s v="Website"/>
    <s v="Lower"/>
  </r>
  <r>
    <s v="CUST100812"/>
    <n v="33"/>
    <x v="3"/>
    <m/>
    <s v="Delhi"/>
    <n v="475000"/>
    <n v="85"/>
    <x v="3"/>
    <n v="25"/>
    <n v="8100"/>
    <n v="170"/>
    <s v="Silver"/>
    <s v="Online"/>
    <s v="Lower"/>
  </r>
  <r>
    <s v="CUST100813"/>
    <n v="25"/>
    <x v="3"/>
    <s v="Female"/>
    <s v="Pune"/>
    <n v="1225000"/>
    <n v="37"/>
    <x v="0"/>
    <n v="13"/>
    <n v="10500"/>
    <n v="307"/>
    <s v="Silver"/>
    <s v="Mobile App"/>
    <s v="Higher"/>
  </r>
  <r>
    <s v="CUST100814"/>
    <n v="55"/>
    <x v="0"/>
    <m/>
    <s v="Mumbai"/>
    <n v="525000"/>
    <n v="72"/>
    <x v="3"/>
    <n v="20"/>
    <n v="4700"/>
    <n v="280"/>
    <m/>
    <s v="Website"/>
    <s v="Lower"/>
  </r>
  <r>
    <s v="CUST100815"/>
    <n v="29"/>
    <x v="3"/>
    <s v="Unknown"/>
    <s v="Kolkata"/>
    <s v="unknown"/>
    <n v="27"/>
    <x v="2"/>
    <n v="72"/>
    <n v="3700"/>
    <n v="363"/>
    <s v="Bronze"/>
    <s v="Online"/>
    <s v="Lower"/>
  </r>
  <r>
    <s v="CUST100816"/>
    <n v="41"/>
    <x v="4"/>
    <s v="Male"/>
    <m/>
    <n v="425000"/>
    <n v="47"/>
    <x v="0"/>
    <n v="60"/>
    <n v="2800"/>
    <n v="210"/>
    <s v="Gold"/>
    <s v="Online"/>
    <s v="Higher"/>
  </r>
  <r>
    <s v="CUST100817"/>
    <n v="45"/>
    <x v="2"/>
    <m/>
    <s v="Hyderabad"/>
    <n v="1500000"/>
    <n v="99"/>
    <x v="3"/>
    <n v="73"/>
    <n v="2500"/>
    <n v="256"/>
    <s v="Silver"/>
    <m/>
    <s v="Lower"/>
  </r>
  <r>
    <s v="CUST100818"/>
    <m/>
    <x v="5"/>
    <s v="Male"/>
    <s v="Hyderabad"/>
    <n v="1400000"/>
    <n v="6"/>
    <x v="2"/>
    <n v="21"/>
    <n v="1500"/>
    <n v="171"/>
    <s v="Platinum"/>
    <m/>
    <s v="Higher"/>
  </r>
  <r>
    <s v="CUST100819"/>
    <n v="25"/>
    <x v="3"/>
    <s v="Female"/>
    <s v="Chennai"/>
    <n v="1100000"/>
    <n v="60"/>
    <x v="0"/>
    <n v="61"/>
    <n v="9200"/>
    <n v="73"/>
    <s v="Silver"/>
    <m/>
    <s v="Higher"/>
  </r>
  <r>
    <s v="CUST100820"/>
    <n v="45"/>
    <x v="2"/>
    <s v="Unknown"/>
    <s v="Bengaluru"/>
    <n v="950000"/>
    <n v="45"/>
    <x v="0"/>
    <n v="79"/>
    <n v="500"/>
    <n v="147"/>
    <s v="Gold"/>
    <s v="Mobile App"/>
    <s v="Lower"/>
  </r>
  <r>
    <s v="CUST100821"/>
    <n v="53"/>
    <x v="2"/>
    <s v="Male"/>
    <m/>
    <n v="950000"/>
    <n v="44"/>
    <x v="0"/>
    <n v="26"/>
    <n v="3100"/>
    <n v="340"/>
    <s v="Silver"/>
    <s v="Mobile App"/>
    <s v="Higher"/>
  </r>
  <r>
    <s v="CUST100822"/>
    <n v="43"/>
    <x v="4"/>
    <s v="Male"/>
    <s v="Hyderabad"/>
    <n v="850000"/>
    <n v="83"/>
    <x v="3"/>
    <n v="54"/>
    <n v="6800"/>
    <n v="317"/>
    <m/>
    <s v="Online"/>
    <s v="Higher"/>
  </r>
  <r>
    <s v="CUST100823"/>
    <n v="25"/>
    <x v="3"/>
    <s v="Male"/>
    <s v="Ahmedabad"/>
    <n v="1850000"/>
    <n v="18"/>
    <x v="2"/>
    <n v="42"/>
    <n v="6600"/>
    <n v="106"/>
    <m/>
    <s v="Mobile App"/>
    <s v="Higher"/>
  </r>
  <r>
    <s v="CUST100824"/>
    <n v="67"/>
    <x v="1"/>
    <s v="Male"/>
    <m/>
    <n v="1875000"/>
    <n v="65"/>
    <x v="0"/>
    <n v="11"/>
    <n v="3000"/>
    <n v="94"/>
    <m/>
    <s v="Online"/>
    <s v="Higher"/>
  </r>
  <r>
    <s v="CUST100825"/>
    <n v="45"/>
    <x v="2"/>
    <s v="Male"/>
    <s v="Hyderabad"/>
    <n v="900000"/>
    <n v="25"/>
    <x v="2"/>
    <n v="37"/>
    <n v="8900"/>
    <n v="63"/>
    <s v="Silver"/>
    <s v="Website"/>
    <s v="Higher"/>
  </r>
  <r>
    <s v="CUST100826"/>
    <n v="45"/>
    <x v="2"/>
    <m/>
    <m/>
    <n v="900000"/>
    <n v="27"/>
    <x v="2"/>
    <n v="11"/>
    <n v="3800"/>
    <n v="154"/>
    <m/>
    <s v="In-store"/>
    <s v="Lower"/>
  </r>
  <r>
    <s v="CUST100827"/>
    <n v="54"/>
    <x v="2"/>
    <m/>
    <m/>
    <n v="1275000"/>
    <n v="7"/>
    <x v="2"/>
    <n v="27"/>
    <n v="11500"/>
    <n v="255"/>
    <s v="Platinum"/>
    <s v="Online"/>
    <s v="Lower"/>
  </r>
  <r>
    <s v="CUST100828"/>
    <n v="58"/>
    <x v="0"/>
    <s v="Male"/>
    <s v="Delhi"/>
    <s v="unknown"/>
    <n v="44"/>
    <x v="0"/>
    <n v="34"/>
    <n v="800"/>
    <n v="351"/>
    <s v="Bronze"/>
    <s v="Online"/>
    <s v="Higher"/>
  </r>
  <r>
    <s v="CUST100829"/>
    <n v="53"/>
    <x v="2"/>
    <s v="Male"/>
    <m/>
    <n v="1425000"/>
    <n v="29"/>
    <x v="2"/>
    <n v="38"/>
    <n v="1300"/>
    <n v="35"/>
    <s v="Silver"/>
    <s v="Website"/>
    <s v="Higher"/>
  </r>
  <r>
    <s v="CUST100830"/>
    <n v="44"/>
    <x v="4"/>
    <s v="Unknown"/>
    <s v="Chennai"/>
    <n v="375000"/>
    <n v="95"/>
    <x v="3"/>
    <n v="61"/>
    <n v="4000"/>
    <n v="323"/>
    <s v="Platinum"/>
    <m/>
    <s v="Lower"/>
  </r>
  <r>
    <s v="CUST100831"/>
    <m/>
    <x v="5"/>
    <s v="Unknown"/>
    <s v="Pune"/>
    <n v="1975000"/>
    <n v="44"/>
    <x v="0"/>
    <n v="53"/>
    <m/>
    <n v="312"/>
    <m/>
    <m/>
    <s v="Lower"/>
  </r>
  <r>
    <s v="CUST100832"/>
    <n v="34"/>
    <x v="3"/>
    <m/>
    <s v="Pune"/>
    <n v="1150000"/>
    <n v="36"/>
    <x v="0"/>
    <n v="65"/>
    <n v="3600"/>
    <n v="296"/>
    <s v="Platinum"/>
    <m/>
    <s v="Lower"/>
  </r>
  <r>
    <s v="CUST100833"/>
    <n v="26"/>
    <x v="3"/>
    <m/>
    <s v="Pune"/>
    <s v="unknown"/>
    <n v="19"/>
    <x v="2"/>
    <n v="3"/>
    <n v="8300"/>
    <n v="253"/>
    <s v="Platinum"/>
    <m/>
    <s v="Lower"/>
  </r>
  <r>
    <s v="CUST100834"/>
    <n v="50"/>
    <x v="2"/>
    <s v="Unknown"/>
    <s v="Delhi"/>
    <n v="200000"/>
    <n v="6"/>
    <x v="2"/>
    <n v="67"/>
    <n v="6900"/>
    <n v="157"/>
    <m/>
    <s v="Online"/>
    <s v="Lower"/>
  </r>
  <r>
    <s v="CUST100835"/>
    <m/>
    <x v="5"/>
    <m/>
    <s v="Kolkata"/>
    <n v="1600000"/>
    <n v="25"/>
    <x v="2"/>
    <n v="28"/>
    <n v="11000"/>
    <n v="134"/>
    <s v="Gold"/>
    <s v="Online"/>
    <s v="Lower"/>
  </r>
  <r>
    <s v="CUST100836"/>
    <n v="37"/>
    <x v="4"/>
    <m/>
    <s v="Pune"/>
    <n v="1425000"/>
    <n v="31"/>
    <x v="2"/>
    <n v="14"/>
    <n v="4800"/>
    <n v="129"/>
    <s v="Silver"/>
    <s v="Mobile App"/>
    <s v="Lower"/>
  </r>
  <r>
    <s v="CUST100837"/>
    <n v="30"/>
    <x v="3"/>
    <s v="Female"/>
    <s v="Mumbai"/>
    <n v="975000"/>
    <n v="9"/>
    <x v="2"/>
    <n v="52"/>
    <n v="10000"/>
    <n v="280"/>
    <s v="Silver"/>
    <s v="Mobile App"/>
    <s v="Higher"/>
  </r>
  <r>
    <s v="CUST100838"/>
    <n v="45"/>
    <x v="2"/>
    <m/>
    <s v="Delhi"/>
    <n v="1350000"/>
    <n v="84"/>
    <x v="3"/>
    <n v="30"/>
    <n v="8800"/>
    <n v="358"/>
    <s v="Silver"/>
    <s v="In-store"/>
    <s v="Lower"/>
  </r>
  <r>
    <s v="CUST100839"/>
    <n v="65"/>
    <x v="0"/>
    <s v="Unknown"/>
    <s v="Kolkata"/>
    <n v="825000"/>
    <n v="74"/>
    <x v="3"/>
    <n v="58"/>
    <n v="3100"/>
    <n v="252"/>
    <s v="Bronze"/>
    <s v="In-store"/>
    <s v="Lower"/>
  </r>
  <r>
    <s v="CUST100840"/>
    <n v="46"/>
    <x v="2"/>
    <m/>
    <s v="Mumbai"/>
    <n v="450000"/>
    <n v="37"/>
    <x v="0"/>
    <n v="54"/>
    <n v="6200"/>
    <n v="135"/>
    <s v="Platinum"/>
    <m/>
    <s v="Lower"/>
  </r>
  <r>
    <s v="CUST100841"/>
    <n v="30"/>
    <x v="3"/>
    <s v="Male"/>
    <s v="Mumbai"/>
    <n v="1850000"/>
    <n v="27"/>
    <x v="2"/>
    <n v="69"/>
    <n v="5600"/>
    <n v="331"/>
    <s v="Silver"/>
    <s v="Mobile App"/>
    <s v="Higher"/>
  </r>
  <r>
    <s v="CUST100842"/>
    <n v="63"/>
    <x v="0"/>
    <s v="Male"/>
    <s v="Mumbai"/>
    <n v="1800000"/>
    <n v="13"/>
    <x v="2"/>
    <n v="15"/>
    <n v="9500"/>
    <n v="11"/>
    <m/>
    <s v="Online"/>
    <s v="Higher"/>
  </r>
  <r>
    <s v="CUST100843"/>
    <n v="52"/>
    <x v="2"/>
    <m/>
    <s v="Ahmedabad"/>
    <n v="1650000"/>
    <n v="41"/>
    <x v="0"/>
    <n v="38"/>
    <n v="7100"/>
    <n v="292"/>
    <s v="Gold"/>
    <s v="Website"/>
    <s v="Lower"/>
  </r>
  <r>
    <s v="CUST100844"/>
    <n v="23"/>
    <x v="6"/>
    <s v="Female"/>
    <s v="Chennai"/>
    <n v="1625000"/>
    <n v="66"/>
    <x v="0"/>
    <n v="78"/>
    <n v="7600"/>
    <n v="148"/>
    <m/>
    <s v="Mobile App"/>
    <s v="Higher"/>
  </r>
  <r>
    <s v="CUST100845"/>
    <n v="35"/>
    <x v="4"/>
    <s v="Female"/>
    <s v="Chennai"/>
    <n v="1900000"/>
    <n v="85"/>
    <x v="3"/>
    <n v="14"/>
    <n v="7600"/>
    <n v="319"/>
    <m/>
    <s v="Online"/>
    <s v="Higher"/>
  </r>
  <r>
    <s v="CUST100846"/>
    <n v="68"/>
    <x v="1"/>
    <m/>
    <s v="Delhi"/>
    <n v="725000"/>
    <n v="97"/>
    <x v="3"/>
    <n v="57"/>
    <n v="11900"/>
    <n v="80"/>
    <s v="Bronze"/>
    <s v="Mobile App"/>
    <s v="Lower"/>
  </r>
  <r>
    <s v="CUST100847"/>
    <n v="22"/>
    <x v="6"/>
    <s v="Unknown"/>
    <s v="Mumbai"/>
    <n v="1700000"/>
    <n v="24"/>
    <x v="2"/>
    <n v="59"/>
    <n v="1100"/>
    <n v="191"/>
    <m/>
    <m/>
    <s v="Lower"/>
  </r>
  <r>
    <s v="CUST100848"/>
    <n v="64"/>
    <x v="0"/>
    <s v="Female"/>
    <m/>
    <n v="1650000"/>
    <n v="44"/>
    <x v="0"/>
    <n v="8"/>
    <n v="8700"/>
    <n v="344"/>
    <s v="Gold"/>
    <s v="Mobile App"/>
    <s v="Higher"/>
  </r>
  <r>
    <s v="CUST100849"/>
    <n v="42"/>
    <x v="4"/>
    <s v="Female"/>
    <m/>
    <n v="700000"/>
    <n v="98"/>
    <x v="3"/>
    <n v="72"/>
    <n v="7900"/>
    <n v="30"/>
    <s v="Platinum"/>
    <m/>
    <s v="Higher"/>
  </r>
  <r>
    <s v="CUST100850"/>
    <n v="19"/>
    <x v="6"/>
    <s v="Male"/>
    <s v="Kolkata"/>
    <n v="875000"/>
    <n v="60"/>
    <x v="0"/>
    <n v="19"/>
    <n v="1200"/>
    <n v="359"/>
    <m/>
    <m/>
    <s v="Higher"/>
  </r>
  <r>
    <s v="CUST100851"/>
    <n v="27"/>
    <x v="3"/>
    <s v="Male"/>
    <s v="Chennai"/>
    <n v="1625000"/>
    <n v="9"/>
    <x v="2"/>
    <n v="32"/>
    <n v="10400"/>
    <n v="229"/>
    <m/>
    <s v="Online"/>
    <s v="Higher"/>
  </r>
  <r>
    <s v="CUST100852"/>
    <n v="47"/>
    <x v="2"/>
    <m/>
    <s v="Pune"/>
    <n v="575000"/>
    <n v="2"/>
    <x v="2"/>
    <n v="29"/>
    <n v="7700"/>
    <n v="84"/>
    <m/>
    <m/>
    <s v="Lower"/>
  </r>
  <r>
    <s v="CUST100853"/>
    <n v="67"/>
    <x v="1"/>
    <s v="Male"/>
    <s v="Delhi"/>
    <n v="1525000"/>
    <n v="56"/>
    <x v="0"/>
    <n v="41"/>
    <n v="7000"/>
    <n v="150"/>
    <s v="Platinum"/>
    <s v="Mobile App"/>
    <s v="Higher"/>
  </r>
  <r>
    <s v="CUST100854"/>
    <n v="62"/>
    <x v="0"/>
    <m/>
    <s v="Kolkata"/>
    <n v="1450000"/>
    <n v="30"/>
    <x v="2"/>
    <n v="75"/>
    <n v="6000"/>
    <n v="361"/>
    <s v="Silver"/>
    <m/>
    <s v="Lower"/>
  </r>
  <r>
    <s v="CUST100855"/>
    <n v="22"/>
    <x v="6"/>
    <m/>
    <s v="Delhi"/>
    <n v="300000"/>
    <n v="22"/>
    <x v="2"/>
    <n v="45"/>
    <n v="11200"/>
    <n v="189"/>
    <s v="Gold"/>
    <m/>
    <s v="Lower"/>
  </r>
  <r>
    <s v="CUST100856"/>
    <s v="NA"/>
    <x v="5"/>
    <s v="Male"/>
    <m/>
    <n v="1850000"/>
    <n v="75"/>
    <x v="3"/>
    <n v="13"/>
    <n v="9700"/>
    <n v="21"/>
    <m/>
    <s v="Website"/>
    <s v="Higher"/>
  </r>
  <r>
    <s v="CUST100857"/>
    <n v="50"/>
    <x v="2"/>
    <s v="Male"/>
    <s v="Ahmedabad"/>
    <n v="1925000"/>
    <n v="81"/>
    <x v="3"/>
    <n v="27"/>
    <n v="11500"/>
    <n v="37"/>
    <m/>
    <m/>
    <s v="Higher"/>
  </r>
  <r>
    <s v="CUST100858"/>
    <m/>
    <x v="5"/>
    <s v="Female"/>
    <s v="Ahmedabad"/>
    <n v="1425000"/>
    <n v="100"/>
    <x v="3"/>
    <n v="19"/>
    <n v="5400"/>
    <n v="246"/>
    <s v="Gold"/>
    <m/>
    <s v="Higher"/>
  </r>
  <r>
    <s v="CUST100859"/>
    <n v="18"/>
    <x v="6"/>
    <s v="Female"/>
    <s v="Mumbai"/>
    <n v="225000"/>
    <n v="13"/>
    <x v="2"/>
    <n v="26"/>
    <n v="3600"/>
    <n v="283"/>
    <s v="Bronze"/>
    <m/>
    <s v="Higher"/>
  </r>
  <r>
    <s v="CUST100860"/>
    <n v="35"/>
    <x v="4"/>
    <s v="Male"/>
    <s v="Ahmedabad"/>
    <n v="975000"/>
    <n v="71"/>
    <x v="3"/>
    <n v="53"/>
    <n v="10800"/>
    <n v="102"/>
    <m/>
    <s v="In-store"/>
    <s v="Higher"/>
  </r>
  <r>
    <s v="CUST100861"/>
    <n v="49"/>
    <x v="2"/>
    <m/>
    <s v="Delhi"/>
    <n v="1850000"/>
    <n v="16"/>
    <x v="2"/>
    <n v="51"/>
    <n v="3700"/>
    <n v="294"/>
    <s v="Bronze"/>
    <s v="Website"/>
    <s v="Lower"/>
  </r>
  <r>
    <s v="CUST100862"/>
    <n v="64"/>
    <x v="0"/>
    <m/>
    <s v="Pune"/>
    <n v="950000"/>
    <n v="97"/>
    <x v="3"/>
    <n v="37"/>
    <n v="10500"/>
    <n v="232"/>
    <m/>
    <s v="Online"/>
    <s v="Lower"/>
  </r>
  <r>
    <s v="CUST100863"/>
    <n v="66"/>
    <x v="1"/>
    <m/>
    <s v="Mumbai"/>
    <n v="1850000"/>
    <n v="45"/>
    <x v="0"/>
    <n v="9"/>
    <n v="10500"/>
    <n v="316"/>
    <m/>
    <m/>
    <s v="Lower"/>
  </r>
  <r>
    <s v="CUST100864"/>
    <n v="28"/>
    <x v="3"/>
    <s v="Male"/>
    <s v="Hyderabad"/>
    <n v="1075000"/>
    <n v="65"/>
    <x v="0"/>
    <n v="52"/>
    <n v="3500"/>
    <n v="326"/>
    <s v="Silver"/>
    <m/>
    <s v="Higher"/>
  </r>
  <r>
    <s v="CUST100865"/>
    <n v="38"/>
    <x v="4"/>
    <s v="Male"/>
    <s v="Kolkata"/>
    <n v="775000"/>
    <n v="11"/>
    <x v="2"/>
    <n v="54"/>
    <n v="7400"/>
    <n v="288"/>
    <s v="Gold"/>
    <s v="Website"/>
    <s v="Higher"/>
  </r>
  <r>
    <s v="CUST100866"/>
    <n v="43"/>
    <x v="4"/>
    <s v="Female"/>
    <m/>
    <n v="150000"/>
    <n v="70"/>
    <x v="3"/>
    <n v="3"/>
    <n v="3400"/>
    <n v="336"/>
    <s v="Gold"/>
    <s v="Online"/>
    <s v="Higher"/>
  </r>
  <r>
    <s v="CUST100867"/>
    <n v="42"/>
    <x v="4"/>
    <s v="Male"/>
    <s v="Mumbai"/>
    <n v="225000"/>
    <n v="20"/>
    <x v="2"/>
    <n v="69"/>
    <n v="5700"/>
    <n v="245"/>
    <s v="Platinum"/>
    <s v="Website"/>
    <s v="Higher"/>
  </r>
  <r>
    <s v="CUST100868"/>
    <n v="39"/>
    <x v="4"/>
    <s v="Unknown"/>
    <s v="Delhi"/>
    <n v="1100000"/>
    <n v="99"/>
    <x v="3"/>
    <n v="8"/>
    <n v="9900"/>
    <n v="177"/>
    <m/>
    <m/>
    <s v="Lower"/>
  </r>
  <r>
    <s v="CUST100869"/>
    <n v="44"/>
    <x v="4"/>
    <s v="Male"/>
    <s v="Kolkata"/>
    <n v="1475000"/>
    <n v="63"/>
    <x v="0"/>
    <n v="14"/>
    <n v="1000"/>
    <n v="213"/>
    <m/>
    <s v="In-store"/>
    <s v="Higher"/>
  </r>
  <r>
    <s v="CUST100870"/>
    <n v="66"/>
    <x v="1"/>
    <m/>
    <s v="Pune"/>
    <n v="950000"/>
    <m/>
    <x v="1"/>
    <n v="3"/>
    <n v="4800"/>
    <n v="358"/>
    <s v="Bronze"/>
    <m/>
    <s v="Lower"/>
  </r>
  <r>
    <s v="CUST100871"/>
    <n v="30"/>
    <x v="3"/>
    <s v="Unknown"/>
    <s v="Bengaluru"/>
    <n v="950000"/>
    <n v="90"/>
    <x v="3"/>
    <n v="24"/>
    <n v="1600"/>
    <n v="102"/>
    <m/>
    <m/>
    <s v="Lower"/>
  </r>
  <r>
    <s v="CUST100872"/>
    <n v="50"/>
    <x v="2"/>
    <s v="Unknown"/>
    <m/>
    <n v="1925000"/>
    <n v="12"/>
    <x v="2"/>
    <n v="13"/>
    <n v="10000"/>
    <n v="286"/>
    <s v="Gold"/>
    <s v="Online"/>
    <s v="Lower"/>
  </r>
  <r>
    <s v="CUST100873"/>
    <n v="51"/>
    <x v="2"/>
    <s v="Unknown"/>
    <s v="Delhi"/>
    <n v="625000"/>
    <n v="62"/>
    <x v="0"/>
    <n v="43"/>
    <n v="1000"/>
    <n v="22"/>
    <m/>
    <s v="Online"/>
    <s v="Lower"/>
  </r>
  <r>
    <s v="CUST100874"/>
    <n v="58"/>
    <x v="0"/>
    <s v="Female"/>
    <m/>
    <n v="525000"/>
    <n v="94"/>
    <x v="3"/>
    <n v="29"/>
    <n v="11700"/>
    <n v="19"/>
    <s v="Platinum"/>
    <m/>
    <s v="Higher"/>
  </r>
  <r>
    <s v="CUST100875"/>
    <n v="52"/>
    <x v="2"/>
    <s v="Male"/>
    <s v="Chennai"/>
    <n v="650000"/>
    <n v="92"/>
    <x v="3"/>
    <n v="72"/>
    <n v="10800"/>
    <n v="287"/>
    <s v="Platinum"/>
    <s v="Mobile App"/>
    <s v="Higher"/>
  </r>
  <r>
    <s v="CUST100876"/>
    <n v="18"/>
    <x v="6"/>
    <m/>
    <s v="Bengaluru"/>
    <n v="1250000"/>
    <n v="91"/>
    <x v="3"/>
    <n v="51"/>
    <n v="7300"/>
    <n v="276"/>
    <s v="Gold"/>
    <m/>
    <s v="Lower"/>
  </r>
  <r>
    <s v="CUST100877"/>
    <n v="38"/>
    <x v="4"/>
    <s v="Male"/>
    <s v="Kolkata"/>
    <n v="1675000"/>
    <n v="42"/>
    <x v="0"/>
    <n v="42"/>
    <n v="7900"/>
    <n v="147"/>
    <s v="Gold"/>
    <s v="Online"/>
    <s v="Higher"/>
  </r>
  <r>
    <s v="CUST100878"/>
    <n v="65"/>
    <x v="0"/>
    <s v="Female"/>
    <s v="Ahmedabad"/>
    <n v="900000"/>
    <n v="83"/>
    <x v="3"/>
    <n v="31"/>
    <n v="5600"/>
    <n v="40"/>
    <s v="Gold"/>
    <m/>
    <s v="Higher"/>
  </r>
  <r>
    <s v="CUST100879"/>
    <s v="NA"/>
    <x v="5"/>
    <s v="Male"/>
    <s v="Delhi"/>
    <n v="1175000"/>
    <n v="69"/>
    <x v="3"/>
    <n v="63"/>
    <n v="2300"/>
    <n v="167"/>
    <m/>
    <m/>
    <s v="Higher"/>
  </r>
  <r>
    <s v="CUST100880"/>
    <n v="23"/>
    <x v="6"/>
    <s v="Female"/>
    <m/>
    <n v="425000"/>
    <n v="58"/>
    <x v="0"/>
    <n v="26"/>
    <n v="11300"/>
    <n v="91"/>
    <m/>
    <s v="Online"/>
    <s v="Higher"/>
  </r>
  <r>
    <s v="CUST100881"/>
    <n v="45"/>
    <x v="2"/>
    <m/>
    <s v="Kolkata"/>
    <n v="1750000"/>
    <n v="5"/>
    <x v="2"/>
    <n v="18"/>
    <n v="9800"/>
    <n v="72"/>
    <s v="Silver"/>
    <s v="In-store"/>
    <s v="Lower"/>
  </r>
  <r>
    <s v="CUST100882"/>
    <n v="34"/>
    <x v="3"/>
    <m/>
    <s v="Ahmedabad"/>
    <n v="1950000"/>
    <n v="27"/>
    <x v="2"/>
    <n v="57"/>
    <n v="7700"/>
    <m/>
    <m/>
    <s v="In-store"/>
    <s v="Lower"/>
  </r>
  <r>
    <s v="CUST100883"/>
    <n v="22"/>
    <x v="6"/>
    <s v="Male"/>
    <s v="Pune"/>
    <n v="200000"/>
    <n v="28"/>
    <x v="2"/>
    <n v="7"/>
    <n v="1600"/>
    <n v="283"/>
    <m/>
    <m/>
    <s v="Higher"/>
  </r>
  <r>
    <s v="CUST100884"/>
    <n v="48"/>
    <x v="2"/>
    <s v="Female"/>
    <s v="Pune"/>
    <n v="350000"/>
    <n v="26"/>
    <x v="2"/>
    <n v="48"/>
    <n v="7700"/>
    <n v="335"/>
    <s v="Bronze"/>
    <s v="In-store"/>
    <s v="Higher"/>
  </r>
  <r>
    <s v="CUST100885"/>
    <n v="22"/>
    <x v="6"/>
    <m/>
    <m/>
    <n v="1400000"/>
    <n v="91"/>
    <x v="3"/>
    <m/>
    <n v="400"/>
    <n v="140"/>
    <m/>
    <m/>
    <s v="Lower"/>
  </r>
  <r>
    <s v="CUST100886"/>
    <n v="55"/>
    <x v="0"/>
    <m/>
    <s v="Mumbai"/>
    <n v="525000"/>
    <n v="49"/>
    <x v="0"/>
    <n v="60"/>
    <n v="10000"/>
    <n v="239"/>
    <s v="Silver"/>
    <m/>
    <s v="Lower"/>
  </r>
  <r>
    <s v="CUST100887"/>
    <n v="20"/>
    <x v="6"/>
    <s v="Female"/>
    <s v="Chennai"/>
    <n v="200000"/>
    <n v="21"/>
    <x v="2"/>
    <n v="33"/>
    <n v="6300"/>
    <n v="78"/>
    <s v="Silver"/>
    <s v="Online"/>
    <s v="Higher"/>
  </r>
  <r>
    <s v="CUST100888"/>
    <m/>
    <x v="5"/>
    <m/>
    <s v="Mumbai"/>
    <n v="725000"/>
    <n v="1"/>
    <x v="2"/>
    <n v="3"/>
    <n v="11000"/>
    <n v="199"/>
    <s v="Platinum"/>
    <m/>
    <s v="Lower"/>
  </r>
  <r>
    <s v="CUST100889"/>
    <n v="40"/>
    <x v="4"/>
    <m/>
    <s v="Chennai"/>
    <n v="1950000"/>
    <n v="92"/>
    <x v="3"/>
    <n v="4"/>
    <n v="11300"/>
    <n v="17"/>
    <m/>
    <s v="In-store"/>
    <s v="Lower"/>
  </r>
  <r>
    <s v="CUST100890"/>
    <n v="54"/>
    <x v="2"/>
    <m/>
    <s v="Delhi"/>
    <n v="450000"/>
    <n v="58"/>
    <x v="0"/>
    <n v="4"/>
    <n v="1900"/>
    <n v="218"/>
    <s v="Silver"/>
    <s v="In-store"/>
    <s v="Lower"/>
  </r>
  <r>
    <s v="CUST100891"/>
    <m/>
    <x v="5"/>
    <s v="Male"/>
    <s v="Hyderabad"/>
    <n v="175000"/>
    <n v="79"/>
    <x v="3"/>
    <n v="42"/>
    <n v="8000"/>
    <n v="229"/>
    <s v="Platinum"/>
    <s v="Website"/>
    <s v="Higher"/>
  </r>
  <r>
    <s v="CUST100892"/>
    <n v="54"/>
    <x v="2"/>
    <s v="Male"/>
    <m/>
    <n v="1900000"/>
    <n v="55"/>
    <x v="0"/>
    <n v="9"/>
    <n v="9100"/>
    <n v="340"/>
    <s v="Bronze"/>
    <s v="Website"/>
    <s v="Higher"/>
  </r>
  <r>
    <s v="CUST100893"/>
    <n v="27"/>
    <x v="3"/>
    <s v="Male"/>
    <m/>
    <n v="650000"/>
    <n v="81"/>
    <x v="3"/>
    <n v="51"/>
    <n v="5000"/>
    <n v="138"/>
    <s v="Platinum"/>
    <s v="In-store"/>
    <s v="Higher"/>
  </r>
  <r>
    <s v="CUST100894"/>
    <n v="27"/>
    <x v="3"/>
    <m/>
    <m/>
    <n v="600000"/>
    <n v="26"/>
    <x v="2"/>
    <n v="17"/>
    <n v="9300"/>
    <n v="147"/>
    <s v="Bronze"/>
    <m/>
    <s v="Lower"/>
  </r>
  <r>
    <s v="CUST100895"/>
    <n v="36"/>
    <x v="4"/>
    <s v="Female"/>
    <s v="Bengaluru"/>
    <n v="1300000"/>
    <n v="84"/>
    <x v="3"/>
    <n v="17"/>
    <n v="1000"/>
    <n v="210"/>
    <m/>
    <s v="Mobile App"/>
    <s v="Higher"/>
  </r>
  <r>
    <s v="CUST100896"/>
    <n v="34"/>
    <x v="3"/>
    <s v="Unknown"/>
    <s v="Ahmedabad"/>
    <n v="675000"/>
    <n v="25"/>
    <x v="2"/>
    <n v="20"/>
    <n v="5800"/>
    <n v="158"/>
    <m/>
    <m/>
    <s v="Lower"/>
  </r>
  <r>
    <s v="CUST100897"/>
    <n v="38"/>
    <x v="4"/>
    <s v="Unknown"/>
    <s v="Bengaluru"/>
    <m/>
    <n v="77"/>
    <x v="3"/>
    <n v="14"/>
    <n v="1900"/>
    <n v="153"/>
    <s v="Gold"/>
    <s v="Website"/>
    <s v="Lower"/>
  </r>
  <r>
    <s v="CUST100898"/>
    <n v="31"/>
    <x v="3"/>
    <s v="Female"/>
    <s v="Pune"/>
    <n v="950000"/>
    <n v="33"/>
    <x v="2"/>
    <n v="22"/>
    <n v="7100"/>
    <n v="344"/>
    <s v="Gold"/>
    <m/>
    <s v="Higher"/>
  </r>
  <r>
    <s v="CUST100899"/>
    <n v="26"/>
    <x v="3"/>
    <s v="Unknown"/>
    <s v="Chennai"/>
    <n v="925000"/>
    <n v="89"/>
    <x v="3"/>
    <n v="52"/>
    <n v="1400"/>
    <n v="330"/>
    <s v="Platinum"/>
    <s v="Website"/>
    <s v="Lower"/>
  </r>
  <r>
    <s v="CUST100900"/>
    <n v="63"/>
    <x v="0"/>
    <s v="Unknown"/>
    <s v="Ahmedabad"/>
    <n v="1725000"/>
    <n v="72"/>
    <x v="3"/>
    <n v="27"/>
    <n v="4000"/>
    <n v="358"/>
    <s v="Gold"/>
    <s v="Online"/>
    <s v="Lower"/>
  </r>
  <r>
    <s v="CUST100901"/>
    <n v="18"/>
    <x v="6"/>
    <s v="Male"/>
    <s v="Pune"/>
    <n v="1100000"/>
    <n v="69"/>
    <x v="3"/>
    <n v="43"/>
    <n v="2000"/>
    <n v="352"/>
    <m/>
    <s v="Online"/>
    <s v="Higher"/>
  </r>
  <r>
    <s v="CUST100902"/>
    <n v="68"/>
    <x v="1"/>
    <s v="Male"/>
    <s v="Ahmedabad"/>
    <n v="1925000"/>
    <n v="6"/>
    <x v="2"/>
    <n v="3"/>
    <n v="2800"/>
    <n v="163"/>
    <s v="Platinum"/>
    <s v="In-store"/>
    <s v="Higher"/>
  </r>
  <r>
    <s v="CUST100903"/>
    <n v="62"/>
    <x v="0"/>
    <m/>
    <s v="Mumbai"/>
    <n v="1175000"/>
    <n v="23"/>
    <x v="2"/>
    <n v="8"/>
    <n v="9700"/>
    <n v="307"/>
    <s v="Silver"/>
    <s v="Online"/>
    <s v="Lower"/>
  </r>
  <r>
    <s v="CUST100904"/>
    <n v="30"/>
    <x v="3"/>
    <s v="Female"/>
    <s v="Pune"/>
    <n v="350000"/>
    <n v="30"/>
    <x v="2"/>
    <n v="10"/>
    <n v="3900"/>
    <n v="101"/>
    <m/>
    <s v="Online"/>
    <s v="Higher"/>
  </r>
  <r>
    <s v="CUST100905"/>
    <n v="21"/>
    <x v="6"/>
    <s v="Male"/>
    <s v="Mumbai"/>
    <n v="750000"/>
    <n v="78"/>
    <x v="3"/>
    <n v="29"/>
    <n v="7200"/>
    <n v="327"/>
    <s v="Platinum"/>
    <s v="Mobile App"/>
    <s v="Higher"/>
  </r>
  <r>
    <s v="CUST100906"/>
    <n v="18"/>
    <x v="6"/>
    <m/>
    <s v="Mumbai"/>
    <n v="175000"/>
    <n v="54"/>
    <x v="0"/>
    <n v="40"/>
    <n v="4300"/>
    <n v="327"/>
    <m/>
    <m/>
    <s v="Lower"/>
  </r>
  <r>
    <s v="CUST100907"/>
    <n v="66"/>
    <x v="1"/>
    <s v="Female"/>
    <s v="Ahmedabad"/>
    <n v="600000"/>
    <n v="87"/>
    <x v="3"/>
    <n v="65"/>
    <n v="8100"/>
    <n v="155"/>
    <s v="Bronze"/>
    <s v="In-store"/>
    <s v="Higher"/>
  </r>
  <r>
    <s v="CUST100908"/>
    <n v="57"/>
    <x v="0"/>
    <s v="Female"/>
    <s v="Kolkata"/>
    <n v="625000"/>
    <n v="11"/>
    <x v="2"/>
    <n v="21"/>
    <n v="4400"/>
    <n v="10"/>
    <s v="Gold"/>
    <s v="Mobile App"/>
    <s v="Higher"/>
  </r>
  <r>
    <s v="CUST100909"/>
    <n v="49"/>
    <x v="2"/>
    <s v="Female"/>
    <s v="Bengaluru"/>
    <n v="1875000"/>
    <n v="31"/>
    <x v="2"/>
    <n v="24"/>
    <n v="11500"/>
    <n v="353"/>
    <s v="Gold"/>
    <s v="In-store"/>
    <s v="Higher"/>
  </r>
  <r>
    <s v="CUST100910"/>
    <n v="51"/>
    <x v="2"/>
    <m/>
    <s v="Pune"/>
    <n v="550000"/>
    <n v="6"/>
    <x v="2"/>
    <n v="73"/>
    <n v="9200"/>
    <n v="183"/>
    <s v="Gold"/>
    <m/>
    <s v="Lower"/>
  </r>
  <r>
    <s v="CUST100911"/>
    <n v="45"/>
    <x v="2"/>
    <s v="Female"/>
    <m/>
    <n v="1825000"/>
    <n v="11"/>
    <x v="2"/>
    <n v="60"/>
    <n v="11700"/>
    <n v="134"/>
    <s v="Platinum"/>
    <s v="In-store"/>
    <s v="Higher"/>
  </r>
  <r>
    <s v="CUST100912"/>
    <n v="48"/>
    <x v="2"/>
    <s v="Female"/>
    <s v="Kolkata"/>
    <n v="200000"/>
    <n v="77"/>
    <x v="3"/>
    <n v="26"/>
    <n v="7800"/>
    <n v="6"/>
    <m/>
    <m/>
    <s v="Higher"/>
  </r>
  <r>
    <s v="CUST100913"/>
    <n v="25"/>
    <x v="3"/>
    <s v="Female"/>
    <s v="Bengaluru"/>
    <n v="1400000"/>
    <n v="12"/>
    <x v="2"/>
    <n v="9"/>
    <n v="4300"/>
    <n v="333"/>
    <s v="Bronze"/>
    <m/>
    <s v="Higher"/>
  </r>
  <r>
    <s v="CUST100914"/>
    <n v="56"/>
    <x v="0"/>
    <s v="Female"/>
    <s v="Pune"/>
    <n v="775000"/>
    <n v="66"/>
    <x v="0"/>
    <n v="20"/>
    <n v="4900"/>
    <n v="333"/>
    <s v="Gold"/>
    <m/>
    <s v="Higher"/>
  </r>
  <r>
    <s v="CUST100915"/>
    <n v="43"/>
    <x v="4"/>
    <s v="Unknown"/>
    <s v="Chennai"/>
    <n v="1525000"/>
    <n v="53"/>
    <x v="0"/>
    <n v="56"/>
    <n v="1600"/>
    <n v="258"/>
    <m/>
    <s v="Online"/>
    <s v="Lower"/>
  </r>
  <r>
    <s v="CUST100916"/>
    <n v="51"/>
    <x v="2"/>
    <m/>
    <s v="Bengaluru"/>
    <n v="1725000"/>
    <n v="99"/>
    <x v="3"/>
    <n v="36"/>
    <n v="300"/>
    <n v="211"/>
    <s v="Silver"/>
    <m/>
    <s v="Lower"/>
  </r>
  <r>
    <s v="CUST100917"/>
    <m/>
    <x v="5"/>
    <m/>
    <m/>
    <n v="325000"/>
    <n v="36"/>
    <x v="0"/>
    <n v="36"/>
    <n v="1900"/>
    <n v="51"/>
    <m/>
    <s v="Mobile App"/>
    <s v="Lower"/>
  </r>
  <r>
    <s v="CUST100918"/>
    <m/>
    <x v="5"/>
    <s v="Female"/>
    <m/>
    <n v="1050000"/>
    <n v="17"/>
    <x v="2"/>
    <n v="73"/>
    <n v="9900"/>
    <n v="147"/>
    <s v="Silver"/>
    <s v="Mobile App"/>
    <s v="Higher"/>
  </r>
  <r>
    <s v="CUST100919"/>
    <n v="20"/>
    <x v="6"/>
    <s v="Female"/>
    <s v="Delhi"/>
    <n v="800000"/>
    <n v="28"/>
    <x v="2"/>
    <n v="22"/>
    <n v="5700"/>
    <n v="128"/>
    <s v="Bronze"/>
    <s v="Website"/>
    <s v="Higher"/>
  </r>
  <r>
    <s v="CUST100920"/>
    <n v="67"/>
    <x v="1"/>
    <m/>
    <s v="Mumbai"/>
    <n v="1250000"/>
    <n v="92"/>
    <x v="3"/>
    <n v="1"/>
    <n v="9500"/>
    <n v="258"/>
    <s v="Gold"/>
    <s v="Mobile App"/>
    <s v="Lower"/>
  </r>
  <r>
    <s v="CUST100921"/>
    <n v="29"/>
    <x v="3"/>
    <s v="Male"/>
    <s v="Delhi"/>
    <n v="225000"/>
    <n v="22"/>
    <x v="2"/>
    <n v="69"/>
    <n v="5500"/>
    <n v="51"/>
    <s v="Silver"/>
    <m/>
    <s v="Higher"/>
  </r>
  <r>
    <s v="CUST100922"/>
    <n v="18"/>
    <x v="6"/>
    <m/>
    <s v="Kolkata"/>
    <n v="1050000"/>
    <m/>
    <x v="1"/>
    <n v="73"/>
    <m/>
    <n v="154"/>
    <m/>
    <m/>
    <s v="Lower"/>
  </r>
  <r>
    <s v="CUST100923"/>
    <m/>
    <x v="5"/>
    <m/>
    <m/>
    <n v="1900000"/>
    <n v="7"/>
    <x v="2"/>
    <n v="37"/>
    <n v="11100"/>
    <n v="70"/>
    <m/>
    <s v="Website"/>
    <s v="Lower"/>
  </r>
  <r>
    <s v="CUST100924"/>
    <n v="61"/>
    <x v="0"/>
    <m/>
    <s v="Mumbai"/>
    <n v="950000"/>
    <n v="15"/>
    <x v="2"/>
    <n v="72"/>
    <n v="3300"/>
    <n v="276"/>
    <m/>
    <s v="Online"/>
    <s v="Lower"/>
  </r>
  <r>
    <s v="CUST100925"/>
    <n v="22"/>
    <x v="6"/>
    <m/>
    <s v="Pune"/>
    <n v="900000"/>
    <n v="96"/>
    <x v="3"/>
    <n v="13"/>
    <n v="6400"/>
    <n v="279"/>
    <s v="Silver"/>
    <s v="Mobile App"/>
    <s v="Lower"/>
  </r>
  <r>
    <s v="CUST100926"/>
    <n v="47"/>
    <x v="2"/>
    <s v="Male"/>
    <s v="Kolkata"/>
    <n v="1500000"/>
    <n v="11"/>
    <x v="2"/>
    <n v="43"/>
    <n v="1000"/>
    <n v="310"/>
    <s v="Gold"/>
    <m/>
    <s v="Higher"/>
  </r>
  <r>
    <s v="CUST100927"/>
    <n v="47"/>
    <x v="2"/>
    <m/>
    <m/>
    <n v="425000"/>
    <n v="24"/>
    <x v="2"/>
    <n v="37"/>
    <n v="3200"/>
    <n v="134"/>
    <m/>
    <s v="Website"/>
    <s v="Lower"/>
  </r>
  <r>
    <s v="CUST100928"/>
    <n v="34"/>
    <x v="3"/>
    <s v="Unknown"/>
    <s v="Ahmedabad"/>
    <n v="400000"/>
    <n v="67"/>
    <x v="3"/>
    <n v="74"/>
    <n v="7900"/>
    <n v="220"/>
    <s v="Bronze"/>
    <s v="Mobile App"/>
    <s v="Lower"/>
  </r>
  <r>
    <s v="CUST100929"/>
    <n v="65"/>
    <x v="0"/>
    <m/>
    <s v="Pune"/>
    <n v="1925000"/>
    <n v="30"/>
    <x v="2"/>
    <n v="25"/>
    <n v="8200"/>
    <n v="163"/>
    <s v="Gold"/>
    <s v="Online"/>
    <s v="Lower"/>
  </r>
  <r>
    <s v="CUST100930"/>
    <n v="64"/>
    <x v="0"/>
    <s v="Unknown"/>
    <s v="Bengaluru"/>
    <n v="925000"/>
    <n v="70"/>
    <x v="3"/>
    <n v="21"/>
    <n v="6800"/>
    <n v="136"/>
    <s v="Platinum"/>
    <m/>
    <s v="Lower"/>
  </r>
  <r>
    <s v="CUST100931"/>
    <n v="40"/>
    <x v="4"/>
    <m/>
    <s v="Ahmedabad"/>
    <n v="1550000"/>
    <n v="66"/>
    <x v="0"/>
    <n v="41"/>
    <n v="4700"/>
    <n v="57"/>
    <s v="Silver"/>
    <m/>
    <s v="Lower"/>
  </r>
  <r>
    <s v="CUST100932"/>
    <n v="32"/>
    <x v="3"/>
    <s v="Male"/>
    <s v="Kolkata"/>
    <n v="1075000"/>
    <n v="61"/>
    <x v="0"/>
    <n v="73"/>
    <n v="2000"/>
    <n v="177"/>
    <s v="Platinum"/>
    <s v="Online"/>
    <s v="Higher"/>
  </r>
  <r>
    <s v="CUST100933"/>
    <n v="54"/>
    <x v="2"/>
    <s v="Male"/>
    <s v="Bengaluru"/>
    <n v="1625000"/>
    <n v="78"/>
    <x v="3"/>
    <n v="42"/>
    <n v="10100"/>
    <n v="115"/>
    <s v="Silver"/>
    <s v="Mobile App"/>
    <s v="Higher"/>
  </r>
  <r>
    <s v="CUST100934"/>
    <n v="38"/>
    <x v="4"/>
    <s v="Male"/>
    <m/>
    <n v="600000"/>
    <n v="41"/>
    <x v="0"/>
    <n v="42"/>
    <n v="4700"/>
    <n v="149"/>
    <s v="Bronze"/>
    <s v="In-store"/>
    <s v="Higher"/>
  </r>
  <r>
    <s v="CUST100935"/>
    <n v="31"/>
    <x v="3"/>
    <m/>
    <s v="Delhi"/>
    <n v="1525000"/>
    <n v="82"/>
    <x v="3"/>
    <n v="2"/>
    <n v="2100"/>
    <n v="241"/>
    <s v="Gold"/>
    <s v="Mobile App"/>
    <s v="Lower"/>
  </r>
  <r>
    <s v="CUST100936"/>
    <n v="19"/>
    <x v="6"/>
    <s v="Unknown"/>
    <s v="Bengaluru"/>
    <n v="475000"/>
    <n v="51"/>
    <x v="0"/>
    <n v="68"/>
    <n v="7900"/>
    <n v="123"/>
    <m/>
    <s v="Website"/>
    <s v="Lower"/>
  </r>
  <r>
    <s v="CUST100937"/>
    <n v="28"/>
    <x v="3"/>
    <s v="Unknown"/>
    <s v="Delhi"/>
    <n v="950000"/>
    <n v="44"/>
    <x v="0"/>
    <n v="8"/>
    <n v="11700"/>
    <n v="292"/>
    <s v="Gold"/>
    <s v="Website"/>
    <s v="Lower"/>
  </r>
  <r>
    <s v="CUST100938"/>
    <n v="68"/>
    <x v="1"/>
    <s v="Unknown"/>
    <s v="Mumbai"/>
    <n v="375000"/>
    <n v="95"/>
    <x v="3"/>
    <n v="61"/>
    <n v="7000"/>
    <n v="327"/>
    <s v="Silver"/>
    <s v="Mobile App"/>
    <s v="Lower"/>
  </r>
  <r>
    <s v="CUST100939"/>
    <n v="56"/>
    <x v="0"/>
    <s v="Male"/>
    <s v="Chennai"/>
    <n v="1725000"/>
    <n v="13"/>
    <x v="2"/>
    <n v="14"/>
    <n v="8500"/>
    <n v="69"/>
    <m/>
    <m/>
    <s v="Higher"/>
  </r>
  <r>
    <s v="CUST100940"/>
    <n v="55"/>
    <x v="0"/>
    <s v="Unknown"/>
    <s v="Hyderabad"/>
    <n v="1725000"/>
    <n v="90"/>
    <x v="3"/>
    <n v="77"/>
    <n v="5200"/>
    <n v="314"/>
    <s v="Platinum"/>
    <s v="Website"/>
    <s v="Lower"/>
  </r>
  <r>
    <s v="CUST100941"/>
    <n v="51"/>
    <x v="2"/>
    <s v="Male"/>
    <s v="Pune"/>
    <n v="1675000"/>
    <n v="12"/>
    <x v="2"/>
    <n v="21"/>
    <n v="2700"/>
    <n v="63"/>
    <m/>
    <s v="In-store"/>
    <s v="Higher"/>
  </r>
  <r>
    <s v="CUST100942"/>
    <n v="55"/>
    <x v="0"/>
    <s v="Male"/>
    <s v="Hyderabad"/>
    <n v="1825000"/>
    <n v="82"/>
    <x v="3"/>
    <n v="24"/>
    <n v="4000"/>
    <n v="221"/>
    <m/>
    <m/>
    <s v="Higher"/>
  </r>
  <r>
    <s v="CUST100943"/>
    <n v="67"/>
    <x v="1"/>
    <s v="Male"/>
    <s v="Mumbai"/>
    <n v="1200000"/>
    <n v="9"/>
    <x v="2"/>
    <n v="50"/>
    <n v="11700"/>
    <n v="16"/>
    <s v="Gold"/>
    <s v="In-store"/>
    <s v="Higher"/>
  </r>
  <r>
    <s v="CUST100944"/>
    <n v="51"/>
    <x v="2"/>
    <m/>
    <s v="Bengaluru"/>
    <n v="1600000"/>
    <n v="85"/>
    <x v="3"/>
    <n v="45"/>
    <n v="9700"/>
    <n v="78"/>
    <s v="Gold"/>
    <m/>
    <s v="Lower"/>
  </r>
  <r>
    <s v="CUST100945"/>
    <n v="35"/>
    <x v="4"/>
    <m/>
    <s v="Mumbai"/>
    <n v="1425000"/>
    <n v="48"/>
    <x v="0"/>
    <n v="64"/>
    <n v="3800"/>
    <n v="122"/>
    <s v="Silver"/>
    <s v="Website"/>
    <s v="Lower"/>
  </r>
  <r>
    <s v="CUST100946"/>
    <n v="47"/>
    <x v="2"/>
    <s v="Male"/>
    <s v="Hyderabad"/>
    <n v="600000"/>
    <n v="49"/>
    <x v="0"/>
    <n v="64"/>
    <n v="7000"/>
    <n v="258"/>
    <m/>
    <m/>
    <s v="Higher"/>
  </r>
  <r>
    <s v="CUST100947"/>
    <n v="32"/>
    <x v="3"/>
    <m/>
    <s v="Hyderabad"/>
    <n v="650000"/>
    <n v="53"/>
    <x v="0"/>
    <n v="26"/>
    <n v="5800"/>
    <n v="217"/>
    <s v="Platinum"/>
    <s v="Mobile App"/>
    <s v="Lower"/>
  </r>
  <r>
    <s v="CUST100948"/>
    <n v="44"/>
    <x v="4"/>
    <m/>
    <s v="Pune"/>
    <n v="675000"/>
    <n v="56"/>
    <x v="0"/>
    <n v="32"/>
    <n v="4100"/>
    <n v="114"/>
    <m/>
    <m/>
    <s v="Lower"/>
  </r>
  <r>
    <s v="CUST100949"/>
    <n v="68"/>
    <x v="1"/>
    <m/>
    <s v="Ahmedabad"/>
    <n v="350000"/>
    <n v="40"/>
    <x v="0"/>
    <n v="57"/>
    <n v="6500"/>
    <n v="146"/>
    <m/>
    <m/>
    <s v="Lower"/>
  </r>
  <r>
    <s v="CUST100950"/>
    <n v="51"/>
    <x v="2"/>
    <s v="Female"/>
    <m/>
    <n v="350000"/>
    <n v="24"/>
    <x v="2"/>
    <n v="53"/>
    <n v="900"/>
    <n v="237"/>
    <m/>
    <s v="In-store"/>
    <s v="Higher"/>
  </r>
  <r>
    <s v="CUST100951"/>
    <n v="69"/>
    <x v="1"/>
    <s v="Female"/>
    <s v="Mumbai"/>
    <n v="1950000"/>
    <n v="98"/>
    <x v="3"/>
    <n v="33"/>
    <m/>
    <n v="86"/>
    <s v="Silver"/>
    <m/>
    <s v="Higher"/>
  </r>
  <r>
    <s v="CUST100952"/>
    <n v="55"/>
    <x v="0"/>
    <s v="Female"/>
    <s v="Chennai"/>
    <n v="800000"/>
    <n v="72"/>
    <x v="3"/>
    <n v="52"/>
    <n v="6000"/>
    <n v="167"/>
    <m/>
    <s v="Online"/>
    <s v="Higher"/>
  </r>
  <r>
    <s v="CUST100953"/>
    <n v="50"/>
    <x v="2"/>
    <m/>
    <m/>
    <n v="550000"/>
    <n v="33"/>
    <x v="2"/>
    <n v="18"/>
    <n v="8200"/>
    <n v="129"/>
    <s v="Platinum"/>
    <s v="Website"/>
    <s v="Lower"/>
  </r>
  <r>
    <s v="CUST100954"/>
    <n v="41"/>
    <x v="4"/>
    <s v="Female"/>
    <s v="Mumbai"/>
    <n v="1225000"/>
    <n v="23"/>
    <x v="2"/>
    <n v="35"/>
    <n v="6100"/>
    <n v="165"/>
    <m/>
    <s v="Mobile App"/>
    <s v="Higher"/>
  </r>
  <r>
    <s v="CUST100955"/>
    <n v="32"/>
    <x v="3"/>
    <s v="Female"/>
    <m/>
    <n v="1250000"/>
    <n v="77"/>
    <x v="3"/>
    <n v="12"/>
    <n v="5000"/>
    <n v="277"/>
    <s v="Bronze"/>
    <s v="In-store"/>
    <s v="Higher"/>
  </r>
  <r>
    <s v="CUST100956"/>
    <n v="47"/>
    <x v="2"/>
    <s v="Female"/>
    <s v="Kolkata"/>
    <n v="325000"/>
    <n v="54"/>
    <x v="0"/>
    <n v="51"/>
    <n v="700"/>
    <n v="257"/>
    <m/>
    <m/>
    <s v="Higher"/>
  </r>
  <r>
    <s v="CUST100957"/>
    <s v="NA"/>
    <x v="5"/>
    <m/>
    <s v="Kolkata"/>
    <n v="575000"/>
    <n v="53"/>
    <x v="0"/>
    <n v="10"/>
    <n v="11300"/>
    <n v="132"/>
    <s v="Bronze"/>
    <s v="Mobile App"/>
    <s v="Lower"/>
  </r>
  <r>
    <s v="CUST100958"/>
    <n v="59"/>
    <x v="0"/>
    <s v="Female"/>
    <s v="Hyderabad"/>
    <n v="950000"/>
    <n v="49"/>
    <x v="0"/>
    <n v="52"/>
    <n v="8900"/>
    <n v="58"/>
    <s v="Platinum"/>
    <s v="Website"/>
    <s v="Higher"/>
  </r>
  <r>
    <s v="CUST100959"/>
    <n v="68"/>
    <x v="1"/>
    <s v="Female"/>
    <s v="Kolkata"/>
    <n v="150000"/>
    <n v="78"/>
    <x v="3"/>
    <n v="34"/>
    <n v="3800"/>
    <n v="257"/>
    <m/>
    <s v="Mobile App"/>
    <s v="Higher"/>
  </r>
  <r>
    <s v="CUST100960"/>
    <n v="34"/>
    <x v="3"/>
    <m/>
    <s v="Delhi"/>
    <m/>
    <n v="78"/>
    <x v="3"/>
    <n v="67"/>
    <n v="9800"/>
    <n v="141"/>
    <m/>
    <s v="Website"/>
    <s v="Lower"/>
  </r>
  <r>
    <s v="CUST100961"/>
    <n v="22"/>
    <x v="6"/>
    <s v="Female"/>
    <s v="Chennai"/>
    <n v="275000"/>
    <n v="80"/>
    <x v="3"/>
    <n v="39"/>
    <n v="9000"/>
    <n v="174"/>
    <m/>
    <s v="Website"/>
    <s v="Higher"/>
  </r>
  <r>
    <s v="CUST100962"/>
    <n v="46"/>
    <x v="2"/>
    <s v="Unknown"/>
    <s v="Kolkata"/>
    <n v="1150000"/>
    <n v="49"/>
    <x v="0"/>
    <n v="8"/>
    <n v="2700"/>
    <n v="175"/>
    <m/>
    <s v="Website"/>
    <s v="Lower"/>
  </r>
  <r>
    <s v="CUST100963"/>
    <n v="21"/>
    <x v="6"/>
    <m/>
    <s v="Bengaluru"/>
    <n v="1500000"/>
    <m/>
    <x v="1"/>
    <n v="29"/>
    <n v="4700"/>
    <n v="209"/>
    <s v="Silver"/>
    <m/>
    <s v="Lower"/>
  </r>
  <r>
    <s v="CUST100964"/>
    <n v="27"/>
    <x v="3"/>
    <m/>
    <s v="Delhi"/>
    <n v="250000"/>
    <n v="60"/>
    <x v="0"/>
    <n v="22"/>
    <n v="9400"/>
    <n v="204"/>
    <s v="Gold"/>
    <s v="Website"/>
    <s v="Lower"/>
  </r>
  <r>
    <s v="CUST100965"/>
    <n v="34"/>
    <x v="3"/>
    <m/>
    <m/>
    <n v="1600000"/>
    <n v="90"/>
    <x v="3"/>
    <n v="70"/>
    <n v="2100"/>
    <n v="7"/>
    <m/>
    <s v="Mobile App"/>
    <s v="Lower"/>
  </r>
  <r>
    <s v="CUST100966"/>
    <n v="27"/>
    <x v="3"/>
    <m/>
    <s v="Delhi"/>
    <n v="575000"/>
    <n v="90"/>
    <x v="3"/>
    <n v="61"/>
    <n v="900"/>
    <n v="51"/>
    <s v="Silver"/>
    <s v="Online"/>
    <s v="Lower"/>
  </r>
  <r>
    <s v="CUST100967"/>
    <n v="34"/>
    <x v="3"/>
    <s v="Female"/>
    <s v="Mumbai"/>
    <n v="1350000"/>
    <n v="65"/>
    <x v="0"/>
    <n v="43"/>
    <n v="11000"/>
    <n v="259"/>
    <s v="Platinum"/>
    <s v="Mobile App"/>
    <s v="Higher"/>
  </r>
  <r>
    <s v="CUST100968"/>
    <n v="37"/>
    <x v="4"/>
    <s v="Unknown"/>
    <s v="Hyderabad"/>
    <n v="1750000"/>
    <n v="32"/>
    <x v="2"/>
    <n v="49"/>
    <n v="6000"/>
    <n v="178"/>
    <m/>
    <m/>
    <s v="Lower"/>
  </r>
  <r>
    <s v="CUST100969"/>
    <n v="41"/>
    <x v="4"/>
    <s v="Male"/>
    <s v="Pune"/>
    <n v="1475000"/>
    <n v="79"/>
    <x v="3"/>
    <n v="29"/>
    <n v="10700"/>
    <n v="31"/>
    <m/>
    <s v="Website"/>
    <s v="Higher"/>
  </r>
  <r>
    <s v="CUST100970"/>
    <n v="22"/>
    <x v="6"/>
    <m/>
    <s v="Pune"/>
    <n v="1650000"/>
    <n v="21"/>
    <x v="2"/>
    <m/>
    <n v="8300"/>
    <n v="356"/>
    <m/>
    <s v="Online"/>
    <s v="Lower"/>
  </r>
  <r>
    <s v="CUST100971"/>
    <n v="51"/>
    <x v="2"/>
    <s v="Female"/>
    <m/>
    <n v="325000"/>
    <n v="18"/>
    <x v="2"/>
    <n v="31"/>
    <n v="6800"/>
    <n v="318"/>
    <m/>
    <m/>
    <s v="Higher"/>
  </r>
  <r>
    <s v="CUST100972"/>
    <n v="23"/>
    <x v="6"/>
    <s v="Female"/>
    <s v="Chennai"/>
    <n v="200000"/>
    <n v="94"/>
    <x v="3"/>
    <n v="53"/>
    <n v="8200"/>
    <n v="154"/>
    <s v="Bronze"/>
    <s v="In-store"/>
    <s v="Higher"/>
  </r>
  <r>
    <s v="CUST100973"/>
    <m/>
    <x v="5"/>
    <m/>
    <s v="Mumbai"/>
    <n v="750000"/>
    <n v="60"/>
    <x v="0"/>
    <n v="34"/>
    <n v="4100"/>
    <n v="364"/>
    <m/>
    <s v="In-store"/>
    <s v="Lower"/>
  </r>
  <r>
    <s v="CUST100974"/>
    <n v="19"/>
    <x v="6"/>
    <m/>
    <s v="Pune"/>
    <n v="1850000"/>
    <n v="13"/>
    <x v="2"/>
    <n v="38"/>
    <n v="2000"/>
    <n v="55"/>
    <m/>
    <s v="In-store"/>
    <s v="Lower"/>
  </r>
  <r>
    <s v="CUST100975"/>
    <n v="30"/>
    <x v="3"/>
    <m/>
    <s v="Hyderabad"/>
    <n v="1500000"/>
    <n v="24"/>
    <x v="2"/>
    <n v="57"/>
    <n v="10500"/>
    <n v="156"/>
    <m/>
    <s v="Online"/>
    <s v="Lower"/>
  </r>
  <r>
    <s v="CUST100976"/>
    <n v="60"/>
    <x v="0"/>
    <s v="Female"/>
    <m/>
    <n v="1125000"/>
    <n v="30"/>
    <x v="2"/>
    <n v="4"/>
    <n v="300"/>
    <n v="44"/>
    <m/>
    <s v="Mobile App"/>
    <s v="Higher"/>
  </r>
  <r>
    <s v="CUST100977"/>
    <n v="60"/>
    <x v="0"/>
    <s v="Female"/>
    <s v="Pune"/>
    <n v="1375000"/>
    <n v="2"/>
    <x v="2"/>
    <n v="2"/>
    <n v="6500"/>
    <n v="81"/>
    <s v="Silver"/>
    <s v="Online"/>
    <s v="Higher"/>
  </r>
  <r>
    <s v="CUST100978"/>
    <n v="65"/>
    <x v="0"/>
    <s v="Female"/>
    <s v="Bengaluru"/>
    <n v="950000"/>
    <n v="83"/>
    <x v="3"/>
    <n v="12"/>
    <n v="500"/>
    <n v="166"/>
    <s v="Platinum"/>
    <s v="Online"/>
    <s v="Higher"/>
  </r>
  <r>
    <s v="CUST100979"/>
    <n v="28"/>
    <x v="3"/>
    <m/>
    <s v="Delhi"/>
    <n v="575000"/>
    <n v="25"/>
    <x v="2"/>
    <n v="35"/>
    <n v="2300"/>
    <n v="30"/>
    <s v="Bronze"/>
    <s v="Online"/>
    <s v="Lower"/>
  </r>
  <r>
    <s v="CUST100980"/>
    <n v="68"/>
    <x v="1"/>
    <s v="Male"/>
    <s v="Pune"/>
    <n v="1550000"/>
    <n v="50"/>
    <x v="0"/>
    <n v="70"/>
    <n v="3200"/>
    <n v="322"/>
    <m/>
    <s v="In-store"/>
    <s v="Higher"/>
  </r>
  <r>
    <s v="CUST100981"/>
    <n v="64"/>
    <x v="0"/>
    <s v="Male"/>
    <s v="Mumbai"/>
    <n v="525000"/>
    <n v="14"/>
    <x v="2"/>
    <n v="72"/>
    <n v="1300"/>
    <n v="136"/>
    <s v="Platinum"/>
    <m/>
    <s v="Higher"/>
  </r>
  <r>
    <s v="CUST100982"/>
    <n v="40"/>
    <x v="4"/>
    <s v="Female"/>
    <s v="Kolkata"/>
    <n v="1075000"/>
    <n v="6"/>
    <x v="2"/>
    <n v="21"/>
    <n v="2400"/>
    <n v="14"/>
    <s v="Bronze"/>
    <s v="Mobile App"/>
    <s v="Higher"/>
  </r>
  <r>
    <s v="CUST100983"/>
    <s v="NA"/>
    <x v="5"/>
    <s v="Male"/>
    <s v="Kolkata"/>
    <n v="1150000"/>
    <n v="76"/>
    <x v="3"/>
    <n v="61"/>
    <n v="11300"/>
    <n v="357"/>
    <s v="Bronze"/>
    <m/>
    <s v="Higher"/>
  </r>
  <r>
    <s v="CUST100984"/>
    <n v="33"/>
    <x v="3"/>
    <m/>
    <m/>
    <n v="300000"/>
    <n v="84"/>
    <x v="3"/>
    <n v="35"/>
    <n v="5900"/>
    <n v="106"/>
    <s v="Bronze"/>
    <m/>
    <s v="Lower"/>
  </r>
  <r>
    <s v="CUST100985"/>
    <n v="48"/>
    <x v="2"/>
    <s v="Male"/>
    <s v="Kolkata"/>
    <n v="1450000"/>
    <n v="87"/>
    <x v="3"/>
    <n v="48"/>
    <n v="9100"/>
    <n v="359"/>
    <m/>
    <s v="Online"/>
    <s v="Higher"/>
  </r>
  <r>
    <s v="CUST100986"/>
    <n v="28"/>
    <x v="3"/>
    <m/>
    <m/>
    <n v="1700000"/>
    <n v="30"/>
    <x v="2"/>
    <n v="15"/>
    <n v="500"/>
    <n v="318"/>
    <s v="Silver"/>
    <s v="Mobile App"/>
    <s v="Lower"/>
  </r>
  <r>
    <s v="CUST100987"/>
    <m/>
    <x v="5"/>
    <s v="Male"/>
    <s v="Mumbai"/>
    <n v="925000"/>
    <n v="30"/>
    <x v="2"/>
    <n v="71"/>
    <n v="3200"/>
    <n v="75"/>
    <m/>
    <m/>
    <s v="Higher"/>
  </r>
  <r>
    <s v="CUST100988"/>
    <n v="33"/>
    <x v="3"/>
    <s v="Female"/>
    <s v="Chennai"/>
    <n v="1075000"/>
    <n v="38"/>
    <x v="0"/>
    <n v="15"/>
    <n v="9000"/>
    <n v="79"/>
    <m/>
    <s v="Website"/>
    <s v="Higher"/>
  </r>
  <r>
    <s v="CUST100989"/>
    <n v="25"/>
    <x v="3"/>
    <s v="Unknown"/>
    <s v="Kolkata"/>
    <n v="675000"/>
    <n v="58"/>
    <x v="0"/>
    <n v="6"/>
    <n v="4700"/>
    <n v="194"/>
    <s v="Platinum"/>
    <s v="Online"/>
    <s v="Lower"/>
  </r>
  <r>
    <s v="CUST100990"/>
    <n v="21"/>
    <x v="6"/>
    <s v="Female"/>
    <m/>
    <n v="525000"/>
    <n v="94"/>
    <x v="3"/>
    <m/>
    <n v="3800"/>
    <n v="363"/>
    <s v="Gold"/>
    <s v="Online"/>
    <s v="Higher"/>
  </r>
  <r>
    <s v="CUST100991"/>
    <n v="57"/>
    <x v="0"/>
    <s v="Female"/>
    <s v="Hyderabad"/>
    <n v="1425000"/>
    <n v="41"/>
    <x v="0"/>
    <n v="68"/>
    <n v="8900"/>
    <n v="96"/>
    <s v="Gold"/>
    <s v="Online"/>
    <s v="Higher"/>
  </r>
  <r>
    <s v="CUST100992"/>
    <n v="21"/>
    <x v="6"/>
    <m/>
    <s v="Delhi"/>
    <n v="850000"/>
    <n v="94"/>
    <x v="3"/>
    <n v="22"/>
    <m/>
    <n v="40"/>
    <s v="Gold"/>
    <s v="Website"/>
    <s v="Lower"/>
  </r>
  <r>
    <s v="CUST100993"/>
    <n v="42"/>
    <x v="4"/>
    <m/>
    <s v="Kolkata"/>
    <n v="525000"/>
    <n v="57"/>
    <x v="0"/>
    <n v="32"/>
    <n v="7400"/>
    <n v="256"/>
    <s v="Platinum"/>
    <s v="Website"/>
    <s v="Lower"/>
  </r>
  <r>
    <s v="CUST100994"/>
    <n v="20"/>
    <x v="6"/>
    <s v="Male"/>
    <m/>
    <m/>
    <n v="36"/>
    <x v="0"/>
    <n v="22"/>
    <n v="6600"/>
    <n v="107"/>
    <m/>
    <s v="In-store"/>
    <s v="Higher"/>
  </r>
  <r>
    <s v="CUST100995"/>
    <n v="49"/>
    <x v="2"/>
    <m/>
    <s v="Mumbai"/>
    <n v="550000"/>
    <n v="64"/>
    <x v="0"/>
    <n v="27"/>
    <n v="5600"/>
    <n v="17"/>
    <s v="Platinum"/>
    <m/>
    <s v="Lower"/>
  </r>
  <r>
    <s v="CUST100996"/>
    <n v="20"/>
    <x v="6"/>
    <s v="Female"/>
    <s v="Kolkata"/>
    <n v="1725000"/>
    <n v="98"/>
    <x v="3"/>
    <n v="15"/>
    <n v="7000"/>
    <n v="15"/>
    <s v="Bronze"/>
    <s v="Mobile App"/>
    <s v="Higher"/>
  </r>
  <r>
    <s v="CUST100997"/>
    <n v="44"/>
    <x v="4"/>
    <s v="Male"/>
    <s v="Pune"/>
    <n v="450000"/>
    <n v="16"/>
    <x v="2"/>
    <n v="44"/>
    <n v="5200"/>
    <n v="272"/>
    <m/>
    <m/>
    <s v="Higher"/>
  </r>
  <r>
    <s v="CUST100998"/>
    <n v="46"/>
    <x v="2"/>
    <m/>
    <s v="Kolkata"/>
    <n v="1925000"/>
    <n v="88"/>
    <x v="3"/>
    <n v="9"/>
    <n v="10500"/>
    <n v="13"/>
    <m/>
    <s v="Online"/>
    <s v="Lower"/>
  </r>
  <r>
    <s v="CUST100999"/>
    <n v="49"/>
    <x v="2"/>
    <s v="Unknown"/>
    <m/>
    <n v="1525000"/>
    <n v="78"/>
    <x v="3"/>
    <n v="34"/>
    <n v="10900"/>
    <n v="247"/>
    <s v="Bronze"/>
    <m/>
    <s v="Lower"/>
  </r>
  <r>
    <s v="CUST101000"/>
    <n v="67"/>
    <x v="1"/>
    <s v="Female"/>
    <s v="Bengaluru"/>
    <n v="250000"/>
    <n v="90"/>
    <x v="3"/>
    <n v="73"/>
    <n v="3300"/>
    <n v="214"/>
    <m/>
    <s v="Online"/>
    <s v="Higher"/>
  </r>
  <r>
    <s v="CUST101001"/>
    <n v="68"/>
    <x v="1"/>
    <s v="Male"/>
    <s v="Bengaluru"/>
    <n v="425000"/>
    <n v="72"/>
    <x v="3"/>
    <n v="15"/>
    <n v="3100"/>
    <n v="151"/>
    <m/>
    <m/>
    <s v="Higher"/>
  </r>
  <r>
    <s v="CUST101002"/>
    <n v="36"/>
    <x v="4"/>
    <s v="Unknown"/>
    <s v="Kolkata"/>
    <n v="1150000"/>
    <n v="14"/>
    <x v="2"/>
    <n v="62"/>
    <n v="6100"/>
    <n v="292"/>
    <s v="Bronze"/>
    <s v="In-store"/>
    <s v="Lower"/>
  </r>
  <r>
    <s v="CUST101003"/>
    <n v="38"/>
    <x v="4"/>
    <s v="Female"/>
    <s v="Delhi"/>
    <n v="200000"/>
    <n v="31"/>
    <x v="2"/>
    <n v="45"/>
    <n v="3800"/>
    <n v="43"/>
    <s v="Platinum"/>
    <m/>
    <s v="Higher"/>
  </r>
  <r>
    <s v="CUST101004"/>
    <n v="22"/>
    <x v="6"/>
    <s v="Male"/>
    <s v="Mumbai"/>
    <n v="950000"/>
    <n v="66"/>
    <x v="0"/>
    <n v="72"/>
    <n v="7900"/>
    <n v="114"/>
    <s v="Gold"/>
    <s v="Online"/>
    <s v="Higher"/>
  </r>
  <r>
    <s v="CUST101005"/>
    <n v="35"/>
    <x v="4"/>
    <s v="Male"/>
    <m/>
    <n v="1375000"/>
    <n v="68"/>
    <x v="3"/>
    <n v="58"/>
    <n v="10700"/>
    <n v="330"/>
    <m/>
    <m/>
    <s v="Higher"/>
  </r>
  <r>
    <s v="CUST101006"/>
    <n v="45"/>
    <x v="2"/>
    <s v="Male"/>
    <m/>
    <n v="1525000"/>
    <n v="65"/>
    <x v="0"/>
    <n v="19"/>
    <n v="7500"/>
    <n v="81"/>
    <m/>
    <s v="In-store"/>
    <s v="Higher"/>
  </r>
  <r>
    <s v="CUST101007"/>
    <n v="59"/>
    <x v="0"/>
    <s v="Male"/>
    <s v="Kolkata"/>
    <n v="350000"/>
    <n v="55"/>
    <x v="0"/>
    <n v="16"/>
    <m/>
    <n v="350"/>
    <s v="Silver"/>
    <m/>
    <s v="Higher"/>
  </r>
  <r>
    <s v="CUST101008"/>
    <n v="39"/>
    <x v="4"/>
    <s v="Male"/>
    <s v="Kolkata"/>
    <n v="1375000"/>
    <n v="84"/>
    <x v="3"/>
    <n v="75"/>
    <n v="8700"/>
    <n v="141"/>
    <m/>
    <m/>
    <s v="Higher"/>
  </r>
  <r>
    <s v="CUST101009"/>
    <n v="38"/>
    <x v="4"/>
    <s v="Male"/>
    <s v="Bengaluru"/>
    <n v="850000"/>
    <n v="78"/>
    <x v="3"/>
    <n v="8"/>
    <n v="11700"/>
    <n v="30"/>
    <s v="Gold"/>
    <s v="Mobile App"/>
    <s v="Higher"/>
  </r>
  <r>
    <s v="CUST101010"/>
    <n v="23"/>
    <x v="6"/>
    <s v="Male"/>
    <m/>
    <n v="1100000"/>
    <n v="40"/>
    <x v="0"/>
    <n v="33"/>
    <n v="6900"/>
    <n v="30"/>
    <m/>
    <s v="In-store"/>
    <s v="Higher"/>
  </r>
  <r>
    <s v="CUST101011"/>
    <n v="18"/>
    <x v="6"/>
    <s v="Female"/>
    <s v="Delhi"/>
    <n v="1250000"/>
    <n v="25"/>
    <x v="2"/>
    <n v="74"/>
    <n v="9100"/>
    <n v="266"/>
    <s v="Silver"/>
    <m/>
    <s v="Higher"/>
  </r>
  <r>
    <s v="CUST101012"/>
    <n v="22"/>
    <x v="6"/>
    <s v="Female"/>
    <s v="Kolkata"/>
    <n v="550000"/>
    <n v="25"/>
    <x v="2"/>
    <n v="18"/>
    <n v="9100"/>
    <n v="99"/>
    <s v="Platinum"/>
    <s v="Online"/>
    <s v="Higher"/>
  </r>
  <r>
    <s v="CUST101013"/>
    <n v="58"/>
    <x v="0"/>
    <s v="Female"/>
    <m/>
    <n v="1525000"/>
    <n v="3"/>
    <x v="2"/>
    <n v="35"/>
    <n v="7800"/>
    <n v="94"/>
    <m/>
    <s v="Website"/>
    <s v="Higher"/>
  </r>
  <r>
    <s v="CUST101014"/>
    <n v="29"/>
    <x v="3"/>
    <s v="Female"/>
    <s v="Mumbai"/>
    <n v="1275000"/>
    <n v="69"/>
    <x v="3"/>
    <n v="43"/>
    <n v="9500"/>
    <n v="211"/>
    <m/>
    <s v="Website"/>
    <s v="Higher"/>
  </r>
  <r>
    <s v="CUST101015"/>
    <n v="43"/>
    <x v="4"/>
    <s v="Female"/>
    <s v="Chennai"/>
    <n v="1800000"/>
    <m/>
    <x v="1"/>
    <n v="50"/>
    <n v="1300"/>
    <n v="295"/>
    <s v="Platinum"/>
    <s v="In-store"/>
    <s v="Higher"/>
  </r>
  <r>
    <s v="CUST101016"/>
    <n v="63"/>
    <x v="0"/>
    <m/>
    <s v="Pune"/>
    <n v="1850000"/>
    <n v="26"/>
    <x v="2"/>
    <n v="3"/>
    <n v="11800"/>
    <n v="37"/>
    <s v="Silver"/>
    <s v="Website"/>
    <s v="Lower"/>
  </r>
  <r>
    <s v="CUST101017"/>
    <n v="51"/>
    <x v="2"/>
    <s v="Male"/>
    <s v="Kolkata"/>
    <n v="475000"/>
    <n v="40"/>
    <x v="0"/>
    <n v="59"/>
    <n v="1300"/>
    <n v="89"/>
    <s v="Bronze"/>
    <s v="Mobile App"/>
    <s v="Higher"/>
  </r>
  <r>
    <s v="CUST101018"/>
    <n v="66"/>
    <x v="1"/>
    <s v="Unknown"/>
    <m/>
    <n v="1800000"/>
    <n v="38"/>
    <x v="0"/>
    <n v="28"/>
    <n v="11500"/>
    <n v="255"/>
    <m/>
    <s v="In-store"/>
    <s v="Lower"/>
  </r>
  <r>
    <s v="CUST101019"/>
    <n v="31"/>
    <x v="3"/>
    <s v="Male"/>
    <s v="Kolkata"/>
    <n v="700000"/>
    <n v="38"/>
    <x v="0"/>
    <n v="46"/>
    <n v="2800"/>
    <n v="214"/>
    <s v="Platinum"/>
    <s v="Online"/>
    <s v="Higher"/>
  </r>
  <r>
    <s v="CUST101020"/>
    <n v="43"/>
    <x v="4"/>
    <s v="Male"/>
    <m/>
    <n v="1650000"/>
    <n v="68"/>
    <x v="3"/>
    <n v="64"/>
    <n v="5500"/>
    <n v="14"/>
    <m/>
    <s v="Online"/>
    <s v="Higher"/>
  </r>
  <r>
    <s v="CUST101021"/>
    <n v="62"/>
    <x v="0"/>
    <m/>
    <s v="Delhi"/>
    <n v="700000"/>
    <n v="7"/>
    <x v="2"/>
    <n v="70"/>
    <n v="1600"/>
    <n v="192"/>
    <m/>
    <s v="In-store"/>
    <s v="Lower"/>
  </r>
  <r>
    <s v="CUST101022"/>
    <n v="44"/>
    <x v="4"/>
    <s v="Female"/>
    <s v="Chennai"/>
    <n v="800000"/>
    <n v="94"/>
    <x v="3"/>
    <n v="47"/>
    <n v="6600"/>
    <n v="295"/>
    <m/>
    <s v="Website"/>
    <s v="Higher"/>
  </r>
  <r>
    <s v="CUST101023"/>
    <n v="26"/>
    <x v="3"/>
    <s v="Male"/>
    <s v="Hyderabad"/>
    <n v="1475000"/>
    <n v="30"/>
    <x v="2"/>
    <n v="14"/>
    <n v="8200"/>
    <n v="182"/>
    <s v="Platinum"/>
    <s v="Website"/>
    <s v="Higher"/>
  </r>
  <r>
    <s v="CUST101024"/>
    <n v="43"/>
    <x v="4"/>
    <s v="Unknown"/>
    <s v="Mumbai"/>
    <n v="375000"/>
    <n v="19"/>
    <x v="2"/>
    <n v="7"/>
    <n v="1200"/>
    <n v="130"/>
    <s v="Gold"/>
    <s v="Online"/>
    <s v="Lower"/>
  </r>
  <r>
    <s v="CUST101025"/>
    <n v="64"/>
    <x v="0"/>
    <s v="Male"/>
    <s v="Mumbai"/>
    <s v="unknown"/>
    <n v="35"/>
    <x v="0"/>
    <n v="74"/>
    <n v="3300"/>
    <n v="224"/>
    <s v="Platinum"/>
    <s v="Mobile App"/>
    <s v="Higher"/>
  </r>
  <r>
    <s v="CUST101026"/>
    <n v="39"/>
    <x v="4"/>
    <s v="Female"/>
    <m/>
    <n v="525000"/>
    <n v="33"/>
    <x v="2"/>
    <n v="79"/>
    <n v="9700"/>
    <n v="43"/>
    <s v="Silver"/>
    <m/>
    <s v="Higher"/>
  </r>
  <r>
    <s v="CUST101027"/>
    <n v="64"/>
    <x v="0"/>
    <m/>
    <s v="Bengaluru"/>
    <n v="1150000"/>
    <n v="33"/>
    <x v="2"/>
    <n v="31"/>
    <n v="3800"/>
    <n v="181"/>
    <s v="Platinum"/>
    <s v="Website"/>
    <s v="Lower"/>
  </r>
  <r>
    <s v="CUST101028"/>
    <n v="47"/>
    <x v="2"/>
    <s v="Female"/>
    <m/>
    <n v="1500000"/>
    <n v="78"/>
    <x v="3"/>
    <m/>
    <n v="1200"/>
    <n v="169"/>
    <m/>
    <s v="Mobile App"/>
    <s v="Higher"/>
  </r>
  <r>
    <s v="CUST101029"/>
    <n v="60"/>
    <x v="0"/>
    <s v="Unknown"/>
    <s v="Bengaluru"/>
    <n v="1650000"/>
    <n v="38"/>
    <x v="0"/>
    <n v="51"/>
    <n v="2800"/>
    <n v="264"/>
    <s v="Platinum"/>
    <s v="Website"/>
    <s v="Lower"/>
  </r>
  <r>
    <s v="CUST101030"/>
    <n v="65"/>
    <x v="0"/>
    <s v="Male"/>
    <s v="Ahmedabad"/>
    <n v="1350000"/>
    <n v="10"/>
    <x v="2"/>
    <n v="29"/>
    <n v="2200"/>
    <n v="96"/>
    <s v="Platinum"/>
    <m/>
    <s v="Higher"/>
  </r>
  <r>
    <s v="CUST101031"/>
    <n v="34"/>
    <x v="3"/>
    <s v="Female"/>
    <m/>
    <n v="1950000"/>
    <n v="57"/>
    <x v="0"/>
    <n v="15"/>
    <n v="4600"/>
    <n v="203"/>
    <m/>
    <s v="In-store"/>
    <s v="Higher"/>
  </r>
  <r>
    <s v="CUST101032"/>
    <n v="43"/>
    <x v="4"/>
    <s v="Male"/>
    <s v="Mumbai"/>
    <n v="1425000"/>
    <n v="28"/>
    <x v="2"/>
    <n v="76"/>
    <n v="6400"/>
    <n v="321"/>
    <s v="Platinum"/>
    <m/>
    <s v="Higher"/>
  </r>
  <r>
    <s v="CUST101033"/>
    <n v="53"/>
    <x v="2"/>
    <s v="Male"/>
    <s v="Delhi"/>
    <n v="175000"/>
    <n v="78"/>
    <x v="3"/>
    <n v="25"/>
    <n v="7500"/>
    <n v="335"/>
    <m/>
    <s v="Online"/>
    <s v="Higher"/>
  </r>
  <r>
    <s v="CUST101034"/>
    <n v="18"/>
    <x v="6"/>
    <m/>
    <m/>
    <n v="1375000"/>
    <n v="100"/>
    <x v="3"/>
    <n v="61"/>
    <n v="8100"/>
    <n v="68"/>
    <s v="Silver"/>
    <s v="In-store"/>
    <s v="Lower"/>
  </r>
  <r>
    <s v="CUST101035"/>
    <n v="25"/>
    <x v="3"/>
    <s v="Female"/>
    <s v="Delhi"/>
    <n v="1200000"/>
    <n v="38"/>
    <x v="0"/>
    <n v="41"/>
    <n v="1100"/>
    <n v="92"/>
    <m/>
    <s v="Website"/>
    <s v="Higher"/>
  </r>
  <r>
    <s v="CUST101036"/>
    <n v="66"/>
    <x v="1"/>
    <m/>
    <s v="Chennai"/>
    <s v="unknown"/>
    <n v="16"/>
    <x v="2"/>
    <n v="69"/>
    <n v="7300"/>
    <n v="266"/>
    <s v="Silver"/>
    <m/>
    <s v="Lower"/>
  </r>
  <r>
    <s v="CUST101037"/>
    <n v="52"/>
    <x v="2"/>
    <m/>
    <s v="Delhi"/>
    <n v="325000"/>
    <n v="21"/>
    <x v="2"/>
    <n v="4"/>
    <n v="9200"/>
    <n v="331"/>
    <s v="Silver"/>
    <s v="Online"/>
    <s v="Lower"/>
  </r>
  <r>
    <s v="CUST101038"/>
    <n v="69"/>
    <x v="1"/>
    <s v="Unknown"/>
    <s v="Kolkata"/>
    <n v="1600000"/>
    <n v="92"/>
    <x v="3"/>
    <n v="57"/>
    <n v="2600"/>
    <n v="178"/>
    <m/>
    <m/>
    <s v="Lower"/>
  </r>
  <r>
    <s v="CUST101039"/>
    <n v="32"/>
    <x v="3"/>
    <s v="Unknown"/>
    <m/>
    <n v="1750000"/>
    <n v="97"/>
    <x v="3"/>
    <n v="31"/>
    <n v="1400"/>
    <n v="151"/>
    <s v="Platinum"/>
    <m/>
    <s v="Lower"/>
  </r>
  <r>
    <s v="CUST101040"/>
    <n v="64"/>
    <x v="0"/>
    <s v="Male"/>
    <s v="Kolkata"/>
    <n v="425000"/>
    <n v="6"/>
    <x v="2"/>
    <n v="3"/>
    <n v="6200"/>
    <n v="317"/>
    <m/>
    <m/>
    <s v="Higher"/>
  </r>
  <r>
    <s v="CUST101041"/>
    <n v="39"/>
    <x v="4"/>
    <s v="Unknown"/>
    <s v="Pune"/>
    <n v="225000"/>
    <n v="41"/>
    <x v="0"/>
    <n v="67"/>
    <n v="8600"/>
    <n v="47"/>
    <s v="Gold"/>
    <m/>
    <s v="Lower"/>
  </r>
  <r>
    <s v="CUST101042"/>
    <n v="31"/>
    <x v="3"/>
    <s v="Unknown"/>
    <m/>
    <s v="unknown"/>
    <n v="15"/>
    <x v="2"/>
    <n v="50"/>
    <n v="8000"/>
    <n v="3"/>
    <m/>
    <s v="Website"/>
    <s v="Lower"/>
  </r>
  <r>
    <s v="CUST101043"/>
    <n v="43"/>
    <x v="4"/>
    <s v="Male"/>
    <s v="Mumbai"/>
    <n v="1150000"/>
    <n v="3"/>
    <x v="2"/>
    <n v="17"/>
    <n v="8800"/>
    <n v="103"/>
    <m/>
    <s v="Online"/>
    <s v="Higher"/>
  </r>
  <r>
    <s v="CUST101044"/>
    <n v="45"/>
    <x v="2"/>
    <s v="Female"/>
    <m/>
    <n v="300000"/>
    <n v="43"/>
    <x v="0"/>
    <n v="60"/>
    <n v="1800"/>
    <n v="273"/>
    <s v="Platinum"/>
    <s v="Website"/>
    <s v="Higher"/>
  </r>
  <r>
    <s v="CUST101045"/>
    <n v="40"/>
    <x v="4"/>
    <s v="Male"/>
    <m/>
    <n v="1850000"/>
    <n v="47"/>
    <x v="0"/>
    <n v="74"/>
    <n v="3100"/>
    <n v="22"/>
    <s v="Silver"/>
    <m/>
    <s v="Higher"/>
  </r>
  <r>
    <s v="CUST101046"/>
    <n v="31"/>
    <x v="3"/>
    <s v="Male"/>
    <s v="Hyderabad"/>
    <n v="1850000"/>
    <n v="99"/>
    <x v="3"/>
    <n v="66"/>
    <n v="3400"/>
    <n v="116"/>
    <s v="Bronze"/>
    <s v="In-store"/>
    <s v="Higher"/>
  </r>
  <r>
    <s v="CUST101047"/>
    <n v="41"/>
    <x v="4"/>
    <s v="Female"/>
    <s v="Hyderabad"/>
    <n v="875000"/>
    <n v="14"/>
    <x v="2"/>
    <n v="75"/>
    <n v="8500"/>
    <n v="347"/>
    <s v="Gold"/>
    <s v="In-store"/>
    <s v="Higher"/>
  </r>
  <r>
    <s v="CUST101048"/>
    <n v="19"/>
    <x v="6"/>
    <m/>
    <s v="Pune"/>
    <n v="1950000"/>
    <n v="66"/>
    <x v="0"/>
    <n v="24"/>
    <m/>
    <n v="104"/>
    <m/>
    <s v="Mobile App"/>
    <s v="Lower"/>
  </r>
  <r>
    <s v="CUST101049"/>
    <n v="62"/>
    <x v="0"/>
    <s v="Male"/>
    <m/>
    <n v="275000"/>
    <n v="29"/>
    <x v="2"/>
    <n v="32"/>
    <n v="3700"/>
    <n v="259"/>
    <s v="Platinum"/>
    <m/>
    <s v="Higher"/>
  </r>
  <r>
    <s v="CUST101050"/>
    <n v="43"/>
    <x v="4"/>
    <m/>
    <s v="Ahmedabad"/>
    <n v="600000"/>
    <n v="4"/>
    <x v="2"/>
    <n v="19"/>
    <n v="4500"/>
    <n v="308"/>
    <s v="Gold"/>
    <m/>
    <s v="Lower"/>
  </r>
  <r>
    <s v="CUST101051"/>
    <n v="31"/>
    <x v="3"/>
    <s v="Male"/>
    <s v="Ahmedabad"/>
    <n v="1775000"/>
    <n v="26"/>
    <x v="2"/>
    <n v="66"/>
    <n v="9800"/>
    <n v="298"/>
    <s v="Bronze"/>
    <s v="Website"/>
    <s v="Higher"/>
  </r>
  <r>
    <s v="CUST101052"/>
    <n v="68"/>
    <x v="1"/>
    <s v="Unknown"/>
    <s v="Ahmedabad"/>
    <n v="375000"/>
    <n v="12"/>
    <x v="2"/>
    <n v="60"/>
    <m/>
    <n v="130"/>
    <s v="Bronze"/>
    <s v="Mobile App"/>
    <s v="Lower"/>
  </r>
  <r>
    <s v="CUST101053"/>
    <n v="24"/>
    <x v="6"/>
    <s v="Female"/>
    <s v="Mumbai"/>
    <n v="525000"/>
    <n v="2"/>
    <x v="2"/>
    <n v="66"/>
    <n v="5500"/>
    <n v="295"/>
    <s v="Bronze"/>
    <m/>
    <s v="Higher"/>
  </r>
  <r>
    <s v="CUST101054"/>
    <n v="20"/>
    <x v="6"/>
    <s v="Male"/>
    <s v="Mumbai"/>
    <n v="1050000"/>
    <n v="17"/>
    <x v="2"/>
    <n v="15"/>
    <n v="2200"/>
    <n v="302"/>
    <m/>
    <s v="Mobile App"/>
    <s v="Higher"/>
  </r>
  <r>
    <s v="CUST101055"/>
    <n v="64"/>
    <x v="0"/>
    <s v="Male"/>
    <s v="Ahmedabad"/>
    <s v="unknown"/>
    <n v="35"/>
    <x v="0"/>
    <n v="35"/>
    <n v="11700"/>
    <n v="48"/>
    <m/>
    <s v="Online"/>
    <s v="Higher"/>
  </r>
  <r>
    <s v="CUST101056"/>
    <n v="40"/>
    <x v="4"/>
    <s v="Female"/>
    <s v="Hyderabad"/>
    <s v="unknown"/>
    <n v="10"/>
    <x v="2"/>
    <n v="69"/>
    <n v="10600"/>
    <n v="27"/>
    <s v="Gold"/>
    <s v="Website"/>
    <s v="Higher"/>
  </r>
  <r>
    <s v="CUST101057"/>
    <n v="63"/>
    <x v="0"/>
    <s v="Unknown"/>
    <m/>
    <n v="925000"/>
    <n v="86"/>
    <x v="3"/>
    <n v="27"/>
    <n v="8600"/>
    <n v="15"/>
    <m/>
    <m/>
    <s v="Lower"/>
  </r>
  <r>
    <s v="CUST101058"/>
    <n v="60"/>
    <x v="0"/>
    <s v="Female"/>
    <s v="Delhi"/>
    <n v="1300000"/>
    <n v="43"/>
    <x v="0"/>
    <n v="7"/>
    <n v="1000"/>
    <n v="263"/>
    <s v="Bronze"/>
    <m/>
    <s v="Higher"/>
  </r>
  <r>
    <s v="CUST101059"/>
    <n v="64"/>
    <x v="0"/>
    <s v="Male"/>
    <m/>
    <n v="1925000"/>
    <n v="21"/>
    <x v="2"/>
    <n v="6"/>
    <n v="10100"/>
    <m/>
    <s v="Platinum"/>
    <s v="In-store"/>
    <s v="Higher"/>
  </r>
  <r>
    <s v="CUST101060"/>
    <n v="62"/>
    <x v="0"/>
    <s v="Unknown"/>
    <s v="Ahmedabad"/>
    <n v="1200000"/>
    <n v="15"/>
    <x v="2"/>
    <n v="33"/>
    <n v="4400"/>
    <n v="298"/>
    <s v="Bronze"/>
    <s v="Online"/>
    <s v="Lower"/>
  </r>
  <r>
    <s v="CUST101061"/>
    <n v="35"/>
    <x v="4"/>
    <m/>
    <m/>
    <n v="1025000"/>
    <n v="35"/>
    <x v="0"/>
    <n v="58"/>
    <n v="7900"/>
    <n v="265"/>
    <m/>
    <s v="Mobile App"/>
    <s v="Lower"/>
  </r>
  <r>
    <s v="CUST101062"/>
    <n v="55"/>
    <x v="0"/>
    <m/>
    <s v="Chennai"/>
    <n v="775000"/>
    <n v="85"/>
    <x v="3"/>
    <n v="49"/>
    <n v="10700"/>
    <n v="361"/>
    <s v="Bronze"/>
    <s v="In-store"/>
    <s v="Lower"/>
  </r>
  <r>
    <s v="CUST101063"/>
    <n v="52"/>
    <x v="2"/>
    <s v="Female"/>
    <s v="Mumbai"/>
    <n v="375000"/>
    <n v="85"/>
    <x v="3"/>
    <n v="17"/>
    <n v="7200"/>
    <n v="134"/>
    <s v="Bronze"/>
    <m/>
    <s v="Higher"/>
  </r>
  <r>
    <s v="CUST101064"/>
    <n v="68"/>
    <x v="1"/>
    <s v="Male"/>
    <s v="Mumbai"/>
    <n v="900000"/>
    <n v="85"/>
    <x v="3"/>
    <n v="42"/>
    <n v="11300"/>
    <n v="76"/>
    <m/>
    <s v="Website"/>
    <s v="Higher"/>
  </r>
  <r>
    <s v="CUST101065"/>
    <n v="32"/>
    <x v="3"/>
    <s v="Male"/>
    <s v="Hyderabad"/>
    <n v="850000"/>
    <n v="60"/>
    <x v="0"/>
    <n v="72"/>
    <n v="1800"/>
    <n v="30"/>
    <m/>
    <s v="Mobile App"/>
    <s v="Higher"/>
  </r>
  <r>
    <s v="CUST101066"/>
    <n v="42"/>
    <x v="4"/>
    <m/>
    <s v="Delhi"/>
    <n v="250000"/>
    <n v="44"/>
    <x v="0"/>
    <n v="40"/>
    <n v="7100"/>
    <n v="340"/>
    <s v="Platinum"/>
    <m/>
    <s v="Lower"/>
  </r>
  <r>
    <s v="CUST101067"/>
    <s v="NA"/>
    <x v="5"/>
    <s v="Female"/>
    <s v="Ahmedabad"/>
    <s v="unknown"/>
    <n v="96"/>
    <x v="3"/>
    <n v="46"/>
    <n v="5500"/>
    <n v="126"/>
    <m/>
    <m/>
    <s v="Higher"/>
  </r>
  <r>
    <s v="CUST101068"/>
    <n v="54"/>
    <x v="2"/>
    <m/>
    <m/>
    <n v="150000"/>
    <n v="5"/>
    <x v="2"/>
    <n v="71"/>
    <n v="4700"/>
    <n v="84"/>
    <s v="Platinum"/>
    <s v="Mobile App"/>
    <s v="Lower"/>
  </r>
  <r>
    <s v="CUST101069"/>
    <n v="45"/>
    <x v="2"/>
    <s v="Male"/>
    <s v="Hyderabad"/>
    <n v="200000"/>
    <n v="73"/>
    <x v="3"/>
    <n v="70"/>
    <n v="5300"/>
    <n v="54"/>
    <s v="Silver"/>
    <s v="In-store"/>
    <s v="Higher"/>
  </r>
  <r>
    <s v="CUST101070"/>
    <n v="27"/>
    <x v="3"/>
    <s v="Female"/>
    <s v="Hyderabad"/>
    <n v="1800000"/>
    <n v="18"/>
    <x v="2"/>
    <n v="68"/>
    <n v="10000"/>
    <m/>
    <s v="Silver"/>
    <s v="Online"/>
    <s v="Higher"/>
  </r>
  <r>
    <s v="CUST101071"/>
    <n v="56"/>
    <x v="0"/>
    <s v="Male"/>
    <s v="Delhi"/>
    <n v="1900000"/>
    <n v="21"/>
    <x v="2"/>
    <n v="1"/>
    <n v="800"/>
    <n v="283"/>
    <m/>
    <s v="In-store"/>
    <s v="Higher"/>
  </r>
  <r>
    <s v="CUST101072"/>
    <n v="34"/>
    <x v="3"/>
    <s v="Female"/>
    <s v="Kolkata"/>
    <n v="1000000"/>
    <n v="72"/>
    <x v="3"/>
    <n v="79"/>
    <n v="3500"/>
    <n v="340"/>
    <s v="Bronze"/>
    <s v="Website"/>
    <s v="Higher"/>
  </r>
  <r>
    <s v="CUST101073"/>
    <n v="56"/>
    <x v="0"/>
    <m/>
    <s v="Ahmedabad"/>
    <n v="500000"/>
    <n v="98"/>
    <x v="3"/>
    <n v="52"/>
    <n v="8100"/>
    <n v="263"/>
    <s v="Gold"/>
    <s v="Website"/>
    <s v="Lower"/>
  </r>
  <r>
    <s v="CUST101074"/>
    <n v="39"/>
    <x v="4"/>
    <s v="Male"/>
    <m/>
    <n v="1800000"/>
    <n v="74"/>
    <x v="3"/>
    <n v="35"/>
    <n v="1700"/>
    <n v="360"/>
    <s v="Bronze"/>
    <s v="Mobile App"/>
    <s v="Higher"/>
  </r>
  <r>
    <s v="CUST101075"/>
    <n v="43"/>
    <x v="4"/>
    <s v="Unknown"/>
    <s v="Mumbai"/>
    <n v="875000"/>
    <n v="51"/>
    <x v="0"/>
    <n v="69"/>
    <n v="1600"/>
    <n v="222"/>
    <m/>
    <s v="In-store"/>
    <s v="Lower"/>
  </r>
  <r>
    <s v="CUST101076"/>
    <n v="61"/>
    <x v="0"/>
    <s v="Female"/>
    <s v="Delhi"/>
    <m/>
    <n v="41"/>
    <x v="0"/>
    <n v="5"/>
    <n v="4100"/>
    <n v="328"/>
    <s v="Platinum"/>
    <s v="Online"/>
    <s v="Higher"/>
  </r>
  <r>
    <s v="CUST101077"/>
    <n v="42"/>
    <x v="4"/>
    <s v="Unknown"/>
    <m/>
    <n v="1200000"/>
    <n v="24"/>
    <x v="2"/>
    <n v="17"/>
    <n v="6500"/>
    <n v="2"/>
    <s v="Bronze"/>
    <m/>
    <s v="Lower"/>
  </r>
  <r>
    <s v="CUST101078"/>
    <n v="34"/>
    <x v="3"/>
    <s v="Unknown"/>
    <s v="Chennai"/>
    <n v="1625000"/>
    <n v="24"/>
    <x v="2"/>
    <n v="53"/>
    <n v="700"/>
    <n v="306"/>
    <s v="Silver"/>
    <s v="Website"/>
    <s v="Lower"/>
  </r>
  <r>
    <s v="CUST101079"/>
    <n v="30"/>
    <x v="3"/>
    <s v="Female"/>
    <s v="Hyderabad"/>
    <n v="1125000"/>
    <n v="96"/>
    <x v="3"/>
    <n v="52"/>
    <n v="11800"/>
    <n v="146"/>
    <m/>
    <s v="Online"/>
    <s v="Higher"/>
  </r>
  <r>
    <s v="CUST101080"/>
    <n v="37"/>
    <x v="4"/>
    <m/>
    <s v="Delhi"/>
    <n v="1750000"/>
    <n v="97"/>
    <x v="3"/>
    <n v="14"/>
    <n v="9200"/>
    <n v="18"/>
    <m/>
    <m/>
    <s v="Lower"/>
  </r>
  <r>
    <s v="CUST101081"/>
    <n v="42"/>
    <x v="4"/>
    <s v="Female"/>
    <s v="Mumbai"/>
    <n v="850000"/>
    <n v="38"/>
    <x v="0"/>
    <n v="29"/>
    <n v="11400"/>
    <n v="16"/>
    <s v="Bronze"/>
    <s v="Mobile App"/>
    <s v="Higher"/>
  </r>
  <r>
    <s v="CUST101082"/>
    <n v="21"/>
    <x v="6"/>
    <s v="Male"/>
    <m/>
    <n v="1975000"/>
    <n v="44"/>
    <x v="0"/>
    <n v="8"/>
    <n v="8300"/>
    <n v="308"/>
    <m/>
    <s v="Online"/>
    <s v="Higher"/>
  </r>
  <r>
    <s v="CUST101083"/>
    <n v="27"/>
    <x v="3"/>
    <s v="Male"/>
    <s v="Mumbai"/>
    <n v="600000"/>
    <n v="57"/>
    <x v="0"/>
    <n v="1"/>
    <n v="10900"/>
    <n v="159"/>
    <s v="Bronze"/>
    <s v="Mobile App"/>
    <s v="Higher"/>
  </r>
  <r>
    <s v="CUST101084"/>
    <n v="20"/>
    <x v="6"/>
    <m/>
    <s v="Chennai"/>
    <n v="200000"/>
    <n v="59"/>
    <x v="0"/>
    <n v="29"/>
    <n v="11300"/>
    <n v="340"/>
    <s v="Platinum"/>
    <m/>
    <s v="Lower"/>
  </r>
  <r>
    <s v="CUST101085"/>
    <n v="58"/>
    <x v="0"/>
    <s v="Male"/>
    <s v="Delhi"/>
    <n v="1025000"/>
    <n v="34"/>
    <x v="0"/>
    <n v="36"/>
    <n v="5400"/>
    <n v="352"/>
    <s v="Platinum"/>
    <s v="Online"/>
    <s v="Higher"/>
  </r>
  <r>
    <s v="CUST101086"/>
    <n v="62"/>
    <x v="0"/>
    <m/>
    <s v="Chennai"/>
    <n v="1200000"/>
    <n v="75"/>
    <x v="3"/>
    <n v="51"/>
    <n v="1800"/>
    <n v="298"/>
    <s v="Platinum"/>
    <s v="Online"/>
    <s v="Lower"/>
  </r>
  <r>
    <s v="CUST101087"/>
    <n v="35"/>
    <x v="4"/>
    <m/>
    <s v="Ahmedabad"/>
    <n v="500000"/>
    <n v="95"/>
    <x v="3"/>
    <n v="37"/>
    <n v="10100"/>
    <n v="209"/>
    <m/>
    <m/>
    <s v="Lower"/>
  </r>
  <r>
    <s v="CUST101088"/>
    <n v="64"/>
    <x v="0"/>
    <s v="Male"/>
    <s v="Ahmedabad"/>
    <n v="1150000"/>
    <n v="82"/>
    <x v="3"/>
    <n v="69"/>
    <n v="4000"/>
    <n v="205"/>
    <s v="Gold"/>
    <m/>
    <s v="Higher"/>
  </r>
  <r>
    <s v="CUST101089"/>
    <n v="53"/>
    <x v="2"/>
    <s v="Female"/>
    <m/>
    <n v="1025000"/>
    <n v="23"/>
    <x v="2"/>
    <n v="53"/>
    <n v="5500"/>
    <n v="113"/>
    <m/>
    <s v="In-store"/>
    <s v="Higher"/>
  </r>
  <r>
    <s v="CUST101090"/>
    <n v="64"/>
    <x v="0"/>
    <s v="Unknown"/>
    <s v="Hyderabad"/>
    <s v="unknown"/>
    <n v="86"/>
    <x v="3"/>
    <n v="52"/>
    <n v="8900"/>
    <n v="178"/>
    <m/>
    <s v="Online"/>
    <s v="Lower"/>
  </r>
  <r>
    <s v="CUST101091"/>
    <n v="39"/>
    <x v="4"/>
    <m/>
    <s v="Kolkata"/>
    <n v="950000"/>
    <n v="43"/>
    <x v="0"/>
    <n v="12"/>
    <n v="7900"/>
    <n v="209"/>
    <m/>
    <m/>
    <s v="Lower"/>
  </r>
  <r>
    <s v="CUST101092"/>
    <n v="51"/>
    <x v="2"/>
    <s v="Unknown"/>
    <s v="Bengaluru"/>
    <n v="250000"/>
    <n v="82"/>
    <x v="3"/>
    <n v="52"/>
    <n v="9900"/>
    <n v="124"/>
    <s v="Silver"/>
    <s v="Online"/>
    <s v="Lower"/>
  </r>
  <r>
    <s v="CUST101093"/>
    <n v="64"/>
    <x v="0"/>
    <s v="Unknown"/>
    <m/>
    <n v="475000"/>
    <n v="40"/>
    <x v="0"/>
    <n v="1"/>
    <n v="9500"/>
    <n v="15"/>
    <s v="Silver"/>
    <m/>
    <s v="Lower"/>
  </r>
  <r>
    <s v="CUST101094"/>
    <n v="25"/>
    <x v="3"/>
    <s v="Female"/>
    <s v="Chennai"/>
    <n v="1825000"/>
    <n v="47"/>
    <x v="0"/>
    <n v="7"/>
    <n v="5500"/>
    <n v="346"/>
    <m/>
    <s v="Website"/>
    <s v="Higher"/>
  </r>
  <r>
    <s v="CUST101095"/>
    <n v="57"/>
    <x v="0"/>
    <s v="Male"/>
    <m/>
    <n v="1300000"/>
    <n v="41"/>
    <x v="0"/>
    <n v="17"/>
    <n v="4800"/>
    <n v="298"/>
    <s v="Bronze"/>
    <s v="In-store"/>
    <s v="Higher"/>
  </r>
  <r>
    <s v="CUST101096"/>
    <n v="66"/>
    <x v="1"/>
    <m/>
    <m/>
    <n v="1475000"/>
    <n v="47"/>
    <x v="0"/>
    <n v="43"/>
    <n v="10000"/>
    <n v="45"/>
    <m/>
    <s v="Online"/>
    <s v="Lower"/>
  </r>
  <r>
    <s v="CUST101097"/>
    <n v="61"/>
    <x v="0"/>
    <s v="Female"/>
    <m/>
    <n v="225000"/>
    <n v="20"/>
    <x v="2"/>
    <n v="71"/>
    <n v="10000"/>
    <n v="94"/>
    <s v="Gold"/>
    <m/>
    <s v="Higher"/>
  </r>
  <r>
    <s v="CUST101098"/>
    <n v="36"/>
    <x v="4"/>
    <s v="Female"/>
    <m/>
    <n v="350000"/>
    <n v="77"/>
    <x v="3"/>
    <n v="17"/>
    <n v="9300"/>
    <n v="107"/>
    <s v="Silver"/>
    <s v="Mobile App"/>
    <s v="Higher"/>
  </r>
  <r>
    <s v="CUST101099"/>
    <n v="59"/>
    <x v="0"/>
    <s v="Male"/>
    <s v="Mumbai"/>
    <n v="1450000"/>
    <n v="65"/>
    <x v="0"/>
    <n v="59"/>
    <n v="1700"/>
    <n v="278"/>
    <s v="Silver"/>
    <m/>
    <s v="Higher"/>
  </r>
  <r>
    <s v="CUST101100"/>
    <n v="58"/>
    <x v="0"/>
    <s v="Female"/>
    <s v="Delhi"/>
    <s v="unknown"/>
    <n v="68"/>
    <x v="3"/>
    <n v="3"/>
    <n v="6100"/>
    <n v="128"/>
    <m/>
    <s v="In-store"/>
    <s v="Higher"/>
  </r>
  <r>
    <s v="CUST101101"/>
    <n v="54"/>
    <x v="2"/>
    <m/>
    <s v="Hyderabad"/>
    <n v="1625000"/>
    <n v="24"/>
    <x v="2"/>
    <n v="29"/>
    <n v="5200"/>
    <n v="38"/>
    <s v="Silver"/>
    <s v="Website"/>
    <s v="Lower"/>
  </r>
  <r>
    <s v="CUST101102"/>
    <n v="23"/>
    <x v="6"/>
    <s v="Female"/>
    <s v="Bengaluru"/>
    <n v="1275000"/>
    <n v="100"/>
    <x v="3"/>
    <n v="22"/>
    <n v="1100"/>
    <n v="97"/>
    <m/>
    <s v="Website"/>
    <s v="Higher"/>
  </r>
  <r>
    <s v="CUST101103"/>
    <n v="69"/>
    <x v="1"/>
    <s v="Female"/>
    <s v="Delhi"/>
    <n v="1475000"/>
    <n v="36"/>
    <x v="0"/>
    <n v="38"/>
    <n v="2800"/>
    <n v="198"/>
    <s v="Silver"/>
    <s v="Website"/>
    <s v="Higher"/>
  </r>
  <r>
    <s v="CUST101104"/>
    <n v="43"/>
    <x v="4"/>
    <s v="Unknown"/>
    <s v="Mumbai"/>
    <n v="1975000"/>
    <n v="45"/>
    <x v="0"/>
    <n v="54"/>
    <n v="500"/>
    <n v="192"/>
    <s v="Silver"/>
    <m/>
    <s v="Lower"/>
  </r>
  <r>
    <s v="CUST101105"/>
    <n v="51"/>
    <x v="2"/>
    <s v="Female"/>
    <m/>
    <n v="1050000"/>
    <n v="2"/>
    <x v="2"/>
    <n v="50"/>
    <n v="10200"/>
    <n v="357"/>
    <m/>
    <m/>
    <s v="Higher"/>
  </r>
  <r>
    <s v="CUST101106"/>
    <n v="62"/>
    <x v="0"/>
    <m/>
    <s v="Bengaluru"/>
    <n v="700000"/>
    <n v="28"/>
    <x v="2"/>
    <n v="69"/>
    <n v="4900"/>
    <n v="7"/>
    <m/>
    <s v="Mobile App"/>
    <s v="Lower"/>
  </r>
  <r>
    <s v="CUST101107"/>
    <n v="23"/>
    <x v="6"/>
    <m/>
    <s v="Mumbai"/>
    <n v="800000"/>
    <n v="26"/>
    <x v="2"/>
    <n v="30"/>
    <n v="700"/>
    <n v="44"/>
    <s v="Bronze"/>
    <s v="Mobile App"/>
    <s v="Lower"/>
  </r>
  <r>
    <s v="CUST101108"/>
    <n v="54"/>
    <x v="2"/>
    <s v="Male"/>
    <s v="Mumbai"/>
    <n v="1875000"/>
    <n v="23"/>
    <x v="2"/>
    <n v="23"/>
    <n v="6400"/>
    <n v="332"/>
    <s v="Silver"/>
    <m/>
    <s v="Higher"/>
  </r>
  <r>
    <s v="CUST101109"/>
    <n v="50"/>
    <x v="2"/>
    <s v="Female"/>
    <s v="Mumbai"/>
    <n v="1775000"/>
    <n v="79"/>
    <x v="3"/>
    <n v="47"/>
    <n v="8600"/>
    <n v="7"/>
    <s v="Silver"/>
    <s v="Online"/>
    <s v="Higher"/>
  </r>
  <r>
    <s v="CUST101110"/>
    <m/>
    <x v="5"/>
    <s v="Unknown"/>
    <s v="Ahmedabad"/>
    <n v="1650000"/>
    <n v="36"/>
    <x v="0"/>
    <n v="21"/>
    <n v="8600"/>
    <n v="194"/>
    <s v="Silver"/>
    <m/>
    <s v="Lower"/>
  </r>
  <r>
    <s v="CUST101111"/>
    <n v="39"/>
    <x v="4"/>
    <s v="Female"/>
    <s v="Bengaluru"/>
    <s v="unknown"/>
    <n v="91"/>
    <x v="3"/>
    <n v="20"/>
    <n v="700"/>
    <n v="316"/>
    <s v="Gold"/>
    <s v="Mobile App"/>
    <s v="Higher"/>
  </r>
  <r>
    <s v="CUST101112"/>
    <n v="38"/>
    <x v="4"/>
    <s v="Male"/>
    <s v="Mumbai"/>
    <n v="1400000"/>
    <n v="6"/>
    <x v="2"/>
    <n v="23"/>
    <n v="1200"/>
    <n v="1"/>
    <m/>
    <s v="Mobile App"/>
    <s v="Higher"/>
  </r>
  <r>
    <s v="CUST101113"/>
    <n v="23"/>
    <x v="6"/>
    <s v="Male"/>
    <s v="Kolkata"/>
    <n v="1375000"/>
    <n v="35"/>
    <x v="0"/>
    <n v="68"/>
    <n v="8200"/>
    <n v="62"/>
    <s v="Silver"/>
    <s v="Online"/>
    <s v="Higher"/>
  </r>
  <r>
    <s v="CUST101114"/>
    <n v="23"/>
    <x v="6"/>
    <s v="Unknown"/>
    <m/>
    <n v="600000"/>
    <n v="38"/>
    <x v="0"/>
    <n v="21"/>
    <n v="6500"/>
    <n v="343"/>
    <s v="Gold"/>
    <m/>
    <s v="Lower"/>
  </r>
  <r>
    <s v="CUST101115"/>
    <s v="NA"/>
    <x v="5"/>
    <s v="Male"/>
    <s v="Bengaluru"/>
    <n v="150000"/>
    <n v="35"/>
    <x v="0"/>
    <n v="21"/>
    <n v="2700"/>
    <n v="89"/>
    <s v="Bronze"/>
    <m/>
    <s v="Higher"/>
  </r>
  <r>
    <s v="CUST101116"/>
    <n v="65"/>
    <x v="0"/>
    <s v="Male"/>
    <s v="Ahmedabad"/>
    <n v="1125000"/>
    <n v="100"/>
    <x v="3"/>
    <n v="1"/>
    <n v="4600"/>
    <n v="18"/>
    <s v="Bronze"/>
    <s v="In-store"/>
    <s v="Higher"/>
  </r>
  <r>
    <s v="CUST101117"/>
    <n v="21"/>
    <x v="6"/>
    <m/>
    <s v="Chennai"/>
    <n v="925000"/>
    <n v="74"/>
    <x v="3"/>
    <n v="15"/>
    <n v="2700"/>
    <n v="108"/>
    <m/>
    <m/>
    <s v="Lower"/>
  </r>
  <r>
    <s v="CUST101118"/>
    <n v="47"/>
    <x v="2"/>
    <m/>
    <s v="Chennai"/>
    <n v="675000"/>
    <n v="94"/>
    <x v="3"/>
    <n v="17"/>
    <n v="3200"/>
    <n v="135"/>
    <m/>
    <s v="Website"/>
    <s v="Lower"/>
  </r>
  <r>
    <s v="CUST101119"/>
    <n v="28"/>
    <x v="3"/>
    <s v="Female"/>
    <s v="Hyderabad"/>
    <n v="1775000"/>
    <n v="53"/>
    <x v="0"/>
    <n v="51"/>
    <n v="1600"/>
    <n v="310"/>
    <m/>
    <s v="Website"/>
    <s v="Higher"/>
  </r>
  <r>
    <s v="CUST101120"/>
    <n v="47"/>
    <x v="2"/>
    <s v="Unknown"/>
    <s v="Pune"/>
    <n v="1125000"/>
    <n v="38"/>
    <x v="0"/>
    <n v="63"/>
    <n v="8800"/>
    <n v="67"/>
    <s v="Gold"/>
    <s v="In-store"/>
    <s v="Lower"/>
  </r>
  <r>
    <s v="CUST101121"/>
    <n v="48"/>
    <x v="2"/>
    <s v="Female"/>
    <s v="Kolkata"/>
    <n v="1075000"/>
    <n v="93"/>
    <x v="3"/>
    <n v="14"/>
    <n v="4500"/>
    <n v="93"/>
    <s v="Bronze"/>
    <s v="Mobile App"/>
    <s v="Higher"/>
  </r>
  <r>
    <s v="CUST101122"/>
    <n v="41"/>
    <x v="4"/>
    <m/>
    <s v="Chennai"/>
    <n v="1325000"/>
    <n v="59"/>
    <x v="0"/>
    <n v="59"/>
    <n v="3000"/>
    <n v="138"/>
    <m/>
    <s v="In-store"/>
    <s v="Lower"/>
  </r>
  <r>
    <s v="CUST101123"/>
    <s v="NA"/>
    <x v="5"/>
    <s v="Unknown"/>
    <s v="Ahmedabad"/>
    <n v="1500000"/>
    <n v="43"/>
    <x v="0"/>
    <n v="50"/>
    <n v="9600"/>
    <n v="189"/>
    <s v="Platinum"/>
    <s v="Online"/>
    <s v="Lower"/>
  </r>
  <r>
    <s v="CUST101124"/>
    <n v="26"/>
    <x v="3"/>
    <s v="Female"/>
    <s v="Pune"/>
    <m/>
    <n v="4"/>
    <x v="2"/>
    <n v="34"/>
    <n v="2100"/>
    <n v="59"/>
    <m/>
    <s v="In-store"/>
    <s v="Higher"/>
  </r>
  <r>
    <s v="CUST101125"/>
    <s v="NA"/>
    <x v="5"/>
    <m/>
    <s v="Mumbai"/>
    <n v="1500000"/>
    <n v="5"/>
    <x v="2"/>
    <n v="6"/>
    <n v="10400"/>
    <n v="187"/>
    <s v="Bronze"/>
    <s v="In-store"/>
    <s v="Lower"/>
  </r>
  <r>
    <s v="CUST101126"/>
    <n v="20"/>
    <x v="6"/>
    <s v="Unknown"/>
    <s v="Mumbai"/>
    <n v="1400000"/>
    <n v="68"/>
    <x v="3"/>
    <n v="49"/>
    <n v="4400"/>
    <n v="235"/>
    <s v="Platinum"/>
    <m/>
    <s v="Lower"/>
  </r>
  <r>
    <s v="CUST101127"/>
    <n v="68"/>
    <x v="1"/>
    <s v="Unknown"/>
    <m/>
    <n v="1625000"/>
    <n v="100"/>
    <x v="3"/>
    <n v="6"/>
    <n v="2200"/>
    <n v="69"/>
    <s v="Gold"/>
    <s v="Website"/>
    <s v="Lower"/>
  </r>
  <r>
    <s v="CUST101128"/>
    <n v="48"/>
    <x v="2"/>
    <m/>
    <m/>
    <n v="325000"/>
    <n v="45"/>
    <x v="0"/>
    <n v="69"/>
    <n v="10100"/>
    <n v="98"/>
    <s v="Platinum"/>
    <s v="Online"/>
    <s v="Lower"/>
  </r>
  <r>
    <s v="CUST101129"/>
    <n v="57"/>
    <x v="0"/>
    <s v="Female"/>
    <s v="Pune"/>
    <n v="1825000"/>
    <n v="80"/>
    <x v="3"/>
    <n v="7"/>
    <n v="8800"/>
    <n v="8"/>
    <s v="Bronze"/>
    <m/>
    <s v="Higher"/>
  </r>
  <r>
    <s v="CUST101130"/>
    <n v="54"/>
    <x v="2"/>
    <m/>
    <m/>
    <m/>
    <n v="25"/>
    <x v="2"/>
    <n v="77"/>
    <n v="8100"/>
    <n v="311"/>
    <s v="Silver"/>
    <s v="Online"/>
    <s v="Lower"/>
  </r>
  <r>
    <s v="CUST101131"/>
    <n v="53"/>
    <x v="2"/>
    <s v="Male"/>
    <s v="Ahmedabad"/>
    <n v="1925000"/>
    <n v="78"/>
    <x v="3"/>
    <n v="51"/>
    <n v="1300"/>
    <n v="134"/>
    <s v="Platinum"/>
    <s v="In-store"/>
    <s v="Higher"/>
  </r>
  <r>
    <s v="CUST101132"/>
    <n v="41"/>
    <x v="4"/>
    <s v="Female"/>
    <s v="Kolkata"/>
    <n v="350000"/>
    <n v="11"/>
    <x v="2"/>
    <n v="1"/>
    <n v="5600"/>
    <n v="56"/>
    <s v="Bronze"/>
    <m/>
    <s v="Higher"/>
  </r>
  <r>
    <s v="CUST101133"/>
    <n v="48"/>
    <x v="2"/>
    <m/>
    <s v="Pune"/>
    <n v="175000"/>
    <n v="29"/>
    <x v="2"/>
    <n v="13"/>
    <n v="10000"/>
    <n v="360"/>
    <m/>
    <m/>
    <s v="Lower"/>
  </r>
  <r>
    <s v="CUST101134"/>
    <n v="23"/>
    <x v="6"/>
    <s v="Female"/>
    <s v="Chennai"/>
    <n v="1875000"/>
    <n v="34"/>
    <x v="0"/>
    <n v="43"/>
    <n v="2600"/>
    <n v="114"/>
    <s v="Silver"/>
    <s v="Online"/>
    <s v="Higher"/>
  </r>
  <r>
    <s v="CUST101135"/>
    <n v="19"/>
    <x v="6"/>
    <s v="Male"/>
    <s v="Kolkata"/>
    <n v="1600000"/>
    <n v="86"/>
    <x v="3"/>
    <n v="27"/>
    <n v="7200"/>
    <n v="88"/>
    <s v="Gold"/>
    <s v="Online"/>
    <s v="Higher"/>
  </r>
  <r>
    <s v="CUST101136"/>
    <n v="37"/>
    <x v="4"/>
    <s v="Male"/>
    <m/>
    <n v="600000"/>
    <n v="14"/>
    <x v="2"/>
    <n v="71"/>
    <n v="1900"/>
    <n v="138"/>
    <s v="Gold"/>
    <m/>
    <s v="Higher"/>
  </r>
  <r>
    <s v="CUST101137"/>
    <n v="45"/>
    <x v="2"/>
    <s v="Male"/>
    <m/>
    <n v="825000"/>
    <n v="24"/>
    <x v="2"/>
    <n v="3"/>
    <n v="3000"/>
    <n v="108"/>
    <m/>
    <s v="Online"/>
    <s v="Higher"/>
  </r>
  <r>
    <s v="CUST101138"/>
    <n v="28"/>
    <x v="3"/>
    <m/>
    <m/>
    <n v="1925000"/>
    <n v="59"/>
    <x v="0"/>
    <n v="58"/>
    <n v="5200"/>
    <n v="23"/>
    <s v="Gold"/>
    <m/>
    <s v="Lower"/>
  </r>
  <r>
    <s v="CUST101139"/>
    <n v="21"/>
    <x v="6"/>
    <m/>
    <s v="Kolkata"/>
    <n v="475000"/>
    <n v="39"/>
    <x v="0"/>
    <n v="17"/>
    <n v="9700"/>
    <n v="144"/>
    <m/>
    <s v="Mobile App"/>
    <s v="Lower"/>
  </r>
  <r>
    <s v="CUST101140"/>
    <n v="32"/>
    <x v="3"/>
    <s v="Male"/>
    <s v="Mumbai"/>
    <n v="725000"/>
    <n v="26"/>
    <x v="2"/>
    <n v="45"/>
    <n v="10200"/>
    <n v="357"/>
    <s v="Gold"/>
    <s v="Online"/>
    <s v="Higher"/>
  </r>
  <r>
    <s v="CUST101141"/>
    <n v="23"/>
    <x v="6"/>
    <s v="Female"/>
    <m/>
    <n v="1225000"/>
    <n v="43"/>
    <x v="0"/>
    <n v="78"/>
    <n v="5700"/>
    <n v="144"/>
    <s v="Gold"/>
    <s v="Website"/>
    <s v="Higher"/>
  </r>
  <r>
    <s v="CUST101142"/>
    <m/>
    <x v="5"/>
    <m/>
    <m/>
    <n v="1525000"/>
    <n v="36"/>
    <x v="0"/>
    <n v="58"/>
    <n v="7500"/>
    <n v="56"/>
    <s v="Gold"/>
    <m/>
    <s v="Lower"/>
  </r>
  <r>
    <s v="CUST101143"/>
    <n v="66"/>
    <x v="1"/>
    <s v="Female"/>
    <s v="Chennai"/>
    <n v="1400000"/>
    <n v="39"/>
    <x v="0"/>
    <n v="56"/>
    <n v="1200"/>
    <n v="108"/>
    <m/>
    <s v="Website"/>
    <s v="Higher"/>
  </r>
  <r>
    <s v="CUST101144"/>
    <n v="47"/>
    <x v="2"/>
    <s v="Unknown"/>
    <s v="Bengaluru"/>
    <n v="925000"/>
    <n v="61"/>
    <x v="0"/>
    <n v="54"/>
    <n v="2300"/>
    <n v="351"/>
    <m/>
    <s v="Website"/>
    <s v="Lower"/>
  </r>
  <r>
    <s v="CUST101145"/>
    <n v="55"/>
    <x v="0"/>
    <s v="Male"/>
    <s v="Chennai"/>
    <n v="1375000"/>
    <n v="16"/>
    <x v="2"/>
    <n v="29"/>
    <n v="6000"/>
    <n v="6"/>
    <m/>
    <s v="Mobile App"/>
    <s v="Higher"/>
  </r>
  <r>
    <s v="CUST101146"/>
    <n v="68"/>
    <x v="1"/>
    <s v="Male"/>
    <s v="Chennai"/>
    <n v="1150000"/>
    <m/>
    <x v="1"/>
    <n v="54"/>
    <n v="3600"/>
    <n v="30"/>
    <s v="Platinum"/>
    <m/>
    <s v="Higher"/>
  </r>
  <r>
    <s v="CUST101147"/>
    <n v="19"/>
    <x v="6"/>
    <s v="Female"/>
    <m/>
    <n v="1775000"/>
    <n v="59"/>
    <x v="0"/>
    <n v="27"/>
    <n v="9700"/>
    <n v="307"/>
    <s v="Bronze"/>
    <s v="In-store"/>
    <s v="Higher"/>
  </r>
  <r>
    <s v="CUST101148"/>
    <n v="32"/>
    <x v="3"/>
    <s v="Female"/>
    <s v="Delhi"/>
    <n v="750000"/>
    <n v="96"/>
    <x v="3"/>
    <n v="45"/>
    <n v="9500"/>
    <n v="362"/>
    <s v="Bronze"/>
    <m/>
    <s v="Higher"/>
  </r>
  <r>
    <s v="CUST101149"/>
    <n v="28"/>
    <x v="3"/>
    <s v="Female"/>
    <s v="Mumbai"/>
    <n v="1650000"/>
    <n v="6"/>
    <x v="2"/>
    <n v="31"/>
    <n v="10900"/>
    <n v="345"/>
    <m/>
    <m/>
    <s v="Higher"/>
  </r>
  <r>
    <s v="CUST101150"/>
    <n v="25"/>
    <x v="3"/>
    <s v="Female"/>
    <m/>
    <n v="1775000"/>
    <n v="98"/>
    <x v="3"/>
    <n v="36"/>
    <n v="4500"/>
    <n v="127"/>
    <s v="Bronze"/>
    <s v="Online"/>
    <s v="Higher"/>
  </r>
  <r>
    <s v="CUST101151"/>
    <n v="43"/>
    <x v="4"/>
    <m/>
    <s v="Mumbai"/>
    <n v="1175000"/>
    <n v="56"/>
    <x v="0"/>
    <m/>
    <n v="1300"/>
    <n v="302"/>
    <s v="Gold"/>
    <m/>
    <s v="Lower"/>
  </r>
  <r>
    <s v="CUST101152"/>
    <n v="68"/>
    <x v="1"/>
    <s v="Male"/>
    <s v="Ahmedabad"/>
    <n v="1750000"/>
    <n v="8"/>
    <x v="2"/>
    <n v="61"/>
    <n v="3500"/>
    <n v="121"/>
    <m/>
    <s v="Mobile App"/>
    <s v="Higher"/>
  </r>
  <r>
    <s v="CUST101153"/>
    <n v="62"/>
    <x v="0"/>
    <s v="Female"/>
    <s v="Delhi"/>
    <n v="1025000"/>
    <n v="94"/>
    <x v="3"/>
    <n v="37"/>
    <n v="6000"/>
    <n v="99"/>
    <s v="Bronze"/>
    <m/>
    <s v="Higher"/>
  </r>
  <r>
    <s v="CUST101154"/>
    <n v="61"/>
    <x v="0"/>
    <m/>
    <m/>
    <m/>
    <n v="27"/>
    <x v="2"/>
    <n v="67"/>
    <n v="4800"/>
    <n v="166"/>
    <m/>
    <s v="Mobile App"/>
    <s v="Lower"/>
  </r>
  <r>
    <s v="CUST101155"/>
    <n v="22"/>
    <x v="6"/>
    <s v="Female"/>
    <s v="Hyderabad"/>
    <n v="350000"/>
    <n v="71"/>
    <x v="3"/>
    <n v="36"/>
    <n v="6300"/>
    <n v="325"/>
    <s v="Platinum"/>
    <s v="In-store"/>
    <s v="Higher"/>
  </r>
  <r>
    <s v="CUST101156"/>
    <n v="23"/>
    <x v="6"/>
    <m/>
    <s v="Chennai"/>
    <n v="1025000"/>
    <n v="27"/>
    <x v="2"/>
    <n v="5"/>
    <n v="6400"/>
    <n v="319"/>
    <s v="Silver"/>
    <s v="Mobile App"/>
    <s v="Lower"/>
  </r>
  <r>
    <s v="CUST101157"/>
    <n v="43"/>
    <x v="4"/>
    <s v="Male"/>
    <s v="Ahmedabad"/>
    <n v="1075000"/>
    <n v="89"/>
    <x v="3"/>
    <n v="46"/>
    <n v="300"/>
    <n v="241"/>
    <s v="Platinum"/>
    <s v="In-store"/>
    <s v="Higher"/>
  </r>
  <r>
    <s v="CUST101158"/>
    <m/>
    <x v="5"/>
    <s v="Female"/>
    <s v="Delhi"/>
    <n v="950000"/>
    <n v="46"/>
    <x v="0"/>
    <n v="79"/>
    <n v="2300"/>
    <n v="50"/>
    <s v="Bronze"/>
    <s v="In-store"/>
    <s v="Higher"/>
  </r>
  <r>
    <s v="CUST101159"/>
    <n v="21"/>
    <x v="6"/>
    <s v="Female"/>
    <m/>
    <n v="1175000"/>
    <n v="41"/>
    <x v="0"/>
    <n v="52"/>
    <n v="6400"/>
    <n v="268"/>
    <m/>
    <s v="In-store"/>
    <s v="Higher"/>
  </r>
  <r>
    <s v="CUST101160"/>
    <n v="36"/>
    <x v="4"/>
    <s v="Female"/>
    <m/>
    <n v="1650000"/>
    <n v="79"/>
    <x v="3"/>
    <n v="49"/>
    <n v="6600"/>
    <n v="325"/>
    <s v="Bronze"/>
    <s v="Mobile App"/>
    <s v="Higher"/>
  </r>
  <r>
    <s v="CUST101161"/>
    <n v="37"/>
    <x v="4"/>
    <s v="Male"/>
    <s v="Kolkata"/>
    <n v="1275000"/>
    <n v="25"/>
    <x v="2"/>
    <n v="6"/>
    <n v="8900"/>
    <n v="73"/>
    <m/>
    <s v="In-store"/>
    <s v="Higher"/>
  </r>
  <r>
    <s v="CUST101162"/>
    <n v="50"/>
    <x v="2"/>
    <m/>
    <s v="Kolkata"/>
    <n v="1650000"/>
    <n v="86"/>
    <x v="3"/>
    <n v="10"/>
    <n v="7500"/>
    <n v="300"/>
    <s v="Platinum"/>
    <s v="Mobile App"/>
    <s v="Lower"/>
  </r>
  <r>
    <s v="CUST101163"/>
    <n v="37"/>
    <x v="4"/>
    <s v="Unknown"/>
    <s v="Mumbai"/>
    <n v="575000"/>
    <n v="18"/>
    <x v="2"/>
    <n v="23"/>
    <n v="5800"/>
    <n v="52"/>
    <m/>
    <m/>
    <s v="Lower"/>
  </r>
  <r>
    <s v="CUST101164"/>
    <n v="66"/>
    <x v="1"/>
    <s v="Female"/>
    <s v="Delhi"/>
    <n v="1875000"/>
    <n v="12"/>
    <x v="2"/>
    <n v="17"/>
    <n v="300"/>
    <n v="265"/>
    <m/>
    <s v="In-store"/>
    <s v="Higher"/>
  </r>
  <r>
    <s v="CUST101165"/>
    <n v="29"/>
    <x v="3"/>
    <s v="Male"/>
    <s v="Chennai"/>
    <n v="500000"/>
    <n v="87"/>
    <x v="3"/>
    <n v="44"/>
    <n v="2300"/>
    <n v="227"/>
    <s v="Silver"/>
    <s v="Mobile App"/>
    <s v="Higher"/>
  </r>
  <r>
    <s v="CUST101166"/>
    <n v="64"/>
    <x v="0"/>
    <m/>
    <s v="Chennai"/>
    <n v="1325000"/>
    <n v="51"/>
    <x v="0"/>
    <n v="41"/>
    <n v="2400"/>
    <n v="193"/>
    <m/>
    <s v="Mobile App"/>
    <s v="Lower"/>
  </r>
  <r>
    <s v="CUST101167"/>
    <n v="18"/>
    <x v="6"/>
    <m/>
    <s v="Bengaluru"/>
    <n v="1925000"/>
    <n v="39"/>
    <x v="0"/>
    <n v="15"/>
    <n v="5600"/>
    <n v="239"/>
    <m/>
    <s v="Mobile App"/>
    <s v="Lower"/>
  </r>
  <r>
    <s v="CUST101168"/>
    <n v="43"/>
    <x v="4"/>
    <s v="Male"/>
    <s v="Kolkata"/>
    <n v="450000"/>
    <n v="89"/>
    <x v="3"/>
    <n v="44"/>
    <n v="600"/>
    <n v="10"/>
    <s v="Silver"/>
    <s v="Online"/>
    <s v="Higher"/>
  </r>
  <r>
    <s v="CUST101169"/>
    <n v="31"/>
    <x v="3"/>
    <s v="Female"/>
    <s v="Ahmedabad"/>
    <n v="1200000"/>
    <n v="10"/>
    <x v="2"/>
    <n v="58"/>
    <n v="6700"/>
    <n v="302"/>
    <s v="Gold"/>
    <s v="Online"/>
    <s v="Higher"/>
  </r>
  <r>
    <s v="CUST101170"/>
    <n v="55"/>
    <x v="0"/>
    <s v="Unknown"/>
    <s v="Delhi"/>
    <n v="1625000"/>
    <n v="94"/>
    <x v="3"/>
    <n v="50"/>
    <n v="5300"/>
    <n v="359"/>
    <s v="Gold"/>
    <s v="In-store"/>
    <s v="Lower"/>
  </r>
  <r>
    <s v="CUST101171"/>
    <n v="54"/>
    <x v="2"/>
    <m/>
    <s v="Chennai"/>
    <n v="1550000"/>
    <n v="74"/>
    <x v="3"/>
    <n v="52"/>
    <n v="7600"/>
    <n v="228"/>
    <m/>
    <m/>
    <s v="Lower"/>
  </r>
  <r>
    <s v="CUST101172"/>
    <n v="28"/>
    <x v="3"/>
    <m/>
    <s v="Bengaluru"/>
    <n v="1900000"/>
    <n v="98"/>
    <x v="3"/>
    <n v="70"/>
    <n v="6500"/>
    <n v="293"/>
    <s v="Silver"/>
    <m/>
    <s v="Lower"/>
  </r>
  <r>
    <s v="CUST101173"/>
    <n v="53"/>
    <x v="2"/>
    <s v="Unknown"/>
    <s v="Delhi"/>
    <n v="550000"/>
    <n v="77"/>
    <x v="3"/>
    <n v="68"/>
    <n v="1700"/>
    <n v="52"/>
    <m/>
    <m/>
    <s v="Lower"/>
  </r>
  <r>
    <s v="CUST101174"/>
    <n v="30"/>
    <x v="3"/>
    <s v="Male"/>
    <s v="Pune"/>
    <n v="1375000"/>
    <n v="54"/>
    <x v="0"/>
    <n v="63"/>
    <n v="11800"/>
    <n v="240"/>
    <m/>
    <s v="In-store"/>
    <s v="Higher"/>
  </r>
  <r>
    <s v="CUST101175"/>
    <n v="60"/>
    <x v="0"/>
    <s v="Male"/>
    <s v="Chennai"/>
    <n v="925000"/>
    <n v="29"/>
    <x v="2"/>
    <n v="58"/>
    <n v="3800"/>
    <n v="99"/>
    <m/>
    <s v="Website"/>
    <s v="Higher"/>
  </r>
  <r>
    <s v="CUST101176"/>
    <n v="20"/>
    <x v="6"/>
    <m/>
    <s v="Pune"/>
    <n v="675000"/>
    <m/>
    <x v="1"/>
    <n v="23"/>
    <n v="3100"/>
    <n v="81"/>
    <m/>
    <s v="Website"/>
    <s v="Lower"/>
  </r>
  <r>
    <s v="CUST101177"/>
    <n v="50"/>
    <x v="2"/>
    <s v="Female"/>
    <s v="Delhi"/>
    <n v="1500000"/>
    <n v="41"/>
    <x v="0"/>
    <n v="44"/>
    <n v="5400"/>
    <n v="13"/>
    <s v="Bronze"/>
    <m/>
    <s v="Higher"/>
  </r>
  <r>
    <s v="CUST101178"/>
    <n v="23"/>
    <x v="6"/>
    <m/>
    <s v="Chennai"/>
    <n v="1550000"/>
    <n v="9"/>
    <x v="2"/>
    <n v="44"/>
    <n v="4800"/>
    <n v="357"/>
    <s v="Platinum"/>
    <m/>
    <s v="Lower"/>
  </r>
  <r>
    <s v="CUST101179"/>
    <n v="67"/>
    <x v="1"/>
    <s v="Female"/>
    <s v="Pune"/>
    <n v="450000"/>
    <n v="63"/>
    <x v="0"/>
    <n v="52"/>
    <n v="7100"/>
    <n v="128"/>
    <s v="Bronze"/>
    <m/>
    <s v="Higher"/>
  </r>
  <r>
    <s v="CUST101180"/>
    <n v="27"/>
    <x v="3"/>
    <s v="Male"/>
    <s v="Hyderabad"/>
    <n v="1300000"/>
    <n v="77"/>
    <x v="3"/>
    <n v="67"/>
    <n v="3100"/>
    <n v="304"/>
    <s v="Bronze"/>
    <s v="Online"/>
    <s v="Higher"/>
  </r>
  <r>
    <s v="CUST101181"/>
    <n v="22"/>
    <x v="6"/>
    <m/>
    <s v="Bengaluru"/>
    <n v="1675000"/>
    <n v="37"/>
    <x v="0"/>
    <n v="28"/>
    <n v="11300"/>
    <n v="11"/>
    <m/>
    <s v="Online"/>
    <s v="Lower"/>
  </r>
  <r>
    <s v="CUST101182"/>
    <n v="40"/>
    <x v="4"/>
    <s v="Female"/>
    <s v="Ahmedabad"/>
    <n v="1475000"/>
    <n v="14"/>
    <x v="2"/>
    <n v="67"/>
    <n v="4900"/>
    <n v="81"/>
    <s v="Platinum"/>
    <s v="Website"/>
    <s v="Higher"/>
  </r>
  <r>
    <s v="CUST101183"/>
    <n v="27"/>
    <x v="3"/>
    <s v="Male"/>
    <s v="Kolkata"/>
    <n v="850000"/>
    <m/>
    <x v="1"/>
    <n v="78"/>
    <n v="9300"/>
    <n v="261"/>
    <m/>
    <m/>
    <s v="Higher"/>
  </r>
  <r>
    <s v="CUST101184"/>
    <n v="61"/>
    <x v="0"/>
    <s v="Unknown"/>
    <s v="Bengaluru"/>
    <n v="675000"/>
    <n v="73"/>
    <x v="3"/>
    <n v="18"/>
    <n v="2700"/>
    <n v="6"/>
    <s v="Platinum"/>
    <s v="Mobile App"/>
    <s v="Lower"/>
  </r>
  <r>
    <s v="CUST101185"/>
    <n v="19"/>
    <x v="6"/>
    <s v="Female"/>
    <s v="Pune"/>
    <n v="1750000"/>
    <n v="72"/>
    <x v="3"/>
    <n v="27"/>
    <n v="8200"/>
    <n v="222"/>
    <m/>
    <m/>
    <s v="Higher"/>
  </r>
  <r>
    <s v="CUST101186"/>
    <n v="30"/>
    <x v="3"/>
    <s v="Unknown"/>
    <s v="Chennai"/>
    <n v="850000"/>
    <n v="39"/>
    <x v="0"/>
    <n v="51"/>
    <n v="1800"/>
    <n v="298"/>
    <s v="Gold"/>
    <s v="Website"/>
    <s v="Lower"/>
  </r>
  <r>
    <s v="CUST101187"/>
    <n v="57"/>
    <x v="0"/>
    <m/>
    <s v="Hyderabad"/>
    <n v="1325000"/>
    <n v="40"/>
    <x v="0"/>
    <n v="60"/>
    <n v="10200"/>
    <n v="81"/>
    <s v="Silver"/>
    <m/>
    <s v="Lower"/>
  </r>
  <r>
    <s v="CUST101188"/>
    <n v="19"/>
    <x v="6"/>
    <s v="Female"/>
    <s v="Hyderabad"/>
    <n v="250000"/>
    <n v="54"/>
    <x v="0"/>
    <n v="74"/>
    <n v="9100"/>
    <n v="3"/>
    <m/>
    <s v="Mobile App"/>
    <s v="Higher"/>
  </r>
  <r>
    <s v="CUST101189"/>
    <n v="37"/>
    <x v="4"/>
    <m/>
    <s v="Kolkata"/>
    <n v="1000000"/>
    <n v="3"/>
    <x v="2"/>
    <n v="49"/>
    <n v="4300"/>
    <n v="60"/>
    <m/>
    <m/>
    <s v="Lower"/>
  </r>
  <r>
    <s v="CUST101190"/>
    <n v="18"/>
    <x v="6"/>
    <s v="Male"/>
    <s v="Hyderabad"/>
    <n v="1975000"/>
    <n v="55"/>
    <x v="0"/>
    <n v="15"/>
    <n v="6700"/>
    <n v="221"/>
    <m/>
    <s v="In-store"/>
    <s v="Higher"/>
  </r>
  <r>
    <s v="CUST101191"/>
    <n v="54"/>
    <x v="2"/>
    <s v="Male"/>
    <s v="Bengaluru"/>
    <n v="1900000"/>
    <n v="33"/>
    <x v="2"/>
    <n v="73"/>
    <n v="7100"/>
    <n v="349"/>
    <s v="Platinum"/>
    <s v="Mobile App"/>
    <s v="Higher"/>
  </r>
  <r>
    <s v="CUST101192"/>
    <n v="26"/>
    <x v="3"/>
    <s v="Male"/>
    <m/>
    <n v="1275000"/>
    <n v="96"/>
    <x v="3"/>
    <n v="68"/>
    <n v="10700"/>
    <n v="49"/>
    <m/>
    <m/>
    <s v="Higher"/>
  </r>
  <r>
    <s v="CUST101193"/>
    <n v="34"/>
    <x v="3"/>
    <s v="Male"/>
    <s v="Hyderabad"/>
    <n v="1000000"/>
    <n v="71"/>
    <x v="3"/>
    <n v="15"/>
    <n v="2200"/>
    <n v="228"/>
    <m/>
    <s v="In-store"/>
    <s v="Higher"/>
  </r>
  <r>
    <s v="CUST101194"/>
    <n v="26"/>
    <x v="3"/>
    <m/>
    <s v="Kolkata"/>
    <n v="1250000"/>
    <n v="19"/>
    <x v="2"/>
    <n v="51"/>
    <n v="7100"/>
    <n v="290"/>
    <s v="Gold"/>
    <s v="Online"/>
    <s v="Lower"/>
  </r>
  <r>
    <s v="CUST101195"/>
    <n v="28"/>
    <x v="3"/>
    <s v="Male"/>
    <s v="Hyderabad"/>
    <n v="450000"/>
    <n v="34"/>
    <x v="0"/>
    <n v="48"/>
    <n v="3800"/>
    <n v="293"/>
    <s v="Bronze"/>
    <s v="Website"/>
    <s v="Higher"/>
  </r>
  <r>
    <s v="CUST101196"/>
    <n v="32"/>
    <x v="3"/>
    <s v="Unknown"/>
    <s v="Hyderabad"/>
    <n v="375000"/>
    <n v="78"/>
    <x v="3"/>
    <n v="72"/>
    <n v="9500"/>
    <n v="298"/>
    <m/>
    <m/>
    <s v="Lower"/>
  </r>
  <r>
    <s v="CUST101197"/>
    <n v="41"/>
    <x v="4"/>
    <m/>
    <m/>
    <n v="1775000"/>
    <n v="50"/>
    <x v="0"/>
    <n v="1"/>
    <n v="11400"/>
    <n v="193"/>
    <s v="Platinum"/>
    <s v="Website"/>
    <s v="Lower"/>
  </r>
  <r>
    <s v="CUST101198"/>
    <n v="55"/>
    <x v="0"/>
    <s v="Male"/>
    <s v="Bengaluru"/>
    <n v="1875000"/>
    <n v="47"/>
    <x v="0"/>
    <n v="7"/>
    <n v="10000"/>
    <n v="257"/>
    <s v="Gold"/>
    <m/>
    <s v="Higher"/>
  </r>
  <r>
    <s v="CUST101199"/>
    <s v="NA"/>
    <x v="5"/>
    <s v="Female"/>
    <s v="Pune"/>
    <n v="1925000"/>
    <n v="46"/>
    <x v="0"/>
    <n v="53"/>
    <n v="6000"/>
    <n v="103"/>
    <m/>
    <m/>
    <s v="Higher"/>
  </r>
  <r>
    <s v="CUST101200"/>
    <n v="52"/>
    <x v="2"/>
    <s v="Male"/>
    <s v="Mumbai"/>
    <n v="750000"/>
    <n v="56"/>
    <x v="0"/>
    <n v="31"/>
    <n v="5000"/>
    <m/>
    <m/>
    <s v="In-store"/>
    <s v="Higher"/>
  </r>
  <r>
    <s v="CUST101201"/>
    <n v="47"/>
    <x v="2"/>
    <s v="Unknown"/>
    <m/>
    <n v="1225000"/>
    <n v="57"/>
    <x v="0"/>
    <n v="18"/>
    <n v="8400"/>
    <n v="146"/>
    <s v="Gold"/>
    <s v="Mobile App"/>
    <s v="Lower"/>
  </r>
  <r>
    <s v="CUST101202"/>
    <n v="48"/>
    <x v="2"/>
    <s v="Male"/>
    <s v="Hyderabad"/>
    <n v="1625000"/>
    <n v="83"/>
    <x v="3"/>
    <n v="12"/>
    <n v="400"/>
    <n v="290"/>
    <s v="Gold"/>
    <s v="Mobile App"/>
    <s v="Higher"/>
  </r>
  <r>
    <s v="CUST101203"/>
    <n v="66"/>
    <x v="1"/>
    <s v="Unknown"/>
    <s v="Ahmedabad"/>
    <n v="1300000"/>
    <n v="51"/>
    <x v="0"/>
    <n v="48"/>
    <n v="8200"/>
    <n v="257"/>
    <s v="Gold"/>
    <m/>
    <s v="Lower"/>
  </r>
  <r>
    <s v="CUST101204"/>
    <n v="22"/>
    <x v="6"/>
    <s v="Female"/>
    <s v="Hyderabad"/>
    <n v="1125000"/>
    <n v="54"/>
    <x v="0"/>
    <n v="30"/>
    <n v="3100"/>
    <n v="309"/>
    <s v="Gold"/>
    <s v="In-store"/>
    <s v="Higher"/>
  </r>
  <r>
    <s v="CUST101205"/>
    <n v="61"/>
    <x v="0"/>
    <s v="Female"/>
    <m/>
    <n v="300000"/>
    <n v="90"/>
    <x v="3"/>
    <n v="7"/>
    <n v="9900"/>
    <n v="278"/>
    <s v="Gold"/>
    <m/>
    <s v="Higher"/>
  </r>
  <r>
    <s v="CUST101206"/>
    <n v="67"/>
    <x v="1"/>
    <s v="Female"/>
    <s v="Pune"/>
    <n v="1275000"/>
    <n v="81"/>
    <x v="3"/>
    <n v="3"/>
    <n v="1800"/>
    <n v="189"/>
    <s v="Gold"/>
    <m/>
    <s v="Higher"/>
  </r>
  <r>
    <s v="CUST101207"/>
    <n v="31"/>
    <x v="3"/>
    <s v="Unknown"/>
    <s v="Ahmedabad"/>
    <n v="700000"/>
    <n v="28"/>
    <x v="2"/>
    <n v="63"/>
    <n v="3700"/>
    <n v="178"/>
    <s v="Silver"/>
    <m/>
    <s v="Lower"/>
  </r>
  <r>
    <s v="CUST101208"/>
    <m/>
    <x v="5"/>
    <m/>
    <m/>
    <n v="1275000"/>
    <n v="19"/>
    <x v="2"/>
    <n v="6"/>
    <n v="11300"/>
    <n v="16"/>
    <m/>
    <s v="Mobile App"/>
    <s v="Lower"/>
  </r>
  <r>
    <s v="CUST101209"/>
    <n v="28"/>
    <x v="3"/>
    <s v="Female"/>
    <s v="Ahmedabad"/>
    <n v="450000"/>
    <n v="27"/>
    <x v="2"/>
    <n v="15"/>
    <n v="6400"/>
    <n v="86"/>
    <s v="Bronze"/>
    <m/>
    <s v="Higher"/>
  </r>
  <r>
    <s v="CUST101210"/>
    <n v="26"/>
    <x v="3"/>
    <m/>
    <s v="Bengaluru"/>
    <n v="650000"/>
    <n v="48"/>
    <x v="0"/>
    <n v="71"/>
    <n v="10900"/>
    <n v="248"/>
    <m/>
    <m/>
    <s v="Lower"/>
  </r>
  <r>
    <s v="CUST101211"/>
    <n v="51"/>
    <x v="2"/>
    <s v="Female"/>
    <s v="Kolkata"/>
    <n v="150000"/>
    <n v="19"/>
    <x v="2"/>
    <n v="43"/>
    <n v="10800"/>
    <n v="217"/>
    <s v="Platinum"/>
    <s v="Mobile App"/>
    <s v="Higher"/>
  </r>
  <r>
    <s v="CUST101212"/>
    <n v="29"/>
    <x v="3"/>
    <s v="Female"/>
    <s v="Kolkata"/>
    <n v="600000"/>
    <n v="97"/>
    <x v="3"/>
    <m/>
    <n v="8300"/>
    <n v="42"/>
    <s v="Platinum"/>
    <s v="Online"/>
    <s v="Higher"/>
  </r>
  <r>
    <s v="CUST101213"/>
    <n v="52"/>
    <x v="2"/>
    <s v="Female"/>
    <m/>
    <n v="1625000"/>
    <n v="51"/>
    <x v="0"/>
    <n v="18"/>
    <n v="600"/>
    <n v="194"/>
    <m/>
    <s v="In-store"/>
    <s v="Higher"/>
  </r>
  <r>
    <s v="CUST101214"/>
    <n v="52"/>
    <x v="2"/>
    <s v="Female"/>
    <s v="Pune"/>
    <n v="950000"/>
    <n v="7"/>
    <x v="2"/>
    <n v="22"/>
    <n v="11500"/>
    <n v="327"/>
    <s v="Gold"/>
    <s v="Online"/>
    <s v="Higher"/>
  </r>
  <r>
    <s v="CUST101215"/>
    <n v="18"/>
    <x v="6"/>
    <s v="Male"/>
    <s v="Kolkata"/>
    <n v="225000"/>
    <n v="29"/>
    <x v="2"/>
    <n v="61"/>
    <n v="7000"/>
    <n v="163"/>
    <s v="Silver"/>
    <m/>
    <s v="Higher"/>
  </r>
  <r>
    <s v="CUST101216"/>
    <n v="57"/>
    <x v="0"/>
    <m/>
    <s v="Delhi"/>
    <n v="200000"/>
    <n v="43"/>
    <x v="0"/>
    <n v="61"/>
    <n v="5300"/>
    <n v="276"/>
    <s v="Bronze"/>
    <s v="Mobile App"/>
    <s v="Lower"/>
  </r>
  <r>
    <s v="CUST101217"/>
    <n v="39"/>
    <x v="4"/>
    <s v="Unknown"/>
    <m/>
    <n v="1425000"/>
    <n v="69"/>
    <x v="3"/>
    <n v="53"/>
    <n v="9100"/>
    <n v="364"/>
    <m/>
    <s v="In-store"/>
    <s v="Lower"/>
  </r>
  <r>
    <s v="CUST101218"/>
    <n v="46"/>
    <x v="2"/>
    <s v="Female"/>
    <m/>
    <n v="825000"/>
    <n v="94"/>
    <x v="3"/>
    <n v="26"/>
    <n v="3500"/>
    <n v="130"/>
    <m/>
    <s v="Website"/>
    <s v="Higher"/>
  </r>
  <r>
    <s v="CUST101219"/>
    <n v="25"/>
    <x v="3"/>
    <s v="Female"/>
    <m/>
    <n v="1875000"/>
    <n v="58"/>
    <x v="0"/>
    <n v="40"/>
    <n v="8000"/>
    <n v="263"/>
    <s v="Gold"/>
    <s v="In-store"/>
    <s v="Higher"/>
  </r>
  <r>
    <s v="CUST101220"/>
    <n v="28"/>
    <x v="3"/>
    <s v="Male"/>
    <s v="Mumbai"/>
    <n v="1875000"/>
    <n v="8"/>
    <x v="2"/>
    <n v="8"/>
    <n v="2600"/>
    <n v="177"/>
    <m/>
    <s v="In-store"/>
    <s v="Higher"/>
  </r>
  <r>
    <s v="CUST101221"/>
    <n v="58"/>
    <x v="0"/>
    <m/>
    <s v="Mumbai"/>
    <n v="1500000"/>
    <n v="42"/>
    <x v="0"/>
    <n v="21"/>
    <n v="7700"/>
    <n v="265"/>
    <m/>
    <m/>
    <s v="Lower"/>
  </r>
  <r>
    <s v="CUST101222"/>
    <n v="54"/>
    <x v="2"/>
    <s v="Female"/>
    <s v="Bengaluru"/>
    <n v="1550000"/>
    <n v="76"/>
    <x v="3"/>
    <n v="43"/>
    <n v="2700"/>
    <n v="27"/>
    <m/>
    <s v="Online"/>
    <s v="Higher"/>
  </r>
  <r>
    <s v="CUST101223"/>
    <n v="31"/>
    <x v="3"/>
    <m/>
    <s v="Bengaluru"/>
    <n v="525000"/>
    <n v="42"/>
    <x v="0"/>
    <n v="21"/>
    <n v="3000"/>
    <n v="85"/>
    <s v="Silver"/>
    <s v="Online"/>
    <s v="Lower"/>
  </r>
  <r>
    <s v="CUST101224"/>
    <n v="47"/>
    <x v="2"/>
    <s v="Male"/>
    <s v="Mumbai"/>
    <n v="725000"/>
    <n v="13"/>
    <x v="2"/>
    <n v="3"/>
    <n v="900"/>
    <n v="196"/>
    <s v="Silver"/>
    <s v="Website"/>
    <s v="Higher"/>
  </r>
  <r>
    <s v="CUST101225"/>
    <n v="52"/>
    <x v="2"/>
    <s v="Male"/>
    <s v="Kolkata"/>
    <n v="1850000"/>
    <n v="26"/>
    <x v="2"/>
    <n v="31"/>
    <n v="11500"/>
    <n v="316"/>
    <m/>
    <m/>
    <s v="Higher"/>
  </r>
  <r>
    <s v="CUST101226"/>
    <n v="38"/>
    <x v="4"/>
    <s v="Male"/>
    <s v="Chennai"/>
    <n v="1150000"/>
    <n v="18"/>
    <x v="2"/>
    <n v="27"/>
    <n v="3800"/>
    <n v="243"/>
    <s v="Gold"/>
    <s v="In-store"/>
    <s v="Higher"/>
  </r>
  <r>
    <s v="CUST101227"/>
    <n v="54"/>
    <x v="2"/>
    <s v="Female"/>
    <m/>
    <s v="unknown"/>
    <n v="42"/>
    <x v="0"/>
    <n v="27"/>
    <n v="1200"/>
    <n v="342"/>
    <s v="Gold"/>
    <m/>
    <s v="Higher"/>
  </r>
  <r>
    <s v="CUST101228"/>
    <n v="22"/>
    <x v="6"/>
    <s v="Female"/>
    <s v="Delhi"/>
    <n v="1300000"/>
    <n v="51"/>
    <x v="0"/>
    <n v="73"/>
    <n v="11500"/>
    <n v="177"/>
    <s v="Gold"/>
    <s v="Online"/>
    <s v="Higher"/>
  </r>
  <r>
    <s v="CUST101229"/>
    <n v="36"/>
    <x v="4"/>
    <m/>
    <m/>
    <m/>
    <n v="84"/>
    <x v="3"/>
    <n v="57"/>
    <n v="3800"/>
    <n v="130"/>
    <m/>
    <s v="Online"/>
    <s v="Lower"/>
  </r>
  <r>
    <s v="CUST101230"/>
    <n v="31"/>
    <x v="3"/>
    <s v="Female"/>
    <s v="Hyderabad"/>
    <n v="1850000"/>
    <n v="16"/>
    <x v="2"/>
    <n v="33"/>
    <n v="9700"/>
    <n v="145"/>
    <s v="Bronze"/>
    <s v="Mobile App"/>
    <s v="Higher"/>
  </r>
  <r>
    <s v="CUST101231"/>
    <n v="43"/>
    <x v="4"/>
    <s v="Male"/>
    <s v="Pune"/>
    <n v="900000"/>
    <m/>
    <x v="1"/>
    <n v="44"/>
    <n v="8500"/>
    <n v="83"/>
    <s v="Bronze"/>
    <s v="In-store"/>
    <s v="Higher"/>
  </r>
  <r>
    <s v="CUST101232"/>
    <n v="21"/>
    <x v="6"/>
    <s v="Female"/>
    <m/>
    <n v="875000"/>
    <n v="3"/>
    <x v="2"/>
    <n v="43"/>
    <n v="2000"/>
    <n v="360"/>
    <s v="Gold"/>
    <m/>
    <s v="Higher"/>
  </r>
  <r>
    <s v="CUST101233"/>
    <n v="42"/>
    <x v="4"/>
    <s v="Male"/>
    <s v="Chennai"/>
    <n v="575000"/>
    <n v="91"/>
    <x v="3"/>
    <n v="31"/>
    <n v="11500"/>
    <n v="88"/>
    <m/>
    <s v="Online"/>
    <s v="Higher"/>
  </r>
  <r>
    <s v="CUST101234"/>
    <n v="62"/>
    <x v="0"/>
    <s v="Female"/>
    <s v="Delhi"/>
    <n v="1225000"/>
    <n v="79"/>
    <x v="3"/>
    <n v="65"/>
    <n v="800"/>
    <n v="20"/>
    <s v="Silver"/>
    <m/>
    <s v="Higher"/>
  </r>
  <r>
    <s v="CUST101235"/>
    <n v="59"/>
    <x v="0"/>
    <s v="Male"/>
    <s v="Hyderabad"/>
    <n v="800000"/>
    <n v="98"/>
    <x v="3"/>
    <n v="76"/>
    <n v="9400"/>
    <n v="230"/>
    <s v="Platinum"/>
    <s v="In-store"/>
    <s v="Higher"/>
  </r>
  <r>
    <s v="CUST101236"/>
    <n v="42"/>
    <x v="4"/>
    <s v="Unknown"/>
    <s v="Bengaluru"/>
    <n v="775000"/>
    <n v="45"/>
    <x v="0"/>
    <n v="17"/>
    <n v="900"/>
    <n v="126"/>
    <s v="Silver"/>
    <s v="In-store"/>
    <s v="Lower"/>
  </r>
  <r>
    <s v="CUST101237"/>
    <n v="35"/>
    <x v="4"/>
    <s v="Male"/>
    <s v="Delhi"/>
    <n v="1625000"/>
    <n v="22"/>
    <x v="2"/>
    <n v="15"/>
    <n v="10400"/>
    <n v="354"/>
    <s v="Silver"/>
    <s v="Online"/>
    <s v="Higher"/>
  </r>
  <r>
    <s v="CUST101238"/>
    <n v="57"/>
    <x v="0"/>
    <s v="Male"/>
    <s v="Mumbai"/>
    <n v="575000"/>
    <n v="23"/>
    <x v="2"/>
    <n v="34"/>
    <n v="1400"/>
    <n v="51"/>
    <s v="Platinum"/>
    <s v="Website"/>
    <s v="Higher"/>
  </r>
  <r>
    <s v="CUST101239"/>
    <n v="25"/>
    <x v="3"/>
    <s v="Unknown"/>
    <m/>
    <n v="1525000"/>
    <n v="59"/>
    <x v="0"/>
    <m/>
    <n v="4300"/>
    <n v="88"/>
    <s v="Gold"/>
    <m/>
    <s v="Lower"/>
  </r>
  <r>
    <s v="CUST101240"/>
    <n v="56"/>
    <x v="0"/>
    <s v="Unknown"/>
    <s v="Delhi"/>
    <n v="900000"/>
    <n v="62"/>
    <x v="0"/>
    <n v="4"/>
    <n v="11600"/>
    <n v="170"/>
    <s v="Silver"/>
    <m/>
    <s v="Lower"/>
  </r>
  <r>
    <s v="CUST101241"/>
    <n v="57"/>
    <x v="0"/>
    <s v="Female"/>
    <s v="Pune"/>
    <n v="1600000"/>
    <n v="68"/>
    <x v="3"/>
    <n v="72"/>
    <n v="6500"/>
    <n v="63"/>
    <s v="Platinum"/>
    <s v="Mobile App"/>
    <s v="Higher"/>
  </r>
  <r>
    <s v="CUST101242"/>
    <n v="31"/>
    <x v="3"/>
    <m/>
    <s v="Ahmedabad"/>
    <n v="175000"/>
    <n v="54"/>
    <x v="0"/>
    <n v="79"/>
    <n v="10000"/>
    <n v="89"/>
    <m/>
    <s v="In-store"/>
    <s v="Lower"/>
  </r>
  <r>
    <s v="CUST101243"/>
    <n v="49"/>
    <x v="2"/>
    <m/>
    <s v="Bengaluru"/>
    <n v="1100000"/>
    <n v="57"/>
    <x v="0"/>
    <n v="28"/>
    <n v="2700"/>
    <n v="189"/>
    <m/>
    <s v="In-store"/>
    <s v="Lower"/>
  </r>
  <r>
    <s v="CUST101244"/>
    <n v="68"/>
    <x v="1"/>
    <s v="Female"/>
    <m/>
    <n v="1650000"/>
    <n v="23"/>
    <x v="2"/>
    <n v="73"/>
    <n v="8300"/>
    <n v="190"/>
    <m/>
    <s v="Online"/>
    <s v="Higher"/>
  </r>
  <r>
    <s v="CUST101245"/>
    <n v="55"/>
    <x v="0"/>
    <s v="Male"/>
    <m/>
    <n v="1700000"/>
    <n v="60"/>
    <x v="0"/>
    <n v="2"/>
    <n v="5500"/>
    <n v="89"/>
    <m/>
    <s v="Online"/>
    <s v="Higher"/>
  </r>
  <r>
    <s v="CUST101246"/>
    <n v="50"/>
    <x v="2"/>
    <s v="Male"/>
    <s v="Delhi"/>
    <n v="575000"/>
    <n v="73"/>
    <x v="3"/>
    <n v="17"/>
    <n v="3500"/>
    <n v="348"/>
    <s v="Gold"/>
    <s v="Online"/>
    <s v="Higher"/>
  </r>
  <r>
    <s v="CUST101247"/>
    <n v="40"/>
    <x v="4"/>
    <s v="Male"/>
    <s v="Ahmedabad"/>
    <n v="550000"/>
    <n v="88"/>
    <x v="3"/>
    <n v="58"/>
    <n v="8900"/>
    <n v="332"/>
    <s v="Silver"/>
    <s v="Mobile App"/>
    <s v="Higher"/>
  </r>
  <r>
    <s v="CUST101248"/>
    <n v="32"/>
    <x v="3"/>
    <s v="Male"/>
    <m/>
    <n v="1100000"/>
    <n v="85"/>
    <x v="3"/>
    <n v="74"/>
    <n v="7500"/>
    <n v="26"/>
    <s v="Silver"/>
    <s v="Website"/>
    <s v="Higher"/>
  </r>
  <r>
    <s v="CUST101249"/>
    <n v="50"/>
    <x v="2"/>
    <m/>
    <s v="Hyderabad"/>
    <n v="1900000"/>
    <n v="55"/>
    <x v="0"/>
    <n v="9"/>
    <n v="800"/>
    <n v="176"/>
    <s v="Bronze"/>
    <s v="Online"/>
    <s v="Lower"/>
  </r>
  <r>
    <s v="CUST101250"/>
    <n v="42"/>
    <x v="4"/>
    <s v="Female"/>
    <s v="Chennai"/>
    <n v="1475000"/>
    <n v="80"/>
    <x v="3"/>
    <n v="31"/>
    <n v="6400"/>
    <n v="364"/>
    <m/>
    <s v="Online"/>
    <s v="Higher"/>
  </r>
  <r>
    <s v="CUST101251"/>
    <n v="34"/>
    <x v="3"/>
    <m/>
    <m/>
    <m/>
    <n v="63"/>
    <x v="0"/>
    <n v="66"/>
    <n v="6800"/>
    <n v="264"/>
    <s v="Gold"/>
    <m/>
    <s v="Lower"/>
  </r>
  <r>
    <s v="CUST101252"/>
    <n v="50"/>
    <x v="2"/>
    <m/>
    <s v="Hyderabad"/>
    <n v="1000000"/>
    <n v="56"/>
    <x v="0"/>
    <n v="62"/>
    <n v="10400"/>
    <n v="42"/>
    <s v="Platinum"/>
    <s v="Online"/>
    <s v="Lower"/>
  </r>
  <r>
    <s v="CUST101253"/>
    <n v="64"/>
    <x v="0"/>
    <s v="Female"/>
    <s v="Chennai"/>
    <n v="400000"/>
    <n v="55"/>
    <x v="0"/>
    <n v="19"/>
    <n v="1100"/>
    <n v="119"/>
    <s v="Gold"/>
    <s v="Mobile App"/>
    <s v="Higher"/>
  </r>
  <r>
    <s v="CUST101254"/>
    <s v="NA"/>
    <x v="5"/>
    <s v="Male"/>
    <s v="Ahmedabad"/>
    <n v="1650000"/>
    <n v="25"/>
    <x v="2"/>
    <m/>
    <n v="6900"/>
    <n v="169"/>
    <s v="Silver"/>
    <m/>
    <s v="Higher"/>
  </r>
  <r>
    <s v="CUST101255"/>
    <n v="19"/>
    <x v="6"/>
    <m/>
    <s v="Chennai"/>
    <n v="1225000"/>
    <n v="26"/>
    <x v="2"/>
    <n v="74"/>
    <n v="1800"/>
    <n v="108"/>
    <m/>
    <s v="Website"/>
    <s v="Lower"/>
  </r>
  <r>
    <s v="CUST101256"/>
    <n v="31"/>
    <x v="3"/>
    <m/>
    <m/>
    <n v="1825000"/>
    <n v="49"/>
    <x v="0"/>
    <n v="55"/>
    <n v="9100"/>
    <n v="147"/>
    <s v="Bronze"/>
    <m/>
    <s v="Lower"/>
  </r>
  <r>
    <s v="CUST101257"/>
    <m/>
    <x v="5"/>
    <s v="Male"/>
    <s v="Pune"/>
    <n v="750000"/>
    <n v="63"/>
    <x v="0"/>
    <n v="28"/>
    <n v="9000"/>
    <n v="176"/>
    <m/>
    <m/>
    <s v="Higher"/>
  </r>
  <r>
    <s v="CUST101258"/>
    <n v="57"/>
    <x v="0"/>
    <m/>
    <s v="Delhi"/>
    <n v="1325000"/>
    <n v="45"/>
    <x v="0"/>
    <n v="50"/>
    <n v="11300"/>
    <n v="189"/>
    <s v="Gold"/>
    <s v="In-store"/>
    <s v="Lower"/>
  </r>
  <r>
    <s v="CUST101259"/>
    <n v="57"/>
    <x v="0"/>
    <s v="Female"/>
    <s v="Hyderabad"/>
    <n v="925000"/>
    <n v="73"/>
    <x v="3"/>
    <n v="65"/>
    <n v="9500"/>
    <n v="160"/>
    <s v="Bronze"/>
    <s v="In-store"/>
    <s v="Higher"/>
  </r>
  <r>
    <s v="CUST101260"/>
    <n v="68"/>
    <x v="1"/>
    <s v="Female"/>
    <s v="Pune"/>
    <n v="225000"/>
    <n v="79"/>
    <x v="3"/>
    <n v="3"/>
    <n v="11000"/>
    <n v="302"/>
    <s v="Silver"/>
    <s v="Online"/>
    <s v="Higher"/>
  </r>
  <r>
    <s v="CUST101261"/>
    <n v="56"/>
    <x v="0"/>
    <s v="Male"/>
    <s v="Hyderabad"/>
    <n v="1075000"/>
    <n v="39"/>
    <x v="0"/>
    <n v="79"/>
    <n v="5700"/>
    <n v="348"/>
    <s v="Platinum"/>
    <m/>
    <s v="Higher"/>
  </r>
  <r>
    <s v="CUST101262"/>
    <n v="68"/>
    <x v="1"/>
    <s v="Female"/>
    <s v="Delhi"/>
    <n v="1700000"/>
    <n v="97"/>
    <x v="3"/>
    <n v="52"/>
    <n v="4200"/>
    <n v="74"/>
    <s v="Gold"/>
    <m/>
    <s v="Higher"/>
  </r>
  <r>
    <s v="CUST101263"/>
    <n v="23"/>
    <x v="6"/>
    <s v="Unknown"/>
    <s v="Kolkata"/>
    <n v="1300000"/>
    <n v="65"/>
    <x v="0"/>
    <n v="10"/>
    <n v="2800"/>
    <n v="352"/>
    <m/>
    <s v="Mobile App"/>
    <s v="Lower"/>
  </r>
  <r>
    <s v="CUST101264"/>
    <n v="23"/>
    <x v="6"/>
    <s v="Female"/>
    <s v="Chennai"/>
    <n v="150000"/>
    <n v="69"/>
    <x v="3"/>
    <n v="21"/>
    <n v="4000"/>
    <n v="18"/>
    <s v="Silver"/>
    <s v="Website"/>
    <s v="Higher"/>
  </r>
  <r>
    <s v="CUST101265"/>
    <n v="20"/>
    <x v="6"/>
    <s v="Female"/>
    <s v="Ahmedabad"/>
    <n v="200000"/>
    <n v="56"/>
    <x v="0"/>
    <n v="37"/>
    <n v="3700"/>
    <n v="140"/>
    <m/>
    <m/>
    <s v="Higher"/>
  </r>
  <r>
    <s v="CUST101266"/>
    <n v="24"/>
    <x v="6"/>
    <s v="Male"/>
    <s v="Kolkata"/>
    <n v="1675000"/>
    <n v="9"/>
    <x v="2"/>
    <n v="15"/>
    <n v="8900"/>
    <n v="115"/>
    <s v="Gold"/>
    <m/>
    <s v="Higher"/>
  </r>
  <r>
    <s v="CUST101267"/>
    <n v="68"/>
    <x v="1"/>
    <s v="Male"/>
    <s v="Kolkata"/>
    <n v="1725000"/>
    <n v="70"/>
    <x v="3"/>
    <n v="78"/>
    <n v="7000"/>
    <n v="328"/>
    <s v="Bronze"/>
    <m/>
    <s v="Higher"/>
  </r>
  <r>
    <s v="CUST101268"/>
    <n v="25"/>
    <x v="3"/>
    <m/>
    <m/>
    <n v="550000"/>
    <n v="28"/>
    <x v="2"/>
    <n v="79"/>
    <n v="6100"/>
    <n v="225"/>
    <s v="Gold"/>
    <m/>
    <s v="Lower"/>
  </r>
  <r>
    <s v="CUST101269"/>
    <n v="59"/>
    <x v="0"/>
    <s v="Male"/>
    <s v="Mumbai"/>
    <n v="1675000"/>
    <n v="45"/>
    <x v="0"/>
    <n v="74"/>
    <n v="10800"/>
    <n v="46"/>
    <s v="Silver"/>
    <s v="Website"/>
    <s v="Higher"/>
  </r>
  <r>
    <s v="CUST101270"/>
    <n v="69"/>
    <x v="1"/>
    <s v="Female"/>
    <m/>
    <n v="1000000"/>
    <n v="26"/>
    <x v="2"/>
    <n v="9"/>
    <n v="1600"/>
    <n v="38"/>
    <s v="Silver"/>
    <m/>
    <s v="Higher"/>
  </r>
  <r>
    <s v="CUST101271"/>
    <n v="32"/>
    <x v="3"/>
    <m/>
    <s v="Pune"/>
    <n v="450000"/>
    <n v="28"/>
    <x v="2"/>
    <n v="44"/>
    <n v="11900"/>
    <n v="206"/>
    <s v="Bronze"/>
    <m/>
    <s v="Lower"/>
  </r>
  <r>
    <s v="CUST101272"/>
    <n v="64"/>
    <x v="0"/>
    <s v="Male"/>
    <s v="Pune"/>
    <n v="1000000"/>
    <n v="40"/>
    <x v="0"/>
    <n v="39"/>
    <n v="4900"/>
    <n v="9"/>
    <m/>
    <s v="Website"/>
    <s v="Higher"/>
  </r>
  <r>
    <s v="CUST101273"/>
    <n v="46"/>
    <x v="2"/>
    <s v="Female"/>
    <s v="Pune"/>
    <n v="1200000"/>
    <n v="15"/>
    <x v="2"/>
    <n v="5"/>
    <n v="10500"/>
    <n v="253"/>
    <s v="Silver"/>
    <s v="Mobile App"/>
    <s v="Higher"/>
  </r>
  <r>
    <s v="CUST101274"/>
    <n v="50"/>
    <x v="2"/>
    <m/>
    <s v="Pune"/>
    <n v="175000"/>
    <n v="6"/>
    <x v="2"/>
    <n v="25"/>
    <n v="7300"/>
    <n v="108"/>
    <s v="Gold"/>
    <m/>
    <s v="Lower"/>
  </r>
  <r>
    <s v="CUST101275"/>
    <n v="69"/>
    <x v="1"/>
    <s v="Unknown"/>
    <m/>
    <n v="1525000"/>
    <n v="27"/>
    <x v="2"/>
    <n v="56"/>
    <n v="7400"/>
    <n v="98"/>
    <m/>
    <s v="Website"/>
    <s v="Lower"/>
  </r>
  <r>
    <s v="CUST101276"/>
    <n v="47"/>
    <x v="2"/>
    <s v="Female"/>
    <s v="Kolkata"/>
    <s v="unknown"/>
    <n v="38"/>
    <x v="0"/>
    <n v="64"/>
    <n v="4400"/>
    <n v="275"/>
    <s v="Bronze"/>
    <s v="Online"/>
    <s v="Higher"/>
  </r>
  <r>
    <s v="CUST101277"/>
    <n v="56"/>
    <x v="0"/>
    <s v="Unknown"/>
    <m/>
    <n v="1400000"/>
    <n v="68"/>
    <x v="3"/>
    <n v="72"/>
    <n v="5300"/>
    <n v="71"/>
    <s v="Silver"/>
    <s v="Online"/>
    <s v="Lower"/>
  </r>
  <r>
    <s v="CUST101278"/>
    <n v="44"/>
    <x v="4"/>
    <m/>
    <s v="Pune"/>
    <n v="1475000"/>
    <n v="75"/>
    <x v="3"/>
    <n v="52"/>
    <n v="2100"/>
    <n v="39"/>
    <s v="Silver"/>
    <s v="Online"/>
    <s v="Lower"/>
  </r>
  <r>
    <s v="CUST101279"/>
    <n v="53"/>
    <x v="2"/>
    <s v="Unknown"/>
    <s v="Mumbai"/>
    <n v="525000"/>
    <n v="85"/>
    <x v="3"/>
    <n v="76"/>
    <n v="6800"/>
    <n v="298"/>
    <s v="Gold"/>
    <s v="Online"/>
    <s v="Lower"/>
  </r>
  <r>
    <s v="CUST101280"/>
    <n v="46"/>
    <x v="2"/>
    <m/>
    <s v="Bengaluru"/>
    <n v="575000"/>
    <n v="64"/>
    <x v="0"/>
    <n v="9"/>
    <n v="4900"/>
    <n v="90"/>
    <s v="Silver"/>
    <s v="In-store"/>
    <s v="Lower"/>
  </r>
  <r>
    <s v="CUST101281"/>
    <n v="55"/>
    <x v="0"/>
    <m/>
    <s v="Delhi"/>
    <n v="300000"/>
    <n v="30"/>
    <x v="2"/>
    <n v="10"/>
    <n v="6700"/>
    <n v="219"/>
    <s v="Gold"/>
    <s v="Mobile App"/>
    <s v="Lower"/>
  </r>
  <r>
    <s v="CUST101282"/>
    <n v="50"/>
    <x v="2"/>
    <m/>
    <s v="Pune"/>
    <n v="1250000"/>
    <n v="82"/>
    <x v="3"/>
    <n v="10"/>
    <n v="4400"/>
    <n v="107"/>
    <m/>
    <s v="In-store"/>
    <s v="Lower"/>
  </r>
  <r>
    <s v="CUST101283"/>
    <n v="54"/>
    <x v="2"/>
    <m/>
    <s v="Ahmedabad"/>
    <n v="1025000"/>
    <n v="99"/>
    <x v="3"/>
    <n v="73"/>
    <n v="4000"/>
    <n v="96"/>
    <m/>
    <m/>
    <s v="Lower"/>
  </r>
  <r>
    <s v="CUST101284"/>
    <n v="44"/>
    <x v="4"/>
    <m/>
    <s v="Bengaluru"/>
    <n v="1150000"/>
    <n v="3"/>
    <x v="2"/>
    <n v="62"/>
    <m/>
    <n v="32"/>
    <s v="Gold"/>
    <m/>
    <s v="Lower"/>
  </r>
  <r>
    <s v="CUST101285"/>
    <s v="NA"/>
    <x v="5"/>
    <s v="Female"/>
    <m/>
    <n v="1175000"/>
    <n v="62"/>
    <x v="0"/>
    <n v="60"/>
    <n v="1500"/>
    <n v="126"/>
    <s v="Platinum"/>
    <s v="Website"/>
    <s v="Higher"/>
  </r>
  <r>
    <s v="CUST101286"/>
    <n v="50"/>
    <x v="2"/>
    <m/>
    <s v="Ahmedabad"/>
    <n v="300000"/>
    <n v="12"/>
    <x v="2"/>
    <n v="19"/>
    <n v="10800"/>
    <n v="147"/>
    <s v="Silver"/>
    <s v="Online"/>
    <s v="Lower"/>
  </r>
  <r>
    <s v="CUST101287"/>
    <n v="21"/>
    <x v="6"/>
    <s v="Female"/>
    <s v="Ahmedabad"/>
    <n v="500000"/>
    <n v="91"/>
    <x v="3"/>
    <n v="38"/>
    <n v="4600"/>
    <n v="280"/>
    <m/>
    <s v="Website"/>
    <s v="Higher"/>
  </r>
  <r>
    <s v="CUST101288"/>
    <n v="39"/>
    <x v="4"/>
    <m/>
    <s v="Hyderabad"/>
    <n v="1625000"/>
    <n v="30"/>
    <x v="2"/>
    <n v="6"/>
    <n v="2600"/>
    <n v="24"/>
    <m/>
    <m/>
    <s v="Lower"/>
  </r>
  <r>
    <s v="CUST101289"/>
    <n v="19"/>
    <x v="6"/>
    <s v="Unknown"/>
    <s v="Ahmedabad"/>
    <n v="1125000"/>
    <n v="85"/>
    <x v="3"/>
    <n v="15"/>
    <n v="9800"/>
    <n v="209"/>
    <s v="Bronze"/>
    <s v="Online"/>
    <s v="Lower"/>
  </r>
  <r>
    <s v="CUST101290"/>
    <n v="27"/>
    <x v="3"/>
    <m/>
    <s v="Pune"/>
    <n v="1050000"/>
    <n v="38"/>
    <x v="0"/>
    <n v="47"/>
    <n v="3200"/>
    <n v="120"/>
    <s v="Platinum"/>
    <m/>
    <s v="Lower"/>
  </r>
  <r>
    <s v="CUST101291"/>
    <n v="22"/>
    <x v="6"/>
    <m/>
    <s v="Hyderabad"/>
    <n v="1775000"/>
    <n v="85"/>
    <x v="3"/>
    <n v="45"/>
    <n v="7200"/>
    <n v="274"/>
    <s v="Bronze"/>
    <s v="Mobile App"/>
    <s v="Lower"/>
  </r>
  <r>
    <s v="CUST101292"/>
    <n v="27"/>
    <x v="3"/>
    <s v="Male"/>
    <m/>
    <n v="1500000"/>
    <n v="60"/>
    <x v="0"/>
    <n v="5"/>
    <n v="4000"/>
    <n v="140"/>
    <s v="Platinum"/>
    <m/>
    <s v="Higher"/>
  </r>
  <r>
    <s v="CUST101293"/>
    <n v="50"/>
    <x v="2"/>
    <m/>
    <s v="Kolkata"/>
    <s v="unknown"/>
    <n v="38"/>
    <x v="0"/>
    <n v="78"/>
    <n v="9900"/>
    <n v="297"/>
    <m/>
    <m/>
    <s v="Lower"/>
  </r>
  <r>
    <s v="CUST101294"/>
    <m/>
    <x v="5"/>
    <m/>
    <s v="Ahmedabad"/>
    <n v="1525000"/>
    <n v="15"/>
    <x v="2"/>
    <n v="53"/>
    <n v="11000"/>
    <n v="343"/>
    <m/>
    <s v="Website"/>
    <s v="Lower"/>
  </r>
  <r>
    <s v="CUST101295"/>
    <n v="55"/>
    <x v="0"/>
    <s v="Unknown"/>
    <s v="Mumbai"/>
    <n v="1225000"/>
    <n v="18"/>
    <x v="2"/>
    <n v="66"/>
    <m/>
    <n v="82"/>
    <m/>
    <m/>
    <s v="Lower"/>
  </r>
  <r>
    <s v="CUST101296"/>
    <n v="30"/>
    <x v="3"/>
    <s v="Female"/>
    <s v="Delhi"/>
    <n v="1550000"/>
    <n v="52"/>
    <x v="0"/>
    <n v="62"/>
    <n v="2500"/>
    <n v="208"/>
    <m/>
    <s v="Website"/>
    <s v="Higher"/>
  </r>
  <r>
    <s v="CUST101297"/>
    <n v="48"/>
    <x v="2"/>
    <s v="Unknown"/>
    <s v="Ahmedabad"/>
    <n v="275000"/>
    <n v="29"/>
    <x v="2"/>
    <n v="23"/>
    <n v="7600"/>
    <n v="33"/>
    <s v="Platinum"/>
    <m/>
    <s v="Lower"/>
  </r>
  <r>
    <s v="CUST101298"/>
    <n v="64"/>
    <x v="0"/>
    <s v="Male"/>
    <m/>
    <n v="925000"/>
    <m/>
    <x v="1"/>
    <n v="44"/>
    <n v="5900"/>
    <n v="24"/>
    <s v="Gold"/>
    <s v="In-store"/>
    <s v="Higher"/>
  </r>
  <r>
    <s v="CUST101299"/>
    <n v="53"/>
    <x v="2"/>
    <s v="Female"/>
    <s v="Chennai"/>
    <n v="1975000"/>
    <n v="60"/>
    <x v="0"/>
    <n v="52"/>
    <n v="11200"/>
    <n v="61"/>
    <m/>
    <s v="Mobile App"/>
    <s v="Higher"/>
  </r>
  <r>
    <s v="CUST101300"/>
    <n v="62"/>
    <x v="0"/>
    <s v="Male"/>
    <m/>
    <n v="575000"/>
    <n v="21"/>
    <x v="2"/>
    <n v="46"/>
    <n v="8100"/>
    <n v="311"/>
    <s v="Bronze"/>
    <m/>
    <s v="Higher"/>
  </r>
  <r>
    <s v="CUST101301"/>
    <n v="41"/>
    <x v="4"/>
    <s v="Male"/>
    <m/>
    <n v="1825000"/>
    <n v="17"/>
    <x v="2"/>
    <n v="19"/>
    <n v="2500"/>
    <n v="189"/>
    <s v="Gold"/>
    <m/>
    <s v="Higher"/>
  </r>
  <r>
    <s v="CUST101302"/>
    <n v="69"/>
    <x v="1"/>
    <s v="Male"/>
    <m/>
    <n v="1950000"/>
    <n v="18"/>
    <x v="2"/>
    <n v="47"/>
    <n v="3800"/>
    <n v="84"/>
    <s v="Gold"/>
    <m/>
    <s v="Higher"/>
  </r>
  <r>
    <s v="CUST101303"/>
    <n v="32"/>
    <x v="3"/>
    <s v="Unknown"/>
    <s v="Chennai"/>
    <n v="300000"/>
    <n v="57"/>
    <x v="0"/>
    <n v="52"/>
    <n v="5900"/>
    <n v="225"/>
    <s v="Silver"/>
    <m/>
    <s v="Lower"/>
  </r>
  <r>
    <s v="CUST101304"/>
    <n v="46"/>
    <x v="2"/>
    <s v="Female"/>
    <m/>
    <n v="325000"/>
    <n v="37"/>
    <x v="0"/>
    <n v="24"/>
    <n v="300"/>
    <n v="168"/>
    <s v="Bronze"/>
    <s v="Website"/>
    <s v="Higher"/>
  </r>
  <r>
    <s v="CUST101305"/>
    <n v="25"/>
    <x v="3"/>
    <s v="Male"/>
    <m/>
    <n v="1725000"/>
    <n v="60"/>
    <x v="0"/>
    <n v="17"/>
    <n v="7400"/>
    <n v="186"/>
    <s v="Platinum"/>
    <s v="Online"/>
    <s v="Higher"/>
  </r>
  <r>
    <s v="CUST101306"/>
    <n v="22"/>
    <x v="6"/>
    <m/>
    <m/>
    <n v="300000"/>
    <n v="38"/>
    <x v="0"/>
    <n v="46"/>
    <n v="500"/>
    <n v="72"/>
    <s v="Silver"/>
    <s v="Online"/>
    <s v="Lower"/>
  </r>
  <r>
    <s v="CUST101307"/>
    <n v="46"/>
    <x v="2"/>
    <s v="Female"/>
    <m/>
    <n v="1150000"/>
    <n v="12"/>
    <x v="2"/>
    <n v="64"/>
    <n v="1600"/>
    <n v="74"/>
    <s v="Silver"/>
    <s v="Online"/>
    <s v="Higher"/>
  </r>
  <r>
    <s v="CUST101308"/>
    <n v="64"/>
    <x v="0"/>
    <s v="Female"/>
    <s v="Kolkata"/>
    <n v="1125000"/>
    <n v="75"/>
    <x v="3"/>
    <n v="28"/>
    <n v="8300"/>
    <n v="341"/>
    <m/>
    <s v="Website"/>
    <s v="Higher"/>
  </r>
  <r>
    <s v="CUST101309"/>
    <n v="21"/>
    <x v="6"/>
    <m/>
    <s v="Delhi"/>
    <n v="200000"/>
    <n v="84"/>
    <x v="3"/>
    <n v="50"/>
    <n v="3600"/>
    <n v="153"/>
    <s v="Platinum"/>
    <s v="Online"/>
    <s v="Lower"/>
  </r>
  <r>
    <s v="CUST101310"/>
    <n v="29"/>
    <x v="3"/>
    <s v="Male"/>
    <m/>
    <n v="550000"/>
    <n v="73"/>
    <x v="3"/>
    <n v="64"/>
    <n v="11300"/>
    <n v="96"/>
    <s v="Gold"/>
    <m/>
    <s v="Higher"/>
  </r>
  <r>
    <s v="CUST101311"/>
    <n v="62"/>
    <x v="0"/>
    <s v="Female"/>
    <s v="Chennai"/>
    <n v="1775000"/>
    <n v="1"/>
    <x v="2"/>
    <n v="28"/>
    <n v="7200"/>
    <n v="53"/>
    <m/>
    <s v="In-store"/>
    <s v="Higher"/>
  </r>
  <r>
    <s v="CUST101312"/>
    <n v="19"/>
    <x v="6"/>
    <s v="Male"/>
    <s v="Ahmedabad"/>
    <n v="1425000"/>
    <n v="58"/>
    <x v="0"/>
    <n v="56"/>
    <n v="7100"/>
    <n v="174"/>
    <s v="Gold"/>
    <s v="In-store"/>
    <s v="Higher"/>
  </r>
  <r>
    <s v="CUST101313"/>
    <n v="44"/>
    <x v="4"/>
    <s v="Female"/>
    <s v="Kolkata"/>
    <n v="675000"/>
    <n v="3"/>
    <x v="2"/>
    <n v="59"/>
    <n v="11200"/>
    <n v="110"/>
    <s v="Gold"/>
    <s v="In-store"/>
    <s v="Higher"/>
  </r>
  <r>
    <s v="CUST101314"/>
    <n v="48"/>
    <x v="2"/>
    <s v="Male"/>
    <s v="Kolkata"/>
    <n v="225000"/>
    <n v="63"/>
    <x v="0"/>
    <n v="5"/>
    <n v="5300"/>
    <n v="316"/>
    <m/>
    <s v="Online"/>
    <s v="Higher"/>
  </r>
  <r>
    <s v="CUST101315"/>
    <n v="68"/>
    <x v="1"/>
    <s v="Female"/>
    <s v="Ahmedabad"/>
    <n v="275000"/>
    <n v="21"/>
    <x v="2"/>
    <n v="54"/>
    <n v="10700"/>
    <n v="51"/>
    <s v="Gold"/>
    <s v="In-store"/>
    <s v="Higher"/>
  </r>
  <r>
    <s v="CUST101316"/>
    <n v="68"/>
    <x v="1"/>
    <m/>
    <s v="Mumbai"/>
    <n v="1075000"/>
    <n v="23"/>
    <x v="2"/>
    <n v="44"/>
    <n v="10600"/>
    <n v="253"/>
    <s v="Bronze"/>
    <m/>
    <s v="Lower"/>
  </r>
  <r>
    <s v="CUST101317"/>
    <n v="53"/>
    <x v="2"/>
    <s v="Male"/>
    <s v="Hyderabad"/>
    <n v="775000"/>
    <n v="9"/>
    <x v="2"/>
    <n v="42"/>
    <n v="3100"/>
    <n v="73"/>
    <s v="Gold"/>
    <s v="Online"/>
    <s v="Higher"/>
  </r>
  <r>
    <s v="CUST101318"/>
    <n v="53"/>
    <x v="2"/>
    <s v="Female"/>
    <s v="Delhi"/>
    <n v="400000"/>
    <n v="83"/>
    <x v="3"/>
    <n v="72"/>
    <n v="10100"/>
    <n v="212"/>
    <s v="Gold"/>
    <m/>
    <s v="Higher"/>
  </r>
  <r>
    <s v="CUST101319"/>
    <n v="43"/>
    <x v="4"/>
    <s v="Male"/>
    <s v="Delhi"/>
    <n v="550000"/>
    <n v="55"/>
    <x v="0"/>
    <n v="57"/>
    <n v="8400"/>
    <n v="212"/>
    <s v="Bronze"/>
    <m/>
    <s v="Higher"/>
  </r>
  <r>
    <s v="CUST101320"/>
    <n v="60"/>
    <x v="0"/>
    <s v="Unknown"/>
    <s v="Mumbai"/>
    <n v="900000"/>
    <n v="19"/>
    <x v="2"/>
    <n v="47"/>
    <n v="10600"/>
    <n v="251"/>
    <m/>
    <m/>
    <s v="Lower"/>
  </r>
  <r>
    <s v="CUST101321"/>
    <n v="44"/>
    <x v="4"/>
    <s v="Male"/>
    <s v="Hyderabad"/>
    <s v="unknown"/>
    <n v="62"/>
    <x v="0"/>
    <n v="76"/>
    <n v="5000"/>
    <n v="168"/>
    <s v="Silver"/>
    <m/>
    <s v="Higher"/>
  </r>
  <r>
    <s v="CUST101322"/>
    <n v="22"/>
    <x v="6"/>
    <s v="Female"/>
    <s v="Delhi"/>
    <n v="1000000"/>
    <n v="87"/>
    <x v="3"/>
    <n v="25"/>
    <n v="9600"/>
    <n v="263"/>
    <s v="Platinum"/>
    <s v="Website"/>
    <s v="Higher"/>
  </r>
  <r>
    <s v="CUST101323"/>
    <n v="37"/>
    <x v="4"/>
    <s v="Male"/>
    <s v="Chennai"/>
    <n v="525000"/>
    <n v="91"/>
    <x v="3"/>
    <n v="44"/>
    <n v="8100"/>
    <n v="331"/>
    <m/>
    <s v="Website"/>
    <s v="Higher"/>
  </r>
  <r>
    <s v="CUST101324"/>
    <n v="28"/>
    <x v="3"/>
    <m/>
    <s v="Bengaluru"/>
    <n v="575000"/>
    <n v="91"/>
    <x v="3"/>
    <n v="15"/>
    <n v="11900"/>
    <n v="230"/>
    <s v="Gold"/>
    <m/>
    <s v="Lower"/>
  </r>
  <r>
    <s v="CUST101325"/>
    <n v="27"/>
    <x v="3"/>
    <m/>
    <s v="Bengaluru"/>
    <n v="1675000"/>
    <n v="39"/>
    <x v="0"/>
    <n v="51"/>
    <n v="8100"/>
    <n v="239"/>
    <s v="Silver"/>
    <s v="Mobile App"/>
    <s v="Lower"/>
  </r>
  <r>
    <s v="CUST101326"/>
    <n v="57"/>
    <x v="0"/>
    <m/>
    <s v="Delhi"/>
    <n v="800000"/>
    <n v="100"/>
    <x v="3"/>
    <n v="53"/>
    <n v="1800"/>
    <n v="275"/>
    <s v="Platinum"/>
    <m/>
    <s v="Lower"/>
  </r>
  <r>
    <s v="CUST101327"/>
    <n v="55"/>
    <x v="0"/>
    <m/>
    <s v="Pune"/>
    <n v="1000000"/>
    <n v="76"/>
    <x v="3"/>
    <n v="34"/>
    <n v="5900"/>
    <n v="143"/>
    <s v="Platinum"/>
    <s v="Online"/>
    <s v="Lower"/>
  </r>
  <r>
    <s v="CUST101328"/>
    <n v="23"/>
    <x v="6"/>
    <s v="Female"/>
    <s v="Delhi"/>
    <n v="1250000"/>
    <n v="27"/>
    <x v="2"/>
    <n v="77"/>
    <n v="9900"/>
    <n v="70"/>
    <s v="Platinum"/>
    <s v="Mobile App"/>
    <s v="Higher"/>
  </r>
  <r>
    <s v="CUST101329"/>
    <n v="25"/>
    <x v="3"/>
    <s v="Female"/>
    <s v="Ahmedabad"/>
    <n v="1000000"/>
    <n v="46"/>
    <x v="0"/>
    <n v="8"/>
    <n v="1200"/>
    <n v="312"/>
    <s v="Bronze"/>
    <m/>
    <s v="Higher"/>
  </r>
  <r>
    <s v="CUST101330"/>
    <n v="40"/>
    <x v="4"/>
    <m/>
    <s v="Ahmedabad"/>
    <n v="825000"/>
    <n v="34"/>
    <x v="0"/>
    <n v="77"/>
    <n v="2100"/>
    <n v="174"/>
    <s v="Bronze"/>
    <s v="Online"/>
    <s v="Lower"/>
  </r>
  <r>
    <s v="CUST101331"/>
    <n v="64"/>
    <x v="0"/>
    <s v="Female"/>
    <s v="Hyderabad"/>
    <n v="350000"/>
    <n v="33"/>
    <x v="2"/>
    <n v="70"/>
    <n v="10300"/>
    <n v="336"/>
    <s v="Silver"/>
    <m/>
    <s v="Higher"/>
  </r>
  <r>
    <s v="CUST101332"/>
    <n v="43"/>
    <x v="4"/>
    <s v="Female"/>
    <m/>
    <m/>
    <n v="92"/>
    <x v="3"/>
    <n v="21"/>
    <n v="11600"/>
    <n v="109"/>
    <s v="Gold"/>
    <m/>
    <s v="Higher"/>
  </r>
  <r>
    <s v="CUST101333"/>
    <n v="63"/>
    <x v="0"/>
    <s v="Male"/>
    <s v="Kolkata"/>
    <n v="500000"/>
    <n v="95"/>
    <x v="3"/>
    <n v="7"/>
    <n v="6900"/>
    <n v="203"/>
    <s v="Silver"/>
    <s v="Online"/>
    <s v="Higher"/>
  </r>
  <r>
    <s v="CUST101334"/>
    <n v="60"/>
    <x v="0"/>
    <s v="Unknown"/>
    <s v="Chennai"/>
    <n v="650000"/>
    <n v="96"/>
    <x v="3"/>
    <n v="79"/>
    <n v="3800"/>
    <n v="185"/>
    <s v="Gold"/>
    <m/>
    <s v="Lower"/>
  </r>
  <r>
    <s v="CUST101335"/>
    <n v="29"/>
    <x v="3"/>
    <s v="Male"/>
    <s v="Mumbai"/>
    <n v="1425000"/>
    <n v="50"/>
    <x v="0"/>
    <n v="56"/>
    <n v="600"/>
    <n v="291"/>
    <m/>
    <m/>
    <s v="Higher"/>
  </r>
  <r>
    <s v="CUST101336"/>
    <n v="43"/>
    <x v="4"/>
    <s v="Unknown"/>
    <s v="Delhi"/>
    <n v="1000000"/>
    <n v="20"/>
    <x v="2"/>
    <n v="49"/>
    <n v="7700"/>
    <n v="328"/>
    <s v="Platinum"/>
    <m/>
    <s v="Lower"/>
  </r>
  <r>
    <s v="CUST101337"/>
    <n v="30"/>
    <x v="3"/>
    <s v="Female"/>
    <m/>
    <n v="1400000"/>
    <n v="40"/>
    <x v="0"/>
    <n v="42"/>
    <n v="10700"/>
    <n v="92"/>
    <s v="Platinum"/>
    <s v="Website"/>
    <s v="Higher"/>
  </r>
  <r>
    <s v="CUST101338"/>
    <n v="57"/>
    <x v="0"/>
    <s v="Male"/>
    <m/>
    <n v="1500000"/>
    <n v="99"/>
    <x v="3"/>
    <n v="23"/>
    <n v="3500"/>
    <n v="259"/>
    <s v="Bronze"/>
    <s v="In-store"/>
    <s v="Higher"/>
  </r>
  <r>
    <s v="CUST101339"/>
    <n v="35"/>
    <x v="4"/>
    <s v="Male"/>
    <s v="Chennai"/>
    <s v="unknown"/>
    <n v="95"/>
    <x v="3"/>
    <n v="52"/>
    <n v="3000"/>
    <n v="322"/>
    <m/>
    <m/>
    <s v="Higher"/>
  </r>
  <r>
    <s v="CUST101340"/>
    <n v="42"/>
    <x v="4"/>
    <s v="Male"/>
    <s v="Mumbai"/>
    <n v="1225000"/>
    <n v="58"/>
    <x v="0"/>
    <n v="79"/>
    <n v="9800"/>
    <n v="206"/>
    <m/>
    <s v="Online"/>
    <s v="Higher"/>
  </r>
  <r>
    <s v="CUST101341"/>
    <n v="50"/>
    <x v="2"/>
    <s v="Unknown"/>
    <s v="Ahmedabad"/>
    <n v="1750000"/>
    <n v="31"/>
    <x v="2"/>
    <n v="53"/>
    <n v="8200"/>
    <n v="52"/>
    <m/>
    <m/>
    <s v="Lower"/>
  </r>
  <r>
    <s v="CUST101342"/>
    <n v="64"/>
    <x v="0"/>
    <s v="Female"/>
    <m/>
    <n v="750000"/>
    <n v="38"/>
    <x v="0"/>
    <n v="16"/>
    <n v="1100"/>
    <n v="349"/>
    <s v="Gold"/>
    <m/>
    <s v="Higher"/>
  </r>
  <r>
    <s v="CUST101343"/>
    <n v="57"/>
    <x v="0"/>
    <s v="Female"/>
    <s v="Chennai"/>
    <n v="1300000"/>
    <n v="86"/>
    <x v="3"/>
    <n v="37"/>
    <n v="7700"/>
    <n v="181"/>
    <m/>
    <s v="Website"/>
    <s v="Higher"/>
  </r>
  <r>
    <s v="CUST101344"/>
    <n v="60"/>
    <x v="0"/>
    <m/>
    <m/>
    <n v="1525000"/>
    <n v="45"/>
    <x v="0"/>
    <n v="18"/>
    <n v="800"/>
    <n v="303"/>
    <s v="Bronze"/>
    <s v="Website"/>
    <s v="Lower"/>
  </r>
  <r>
    <s v="CUST101345"/>
    <n v="29"/>
    <x v="3"/>
    <s v="Unknown"/>
    <s v="Bengaluru"/>
    <n v="1075000"/>
    <n v="41"/>
    <x v="0"/>
    <n v="20"/>
    <n v="5100"/>
    <n v="3"/>
    <s v="Gold"/>
    <m/>
    <s v="Lower"/>
  </r>
  <r>
    <s v="CUST101346"/>
    <n v="61"/>
    <x v="0"/>
    <s v="Female"/>
    <s v="Delhi"/>
    <n v="400000"/>
    <n v="9"/>
    <x v="2"/>
    <n v="46"/>
    <n v="9300"/>
    <n v="84"/>
    <s v="Silver"/>
    <m/>
    <s v="Higher"/>
  </r>
  <r>
    <s v="CUST101347"/>
    <n v="53"/>
    <x v="2"/>
    <m/>
    <s v="Hyderabad"/>
    <n v="1800000"/>
    <n v="9"/>
    <x v="2"/>
    <n v="2"/>
    <n v="7800"/>
    <n v="214"/>
    <s v="Gold"/>
    <s v="Mobile App"/>
    <s v="Lower"/>
  </r>
  <r>
    <s v="CUST101348"/>
    <n v="65"/>
    <x v="0"/>
    <s v="Female"/>
    <s v="Bengaluru"/>
    <n v="500000"/>
    <n v="63"/>
    <x v="0"/>
    <n v="63"/>
    <n v="2400"/>
    <n v="34"/>
    <s v="Silver"/>
    <m/>
    <s v="Higher"/>
  </r>
  <r>
    <s v="CUST101349"/>
    <n v="21"/>
    <x v="6"/>
    <m/>
    <m/>
    <n v="150000"/>
    <n v="79"/>
    <x v="3"/>
    <n v="3"/>
    <n v="10600"/>
    <n v="50"/>
    <m/>
    <s v="In-store"/>
    <s v="Lower"/>
  </r>
  <r>
    <s v="CUST101350"/>
    <n v="22"/>
    <x v="6"/>
    <m/>
    <s v="Kolkata"/>
    <n v="300000"/>
    <n v="77"/>
    <x v="3"/>
    <n v="46"/>
    <n v="5000"/>
    <n v="289"/>
    <s v="Gold"/>
    <s v="Online"/>
    <s v="Lower"/>
  </r>
  <r>
    <s v="CUST101351"/>
    <n v="54"/>
    <x v="2"/>
    <s v="Male"/>
    <s v="Pune"/>
    <n v="150000"/>
    <n v="22"/>
    <x v="2"/>
    <n v="49"/>
    <n v="10300"/>
    <n v="329"/>
    <s v="Platinum"/>
    <s v="Online"/>
    <s v="Higher"/>
  </r>
  <r>
    <s v="CUST101352"/>
    <n v="25"/>
    <x v="3"/>
    <s v="Male"/>
    <s v="Mumbai"/>
    <n v="1350000"/>
    <n v="16"/>
    <x v="2"/>
    <n v="1"/>
    <n v="2300"/>
    <n v="259"/>
    <m/>
    <s v="Online"/>
    <s v="Higher"/>
  </r>
  <r>
    <s v="CUST101353"/>
    <n v="59"/>
    <x v="0"/>
    <m/>
    <s v="Ahmedabad"/>
    <n v="1950000"/>
    <n v="32"/>
    <x v="2"/>
    <n v="22"/>
    <n v="3500"/>
    <n v="258"/>
    <s v="Silver"/>
    <s v="Online"/>
    <s v="Lower"/>
  </r>
  <r>
    <s v="CUST101354"/>
    <n v="66"/>
    <x v="1"/>
    <s v="Male"/>
    <s v="Delhi"/>
    <n v="850000"/>
    <n v="66"/>
    <x v="0"/>
    <n v="14"/>
    <n v="8300"/>
    <n v="272"/>
    <s v="Bronze"/>
    <s v="Website"/>
    <s v="Higher"/>
  </r>
  <r>
    <s v="CUST101355"/>
    <n v="45"/>
    <x v="2"/>
    <s v="Male"/>
    <s v="Hyderabad"/>
    <n v="775000"/>
    <n v="90"/>
    <x v="3"/>
    <n v="45"/>
    <n v="5800"/>
    <n v="182"/>
    <m/>
    <s v="In-store"/>
    <s v="Higher"/>
  </r>
  <r>
    <s v="CUST101356"/>
    <n v="48"/>
    <x v="2"/>
    <s v="Female"/>
    <m/>
    <n v="1250000"/>
    <n v="14"/>
    <x v="2"/>
    <n v="6"/>
    <n v="3100"/>
    <n v="33"/>
    <m/>
    <m/>
    <s v="Higher"/>
  </r>
  <r>
    <s v="CUST101357"/>
    <n v="26"/>
    <x v="3"/>
    <s v="Female"/>
    <s v="Ahmedabad"/>
    <n v="1900000"/>
    <n v="38"/>
    <x v="0"/>
    <n v="65"/>
    <n v="5500"/>
    <n v="265"/>
    <m/>
    <m/>
    <s v="Higher"/>
  </r>
  <r>
    <s v="CUST101358"/>
    <m/>
    <x v="5"/>
    <m/>
    <s v="Delhi"/>
    <n v="425000"/>
    <n v="98"/>
    <x v="3"/>
    <n v="21"/>
    <n v="4200"/>
    <n v="313"/>
    <s v="Silver"/>
    <s v="Mobile App"/>
    <s v="Lower"/>
  </r>
  <r>
    <s v="CUST101359"/>
    <n v="68"/>
    <x v="1"/>
    <s v="Unknown"/>
    <m/>
    <n v="925000"/>
    <n v="8"/>
    <x v="2"/>
    <n v="4"/>
    <n v="7600"/>
    <n v="40"/>
    <s v="Silver"/>
    <m/>
    <s v="Lower"/>
  </r>
  <r>
    <s v="CUST101360"/>
    <n v="46"/>
    <x v="2"/>
    <m/>
    <s v="Hyderabad"/>
    <n v="625000"/>
    <n v="100"/>
    <x v="3"/>
    <n v="3"/>
    <n v="2000"/>
    <n v="308"/>
    <s v="Gold"/>
    <s v="In-store"/>
    <s v="Lower"/>
  </r>
  <r>
    <s v="CUST101361"/>
    <n v="31"/>
    <x v="3"/>
    <s v="Female"/>
    <m/>
    <n v="1400000"/>
    <n v="21"/>
    <x v="2"/>
    <n v="30"/>
    <n v="4900"/>
    <n v="210"/>
    <s v="Platinum"/>
    <m/>
    <s v="Higher"/>
  </r>
  <r>
    <s v="CUST101362"/>
    <n v="57"/>
    <x v="0"/>
    <s v="Male"/>
    <s v="Pune"/>
    <n v="1025000"/>
    <n v="56"/>
    <x v="0"/>
    <n v="31"/>
    <n v="11800"/>
    <n v="272"/>
    <m/>
    <s v="Website"/>
    <s v="Higher"/>
  </r>
  <r>
    <s v="CUST101363"/>
    <n v="58"/>
    <x v="0"/>
    <s v="Unknown"/>
    <s v="Bengaluru"/>
    <n v="1800000"/>
    <n v="46"/>
    <x v="0"/>
    <n v="34"/>
    <n v="1500"/>
    <n v="136"/>
    <s v="Gold"/>
    <m/>
    <s v="Lower"/>
  </r>
  <r>
    <s v="CUST101364"/>
    <n v="39"/>
    <x v="4"/>
    <s v="Female"/>
    <s v="Bengaluru"/>
    <n v="150000"/>
    <n v="43"/>
    <x v="0"/>
    <n v="20"/>
    <n v="2900"/>
    <n v="87"/>
    <s v="Gold"/>
    <m/>
    <s v="Higher"/>
  </r>
  <r>
    <s v="CUST101365"/>
    <n v="28"/>
    <x v="3"/>
    <s v="Female"/>
    <m/>
    <n v="800000"/>
    <n v="92"/>
    <x v="3"/>
    <n v="54"/>
    <n v="6400"/>
    <n v="60"/>
    <s v="Platinum"/>
    <s v="Online"/>
    <s v="Higher"/>
  </r>
  <r>
    <s v="CUST101366"/>
    <n v="40"/>
    <x v="4"/>
    <s v="Unknown"/>
    <s v="Ahmedabad"/>
    <n v="1125000"/>
    <n v="46"/>
    <x v="0"/>
    <n v="25"/>
    <n v="7600"/>
    <n v="164"/>
    <s v="Gold"/>
    <s v="Online"/>
    <s v="Lower"/>
  </r>
  <r>
    <s v="CUST101367"/>
    <n v="18"/>
    <x v="6"/>
    <s v="Female"/>
    <m/>
    <n v="475000"/>
    <n v="48"/>
    <x v="0"/>
    <n v="15"/>
    <n v="9800"/>
    <n v="3"/>
    <s v="Platinum"/>
    <m/>
    <s v="Higher"/>
  </r>
  <r>
    <s v="CUST101368"/>
    <n v="63"/>
    <x v="0"/>
    <s v="Female"/>
    <m/>
    <n v="1850000"/>
    <n v="70"/>
    <x v="3"/>
    <n v="38"/>
    <n v="10700"/>
    <n v="15"/>
    <s v="Bronze"/>
    <s v="Online"/>
    <s v="Higher"/>
  </r>
  <r>
    <s v="CUST101369"/>
    <n v="54"/>
    <x v="2"/>
    <s v="Female"/>
    <s v="Delhi"/>
    <n v="275000"/>
    <n v="84"/>
    <x v="3"/>
    <n v="23"/>
    <n v="4700"/>
    <n v="102"/>
    <s v="Platinum"/>
    <s v="Online"/>
    <s v="Higher"/>
  </r>
  <r>
    <s v="CUST101370"/>
    <n v="38"/>
    <x v="4"/>
    <m/>
    <s v="Delhi"/>
    <n v="950000"/>
    <n v="31"/>
    <x v="2"/>
    <n v="52"/>
    <n v="500"/>
    <n v="255"/>
    <m/>
    <s v="Website"/>
    <s v="Lower"/>
  </r>
  <r>
    <s v="CUST101371"/>
    <n v="43"/>
    <x v="4"/>
    <s v="Male"/>
    <s v="Hyderabad"/>
    <n v="1500000"/>
    <n v="33"/>
    <x v="2"/>
    <n v="66"/>
    <n v="2400"/>
    <n v="225"/>
    <s v="Platinum"/>
    <s v="Website"/>
    <s v="Higher"/>
  </r>
  <r>
    <s v="CUST101372"/>
    <n v="63"/>
    <x v="0"/>
    <s v="Unknown"/>
    <s v="Pune"/>
    <n v="600000"/>
    <n v="44"/>
    <x v="0"/>
    <n v="57"/>
    <n v="2900"/>
    <n v="210"/>
    <s v="Platinum"/>
    <s v="Website"/>
    <s v="Lower"/>
  </r>
  <r>
    <s v="CUST101373"/>
    <n v="53"/>
    <x v="2"/>
    <s v="Female"/>
    <s v="Delhi"/>
    <s v="unknown"/>
    <n v="71"/>
    <x v="3"/>
    <n v="57"/>
    <n v="5700"/>
    <n v="23"/>
    <m/>
    <m/>
    <s v="Higher"/>
  </r>
  <r>
    <s v="CUST101374"/>
    <m/>
    <x v="5"/>
    <s v="Female"/>
    <s v="Hyderabad"/>
    <n v="850000"/>
    <n v="8"/>
    <x v="2"/>
    <n v="79"/>
    <n v="6900"/>
    <n v="235"/>
    <s v="Platinum"/>
    <m/>
    <s v="Higher"/>
  </r>
  <r>
    <s v="CUST101375"/>
    <n v="40"/>
    <x v="4"/>
    <s v="Female"/>
    <s v="Kolkata"/>
    <n v="1650000"/>
    <n v="73"/>
    <x v="3"/>
    <n v="52"/>
    <n v="3500"/>
    <n v="131"/>
    <s v="Silver"/>
    <s v="Online"/>
    <s v="Higher"/>
  </r>
  <r>
    <s v="CUST101376"/>
    <n v="18"/>
    <x v="6"/>
    <m/>
    <m/>
    <n v="1875000"/>
    <n v="2"/>
    <x v="2"/>
    <n v="35"/>
    <n v="400"/>
    <n v="158"/>
    <s v="Gold"/>
    <s v="Mobile App"/>
    <s v="Lower"/>
  </r>
  <r>
    <s v="CUST101377"/>
    <m/>
    <x v="5"/>
    <s v="Male"/>
    <m/>
    <n v="725000"/>
    <n v="17"/>
    <x v="2"/>
    <n v="74"/>
    <n v="7700"/>
    <n v="173"/>
    <s v="Gold"/>
    <m/>
    <s v="Higher"/>
  </r>
  <r>
    <s v="CUST101378"/>
    <s v="NA"/>
    <x v="5"/>
    <m/>
    <s v="Ahmedabad"/>
    <n v="700000"/>
    <n v="52"/>
    <x v="0"/>
    <n v="14"/>
    <n v="4800"/>
    <n v="17"/>
    <s v="Bronze"/>
    <s v="Mobile App"/>
    <s v="Lower"/>
  </r>
  <r>
    <s v="CUST101379"/>
    <n v="68"/>
    <x v="1"/>
    <s v="Unknown"/>
    <s v="Kolkata"/>
    <n v="375000"/>
    <n v="45"/>
    <x v="0"/>
    <n v="14"/>
    <n v="7600"/>
    <n v="314"/>
    <s v="Bronze"/>
    <s v="Online"/>
    <s v="Lower"/>
  </r>
  <r>
    <s v="CUST101380"/>
    <n v="57"/>
    <x v="0"/>
    <s v="Male"/>
    <s v="Ahmedabad"/>
    <n v="1475000"/>
    <n v="37"/>
    <x v="0"/>
    <n v="33"/>
    <n v="10500"/>
    <m/>
    <m/>
    <s v="In-store"/>
    <s v="Higher"/>
  </r>
  <r>
    <s v="CUST101381"/>
    <n v="32"/>
    <x v="3"/>
    <s v="Male"/>
    <m/>
    <n v="1150000"/>
    <n v="42"/>
    <x v="0"/>
    <n v="52"/>
    <m/>
    <n v="185"/>
    <s v="Silver"/>
    <m/>
    <s v="Higher"/>
  </r>
  <r>
    <s v="CUST101382"/>
    <n v="38"/>
    <x v="4"/>
    <s v="Unknown"/>
    <s v="Hyderabad"/>
    <n v="1350000"/>
    <n v="44"/>
    <x v="0"/>
    <n v="1"/>
    <n v="3500"/>
    <n v="334"/>
    <s v="Bronze"/>
    <m/>
    <s v="Lower"/>
  </r>
  <r>
    <s v="CUST101383"/>
    <n v="64"/>
    <x v="0"/>
    <s v="Male"/>
    <s v="Hyderabad"/>
    <n v="550000"/>
    <n v="81"/>
    <x v="3"/>
    <n v="34"/>
    <n v="6000"/>
    <n v="184"/>
    <s v="Gold"/>
    <s v="Mobile App"/>
    <s v="Higher"/>
  </r>
  <r>
    <s v="CUST101384"/>
    <n v="26"/>
    <x v="3"/>
    <s v="Female"/>
    <m/>
    <n v="1525000"/>
    <n v="38"/>
    <x v="0"/>
    <n v="19"/>
    <n v="900"/>
    <n v="143"/>
    <s v="Bronze"/>
    <m/>
    <s v="Higher"/>
  </r>
  <r>
    <s v="CUST101385"/>
    <m/>
    <x v="5"/>
    <s v="Unknown"/>
    <s v="Chennai"/>
    <n v="1250000"/>
    <n v="99"/>
    <x v="3"/>
    <n v="24"/>
    <n v="1700"/>
    <n v="44"/>
    <s v="Bronze"/>
    <m/>
    <s v="Lower"/>
  </r>
  <r>
    <s v="CUST101386"/>
    <n v="26"/>
    <x v="3"/>
    <s v="Unknown"/>
    <m/>
    <n v="875000"/>
    <n v="94"/>
    <x v="3"/>
    <n v="4"/>
    <n v="2800"/>
    <n v="12"/>
    <s v="Platinum"/>
    <s v="Website"/>
    <s v="Lower"/>
  </r>
  <r>
    <s v="CUST101387"/>
    <n v="27"/>
    <x v="3"/>
    <s v="Female"/>
    <s v="Hyderabad"/>
    <n v="1225000"/>
    <n v="6"/>
    <x v="2"/>
    <n v="36"/>
    <n v="1300"/>
    <n v="8"/>
    <s v="Bronze"/>
    <s v="In-store"/>
    <s v="Higher"/>
  </r>
  <r>
    <s v="CUST101388"/>
    <n v="69"/>
    <x v="1"/>
    <s v="Female"/>
    <s v="Delhi"/>
    <n v="1975000"/>
    <n v="68"/>
    <x v="3"/>
    <n v="77"/>
    <n v="4000"/>
    <n v="80"/>
    <m/>
    <s v="Website"/>
    <s v="Higher"/>
  </r>
  <r>
    <s v="CUST101389"/>
    <m/>
    <x v="5"/>
    <s v="Male"/>
    <m/>
    <n v="1500000"/>
    <n v="51"/>
    <x v="0"/>
    <n v="58"/>
    <n v="2900"/>
    <n v="297"/>
    <s v="Gold"/>
    <s v="In-store"/>
    <s v="Higher"/>
  </r>
  <r>
    <s v="CUST101390"/>
    <n v="43"/>
    <x v="4"/>
    <m/>
    <s v="Ahmedabad"/>
    <n v="600000"/>
    <m/>
    <x v="1"/>
    <n v="32"/>
    <m/>
    <n v="162"/>
    <m/>
    <s v="In-store"/>
    <s v="Lower"/>
  </r>
  <r>
    <s v="CUST101391"/>
    <n v="58"/>
    <x v="0"/>
    <m/>
    <s v="Kolkata"/>
    <n v="850000"/>
    <n v="35"/>
    <x v="0"/>
    <n v="9"/>
    <n v="10500"/>
    <n v="302"/>
    <m/>
    <m/>
    <s v="Lower"/>
  </r>
  <r>
    <s v="CUST101392"/>
    <n v="52"/>
    <x v="2"/>
    <s v="Male"/>
    <s v="Ahmedabad"/>
    <n v="175000"/>
    <n v="58"/>
    <x v="0"/>
    <m/>
    <n v="900"/>
    <n v="216"/>
    <m/>
    <m/>
    <s v="Higher"/>
  </r>
  <r>
    <s v="CUST101393"/>
    <n v="69"/>
    <x v="1"/>
    <s v="Female"/>
    <s v="Bengaluru"/>
    <n v="1025000"/>
    <n v="57"/>
    <x v="0"/>
    <n v="67"/>
    <n v="300"/>
    <n v="248"/>
    <s v="Silver"/>
    <s v="Website"/>
    <s v="Higher"/>
  </r>
  <r>
    <s v="CUST101394"/>
    <n v="42"/>
    <x v="4"/>
    <s v="Male"/>
    <s v="Chennai"/>
    <n v="600000"/>
    <n v="73"/>
    <x v="3"/>
    <n v="20"/>
    <n v="7600"/>
    <n v="29"/>
    <m/>
    <s v="Website"/>
    <s v="Higher"/>
  </r>
  <r>
    <s v="CUST101395"/>
    <n v="43"/>
    <x v="4"/>
    <s v="Male"/>
    <s v="Hyderabad"/>
    <n v="300000"/>
    <n v="6"/>
    <x v="2"/>
    <n v="74"/>
    <n v="2300"/>
    <n v="272"/>
    <m/>
    <s v="Mobile App"/>
    <s v="Higher"/>
  </r>
  <r>
    <s v="CUST101396"/>
    <n v="28"/>
    <x v="3"/>
    <s v="Male"/>
    <s v="Pune"/>
    <n v="775000"/>
    <n v="13"/>
    <x v="2"/>
    <n v="62"/>
    <n v="8100"/>
    <n v="133"/>
    <s v="Platinum"/>
    <m/>
    <s v="Higher"/>
  </r>
  <r>
    <s v="CUST101397"/>
    <n v="55"/>
    <x v="0"/>
    <s v="Unknown"/>
    <s v="Mumbai"/>
    <n v="1075000"/>
    <n v="59"/>
    <x v="0"/>
    <n v="58"/>
    <n v="3200"/>
    <n v="5"/>
    <m/>
    <s v="Online"/>
    <s v="Lower"/>
  </r>
  <r>
    <s v="CUST101398"/>
    <n v="19"/>
    <x v="6"/>
    <m/>
    <s v="Chennai"/>
    <n v="200000"/>
    <n v="86"/>
    <x v="3"/>
    <n v="22"/>
    <n v="9600"/>
    <n v="244"/>
    <s v="Silver"/>
    <s v="Online"/>
    <s v="Lower"/>
  </r>
  <r>
    <s v="CUST101399"/>
    <n v="24"/>
    <x v="6"/>
    <s v="Male"/>
    <m/>
    <n v="1775000"/>
    <n v="92"/>
    <x v="3"/>
    <n v="67"/>
    <n v="1000"/>
    <n v="30"/>
    <s v="Gold"/>
    <s v="Mobile App"/>
    <s v="Higher"/>
  </r>
  <r>
    <s v="CUST101400"/>
    <n v="35"/>
    <x v="4"/>
    <s v="Male"/>
    <s v="Hyderabad"/>
    <n v="1900000"/>
    <n v="30"/>
    <x v="2"/>
    <n v="75"/>
    <n v="9000"/>
    <n v="117"/>
    <s v="Gold"/>
    <s v="In-store"/>
    <s v="Higher"/>
  </r>
  <r>
    <s v="CUST101401"/>
    <n v="44"/>
    <x v="4"/>
    <s v="Female"/>
    <s v="Kolkata"/>
    <n v="1200000"/>
    <n v="100"/>
    <x v="3"/>
    <n v="48"/>
    <n v="8500"/>
    <n v="178"/>
    <s v="Silver"/>
    <s v="Mobile App"/>
    <s v="Higher"/>
  </r>
  <r>
    <s v="CUST101402"/>
    <n v="51"/>
    <x v="2"/>
    <s v="Female"/>
    <s v="Hyderabad"/>
    <n v="1675000"/>
    <n v="2"/>
    <x v="2"/>
    <n v="8"/>
    <n v="500"/>
    <n v="261"/>
    <m/>
    <s v="Mobile App"/>
    <s v="Higher"/>
  </r>
  <r>
    <s v="CUST101403"/>
    <n v="44"/>
    <x v="4"/>
    <s v="Unknown"/>
    <s v="Mumbai"/>
    <n v="1900000"/>
    <n v="58"/>
    <x v="0"/>
    <n v="73"/>
    <n v="5700"/>
    <n v="235"/>
    <m/>
    <s v="Website"/>
    <s v="Lower"/>
  </r>
  <r>
    <s v="CUST101404"/>
    <n v="34"/>
    <x v="3"/>
    <m/>
    <s v="Kolkata"/>
    <n v="725000"/>
    <n v="36"/>
    <x v="0"/>
    <n v="15"/>
    <n v="1700"/>
    <n v="141"/>
    <s v="Platinum"/>
    <s v="Mobile App"/>
    <s v="Lower"/>
  </r>
  <r>
    <s v="CUST101405"/>
    <n v="60"/>
    <x v="0"/>
    <s v="Male"/>
    <s v="Ahmedabad"/>
    <n v="1100000"/>
    <n v="72"/>
    <x v="3"/>
    <n v="32"/>
    <n v="3800"/>
    <n v="305"/>
    <s v="Platinum"/>
    <s v="In-store"/>
    <s v="Higher"/>
  </r>
  <r>
    <s v="CUST101406"/>
    <n v="61"/>
    <x v="0"/>
    <s v="Male"/>
    <s v="Kolkata"/>
    <n v="1825000"/>
    <n v="45"/>
    <x v="0"/>
    <n v="53"/>
    <n v="800"/>
    <n v="345"/>
    <m/>
    <s v="Online"/>
    <s v="Higher"/>
  </r>
  <r>
    <s v="CUST101407"/>
    <n v="68"/>
    <x v="1"/>
    <s v="Male"/>
    <s v="Chennai"/>
    <n v="1225000"/>
    <n v="9"/>
    <x v="2"/>
    <n v="67"/>
    <n v="4400"/>
    <n v="50"/>
    <s v="Gold"/>
    <m/>
    <s v="Higher"/>
  </r>
  <r>
    <s v="CUST101408"/>
    <m/>
    <x v="5"/>
    <m/>
    <s v="Ahmedabad"/>
    <n v="250000"/>
    <n v="65"/>
    <x v="0"/>
    <n v="4"/>
    <n v="5200"/>
    <n v="270"/>
    <s v="Platinum"/>
    <m/>
    <s v="Lower"/>
  </r>
  <r>
    <s v="CUST101409"/>
    <n v="41"/>
    <x v="4"/>
    <s v="Male"/>
    <s v="Hyderabad"/>
    <n v="1500000"/>
    <n v="77"/>
    <x v="3"/>
    <n v="30"/>
    <n v="11400"/>
    <n v="108"/>
    <s v="Silver"/>
    <s v="Mobile App"/>
    <s v="Higher"/>
  </r>
  <r>
    <s v="CUST101410"/>
    <n v="42"/>
    <x v="4"/>
    <s v="Female"/>
    <m/>
    <n v="875000"/>
    <n v="50"/>
    <x v="0"/>
    <n v="13"/>
    <n v="2000"/>
    <n v="46"/>
    <s v="Gold"/>
    <m/>
    <s v="Higher"/>
  </r>
  <r>
    <s v="CUST101411"/>
    <n v="24"/>
    <x v="6"/>
    <m/>
    <m/>
    <n v="850000"/>
    <n v="79"/>
    <x v="3"/>
    <n v="21"/>
    <n v="10400"/>
    <n v="82"/>
    <m/>
    <s v="Mobile App"/>
    <s v="Lower"/>
  </r>
  <r>
    <s v="CUST101412"/>
    <n v="69"/>
    <x v="1"/>
    <s v="Male"/>
    <m/>
    <n v="775000"/>
    <n v="32"/>
    <x v="2"/>
    <n v="41"/>
    <n v="8500"/>
    <n v="126"/>
    <s v="Gold"/>
    <m/>
    <s v="Higher"/>
  </r>
  <r>
    <s v="CUST101413"/>
    <n v="23"/>
    <x v="6"/>
    <s v="Female"/>
    <s v="Hyderabad"/>
    <n v="775000"/>
    <n v="98"/>
    <x v="3"/>
    <n v="19"/>
    <n v="11500"/>
    <n v="84"/>
    <s v="Bronze"/>
    <s v="Website"/>
    <s v="Higher"/>
  </r>
  <r>
    <s v="CUST101414"/>
    <m/>
    <x v="5"/>
    <s v="Unknown"/>
    <s v="Mumbai"/>
    <n v="1050000"/>
    <n v="43"/>
    <x v="0"/>
    <n v="48"/>
    <n v="5200"/>
    <n v="290"/>
    <s v="Gold"/>
    <s v="Website"/>
    <s v="Lower"/>
  </r>
  <r>
    <s v="CUST101415"/>
    <n v="41"/>
    <x v="4"/>
    <s v="Female"/>
    <m/>
    <n v="1450000"/>
    <n v="95"/>
    <x v="3"/>
    <n v="63"/>
    <n v="3200"/>
    <n v="71"/>
    <s v="Platinum"/>
    <m/>
    <s v="Higher"/>
  </r>
  <r>
    <s v="CUST101416"/>
    <n v="50"/>
    <x v="2"/>
    <s v="Unknown"/>
    <s v="Hyderabad"/>
    <n v="875000"/>
    <n v="78"/>
    <x v="3"/>
    <n v="20"/>
    <n v="7900"/>
    <n v="175"/>
    <s v="Silver"/>
    <s v="Mobile App"/>
    <s v="Lower"/>
  </r>
  <r>
    <s v="CUST101417"/>
    <n v="66"/>
    <x v="1"/>
    <s v="Female"/>
    <s v="Pune"/>
    <n v="200000"/>
    <n v="54"/>
    <x v="0"/>
    <n v="64"/>
    <n v="4100"/>
    <n v="316"/>
    <m/>
    <s v="Mobile App"/>
    <s v="Higher"/>
  </r>
  <r>
    <s v="CUST101418"/>
    <n v="46"/>
    <x v="2"/>
    <s v="Unknown"/>
    <s v="Chennai"/>
    <n v="1200000"/>
    <n v="47"/>
    <x v="0"/>
    <n v="37"/>
    <n v="11800"/>
    <n v="330"/>
    <m/>
    <s v="In-store"/>
    <s v="Lower"/>
  </r>
  <r>
    <s v="CUST101419"/>
    <n v="60"/>
    <x v="0"/>
    <s v="Male"/>
    <s v="Pune"/>
    <n v="300000"/>
    <n v="14"/>
    <x v="2"/>
    <n v="31"/>
    <n v="1400"/>
    <n v="337"/>
    <s v="Platinum"/>
    <s v="Online"/>
    <s v="Higher"/>
  </r>
  <r>
    <s v="CUST101420"/>
    <n v="39"/>
    <x v="4"/>
    <s v="Female"/>
    <s v="Ahmedabad"/>
    <n v="1350000"/>
    <n v="48"/>
    <x v="0"/>
    <n v="74"/>
    <n v="10000"/>
    <n v="354"/>
    <s v="Platinum"/>
    <s v="Online"/>
    <s v="Higher"/>
  </r>
  <r>
    <s v="CUST101421"/>
    <n v="43"/>
    <x v="4"/>
    <s v="Female"/>
    <s v="Bengaluru"/>
    <n v="1950000"/>
    <n v="55"/>
    <x v="0"/>
    <n v="18"/>
    <n v="6100"/>
    <n v="91"/>
    <s v="Platinum"/>
    <m/>
    <s v="Higher"/>
  </r>
  <r>
    <s v="CUST101422"/>
    <n v="45"/>
    <x v="2"/>
    <s v="Male"/>
    <s v="Hyderabad"/>
    <n v="1150000"/>
    <n v="29"/>
    <x v="2"/>
    <n v="20"/>
    <n v="7800"/>
    <n v="351"/>
    <s v="Bronze"/>
    <s v="Online"/>
    <s v="Higher"/>
  </r>
  <r>
    <s v="CUST101423"/>
    <n v="67"/>
    <x v="1"/>
    <s v="Female"/>
    <s v="Delhi"/>
    <s v="unknown"/>
    <n v="47"/>
    <x v="0"/>
    <n v="11"/>
    <n v="4600"/>
    <n v="249"/>
    <s v="Silver"/>
    <m/>
    <s v="Higher"/>
  </r>
  <r>
    <s v="CUST101424"/>
    <n v="38"/>
    <x v="4"/>
    <s v="Male"/>
    <s v="Delhi"/>
    <n v="1475000"/>
    <n v="63"/>
    <x v="0"/>
    <n v="44"/>
    <n v="9000"/>
    <n v="132"/>
    <s v="Bronze"/>
    <s v="Website"/>
    <s v="Higher"/>
  </r>
  <r>
    <s v="CUST101425"/>
    <n v="66"/>
    <x v="1"/>
    <s v="Female"/>
    <s v="Kolkata"/>
    <n v="1850000"/>
    <n v="19"/>
    <x v="2"/>
    <n v="64"/>
    <n v="600"/>
    <n v="169"/>
    <s v="Platinum"/>
    <m/>
    <s v="Higher"/>
  </r>
  <r>
    <s v="CUST101426"/>
    <n v="24"/>
    <x v="6"/>
    <s v="Female"/>
    <m/>
    <n v="800000"/>
    <n v="91"/>
    <x v="3"/>
    <n v="34"/>
    <n v="3800"/>
    <n v="60"/>
    <s v="Silver"/>
    <m/>
    <s v="Higher"/>
  </r>
  <r>
    <s v="CUST101427"/>
    <n v="34"/>
    <x v="3"/>
    <s v="Unknown"/>
    <m/>
    <n v="325000"/>
    <n v="9"/>
    <x v="2"/>
    <n v="65"/>
    <n v="11600"/>
    <n v="337"/>
    <s v="Platinum"/>
    <s v="Online"/>
    <s v="Lower"/>
  </r>
  <r>
    <s v="CUST101428"/>
    <n v="37"/>
    <x v="4"/>
    <s v="Female"/>
    <m/>
    <n v="925000"/>
    <m/>
    <x v="1"/>
    <n v="55"/>
    <n v="5000"/>
    <n v="241"/>
    <s v="Silver"/>
    <s v="Mobile App"/>
    <s v="Higher"/>
  </r>
  <r>
    <s v="CUST101429"/>
    <n v="58"/>
    <x v="0"/>
    <s v="Female"/>
    <s v="Pune"/>
    <n v="1725000"/>
    <n v="37"/>
    <x v="0"/>
    <n v="74"/>
    <n v="1600"/>
    <n v="190"/>
    <m/>
    <s v="Website"/>
    <s v="Higher"/>
  </r>
  <r>
    <s v="CUST101430"/>
    <n v="66"/>
    <x v="1"/>
    <m/>
    <s v="Chennai"/>
    <n v="375000"/>
    <n v="92"/>
    <x v="3"/>
    <n v="1"/>
    <n v="8300"/>
    <n v="340"/>
    <s v="Bronze"/>
    <s v="In-store"/>
    <s v="Lower"/>
  </r>
  <r>
    <s v="CUST101431"/>
    <n v="37"/>
    <x v="4"/>
    <s v="Female"/>
    <s v="Hyderabad"/>
    <n v="450000"/>
    <n v="52"/>
    <x v="0"/>
    <n v="38"/>
    <n v="5100"/>
    <n v="281"/>
    <m/>
    <m/>
    <s v="Higher"/>
  </r>
  <r>
    <s v="CUST101432"/>
    <m/>
    <x v="5"/>
    <s v="Male"/>
    <s v="Mumbai"/>
    <n v="1700000"/>
    <n v="57"/>
    <x v="0"/>
    <n v="9"/>
    <n v="6900"/>
    <n v="232"/>
    <s v="Platinum"/>
    <m/>
    <s v="Higher"/>
  </r>
  <r>
    <s v="CUST101433"/>
    <n v="39"/>
    <x v="4"/>
    <s v="Male"/>
    <s v="Kolkata"/>
    <n v="1000000"/>
    <n v="88"/>
    <x v="3"/>
    <n v="71"/>
    <n v="10400"/>
    <n v="289"/>
    <s v="Platinum"/>
    <m/>
    <s v="Higher"/>
  </r>
  <r>
    <s v="CUST101434"/>
    <n v="45"/>
    <x v="2"/>
    <s v="Male"/>
    <s v="Ahmedabad"/>
    <n v="1650000"/>
    <n v="28"/>
    <x v="2"/>
    <n v="17"/>
    <n v="8900"/>
    <n v="275"/>
    <s v="Gold"/>
    <m/>
    <s v="Higher"/>
  </r>
  <r>
    <s v="CUST101435"/>
    <n v="57"/>
    <x v="0"/>
    <s v="Male"/>
    <m/>
    <n v="1475000"/>
    <n v="36"/>
    <x v="0"/>
    <n v="52"/>
    <n v="7900"/>
    <n v="313"/>
    <m/>
    <s v="Mobile App"/>
    <s v="Higher"/>
  </r>
  <r>
    <s v="CUST101436"/>
    <n v="66"/>
    <x v="1"/>
    <s v="Unknown"/>
    <s v="Ahmedabad"/>
    <n v="325000"/>
    <n v="64"/>
    <x v="0"/>
    <n v="18"/>
    <n v="1100"/>
    <n v="15"/>
    <m/>
    <s v="In-store"/>
    <s v="Lower"/>
  </r>
  <r>
    <s v="CUST101437"/>
    <n v="24"/>
    <x v="6"/>
    <s v="Female"/>
    <s v="Hyderabad"/>
    <n v="850000"/>
    <n v="18"/>
    <x v="2"/>
    <n v="63"/>
    <n v="2300"/>
    <n v="41"/>
    <s v="Platinum"/>
    <m/>
    <s v="Higher"/>
  </r>
  <r>
    <s v="CUST101438"/>
    <n v="18"/>
    <x v="6"/>
    <s v="Male"/>
    <s v="Bengaluru"/>
    <n v="1150000"/>
    <n v="89"/>
    <x v="3"/>
    <n v="33"/>
    <n v="10700"/>
    <n v="208"/>
    <s v="Bronze"/>
    <s v="Online"/>
    <s v="Higher"/>
  </r>
  <r>
    <s v="CUST101439"/>
    <n v="49"/>
    <x v="2"/>
    <s v="Male"/>
    <m/>
    <n v="875000"/>
    <n v="35"/>
    <x v="0"/>
    <n v="4"/>
    <n v="7400"/>
    <n v="60"/>
    <m/>
    <s v="Website"/>
    <s v="Higher"/>
  </r>
  <r>
    <s v="CUST101440"/>
    <n v="30"/>
    <x v="3"/>
    <m/>
    <m/>
    <n v="650000"/>
    <n v="68"/>
    <x v="3"/>
    <n v="75"/>
    <n v="8300"/>
    <m/>
    <s v="Platinum"/>
    <s v="Mobile App"/>
    <s v="Lower"/>
  </r>
  <r>
    <s v="CUST101441"/>
    <n v="47"/>
    <x v="2"/>
    <s v="Female"/>
    <s v="Pune"/>
    <m/>
    <n v="78"/>
    <x v="3"/>
    <n v="52"/>
    <n v="1800"/>
    <n v="240"/>
    <s v="Bronze"/>
    <s v="In-store"/>
    <s v="Higher"/>
  </r>
  <r>
    <s v="CUST101442"/>
    <n v="40"/>
    <x v="4"/>
    <s v="Unknown"/>
    <s v="Hyderabad"/>
    <n v="400000"/>
    <n v="39"/>
    <x v="0"/>
    <n v="9"/>
    <n v="1800"/>
    <n v="96"/>
    <s v="Gold"/>
    <s v="Website"/>
    <s v="Lower"/>
  </r>
  <r>
    <s v="CUST101443"/>
    <n v="68"/>
    <x v="1"/>
    <s v="Male"/>
    <s v="Bengaluru"/>
    <n v="175000"/>
    <n v="90"/>
    <x v="3"/>
    <n v="64"/>
    <n v="3000"/>
    <n v="278"/>
    <s v="Gold"/>
    <s v="Online"/>
    <s v="Higher"/>
  </r>
  <r>
    <s v="CUST101444"/>
    <n v="36"/>
    <x v="4"/>
    <s v="Unknown"/>
    <s v="Pune"/>
    <n v="1375000"/>
    <n v="8"/>
    <x v="2"/>
    <n v="30"/>
    <n v="5300"/>
    <n v="160"/>
    <s v="Bronze"/>
    <s v="Website"/>
    <s v="Lower"/>
  </r>
  <r>
    <s v="CUST101445"/>
    <n v="49"/>
    <x v="2"/>
    <s v="Female"/>
    <s v="Bengaluru"/>
    <n v="1150000"/>
    <n v="88"/>
    <x v="3"/>
    <n v="8"/>
    <n v="5800"/>
    <n v="282"/>
    <m/>
    <m/>
    <s v="Higher"/>
  </r>
  <r>
    <s v="CUST101446"/>
    <n v="47"/>
    <x v="2"/>
    <s v="Unknown"/>
    <m/>
    <n v="1775000"/>
    <n v="80"/>
    <x v="3"/>
    <n v="5"/>
    <n v="8200"/>
    <n v="209"/>
    <s v="Bronze"/>
    <m/>
    <s v="Lower"/>
  </r>
  <r>
    <s v="CUST101447"/>
    <n v="46"/>
    <x v="2"/>
    <s v="Male"/>
    <s v="Pune"/>
    <n v="200000"/>
    <n v="84"/>
    <x v="3"/>
    <n v="76"/>
    <n v="5900"/>
    <n v="133"/>
    <m/>
    <m/>
    <s v="Higher"/>
  </r>
  <r>
    <s v="CUST101448"/>
    <n v="66"/>
    <x v="1"/>
    <s v="Male"/>
    <s v="Chennai"/>
    <n v="1400000"/>
    <n v="15"/>
    <x v="2"/>
    <n v="63"/>
    <n v="11200"/>
    <n v="97"/>
    <s v="Bronze"/>
    <s v="Mobile App"/>
    <s v="Higher"/>
  </r>
  <r>
    <s v="CUST101449"/>
    <n v="62"/>
    <x v="0"/>
    <s v="Unknown"/>
    <s v="Delhi"/>
    <n v="1825000"/>
    <n v="7"/>
    <x v="2"/>
    <n v="1"/>
    <n v="5400"/>
    <n v="219"/>
    <s v="Gold"/>
    <s v="Website"/>
    <s v="Lower"/>
  </r>
  <r>
    <s v="CUST101450"/>
    <n v="46"/>
    <x v="2"/>
    <s v="Male"/>
    <s v="Ahmedabad"/>
    <n v="750000"/>
    <n v="17"/>
    <x v="2"/>
    <n v="15"/>
    <n v="4800"/>
    <n v="71"/>
    <s v="Gold"/>
    <m/>
    <s v="Higher"/>
  </r>
  <r>
    <s v="CUST101451"/>
    <n v="47"/>
    <x v="2"/>
    <s v="Female"/>
    <s v="Chennai"/>
    <n v="875000"/>
    <n v="86"/>
    <x v="3"/>
    <n v="38"/>
    <n v="8000"/>
    <n v="274"/>
    <s v="Gold"/>
    <s v="Mobile App"/>
    <s v="Higher"/>
  </r>
  <r>
    <s v="CUST101452"/>
    <n v="33"/>
    <x v="3"/>
    <s v="Female"/>
    <m/>
    <n v="400000"/>
    <n v="86"/>
    <x v="3"/>
    <n v="42"/>
    <n v="11200"/>
    <n v="351"/>
    <m/>
    <s v="Mobile App"/>
    <s v="Higher"/>
  </r>
  <r>
    <s v="CUST101453"/>
    <n v="57"/>
    <x v="0"/>
    <s v="Male"/>
    <s v="Kolkata"/>
    <n v="550000"/>
    <n v="64"/>
    <x v="0"/>
    <n v="46"/>
    <n v="11000"/>
    <n v="134"/>
    <s v="Platinum"/>
    <m/>
    <s v="Higher"/>
  </r>
  <r>
    <s v="CUST101454"/>
    <n v="36"/>
    <x v="4"/>
    <s v="Male"/>
    <s v="Delhi"/>
    <n v="775000"/>
    <n v="12"/>
    <x v="2"/>
    <n v="53"/>
    <n v="4000"/>
    <n v="66"/>
    <m/>
    <s v="Mobile App"/>
    <s v="Higher"/>
  </r>
  <r>
    <s v="CUST101455"/>
    <n v="35"/>
    <x v="4"/>
    <s v="Unknown"/>
    <s v="Chennai"/>
    <n v="700000"/>
    <n v="82"/>
    <x v="3"/>
    <n v="26"/>
    <n v="8600"/>
    <n v="127"/>
    <s v="Platinum"/>
    <s v="Online"/>
    <s v="Lower"/>
  </r>
  <r>
    <s v="CUST101456"/>
    <n v="18"/>
    <x v="6"/>
    <s v="Female"/>
    <s v="Hyderabad"/>
    <n v="1525000"/>
    <n v="56"/>
    <x v="0"/>
    <n v="61"/>
    <n v="11100"/>
    <n v="205"/>
    <m/>
    <m/>
    <s v="Higher"/>
  </r>
  <r>
    <s v="CUST101457"/>
    <n v="31"/>
    <x v="3"/>
    <m/>
    <s v="Bengaluru"/>
    <n v="1425000"/>
    <n v="46"/>
    <x v="0"/>
    <n v="67"/>
    <n v="5000"/>
    <n v="298"/>
    <s v="Silver"/>
    <m/>
    <s v="Lower"/>
  </r>
  <r>
    <s v="CUST101458"/>
    <n v="68"/>
    <x v="1"/>
    <m/>
    <m/>
    <n v="1325000"/>
    <n v="47"/>
    <x v="0"/>
    <n v="54"/>
    <n v="4300"/>
    <n v="117"/>
    <s v="Platinum"/>
    <s v="In-store"/>
    <s v="Lower"/>
  </r>
  <r>
    <s v="CUST101459"/>
    <n v="64"/>
    <x v="0"/>
    <m/>
    <s v="Hyderabad"/>
    <n v="625000"/>
    <n v="79"/>
    <x v="3"/>
    <n v="22"/>
    <n v="10000"/>
    <n v="267"/>
    <m/>
    <s v="Online"/>
    <s v="Lower"/>
  </r>
  <r>
    <s v="CUST101460"/>
    <n v="67"/>
    <x v="1"/>
    <m/>
    <s v="Delhi"/>
    <n v="175000"/>
    <m/>
    <x v="1"/>
    <n v="26"/>
    <m/>
    <n v="282"/>
    <m/>
    <m/>
    <s v="Lower"/>
  </r>
  <r>
    <s v="CUST101461"/>
    <n v="19"/>
    <x v="6"/>
    <s v="Female"/>
    <s v="Bengaluru"/>
    <n v="900000"/>
    <n v="16"/>
    <x v="2"/>
    <n v="60"/>
    <n v="6100"/>
    <n v="149"/>
    <s v="Gold"/>
    <m/>
    <s v="Higher"/>
  </r>
  <r>
    <s v="CUST101462"/>
    <m/>
    <x v="5"/>
    <s v="Unknown"/>
    <m/>
    <n v="800000"/>
    <n v="69"/>
    <x v="3"/>
    <n v="39"/>
    <n v="9500"/>
    <n v="194"/>
    <m/>
    <m/>
    <s v="Lower"/>
  </r>
  <r>
    <s v="CUST101463"/>
    <n v="45"/>
    <x v="2"/>
    <s v="Unknown"/>
    <s v="Kolkata"/>
    <n v="175000"/>
    <n v="2"/>
    <x v="2"/>
    <n v="36"/>
    <n v="6900"/>
    <n v="168"/>
    <s v="Bronze"/>
    <s v="In-store"/>
    <s v="Lower"/>
  </r>
  <r>
    <s v="CUST101464"/>
    <n v="66"/>
    <x v="1"/>
    <m/>
    <s v="Delhi"/>
    <n v="225000"/>
    <n v="92"/>
    <x v="3"/>
    <n v="21"/>
    <n v="7600"/>
    <n v="312"/>
    <s v="Gold"/>
    <s v="Website"/>
    <s v="Lower"/>
  </r>
  <r>
    <s v="CUST101465"/>
    <n v="67"/>
    <x v="1"/>
    <s v="Female"/>
    <m/>
    <n v="450000"/>
    <n v="54"/>
    <x v="0"/>
    <n v="41"/>
    <n v="8600"/>
    <n v="179"/>
    <s v="Bronze"/>
    <s v="Website"/>
    <s v="Higher"/>
  </r>
  <r>
    <s v="CUST101466"/>
    <n v="47"/>
    <x v="2"/>
    <m/>
    <s v="Chennai"/>
    <n v="1000000"/>
    <n v="27"/>
    <x v="2"/>
    <n v="48"/>
    <n v="6800"/>
    <n v="148"/>
    <m/>
    <s v="Online"/>
    <s v="Lower"/>
  </r>
  <r>
    <s v="CUST101467"/>
    <n v="55"/>
    <x v="0"/>
    <s v="Female"/>
    <m/>
    <n v="1925000"/>
    <n v="31"/>
    <x v="2"/>
    <n v="26"/>
    <n v="2900"/>
    <n v="57"/>
    <s v="Gold"/>
    <s v="Mobile App"/>
    <s v="Higher"/>
  </r>
  <r>
    <s v="CUST101468"/>
    <n v="68"/>
    <x v="1"/>
    <s v="Female"/>
    <s v="Delhi"/>
    <n v="1775000"/>
    <n v="41"/>
    <x v="0"/>
    <n v="63"/>
    <n v="3400"/>
    <n v="5"/>
    <s v="Gold"/>
    <s v="In-store"/>
    <s v="Higher"/>
  </r>
  <r>
    <s v="CUST101469"/>
    <n v="21"/>
    <x v="6"/>
    <m/>
    <m/>
    <n v="275000"/>
    <n v="36"/>
    <x v="0"/>
    <n v="77"/>
    <n v="5800"/>
    <n v="14"/>
    <m/>
    <s v="In-store"/>
    <s v="Lower"/>
  </r>
  <r>
    <s v="CUST101470"/>
    <n v="18"/>
    <x v="6"/>
    <s v="Female"/>
    <s v="Chennai"/>
    <n v="900000"/>
    <n v="47"/>
    <x v="0"/>
    <n v="36"/>
    <n v="1200"/>
    <n v="280"/>
    <s v="Bronze"/>
    <m/>
    <s v="Higher"/>
  </r>
  <r>
    <s v="CUST101471"/>
    <n v="25"/>
    <x v="3"/>
    <s v="Female"/>
    <s v="Hyderabad"/>
    <n v="375000"/>
    <n v="43"/>
    <x v="0"/>
    <n v="24"/>
    <n v="4200"/>
    <n v="324"/>
    <s v="Silver"/>
    <m/>
    <s v="Higher"/>
  </r>
  <r>
    <s v="CUST101472"/>
    <n v="46"/>
    <x v="2"/>
    <s v="Unknown"/>
    <s v="Delhi"/>
    <n v="650000"/>
    <n v="65"/>
    <x v="0"/>
    <n v="21"/>
    <n v="1900"/>
    <n v="304"/>
    <s v="Silver"/>
    <m/>
    <s v="Lower"/>
  </r>
  <r>
    <s v="CUST101473"/>
    <s v="NA"/>
    <x v="5"/>
    <s v="Unknown"/>
    <m/>
    <n v="1975000"/>
    <n v="50"/>
    <x v="0"/>
    <n v="18"/>
    <n v="6000"/>
    <n v="216"/>
    <s v="Gold"/>
    <m/>
    <s v="Lower"/>
  </r>
  <r>
    <s v="CUST101474"/>
    <n v="56"/>
    <x v="0"/>
    <s v="Male"/>
    <s v="Mumbai"/>
    <n v="700000"/>
    <n v="93"/>
    <x v="3"/>
    <n v="15"/>
    <m/>
    <n v="175"/>
    <m/>
    <s v="In-store"/>
    <s v="Higher"/>
  </r>
  <r>
    <s v="CUST101475"/>
    <n v="20"/>
    <x v="6"/>
    <s v="Male"/>
    <s v="Kolkata"/>
    <n v="200000"/>
    <n v="1"/>
    <x v="2"/>
    <n v="79"/>
    <n v="9900"/>
    <n v="316"/>
    <s v="Gold"/>
    <s v="Mobile App"/>
    <s v="Higher"/>
  </r>
  <r>
    <s v="CUST101476"/>
    <n v="49"/>
    <x v="2"/>
    <m/>
    <m/>
    <n v="925000"/>
    <n v="72"/>
    <x v="3"/>
    <n v="6"/>
    <n v="800"/>
    <n v="3"/>
    <m/>
    <s v="Website"/>
    <s v="Lower"/>
  </r>
  <r>
    <s v="CUST101477"/>
    <n v="27"/>
    <x v="3"/>
    <m/>
    <s v="Mumbai"/>
    <n v="625000"/>
    <n v="57"/>
    <x v="0"/>
    <n v="43"/>
    <n v="4100"/>
    <n v="137"/>
    <s v="Bronze"/>
    <s v="Online"/>
    <s v="Lower"/>
  </r>
  <r>
    <s v="CUST101478"/>
    <n v="27"/>
    <x v="3"/>
    <s v="Female"/>
    <s v="Ahmedabad"/>
    <n v="1975000"/>
    <n v="16"/>
    <x v="2"/>
    <n v="31"/>
    <n v="11300"/>
    <n v="100"/>
    <s v="Gold"/>
    <m/>
    <s v="Higher"/>
  </r>
  <r>
    <s v="CUST101479"/>
    <n v="36"/>
    <x v="4"/>
    <m/>
    <s v="Bengaluru"/>
    <n v="850000"/>
    <n v="28"/>
    <x v="2"/>
    <n v="28"/>
    <n v="2000"/>
    <n v="83"/>
    <m/>
    <s v="Website"/>
    <s v="Lower"/>
  </r>
  <r>
    <s v="CUST101480"/>
    <n v="63"/>
    <x v="0"/>
    <s v="Male"/>
    <m/>
    <n v="1425000"/>
    <n v="86"/>
    <x v="3"/>
    <n v="8"/>
    <n v="7500"/>
    <n v="280"/>
    <s v="Silver"/>
    <s v="Online"/>
    <s v="Higher"/>
  </r>
  <r>
    <s v="CUST101481"/>
    <n v="51"/>
    <x v="2"/>
    <s v="Male"/>
    <s v="Pune"/>
    <n v="1275000"/>
    <n v="82"/>
    <x v="3"/>
    <n v="29"/>
    <n v="7400"/>
    <n v="132"/>
    <s v="Bronze"/>
    <s v="Mobile App"/>
    <s v="Higher"/>
  </r>
  <r>
    <s v="CUST101482"/>
    <n v="50"/>
    <x v="2"/>
    <s v="Female"/>
    <s v="Kolkata"/>
    <n v="975000"/>
    <n v="22"/>
    <x v="2"/>
    <n v="21"/>
    <n v="9100"/>
    <n v="1"/>
    <s v="Gold"/>
    <s v="In-store"/>
    <s v="Higher"/>
  </r>
  <r>
    <s v="CUST101483"/>
    <n v="40"/>
    <x v="4"/>
    <s v="Female"/>
    <m/>
    <n v="1650000"/>
    <n v="41"/>
    <x v="0"/>
    <m/>
    <n v="9700"/>
    <n v="116"/>
    <s v="Bronze"/>
    <s v="Mobile App"/>
    <s v="Higher"/>
  </r>
  <r>
    <s v="CUST101484"/>
    <s v="NA"/>
    <x v="5"/>
    <m/>
    <s v="Mumbai"/>
    <n v="1925000"/>
    <n v="76"/>
    <x v="3"/>
    <n v="58"/>
    <n v="4400"/>
    <n v="202"/>
    <m/>
    <m/>
    <s v="Lower"/>
  </r>
  <r>
    <s v="CUST101485"/>
    <n v="45"/>
    <x v="2"/>
    <s v="Male"/>
    <s v="Pune"/>
    <n v="1900000"/>
    <n v="19"/>
    <x v="2"/>
    <n v="60"/>
    <n v="600"/>
    <n v="140"/>
    <s v="Silver"/>
    <s v="In-store"/>
    <s v="Higher"/>
  </r>
  <r>
    <s v="CUST101486"/>
    <n v="49"/>
    <x v="2"/>
    <s v="Unknown"/>
    <s v="Kolkata"/>
    <n v="1875000"/>
    <n v="89"/>
    <x v="3"/>
    <n v="50"/>
    <n v="2200"/>
    <n v="146"/>
    <m/>
    <m/>
    <s v="Lower"/>
  </r>
  <r>
    <s v="CUST101487"/>
    <n v="67"/>
    <x v="1"/>
    <s v="Male"/>
    <s v="Pune"/>
    <n v="400000"/>
    <n v="50"/>
    <x v="0"/>
    <n v="31"/>
    <n v="3000"/>
    <n v="266"/>
    <s v="Bronze"/>
    <s v="Online"/>
    <s v="Higher"/>
  </r>
  <r>
    <s v="CUST101488"/>
    <n v="24"/>
    <x v="6"/>
    <s v="Male"/>
    <s v="Chennai"/>
    <n v="1700000"/>
    <n v="59"/>
    <x v="0"/>
    <n v="47"/>
    <n v="4200"/>
    <n v="202"/>
    <s v="Silver"/>
    <m/>
    <s v="Higher"/>
  </r>
  <r>
    <s v="CUST101489"/>
    <n v="46"/>
    <x v="2"/>
    <m/>
    <s v="Mumbai"/>
    <n v="650000"/>
    <n v="69"/>
    <x v="3"/>
    <n v="34"/>
    <n v="6700"/>
    <n v="152"/>
    <s v="Gold"/>
    <s v="In-store"/>
    <s v="Lower"/>
  </r>
  <r>
    <s v="CUST101490"/>
    <n v="25"/>
    <x v="3"/>
    <s v="Male"/>
    <m/>
    <n v="200000"/>
    <n v="34"/>
    <x v="0"/>
    <n v="2"/>
    <n v="10600"/>
    <n v="222"/>
    <m/>
    <s v="Online"/>
    <s v="Higher"/>
  </r>
  <r>
    <s v="CUST101491"/>
    <n v="18"/>
    <x v="6"/>
    <m/>
    <s v="Chennai"/>
    <n v="375000"/>
    <n v="39"/>
    <x v="0"/>
    <n v="67"/>
    <m/>
    <n v="79"/>
    <m/>
    <s v="Online"/>
    <s v="Lower"/>
  </r>
  <r>
    <s v="CUST101492"/>
    <s v="NA"/>
    <x v="5"/>
    <s v="Unknown"/>
    <s v="Kolkata"/>
    <n v="800000"/>
    <n v="74"/>
    <x v="3"/>
    <n v="72"/>
    <n v="4600"/>
    <n v="200"/>
    <s v="Platinum"/>
    <m/>
    <s v="Lower"/>
  </r>
  <r>
    <s v="CUST101493"/>
    <n v="20"/>
    <x v="6"/>
    <s v="Female"/>
    <s v="Kolkata"/>
    <n v="425000"/>
    <n v="7"/>
    <x v="2"/>
    <n v="52"/>
    <n v="2500"/>
    <n v="250"/>
    <s v="Bronze"/>
    <s v="Online"/>
    <s v="Higher"/>
  </r>
  <r>
    <s v="CUST101494"/>
    <n v="41"/>
    <x v="4"/>
    <s v="Female"/>
    <s v="Delhi"/>
    <n v="300000"/>
    <m/>
    <x v="1"/>
    <n v="7"/>
    <n v="5900"/>
    <n v="99"/>
    <s v="Silver"/>
    <s v="In-store"/>
    <s v="Higher"/>
  </r>
  <r>
    <s v="CUST101495"/>
    <n v="40"/>
    <x v="4"/>
    <s v="Unknown"/>
    <s v="Mumbai"/>
    <n v="550000"/>
    <n v="52"/>
    <x v="0"/>
    <n v="76"/>
    <n v="4900"/>
    <n v="213"/>
    <s v="Bronze"/>
    <m/>
    <s v="Lower"/>
  </r>
  <r>
    <s v="CUST101496"/>
    <n v="25"/>
    <x v="3"/>
    <s v="Female"/>
    <s v="Ahmedabad"/>
    <n v="1750000"/>
    <n v="60"/>
    <x v="0"/>
    <n v="19"/>
    <n v="1500"/>
    <n v="143"/>
    <s v="Gold"/>
    <m/>
    <s v="Higher"/>
  </r>
  <r>
    <s v="CUST101497"/>
    <m/>
    <x v="5"/>
    <s v="Female"/>
    <s v="Ahmedabad"/>
    <n v="1725000"/>
    <n v="52"/>
    <x v="0"/>
    <n v="15"/>
    <n v="1800"/>
    <n v="190"/>
    <s v="Gold"/>
    <s v="In-store"/>
    <s v="Higher"/>
  </r>
  <r>
    <s v="CUST101498"/>
    <n v="64"/>
    <x v="0"/>
    <s v="Male"/>
    <s v="Kolkata"/>
    <n v="775000"/>
    <n v="79"/>
    <x v="3"/>
    <n v="78"/>
    <n v="9200"/>
    <n v="301"/>
    <m/>
    <m/>
    <s v="Higher"/>
  </r>
  <r>
    <s v="CUST101499"/>
    <n v="54"/>
    <x v="2"/>
    <s v="Female"/>
    <s v="Ahmedabad"/>
    <n v="500000"/>
    <n v="24"/>
    <x v="2"/>
    <n v="48"/>
    <n v="5700"/>
    <n v="52"/>
    <m/>
    <s v="Mobile App"/>
    <s v="Higher"/>
  </r>
  <r>
    <s v="CUST101500"/>
    <n v="20"/>
    <x v="6"/>
    <s v="Male"/>
    <s v="Bengaluru"/>
    <n v="950000"/>
    <n v="26"/>
    <x v="2"/>
    <n v="14"/>
    <n v="9700"/>
    <n v="112"/>
    <s v="Silver"/>
    <s v="In-store"/>
    <s v="Higher"/>
  </r>
  <r>
    <s v="CUST101501"/>
    <n v="68"/>
    <x v="1"/>
    <s v="Male"/>
    <s v="Delhi"/>
    <n v="1675000"/>
    <n v="90"/>
    <x v="3"/>
    <n v="3"/>
    <n v="11600"/>
    <n v="135"/>
    <m/>
    <m/>
    <s v="Higher"/>
  </r>
  <r>
    <s v="CUST101502"/>
    <n v="50"/>
    <x v="2"/>
    <m/>
    <s v="Kolkata"/>
    <n v="1300000"/>
    <n v="90"/>
    <x v="3"/>
    <n v="50"/>
    <n v="6700"/>
    <n v="112"/>
    <s v="Bronze"/>
    <s v="In-store"/>
    <s v="Lower"/>
  </r>
  <r>
    <s v="CUST101503"/>
    <n v="45"/>
    <x v="2"/>
    <s v="Unknown"/>
    <s v="Ahmedabad"/>
    <n v="1000000"/>
    <n v="10"/>
    <x v="2"/>
    <n v="54"/>
    <n v="8300"/>
    <n v="13"/>
    <s v="Bronze"/>
    <s v="Online"/>
    <s v="Lower"/>
  </r>
  <r>
    <s v="CUST101504"/>
    <n v="64"/>
    <x v="0"/>
    <s v="Female"/>
    <s v="Mumbai"/>
    <n v="1750000"/>
    <n v="17"/>
    <x v="2"/>
    <n v="6"/>
    <n v="1800"/>
    <n v="273"/>
    <s v="Gold"/>
    <s v="Online"/>
    <s v="Higher"/>
  </r>
  <r>
    <s v="CUST101505"/>
    <n v="25"/>
    <x v="3"/>
    <m/>
    <m/>
    <n v="1925000"/>
    <n v="78"/>
    <x v="3"/>
    <n v="49"/>
    <m/>
    <n v="233"/>
    <s v="Bronze"/>
    <s v="In-store"/>
    <s v="Lower"/>
  </r>
  <r>
    <s v="CUST101506"/>
    <n v="51"/>
    <x v="2"/>
    <s v="Unknown"/>
    <m/>
    <m/>
    <n v="2"/>
    <x v="2"/>
    <n v="23"/>
    <n v="3900"/>
    <n v="44"/>
    <s v="Silver"/>
    <m/>
    <s v="Lower"/>
  </r>
  <r>
    <s v="CUST101507"/>
    <n v="52"/>
    <x v="2"/>
    <s v="Unknown"/>
    <s v="Chennai"/>
    <n v="750000"/>
    <n v="77"/>
    <x v="3"/>
    <n v="78"/>
    <n v="5400"/>
    <n v="73"/>
    <s v="Platinum"/>
    <s v="Mobile App"/>
    <s v="Lower"/>
  </r>
  <r>
    <s v="CUST101508"/>
    <n v="49"/>
    <x v="2"/>
    <m/>
    <s v="Chennai"/>
    <n v="1550000"/>
    <n v="27"/>
    <x v="2"/>
    <n v="78"/>
    <n v="11900"/>
    <n v="261"/>
    <m/>
    <s v="Online"/>
    <s v="Lower"/>
  </r>
  <r>
    <s v="CUST101509"/>
    <n v="41"/>
    <x v="4"/>
    <m/>
    <s v="Bengaluru"/>
    <n v="925000"/>
    <n v="73"/>
    <x v="3"/>
    <n v="20"/>
    <n v="1200"/>
    <n v="231"/>
    <s v="Gold"/>
    <m/>
    <s v="Lower"/>
  </r>
  <r>
    <s v="CUST101510"/>
    <n v="31"/>
    <x v="3"/>
    <s v="Unknown"/>
    <s v="Pune"/>
    <n v="1700000"/>
    <n v="71"/>
    <x v="3"/>
    <n v="77"/>
    <n v="4000"/>
    <n v="33"/>
    <m/>
    <s v="Online"/>
    <s v="Lower"/>
  </r>
  <r>
    <s v="CUST101511"/>
    <n v="49"/>
    <x v="2"/>
    <m/>
    <s v="Mumbai"/>
    <n v="425000"/>
    <n v="48"/>
    <x v="0"/>
    <n v="60"/>
    <n v="4600"/>
    <n v="68"/>
    <m/>
    <m/>
    <s v="Lower"/>
  </r>
  <r>
    <s v="CUST101512"/>
    <n v="63"/>
    <x v="0"/>
    <s v="Male"/>
    <s v="Pune"/>
    <n v="1700000"/>
    <n v="74"/>
    <x v="3"/>
    <n v="45"/>
    <n v="9700"/>
    <n v="16"/>
    <m/>
    <s v="Mobile App"/>
    <s v="Higher"/>
  </r>
  <r>
    <s v="CUST101513"/>
    <n v="60"/>
    <x v="0"/>
    <s v="Male"/>
    <s v="Delhi"/>
    <s v="unknown"/>
    <n v="9"/>
    <x v="2"/>
    <n v="61"/>
    <n v="7600"/>
    <n v="150"/>
    <s v="Platinum"/>
    <s v="Online"/>
    <s v="Higher"/>
  </r>
  <r>
    <s v="CUST101514"/>
    <n v="33"/>
    <x v="3"/>
    <s v="Unknown"/>
    <m/>
    <n v="150000"/>
    <n v="86"/>
    <x v="3"/>
    <n v="56"/>
    <n v="5600"/>
    <n v="292"/>
    <s v="Bronze"/>
    <m/>
    <s v="Lower"/>
  </r>
  <r>
    <s v="CUST101515"/>
    <n v="21"/>
    <x v="6"/>
    <s v="Male"/>
    <s v="Delhi"/>
    <n v="1400000"/>
    <n v="23"/>
    <x v="2"/>
    <n v="2"/>
    <n v="11500"/>
    <n v="102"/>
    <m/>
    <m/>
    <s v="Higher"/>
  </r>
  <r>
    <s v="CUST101516"/>
    <n v="69"/>
    <x v="1"/>
    <s v="Female"/>
    <s v="Kolkata"/>
    <n v="1875000"/>
    <n v="71"/>
    <x v="3"/>
    <n v="45"/>
    <n v="10000"/>
    <n v="186"/>
    <m/>
    <s v="Online"/>
    <s v="Higher"/>
  </r>
  <r>
    <s v="CUST101517"/>
    <n v="54"/>
    <x v="2"/>
    <m/>
    <s v="Mumbai"/>
    <n v="325000"/>
    <n v="73"/>
    <x v="3"/>
    <n v="40"/>
    <n v="5300"/>
    <n v="25"/>
    <s v="Silver"/>
    <s v="Online"/>
    <s v="Lower"/>
  </r>
  <r>
    <s v="CUST101518"/>
    <m/>
    <x v="5"/>
    <m/>
    <s v="Kolkata"/>
    <n v="1825000"/>
    <n v="27"/>
    <x v="2"/>
    <n v="24"/>
    <n v="5400"/>
    <n v="72"/>
    <m/>
    <s v="In-store"/>
    <s v="Lower"/>
  </r>
  <r>
    <s v="CUST101519"/>
    <n v="38"/>
    <x v="4"/>
    <s v="Unknown"/>
    <s v="Hyderabad"/>
    <n v="250000"/>
    <n v="88"/>
    <x v="3"/>
    <n v="29"/>
    <n v="7200"/>
    <n v="81"/>
    <m/>
    <m/>
    <s v="Lower"/>
  </r>
  <r>
    <s v="CUST101520"/>
    <n v="31"/>
    <x v="3"/>
    <s v="Male"/>
    <s v="Ahmedabad"/>
    <n v="1100000"/>
    <n v="93"/>
    <x v="3"/>
    <n v="67"/>
    <n v="9400"/>
    <n v="61"/>
    <s v="Bronze"/>
    <m/>
    <s v="Higher"/>
  </r>
  <r>
    <s v="CUST101521"/>
    <n v="48"/>
    <x v="2"/>
    <s v="Female"/>
    <s v="Chennai"/>
    <n v="700000"/>
    <n v="81"/>
    <x v="3"/>
    <n v="68"/>
    <n v="9400"/>
    <n v="18"/>
    <s v="Silver"/>
    <s v="In-store"/>
    <s v="Higher"/>
  </r>
  <r>
    <s v="CUST101522"/>
    <s v="NA"/>
    <x v="5"/>
    <m/>
    <m/>
    <n v="1825000"/>
    <n v="84"/>
    <x v="3"/>
    <n v="66"/>
    <n v="6100"/>
    <n v="242"/>
    <s v="Bronze"/>
    <m/>
    <s v="Lower"/>
  </r>
  <r>
    <s v="CUST101523"/>
    <n v="65"/>
    <x v="0"/>
    <m/>
    <s v="Kolkata"/>
    <n v="1425000"/>
    <n v="71"/>
    <x v="3"/>
    <n v="54"/>
    <n v="1500"/>
    <n v="58"/>
    <m/>
    <s v="Website"/>
    <s v="Lower"/>
  </r>
  <r>
    <s v="CUST101524"/>
    <n v="35"/>
    <x v="4"/>
    <m/>
    <s v="Pune"/>
    <n v="225000"/>
    <n v="43"/>
    <x v="0"/>
    <n v="53"/>
    <n v="4300"/>
    <n v="332"/>
    <s v="Bronze"/>
    <s v="Mobile App"/>
    <s v="Lower"/>
  </r>
  <r>
    <s v="CUST101525"/>
    <n v="24"/>
    <x v="6"/>
    <s v="Unknown"/>
    <s v="Hyderabad"/>
    <n v="1300000"/>
    <n v="7"/>
    <x v="2"/>
    <n v="79"/>
    <n v="1400"/>
    <n v="57"/>
    <s v="Bronze"/>
    <m/>
    <s v="Lower"/>
  </r>
  <r>
    <s v="CUST101526"/>
    <n v="27"/>
    <x v="3"/>
    <s v="Unknown"/>
    <s v="Chennai"/>
    <n v="650000"/>
    <n v="92"/>
    <x v="3"/>
    <n v="49"/>
    <n v="5200"/>
    <n v="97"/>
    <s v="Gold"/>
    <s v="Website"/>
    <s v="Lower"/>
  </r>
  <r>
    <s v="CUST101527"/>
    <n v="24"/>
    <x v="6"/>
    <s v="Female"/>
    <s v="Kolkata"/>
    <n v="1525000"/>
    <n v="83"/>
    <x v="3"/>
    <n v="32"/>
    <n v="10600"/>
    <n v="215"/>
    <s v="Platinum"/>
    <m/>
    <s v="Higher"/>
  </r>
  <r>
    <s v="CUST101528"/>
    <n v="50"/>
    <x v="2"/>
    <s v="Male"/>
    <s v="Hyderabad"/>
    <n v="1775000"/>
    <n v="63"/>
    <x v="0"/>
    <n v="61"/>
    <n v="5900"/>
    <n v="319"/>
    <m/>
    <s v="Mobile App"/>
    <s v="Higher"/>
  </r>
  <r>
    <s v="CUST101529"/>
    <n v="40"/>
    <x v="4"/>
    <s v="Male"/>
    <s v="Hyderabad"/>
    <n v="1600000"/>
    <n v="84"/>
    <x v="3"/>
    <n v="42"/>
    <n v="5200"/>
    <n v="12"/>
    <s v="Platinum"/>
    <m/>
    <s v="Higher"/>
  </r>
  <r>
    <s v="CUST101530"/>
    <n v="38"/>
    <x v="4"/>
    <m/>
    <s v="Mumbai"/>
    <n v="300000"/>
    <n v="44"/>
    <x v="0"/>
    <n v="1"/>
    <m/>
    <n v="11"/>
    <s v="Platinum"/>
    <s v="Online"/>
    <s v="Lower"/>
  </r>
  <r>
    <s v="CUST101531"/>
    <n v="36"/>
    <x v="4"/>
    <m/>
    <s v="Delhi"/>
    <n v="1350000"/>
    <n v="39"/>
    <x v="0"/>
    <n v="63"/>
    <n v="5900"/>
    <n v="163"/>
    <s v="Silver"/>
    <m/>
    <s v="Lower"/>
  </r>
  <r>
    <s v="CUST101532"/>
    <n v="65"/>
    <x v="0"/>
    <s v="Female"/>
    <s v="Hyderabad"/>
    <n v="525000"/>
    <n v="40"/>
    <x v="0"/>
    <n v="35"/>
    <n v="5600"/>
    <n v="283"/>
    <s v="Gold"/>
    <s v="Mobile App"/>
    <s v="Higher"/>
  </r>
  <r>
    <s v="CUST101533"/>
    <n v="36"/>
    <x v="4"/>
    <s v="Female"/>
    <s v="Bengaluru"/>
    <n v="550000"/>
    <n v="7"/>
    <x v="2"/>
    <n v="51"/>
    <n v="6800"/>
    <n v="217"/>
    <s v="Gold"/>
    <s v="Website"/>
    <s v="Higher"/>
  </r>
  <r>
    <s v="CUST101534"/>
    <n v="53"/>
    <x v="2"/>
    <s v="Female"/>
    <s v="Delhi"/>
    <m/>
    <n v="70"/>
    <x v="3"/>
    <n v="71"/>
    <n v="1000"/>
    <n v="360"/>
    <s v="Bronze"/>
    <s v="Online"/>
    <s v="Higher"/>
  </r>
  <r>
    <s v="CUST101535"/>
    <n v="46"/>
    <x v="2"/>
    <m/>
    <s v="Chennai"/>
    <n v="975000"/>
    <n v="25"/>
    <x v="2"/>
    <n v="45"/>
    <n v="10800"/>
    <n v="323"/>
    <s v="Platinum"/>
    <s v="Mobile App"/>
    <s v="Lower"/>
  </r>
  <r>
    <s v="CUST101536"/>
    <n v="35"/>
    <x v="4"/>
    <s v="Male"/>
    <s v="Chennai"/>
    <n v="950000"/>
    <n v="59"/>
    <x v="0"/>
    <n v="77"/>
    <n v="6500"/>
    <n v="241"/>
    <m/>
    <m/>
    <s v="Higher"/>
  </r>
  <r>
    <s v="CUST101537"/>
    <n v="19"/>
    <x v="6"/>
    <m/>
    <s v="Chennai"/>
    <n v="775000"/>
    <n v="13"/>
    <x v="2"/>
    <n v="65"/>
    <n v="1100"/>
    <n v="345"/>
    <s v="Silver"/>
    <s v="Mobile App"/>
    <s v="Lower"/>
  </r>
  <r>
    <s v="CUST101538"/>
    <n v="18"/>
    <x v="6"/>
    <s v="Female"/>
    <s v="Chennai"/>
    <n v="1775000"/>
    <n v="86"/>
    <x v="3"/>
    <n v="14"/>
    <n v="6200"/>
    <n v="45"/>
    <s v="Gold"/>
    <m/>
    <s v="Higher"/>
  </r>
  <r>
    <s v="CUST101539"/>
    <n v="64"/>
    <x v="0"/>
    <m/>
    <s v="Bengaluru"/>
    <n v="1700000"/>
    <n v="81"/>
    <x v="3"/>
    <n v="3"/>
    <n v="11600"/>
    <n v="81"/>
    <s v="Bronze"/>
    <m/>
    <s v="Lower"/>
  </r>
  <r>
    <s v="CUST101540"/>
    <n v="22"/>
    <x v="6"/>
    <s v="Male"/>
    <s v="Kolkata"/>
    <n v="1150000"/>
    <n v="86"/>
    <x v="3"/>
    <n v="24"/>
    <n v="6500"/>
    <n v="255"/>
    <m/>
    <s v="In-store"/>
    <s v="Higher"/>
  </r>
  <r>
    <s v="CUST101541"/>
    <n v="37"/>
    <x v="4"/>
    <s v="Unknown"/>
    <m/>
    <n v="1575000"/>
    <n v="98"/>
    <x v="3"/>
    <n v="65"/>
    <n v="7400"/>
    <n v="67"/>
    <s v="Platinum"/>
    <s v="In-store"/>
    <s v="Lower"/>
  </r>
  <r>
    <s v="CUST101542"/>
    <n v="28"/>
    <x v="3"/>
    <s v="Unknown"/>
    <s v="Hyderabad"/>
    <n v="375000"/>
    <n v="62"/>
    <x v="0"/>
    <n v="48"/>
    <n v="11700"/>
    <n v="102"/>
    <m/>
    <s v="Online"/>
    <s v="Lower"/>
  </r>
  <r>
    <s v="CUST101543"/>
    <n v="59"/>
    <x v="0"/>
    <m/>
    <s v="Chennai"/>
    <n v="500000"/>
    <n v="8"/>
    <x v="2"/>
    <n v="10"/>
    <n v="500"/>
    <n v="91"/>
    <s v="Gold"/>
    <s v="Mobile App"/>
    <s v="Lower"/>
  </r>
  <r>
    <s v="CUST101544"/>
    <n v="19"/>
    <x v="6"/>
    <s v="Female"/>
    <s v="Delhi"/>
    <n v="1175000"/>
    <n v="45"/>
    <x v="0"/>
    <n v="13"/>
    <n v="7500"/>
    <n v="42"/>
    <s v="Silver"/>
    <s v="Website"/>
    <s v="Higher"/>
  </r>
  <r>
    <s v="CUST101545"/>
    <n v="20"/>
    <x v="6"/>
    <s v="Female"/>
    <s v="Delhi"/>
    <n v="1550000"/>
    <n v="18"/>
    <x v="2"/>
    <n v="73"/>
    <n v="1500"/>
    <n v="276"/>
    <s v="Platinum"/>
    <s v="Online"/>
    <s v="Higher"/>
  </r>
  <r>
    <s v="CUST101546"/>
    <n v="40"/>
    <x v="4"/>
    <m/>
    <s v="Hyderabad"/>
    <n v="550000"/>
    <n v="88"/>
    <x v="3"/>
    <n v="14"/>
    <n v="1100"/>
    <n v="304"/>
    <s v="Silver"/>
    <m/>
    <s v="Lower"/>
  </r>
  <r>
    <s v="CUST101547"/>
    <s v="NA"/>
    <x v="5"/>
    <m/>
    <s v="Kolkata"/>
    <n v="1625000"/>
    <n v="60"/>
    <x v="0"/>
    <n v="10"/>
    <n v="9700"/>
    <n v="274"/>
    <m/>
    <s v="Online"/>
    <s v="Lower"/>
  </r>
  <r>
    <s v="CUST101548"/>
    <n v="29"/>
    <x v="3"/>
    <s v="Unknown"/>
    <m/>
    <n v="350000"/>
    <n v="60"/>
    <x v="0"/>
    <n v="40"/>
    <n v="9100"/>
    <n v="77"/>
    <m/>
    <m/>
    <s v="Lower"/>
  </r>
  <r>
    <s v="CUST101549"/>
    <n v="37"/>
    <x v="4"/>
    <s v="Male"/>
    <m/>
    <n v="1025000"/>
    <n v="2"/>
    <x v="2"/>
    <n v="23"/>
    <n v="5400"/>
    <n v="234"/>
    <m/>
    <m/>
    <s v="Higher"/>
  </r>
  <r>
    <s v="CUST101550"/>
    <n v="22"/>
    <x v="6"/>
    <s v="Male"/>
    <m/>
    <n v="1950000"/>
    <n v="66"/>
    <x v="0"/>
    <n v="55"/>
    <n v="11000"/>
    <n v="202"/>
    <s v="Bronze"/>
    <s v="Website"/>
    <s v="Higher"/>
  </r>
  <r>
    <s v="CUST101551"/>
    <n v="54"/>
    <x v="2"/>
    <s v="Male"/>
    <s v="Kolkata"/>
    <n v="1025000"/>
    <n v="91"/>
    <x v="3"/>
    <n v="63"/>
    <n v="6400"/>
    <n v="221"/>
    <s v="Platinum"/>
    <s v="Mobile App"/>
    <s v="Higher"/>
  </r>
  <r>
    <s v="CUST101552"/>
    <n v="55"/>
    <x v="0"/>
    <m/>
    <s v="Hyderabad"/>
    <n v="1325000"/>
    <n v="14"/>
    <x v="2"/>
    <n v="71"/>
    <m/>
    <n v="262"/>
    <m/>
    <m/>
    <s v="Lower"/>
  </r>
  <r>
    <s v="CUST101553"/>
    <n v="47"/>
    <x v="2"/>
    <s v="Male"/>
    <m/>
    <n v="1400000"/>
    <n v="48"/>
    <x v="0"/>
    <n v="42"/>
    <n v="11100"/>
    <n v="39"/>
    <s v="Gold"/>
    <s v="Mobile App"/>
    <s v="Higher"/>
  </r>
  <r>
    <s v="CUST101554"/>
    <n v="26"/>
    <x v="3"/>
    <m/>
    <m/>
    <n v="1875000"/>
    <n v="56"/>
    <x v="0"/>
    <n v="66"/>
    <n v="1000"/>
    <n v="11"/>
    <m/>
    <s v="Mobile App"/>
    <s v="Lower"/>
  </r>
  <r>
    <s v="CUST101555"/>
    <n v="51"/>
    <x v="2"/>
    <s v="Male"/>
    <m/>
    <n v="1975000"/>
    <n v="12"/>
    <x v="2"/>
    <n v="79"/>
    <n v="11300"/>
    <n v="112"/>
    <s v="Gold"/>
    <s v="Online"/>
    <s v="Higher"/>
  </r>
  <r>
    <s v="CUST101556"/>
    <m/>
    <x v="5"/>
    <m/>
    <s v="Pune"/>
    <n v="1825000"/>
    <n v="96"/>
    <x v="3"/>
    <n v="73"/>
    <n v="9700"/>
    <n v="108"/>
    <s v="Silver"/>
    <m/>
    <s v="Lower"/>
  </r>
  <r>
    <s v="CUST101557"/>
    <n v="61"/>
    <x v="0"/>
    <m/>
    <s v="Bengaluru"/>
    <n v="675000"/>
    <n v="92"/>
    <x v="3"/>
    <n v="47"/>
    <n v="4700"/>
    <n v="94"/>
    <m/>
    <s v="Online"/>
    <s v="Lower"/>
  </r>
  <r>
    <s v="CUST101558"/>
    <n v="52"/>
    <x v="2"/>
    <s v="Female"/>
    <s v="Hyderabad"/>
    <s v="unknown"/>
    <n v="55"/>
    <x v="0"/>
    <m/>
    <n v="5500"/>
    <n v="311"/>
    <m/>
    <s v="In-store"/>
    <s v="Higher"/>
  </r>
  <r>
    <s v="CUST101559"/>
    <n v="69"/>
    <x v="1"/>
    <m/>
    <s v="Ahmedabad"/>
    <n v="275000"/>
    <n v="28"/>
    <x v="2"/>
    <n v="52"/>
    <n v="11100"/>
    <n v="84"/>
    <s v="Gold"/>
    <s v="In-store"/>
    <s v="Lower"/>
  </r>
  <r>
    <s v="CUST101560"/>
    <n v="39"/>
    <x v="4"/>
    <m/>
    <s v="Mumbai"/>
    <n v="775000"/>
    <n v="89"/>
    <x v="3"/>
    <n v="18"/>
    <n v="6500"/>
    <n v="58"/>
    <m/>
    <s v="Mobile App"/>
    <s v="Lower"/>
  </r>
  <r>
    <s v="CUST101561"/>
    <n v="61"/>
    <x v="0"/>
    <s v="Unknown"/>
    <s v="Mumbai"/>
    <m/>
    <n v="4"/>
    <x v="2"/>
    <n v="79"/>
    <n v="9700"/>
    <n v="293"/>
    <s v="Gold"/>
    <m/>
    <s v="Lower"/>
  </r>
  <r>
    <s v="CUST101562"/>
    <n v="41"/>
    <x v="4"/>
    <m/>
    <s v="Kolkata"/>
    <n v="200000"/>
    <n v="90"/>
    <x v="3"/>
    <n v="18"/>
    <n v="8300"/>
    <n v="16"/>
    <s v="Platinum"/>
    <m/>
    <s v="Lower"/>
  </r>
  <r>
    <s v="CUST101563"/>
    <n v="34"/>
    <x v="3"/>
    <s v="Unknown"/>
    <s v="Hyderabad"/>
    <n v="1425000"/>
    <n v="36"/>
    <x v="0"/>
    <n v="24"/>
    <n v="11300"/>
    <n v="326"/>
    <s v="Silver"/>
    <s v="Mobile App"/>
    <s v="Lower"/>
  </r>
  <r>
    <s v="CUST101564"/>
    <n v="27"/>
    <x v="3"/>
    <s v="Male"/>
    <s v="Hyderabad"/>
    <n v="1975000"/>
    <n v="50"/>
    <x v="0"/>
    <n v="23"/>
    <n v="5900"/>
    <n v="93"/>
    <m/>
    <m/>
    <s v="Higher"/>
  </r>
  <r>
    <s v="CUST101565"/>
    <n v="47"/>
    <x v="2"/>
    <s v="Male"/>
    <s v="Mumbai"/>
    <n v="1625000"/>
    <n v="3"/>
    <x v="2"/>
    <n v="12"/>
    <n v="5600"/>
    <n v="165"/>
    <s v="Platinum"/>
    <s v="Mobile App"/>
    <s v="Higher"/>
  </r>
  <r>
    <s v="CUST101566"/>
    <n v="63"/>
    <x v="0"/>
    <m/>
    <m/>
    <n v="1700000"/>
    <n v="1"/>
    <x v="2"/>
    <n v="23"/>
    <n v="2100"/>
    <n v="215"/>
    <m/>
    <s v="Online"/>
    <s v="Lower"/>
  </r>
  <r>
    <s v="CUST101567"/>
    <n v="40"/>
    <x v="4"/>
    <m/>
    <s v="Mumbai"/>
    <n v="1750000"/>
    <n v="17"/>
    <x v="2"/>
    <n v="21"/>
    <n v="6900"/>
    <n v="144"/>
    <m/>
    <s v="Mobile App"/>
    <s v="Lower"/>
  </r>
  <r>
    <s v="CUST101568"/>
    <n v="49"/>
    <x v="2"/>
    <s v="Female"/>
    <s v="Hyderabad"/>
    <n v="1425000"/>
    <n v="71"/>
    <x v="3"/>
    <n v="64"/>
    <n v="4800"/>
    <n v="274"/>
    <s v="Gold"/>
    <s v="Mobile App"/>
    <s v="Higher"/>
  </r>
  <r>
    <s v="CUST101569"/>
    <n v="34"/>
    <x v="3"/>
    <s v="Female"/>
    <m/>
    <m/>
    <n v="62"/>
    <x v="0"/>
    <n v="72"/>
    <n v="9600"/>
    <n v="138"/>
    <s v="Bronze"/>
    <m/>
    <s v="Higher"/>
  </r>
  <r>
    <s v="CUST101570"/>
    <n v="67"/>
    <x v="1"/>
    <s v="Male"/>
    <m/>
    <n v="475000"/>
    <n v="48"/>
    <x v="0"/>
    <n v="34"/>
    <n v="1200"/>
    <n v="204"/>
    <m/>
    <m/>
    <s v="Higher"/>
  </r>
  <r>
    <s v="CUST101571"/>
    <n v="68"/>
    <x v="1"/>
    <s v="Female"/>
    <s v="Chennai"/>
    <n v="1925000"/>
    <n v="62"/>
    <x v="0"/>
    <n v="2"/>
    <n v="11500"/>
    <n v="302"/>
    <m/>
    <m/>
    <s v="Higher"/>
  </r>
  <r>
    <s v="CUST101572"/>
    <n v="34"/>
    <x v="3"/>
    <m/>
    <s v="Ahmedabad"/>
    <n v="1825000"/>
    <n v="69"/>
    <x v="3"/>
    <n v="69"/>
    <n v="9500"/>
    <n v="210"/>
    <s v="Bronze"/>
    <m/>
    <s v="Lower"/>
  </r>
  <r>
    <s v="CUST101573"/>
    <n v="31"/>
    <x v="3"/>
    <m/>
    <s v="Pune"/>
    <n v="825000"/>
    <n v="19"/>
    <x v="2"/>
    <n v="31"/>
    <n v="10600"/>
    <n v="19"/>
    <m/>
    <s v="Mobile App"/>
    <s v="Lower"/>
  </r>
  <r>
    <s v="CUST101574"/>
    <n v="26"/>
    <x v="3"/>
    <s v="Male"/>
    <s v="Bengaluru"/>
    <n v="1900000"/>
    <n v="34"/>
    <x v="0"/>
    <n v="68"/>
    <n v="2000"/>
    <n v="294"/>
    <m/>
    <m/>
    <s v="Higher"/>
  </r>
  <r>
    <s v="CUST101575"/>
    <n v="57"/>
    <x v="0"/>
    <s v="Male"/>
    <s v="Chennai"/>
    <n v="375000"/>
    <n v="99"/>
    <x v="3"/>
    <n v="70"/>
    <n v="1400"/>
    <n v="293"/>
    <m/>
    <m/>
    <s v="Higher"/>
  </r>
  <r>
    <s v="CUST101576"/>
    <n v="19"/>
    <x v="6"/>
    <s v="Male"/>
    <s v="Delhi"/>
    <n v="1550000"/>
    <n v="49"/>
    <x v="0"/>
    <n v="19"/>
    <n v="5100"/>
    <n v="301"/>
    <s v="Silver"/>
    <s v="Website"/>
    <s v="Higher"/>
  </r>
  <r>
    <s v="CUST101577"/>
    <n v="62"/>
    <x v="0"/>
    <s v="Female"/>
    <s v="Mumbai"/>
    <n v="1775000"/>
    <n v="80"/>
    <x v="3"/>
    <n v="72"/>
    <n v="2500"/>
    <n v="162"/>
    <m/>
    <s v="Website"/>
    <s v="Higher"/>
  </r>
  <r>
    <s v="CUST101578"/>
    <n v="42"/>
    <x v="4"/>
    <m/>
    <s v="Ahmedabad"/>
    <n v="1375000"/>
    <n v="47"/>
    <x v="0"/>
    <n v="13"/>
    <n v="6400"/>
    <n v="130"/>
    <m/>
    <s v="In-store"/>
    <s v="Lower"/>
  </r>
  <r>
    <s v="CUST101579"/>
    <n v="56"/>
    <x v="0"/>
    <s v="Male"/>
    <s v="Mumbai"/>
    <n v="475000"/>
    <n v="91"/>
    <x v="3"/>
    <n v="65"/>
    <n v="1300"/>
    <n v="44"/>
    <m/>
    <s v="Online"/>
    <s v="Higher"/>
  </r>
  <r>
    <s v="CUST101580"/>
    <n v="26"/>
    <x v="3"/>
    <s v="Male"/>
    <s v="Mumbai"/>
    <n v="525000"/>
    <m/>
    <x v="1"/>
    <n v="6"/>
    <n v="7500"/>
    <n v="353"/>
    <s v="Silver"/>
    <s v="Online"/>
    <s v="Higher"/>
  </r>
  <r>
    <s v="CUST101581"/>
    <m/>
    <x v="5"/>
    <s v="Female"/>
    <s v="Chennai"/>
    <n v="1475000"/>
    <n v="50"/>
    <x v="0"/>
    <n v="71"/>
    <m/>
    <n v="83"/>
    <s v="Platinum"/>
    <m/>
    <s v="Higher"/>
  </r>
  <r>
    <s v="CUST101582"/>
    <n v="39"/>
    <x v="4"/>
    <s v="Female"/>
    <m/>
    <n v="1200000"/>
    <n v="89"/>
    <x v="3"/>
    <n v="27"/>
    <n v="5800"/>
    <n v="124"/>
    <s v="Platinum"/>
    <s v="In-store"/>
    <s v="Higher"/>
  </r>
  <r>
    <s v="CUST101583"/>
    <n v="60"/>
    <x v="0"/>
    <m/>
    <m/>
    <n v="1175000"/>
    <n v="26"/>
    <x v="2"/>
    <n v="79"/>
    <n v="9000"/>
    <n v="27"/>
    <s v="Silver"/>
    <s v="In-store"/>
    <s v="Lower"/>
  </r>
  <r>
    <s v="CUST101584"/>
    <n v="63"/>
    <x v="0"/>
    <s v="Male"/>
    <s v="Pune"/>
    <n v="675000"/>
    <n v="56"/>
    <x v="0"/>
    <n v="52"/>
    <n v="9100"/>
    <n v="304"/>
    <s v="Silver"/>
    <m/>
    <s v="Higher"/>
  </r>
  <r>
    <s v="CUST101585"/>
    <n v="21"/>
    <x v="6"/>
    <s v="Male"/>
    <m/>
    <n v="1825000"/>
    <n v="78"/>
    <x v="3"/>
    <n v="48"/>
    <n v="5700"/>
    <n v="350"/>
    <s v="Platinum"/>
    <s v="Website"/>
    <s v="Higher"/>
  </r>
  <r>
    <s v="CUST101586"/>
    <n v="43"/>
    <x v="4"/>
    <s v="Unknown"/>
    <s v="Mumbai"/>
    <n v="600000"/>
    <n v="14"/>
    <x v="2"/>
    <n v="79"/>
    <n v="2700"/>
    <n v="7"/>
    <s v="Platinum"/>
    <s v="In-store"/>
    <s v="Lower"/>
  </r>
  <r>
    <s v="CUST101587"/>
    <n v="46"/>
    <x v="2"/>
    <s v="Unknown"/>
    <s v="Kolkata"/>
    <n v="1775000"/>
    <n v="78"/>
    <x v="3"/>
    <n v="68"/>
    <n v="11300"/>
    <n v="341"/>
    <s v="Platinum"/>
    <s v="Mobile App"/>
    <s v="Lower"/>
  </r>
  <r>
    <s v="CUST101588"/>
    <n v="62"/>
    <x v="0"/>
    <m/>
    <m/>
    <n v="1100000"/>
    <n v="25"/>
    <x v="2"/>
    <n v="44"/>
    <n v="1100"/>
    <n v="199"/>
    <s v="Platinum"/>
    <m/>
    <s v="Lower"/>
  </r>
  <r>
    <s v="CUST101589"/>
    <n v="51"/>
    <x v="2"/>
    <s v="Male"/>
    <s v="Hyderabad"/>
    <n v="1950000"/>
    <n v="100"/>
    <x v="3"/>
    <n v="17"/>
    <n v="1400"/>
    <n v="112"/>
    <m/>
    <m/>
    <s v="Higher"/>
  </r>
  <r>
    <s v="CUST101590"/>
    <n v="40"/>
    <x v="4"/>
    <s v="Male"/>
    <s v="Ahmedabad"/>
    <n v="600000"/>
    <n v="4"/>
    <x v="2"/>
    <n v="38"/>
    <n v="1300"/>
    <n v="89"/>
    <m/>
    <s v="Mobile App"/>
    <s v="Higher"/>
  </r>
  <r>
    <s v="CUST101591"/>
    <n v="54"/>
    <x v="2"/>
    <m/>
    <s v="Kolkata"/>
    <n v="525000"/>
    <n v="79"/>
    <x v="3"/>
    <n v="10"/>
    <n v="11500"/>
    <n v="128"/>
    <s v="Gold"/>
    <s v="Online"/>
    <s v="Lower"/>
  </r>
  <r>
    <s v="CUST101592"/>
    <n v="28"/>
    <x v="3"/>
    <s v="Male"/>
    <s v="Chennai"/>
    <n v="1475000"/>
    <n v="32"/>
    <x v="2"/>
    <n v="54"/>
    <n v="4000"/>
    <n v="230"/>
    <s v="Silver"/>
    <s v="Website"/>
    <s v="Higher"/>
  </r>
  <r>
    <s v="CUST101593"/>
    <n v="23"/>
    <x v="6"/>
    <s v="Male"/>
    <s v="Chennai"/>
    <n v="750000"/>
    <n v="82"/>
    <x v="3"/>
    <n v="6"/>
    <n v="3000"/>
    <n v="18"/>
    <s v="Bronze"/>
    <s v="Mobile App"/>
    <s v="Higher"/>
  </r>
  <r>
    <s v="CUST101594"/>
    <n v="35"/>
    <x v="4"/>
    <s v="Female"/>
    <s v="Pune"/>
    <n v="575000"/>
    <n v="78"/>
    <x v="3"/>
    <n v="6"/>
    <n v="1000"/>
    <n v="289"/>
    <s v="Gold"/>
    <m/>
    <s v="Higher"/>
  </r>
  <r>
    <s v="CUST101595"/>
    <n v="38"/>
    <x v="4"/>
    <s v="Male"/>
    <s v="Pune"/>
    <n v="700000"/>
    <n v="65"/>
    <x v="0"/>
    <n v="52"/>
    <n v="7600"/>
    <n v="161"/>
    <s v="Bronze"/>
    <s v="Mobile App"/>
    <s v="Higher"/>
  </r>
  <r>
    <s v="CUST101596"/>
    <n v="59"/>
    <x v="0"/>
    <s v="Male"/>
    <m/>
    <n v="400000"/>
    <n v="61"/>
    <x v="0"/>
    <n v="15"/>
    <n v="9100"/>
    <n v="352"/>
    <s v="Bronze"/>
    <s v="Mobile App"/>
    <s v="Higher"/>
  </r>
  <r>
    <s v="CUST101597"/>
    <n v="53"/>
    <x v="2"/>
    <m/>
    <s v="Hyderabad"/>
    <n v="1100000"/>
    <n v="20"/>
    <x v="2"/>
    <n v="68"/>
    <n v="4900"/>
    <n v="281"/>
    <m/>
    <s v="In-store"/>
    <s v="Lower"/>
  </r>
  <r>
    <s v="CUST101598"/>
    <n v="58"/>
    <x v="0"/>
    <s v="Female"/>
    <s v="Ahmedabad"/>
    <n v="1825000"/>
    <n v="74"/>
    <x v="3"/>
    <n v="57"/>
    <n v="3800"/>
    <n v="166"/>
    <s v="Silver"/>
    <s v="Website"/>
    <s v="Higher"/>
  </r>
  <r>
    <s v="CUST101599"/>
    <n v="55"/>
    <x v="0"/>
    <m/>
    <s v="Hyderabad"/>
    <n v="750000"/>
    <n v="10"/>
    <x v="2"/>
    <n v="56"/>
    <n v="5200"/>
    <n v="260"/>
    <m/>
    <s v="Online"/>
    <s v="Lower"/>
  </r>
  <r>
    <s v="CUST101600"/>
    <n v="51"/>
    <x v="2"/>
    <m/>
    <s v="Delhi"/>
    <n v="1700000"/>
    <n v="88"/>
    <x v="3"/>
    <n v="7"/>
    <n v="10900"/>
    <n v="364"/>
    <s v="Gold"/>
    <m/>
    <s v="Lower"/>
  </r>
  <r>
    <s v="CUST101601"/>
    <n v="34"/>
    <x v="3"/>
    <s v="Male"/>
    <s v="Pune"/>
    <n v="875000"/>
    <n v="34"/>
    <x v="0"/>
    <n v="51"/>
    <n v="1100"/>
    <n v="190"/>
    <s v="Silver"/>
    <m/>
    <s v="Higher"/>
  </r>
  <r>
    <s v="CUST101602"/>
    <n v="54"/>
    <x v="2"/>
    <m/>
    <m/>
    <n v="1250000"/>
    <n v="61"/>
    <x v="0"/>
    <n v="58"/>
    <n v="10700"/>
    <n v="338"/>
    <s v="Platinum"/>
    <m/>
    <s v="Lower"/>
  </r>
  <r>
    <s v="CUST101603"/>
    <n v="42"/>
    <x v="4"/>
    <s v="Male"/>
    <s v="Bengaluru"/>
    <n v="1650000"/>
    <n v="92"/>
    <x v="3"/>
    <n v="64"/>
    <n v="6200"/>
    <n v="266"/>
    <s v="Silver"/>
    <m/>
    <s v="Higher"/>
  </r>
  <r>
    <s v="CUST101604"/>
    <n v="55"/>
    <x v="0"/>
    <m/>
    <s v="Mumbai"/>
    <n v="1400000"/>
    <n v="27"/>
    <x v="2"/>
    <n v="26"/>
    <n v="7400"/>
    <n v="291"/>
    <s v="Bronze"/>
    <s v="Online"/>
    <s v="Lower"/>
  </r>
  <r>
    <s v="CUST101605"/>
    <n v="29"/>
    <x v="3"/>
    <m/>
    <s v="Mumbai"/>
    <n v="350000"/>
    <n v="40"/>
    <x v="0"/>
    <n v="58"/>
    <n v="6900"/>
    <n v="355"/>
    <m/>
    <m/>
    <s v="Lower"/>
  </r>
  <r>
    <s v="CUST101606"/>
    <n v="40"/>
    <x v="4"/>
    <s v="Female"/>
    <s v="Bengaluru"/>
    <m/>
    <n v="65"/>
    <x v="0"/>
    <n v="31"/>
    <n v="5500"/>
    <n v="360"/>
    <s v="Platinum"/>
    <s v="In-store"/>
    <s v="Higher"/>
  </r>
  <r>
    <s v="CUST101607"/>
    <m/>
    <x v="5"/>
    <m/>
    <m/>
    <n v="175000"/>
    <n v="33"/>
    <x v="2"/>
    <n v="66"/>
    <n v="8400"/>
    <n v="279"/>
    <s v="Silver"/>
    <m/>
    <s v="Lower"/>
  </r>
  <r>
    <s v="CUST101608"/>
    <n v="59"/>
    <x v="0"/>
    <s v="Unknown"/>
    <s v="Hyderabad"/>
    <n v="250000"/>
    <n v="68"/>
    <x v="3"/>
    <n v="13"/>
    <n v="11200"/>
    <n v="217"/>
    <s v="Silver"/>
    <m/>
    <s v="Lower"/>
  </r>
  <r>
    <s v="CUST101609"/>
    <n v="39"/>
    <x v="4"/>
    <m/>
    <s v="Bengaluru"/>
    <n v="1675000"/>
    <n v="71"/>
    <x v="3"/>
    <n v="18"/>
    <n v="10100"/>
    <n v="321"/>
    <m/>
    <s v="Mobile App"/>
    <s v="Lower"/>
  </r>
  <r>
    <s v="CUST101610"/>
    <n v="38"/>
    <x v="4"/>
    <s v="Male"/>
    <m/>
    <n v="1850000"/>
    <n v="9"/>
    <x v="2"/>
    <n v="75"/>
    <n v="1900"/>
    <n v="338"/>
    <s v="Bronze"/>
    <s v="In-store"/>
    <s v="Higher"/>
  </r>
  <r>
    <s v="CUST101611"/>
    <n v="44"/>
    <x v="4"/>
    <s v="Male"/>
    <s v="Ahmedabad"/>
    <n v="1425000"/>
    <n v="16"/>
    <x v="2"/>
    <n v="13"/>
    <n v="10200"/>
    <n v="207"/>
    <s v="Platinum"/>
    <m/>
    <s v="Higher"/>
  </r>
  <r>
    <s v="CUST101612"/>
    <n v="48"/>
    <x v="2"/>
    <s v="Female"/>
    <s v="Bengaluru"/>
    <n v="250000"/>
    <n v="5"/>
    <x v="2"/>
    <n v="24"/>
    <n v="5500"/>
    <n v="153"/>
    <s v="Bronze"/>
    <s v="In-store"/>
    <s v="Higher"/>
  </r>
  <r>
    <s v="CUST101613"/>
    <n v="23"/>
    <x v="6"/>
    <s v="Male"/>
    <m/>
    <n v="1600000"/>
    <n v="98"/>
    <x v="3"/>
    <n v="57"/>
    <n v="3000"/>
    <n v="181"/>
    <m/>
    <s v="In-store"/>
    <s v="Higher"/>
  </r>
  <r>
    <s v="CUST101614"/>
    <n v="44"/>
    <x v="4"/>
    <s v="Male"/>
    <s v="Pune"/>
    <n v="1825000"/>
    <n v="23"/>
    <x v="2"/>
    <n v="29"/>
    <n v="11600"/>
    <n v="212"/>
    <s v="Silver"/>
    <s v="Online"/>
    <s v="Higher"/>
  </r>
  <r>
    <s v="CUST101615"/>
    <n v="57"/>
    <x v="0"/>
    <s v="Unknown"/>
    <s v="Kolkata"/>
    <n v="350000"/>
    <n v="43"/>
    <x v="0"/>
    <n v="56"/>
    <n v="6500"/>
    <n v="273"/>
    <s v="Gold"/>
    <m/>
    <s v="Lower"/>
  </r>
  <r>
    <s v="CUST101616"/>
    <n v="51"/>
    <x v="2"/>
    <s v="Male"/>
    <s v="Chennai"/>
    <n v="675000"/>
    <n v="89"/>
    <x v="3"/>
    <n v="54"/>
    <n v="1700"/>
    <n v="203"/>
    <s v="Gold"/>
    <s v="Website"/>
    <s v="Higher"/>
  </r>
  <r>
    <s v="CUST101617"/>
    <n v="29"/>
    <x v="3"/>
    <s v="Unknown"/>
    <s v="Chennai"/>
    <n v="800000"/>
    <n v="57"/>
    <x v="0"/>
    <n v="5"/>
    <n v="2100"/>
    <n v="205"/>
    <m/>
    <s v="Online"/>
    <s v="Lower"/>
  </r>
  <r>
    <s v="CUST101618"/>
    <n v="62"/>
    <x v="0"/>
    <m/>
    <s v="Delhi"/>
    <n v="375000"/>
    <n v="51"/>
    <x v="0"/>
    <n v="35"/>
    <n v="8800"/>
    <n v="153"/>
    <s v="Gold"/>
    <s v="Online"/>
    <s v="Lower"/>
  </r>
  <r>
    <s v="CUST101619"/>
    <m/>
    <x v="5"/>
    <m/>
    <s v="Hyderabad"/>
    <n v="1650000"/>
    <n v="13"/>
    <x v="2"/>
    <n v="19"/>
    <n v="7200"/>
    <n v="170"/>
    <m/>
    <s v="In-store"/>
    <s v="Lower"/>
  </r>
  <r>
    <s v="CUST101620"/>
    <n v="24"/>
    <x v="6"/>
    <s v="Female"/>
    <s v="Ahmedabad"/>
    <n v="1400000"/>
    <n v="24"/>
    <x v="2"/>
    <n v="55"/>
    <n v="4900"/>
    <n v="241"/>
    <m/>
    <s v="Website"/>
    <s v="Higher"/>
  </r>
  <r>
    <s v="CUST101621"/>
    <n v="27"/>
    <x v="3"/>
    <s v="Female"/>
    <s v="Kolkata"/>
    <n v="375000"/>
    <n v="11"/>
    <x v="2"/>
    <n v="77"/>
    <n v="7300"/>
    <n v="287"/>
    <m/>
    <s v="Online"/>
    <s v="Higher"/>
  </r>
  <r>
    <s v="CUST101622"/>
    <n v="62"/>
    <x v="0"/>
    <s v="Unknown"/>
    <s v="Kolkata"/>
    <n v="275000"/>
    <n v="52"/>
    <x v="0"/>
    <n v="69"/>
    <n v="11000"/>
    <n v="245"/>
    <s v="Platinum"/>
    <s v="Website"/>
    <s v="Lower"/>
  </r>
  <r>
    <s v="CUST101623"/>
    <n v="34"/>
    <x v="3"/>
    <s v="Male"/>
    <s v="Pune"/>
    <n v="1675000"/>
    <n v="17"/>
    <x v="2"/>
    <n v="44"/>
    <n v="5000"/>
    <n v="321"/>
    <m/>
    <m/>
    <s v="Higher"/>
  </r>
  <r>
    <s v="CUST101624"/>
    <n v="43"/>
    <x v="4"/>
    <s v="Male"/>
    <s v="Bengaluru"/>
    <n v="250000"/>
    <n v="37"/>
    <x v="0"/>
    <n v="78"/>
    <n v="7500"/>
    <n v="80"/>
    <s v="Platinum"/>
    <s v="In-store"/>
    <s v="Higher"/>
  </r>
  <r>
    <s v="CUST101625"/>
    <n v="38"/>
    <x v="4"/>
    <m/>
    <s v="Hyderabad"/>
    <n v="1875000"/>
    <n v="13"/>
    <x v="2"/>
    <n v="38"/>
    <n v="2200"/>
    <n v="92"/>
    <s v="Gold"/>
    <s v="Online"/>
    <s v="Lower"/>
  </r>
  <r>
    <s v="CUST101626"/>
    <n v="45"/>
    <x v="2"/>
    <s v="Male"/>
    <s v="Mumbai"/>
    <n v="1700000"/>
    <n v="62"/>
    <x v="0"/>
    <n v="62"/>
    <n v="3900"/>
    <n v="149"/>
    <s v="Gold"/>
    <s v="Website"/>
    <s v="Higher"/>
  </r>
  <r>
    <s v="CUST101627"/>
    <n v="63"/>
    <x v="0"/>
    <s v="Female"/>
    <s v="Kolkata"/>
    <n v="1525000"/>
    <n v="91"/>
    <x v="3"/>
    <n v="22"/>
    <n v="7700"/>
    <n v="30"/>
    <s v="Silver"/>
    <m/>
    <s v="Higher"/>
  </r>
  <r>
    <s v="CUST101628"/>
    <n v="19"/>
    <x v="6"/>
    <m/>
    <m/>
    <n v="1600000"/>
    <n v="84"/>
    <x v="3"/>
    <n v="73"/>
    <n v="400"/>
    <n v="123"/>
    <s v="Platinum"/>
    <s v="Online"/>
    <s v="Lower"/>
  </r>
  <r>
    <s v="CUST101629"/>
    <m/>
    <x v="5"/>
    <s v="Unknown"/>
    <s v="Mumbai"/>
    <n v="1700000"/>
    <n v="97"/>
    <x v="3"/>
    <n v="40"/>
    <n v="6600"/>
    <n v="326"/>
    <s v="Bronze"/>
    <s v="Online"/>
    <s v="Lower"/>
  </r>
  <r>
    <s v="CUST101630"/>
    <n v="60"/>
    <x v="0"/>
    <m/>
    <s v="Delhi"/>
    <n v="1600000"/>
    <n v="96"/>
    <x v="3"/>
    <n v="26"/>
    <n v="8800"/>
    <n v="29"/>
    <s v="Silver"/>
    <s v="Online"/>
    <s v="Lower"/>
  </r>
  <r>
    <s v="CUST101631"/>
    <n v="18"/>
    <x v="6"/>
    <s v="Male"/>
    <s v="Bengaluru"/>
    <n v="1400000"/>
    <n v="8"/>
    <x v="2"/>
    <n v="5"/>
    <n v="11400"/>
    <n v="259"/>
    <s v="Platinum"/>
    <s v="Website"/>
    <s v="Higher"/>
  </r>
  <r>
    <s v="CUST101632"/>
    <n v="68"/>
    <x v="1"/>
    <s v="Male"/>
    <s v="Bengaluru"/>
    <n v="1375000"/>
    <n v="56"/>
    <x v="0"/>
    <n v="54"/>
    <n v="3800"/>
    <n v="186"/>
    <m/>
    <s v="Mobile App"/>
    <s v="Higher"/>
  </r>
  <r>
    <s v="CUST101633"/>
    <m/>
    <x v="5"/>
    <s v="Male"/>
    <s v="Ahmedabad"/>
    <n v="225000"/>
    <n v="93"/>
    <x v="3"/>
    <n v="49"/>
    <n v="700"/>
    <n v="75"/>
    <m/>
    <m/>
    <s v="Higher"/>
  </r>
  <r>
    <s v="CUST101634"/>
    <n v="53"/>
    <x v="2"/>
    <s v="Female"/>
    <s v="Kolkata"/>
    <n v="1325000"/>
    <n v="83"/>
    <x v="3"/>
    <n v="3"/>
    <n v="6600"/>
    <n v="45"/>
    <s v="Platinum"/>
    <s v="Online"/>
    <s v="Higher"/>
  </r>
  <r>
    <s v="CUST101635"/>
    <n v="68"/>
    <x v="1"/>
    <m/>
    <s v="Pune"/>
    <n v="925000"/>
    <n v="70"/>
    <x v="3"/>
    <n v="38"/>
    <n v="900"/>
    <n v="69"/>
    <m/>
    <m/>
    <s v="Lower"/>
  </r>
  <r>
    <s v="CUST101636"/>
    <n v="43"/>
    <x v="4"/>
    <s v="Female"/>
    <m/>
    <n v="1400000"/>
    <n v="44"/>
    <x v="0"/>
    <n v="14"/>
    <n v="7200"/>
    <n v="210"/>
    <m/>
    <m/>
    <s v="Higher"/>
  </r>
  <r>
    <s v="CUST101637"/>
    <n v="46"/>
    <x v="2"/>
    <s v="Female"/>
    <m/>
    <n v="1425000"/>
    <n v="60"/>
    <x v="0"/>
    <n v="47"/>
    <n v="2400"/>
    <n v="239"/>
    <s v="Gold"/>
    <s v="In-store"/>
    <s v="Higher"/>
  </r>
  <r>
    <s v="CUST101638"/>
    <n v="38"/>
    <x v="4"/>
    <s v="Female"/>
    <s v="Chennai"/>
    <n v="1975000"/>
    <n v="41"/>
    <x v="0"/>
    <n v="14"/>
    <n v="7600"/>
    <n v="340"/>
    <s v="Bronze"/>
    <s v="Mobile App"/>
    <s v="Higher"/>
  </r>
  <r>
    <s v="CUST101639"/>
    <n v="28"/>
    <x v="3"/>
    <s v="Male"/>
    <m/>
    <n v="975000"/>
    <n v="21"/>
    <x v="2"/>
    <n v="75"/>
    <n v="4800"/>
    <n v="308"/>
    <s v="Platinum"/>
    <s v="Mobile App"/>
    <s v="Higher"/>
  </r>
  <r>
    <s v="CUST101640"/>
    <n v="57"/>
    <x v="0"/>
    <s v="Male"/>
    <s v="Mumbai"/>
    <n v="1025000"/>
    <n v="86"/>
    <x v="3"/>
    <n v="73"/>
    <n v="4200"/>
    <n v="192"/>
    <s v="Bronze"/>
    <s v="Website"/>
    <s v="Higher"/>
  </r>
  <r>
    <s v="CUST101641"/>
    <n v="28"/>
    <x v="3"/>
    <s v="Male"/>
    <s v="Delhi"/>
    <n v="1875000"/>
    <n v="42"/>
    <x v="0"/>
    <n v="38"/>
    <n v="6300"/>
    <n v="103"/>
    <m/>
    <s v="In-store"/>
    <s v="Higher"/>
  </r>
  <r>
    <s v="CUST101642"/>
    <n v="53"/>
    <x v="2"/>
    <s v="Female"/>
    <s v="Chennai"/>
    <n v="1200000"/>
    <n v="74"/>
    <x v="3"/>
    <n v="64"/>
    <n v="11200"/>
    <n v="241"/>
    <s v="Gold"/>
    <s v="Website"/>
    <s v="Higher"/>
  </r>
  <r>
    <s v="CUST101643"/>
    <n v="66"/>
    <x v="1"/>
    <s v="Male"/>
    <s v="Bengaluru"/>
    <n v="525000"/>
    <n v="74"/>
    <x v="3"/>
    <n v="44"/>
    <n v="4800"/>
    <n v="253"/>
    <s v="Bronze"/>
    <s v="In-store"/>
    <s v="Higher"/>
  </r>
  <r>
    <s v="CUST101644"/>
    <n v="56"/>
    <x v="0"/>
    <m/>
    <s v="Mumbai"/>
    <n v="1600000"/>
    <n v="29"/>
    <x v="2"/>
    <n v="70"/>
    <n v="8600"/>
    <n v="220"/>
    <s v="Silver"/>
    <m/>
    <s v="Lower"/>
  </r>
  <r>
    <s v="CUST101645"/>
    <n v="57"/>
    <x v="0"/>
    <s v="Female"/>
    <s v="Hyderabad"/>
    <n v="1450000"/>
    <n v="80"/>
    <x v="3"/>
    <n v="65"/>
    <n v="3000"/>
    <n v="336"/>
    <m/>
    <s v="Mobile App"/>
    <s v="Higher"/>
  </r>
  <r>
    <s v="CUST101646"/>
    <n v="52"/>
    <x v="2"/>
    <s v="Male"/>
    <s v="Kolkata"/>
    <n v="600000"/>
    <n v="65"/>
    <x v="0"/>
    <n v="25"/>
    <n v="8900"/>
    <n v="217"/>
    <s v="Silver"/>
    <m/>
    <s v="Higher"/>
  </r>
  <r>
    <s v="CUST101647"/>
    <m/>
    <x v="5"/>
    <m/>
    <s v="Delhi"/>
    <n v="1150000"/>
    <n v="17"/>
    <x v="2"/>
    <n v="16"/>
    <n v="3700"/>
    <n v="202"/>
    <m/>
    <s v="Website"/>
    <s v="Lower"/>
  </r>
  <r>
    <s v="CUST101648"/>
    <n v="51"/>
    <x v="2"/>
    <s v="Female"/>
    <s v="Hyderabad"/>
    <n v="1300000"/>
    <n v="30"/>
    <x v="2"/>
    <n v="15"/>
    <n v="300"/>
    <n v="29"/>
    <s v="Bronze"/>
    <s v="In-store"/>
    <s v="Higher"/>
  </r>
  <r>
    <s v="CUST101649"/>
    <s v="NA"/>
    <x v="5"/>
    <s v="Unknown"/>
    <s v="Pune"/>
    <n v="1475000"/>
    <n v="26"/>
    <x v="2"/>
    <m/>
    <n v="3100"/>
    <n v="212"/>
    <s v="Bronze"/>
    <s v="Mobile App"/>
    <s v="Lower"/>
  </r>
  <r>
    <s v="CUST101650"/>
    <n v="64"/>
    <x v="0"/>
    <m/>
    <s v="Kolkata"/>
    <n v="1500000"/>
    <n v="53"/>
    <x v="0"/>
    <n v="3"/>
    <n v="1100"/>
    <n v="154"/>
    <s v="Bronze"/>
    <s v="Mobile App"/>
    <s v="Lower"/>
  </r>
  <r>
    <s v="CUST101651"/>
    <n v="41"/>
    <x v="4"/>
    <s v="Female"/>
    <s v="Mumbai"/>
    <n v="600000"/>
    <n v="19"/>
    <x v="2"/>
    <n v="67"/>
    <n v="1100"/>
    <n v="231"/>
    <m/>
    <s v="Online"/>
    <s v="Higher"/>
  </r>
  <r>
    <s v="CUST101652"/>
    <m/>
    <x v="5"/>
    <s v="Male"/>
    <s v="Kolkata"/>
    <n v="1675000"/>
    <n v="53"/>
    <x v="0"/>
    <n v="37"/>
    <n v="2400"/>
    <n v="102"/>
    <s v="Platinum"/>
    <s v="Website"/>
    <s v="Higher"/>
  </r>
  <r>
    <s v="CUST101653"/>
    <n v="39"/>
    <x v="4"/>
    <s v="Unknown"/>
    <s v="Chennai"/>
    <n v="1600000"/>
    <n v="85"/>
    <x v="3"/>
    <m/>
    <n v="6500"/>
    <n v="315"/>
    <m/>
    <s v="Online"/>
    <s v="Lower"/>
  </r>
  <r>
    <s v="CUST101654"/>
    <n v="22"/>
    <x v="6"/>
    <s v="Male"/>
    <s v="Ahmedabad"/>
    <n v="1750000"/>
    <n v="17"/>
    <x v="2"/>
    <n v="55"/>
    <n v="6800"/>
    <n v="177"/>
    <m/>
    <s v="Mobile App"/>
    <s v="Higher"/>
  </r>
  <r>
    <s v="CUST101655"/>
    <n v="50"/>
    <x v="2"/>
    <m/>
    <s v="Chennai"/>
    <n v="1825000"/>
    <n v="46"/>
    <x v="0"/>
    <n v="38"/>
    <n v="8200"/>
    <n v="181"/>
    <m/>
    <s v="Website"/>
    <s v="Lower"/>
  </r>
  <r>
    <s v="CUST101656"/>
    <n v="53"/>
    <x v="2"/>
    <s v="Male"/>
    <s v="Pune"/>
    <n v="825000"/>
    <n v="85"/>
    <x v="3"/>
    <n v="63"/>
    <n v="10600"/>
    <n v="232"/>
    <s v="Platinum"/>
    <s v="Website"/>
    <s v="Higher"/>
  </r>
  <r>
    <s v="CUST101657"/>
    <n v="64"/>
    <x v="0"/>
    <s v="Male"/>
    <m/>
    <n v="575000"/>
    <n v="53"/>
    <x v="0"/>
    <n v="1"/>
    <n v="6000"/>
    <n v="12"/>
    <s v="Bronze"/>
    <m/>
    <s v="Higher"/>
  </r>
  <r>
    <s v="CUST101658"/>
    <n v="37"/>
    <x v="4"/>
    <s v="Male"/>
    <s v="Hyderabad"/>
    <n v="775000"/>
    <n v="64"/>
    <x v="0"/>
    <n v="71"/>
    <n v="7200"/>
    <n v="186"/>
    <s v="Bronze"/>
    <m/>
    <s v="Higher"/>
  </r>
  <r>
    <s v="CUST101659"/>
    <n v="36"/>
    <x v="4"/>
    <s v="Male"/>
    <s v="Chennai"/>
    <n v="600000"/>
    <n v="45"/>
    <x v="0"/>
    <n v="19"/>
    <n v="5700"/>
    <n v="249"/>
    <m/>
    <s v="In-store"/>
    <s v="Higher"/>
  </r>
  <r>
    <s v="CUST101660"/>
    <n v="52"/>
    <x v="2"/>
    <s v="Unknown"/>
    <s v="Ahmedabad"/>
    <n v="1500000"/>
    <n v="49"/>
    <x v="0"/>
    <n v="52"/>
    <n v="1500"/>
    <n v="266"/>
    <s v="Silver"/>
    <m/>
    <s v="Lower"/>
  </r>
  <r>
    <s v="CUST101661"/>
    <n v="69"/>
    <x v="1"/>
    <s v="Male"/>
    <m/>
    <n v="1550000"/>
    <n v="19"/>
    <x v="2"/>
    <n v="30"/>
    <n v="9900"/>
    <n v="135"/>
    <s v="Platinum"/>
    <m/>
    <s v="Higher"/>
  </r>
  <r>
    <s v="CUST101662"/>
    <n v="60"/>
    <x v="0"/>
    <s v="Unknown"/>
    <s v="Chennai"/>
    <n v="275000"/>
    <n v="71"/>
    <x v="3"/>
    <n v="55"/>
    <n v="2100"/>
    <n v="245"/>
    <s v="Gold"/>
    <s v="Mobile App"/>
    <s v="Lower"/>
  </r>
  <r>
    <s v="CUST101663"/>
    <n v="34"/>
    <x v="3"/>
    <s v="Male"/>
    <s v="Bengaluru"/>
    <n v="150000"/>
    <n v="81"/>
    <x v="3"/>
    <n v="14"/>
    <n v="8100"/>
    <n v="31"/>
    <s v="Platinum"/>
    <m/>
    <s v="Higher"/>
  </r>
  <r>
    <s v="CUST101664"/>
    <n v="62"/>
    <x v="0"/>
    <m/>
    <s v="Ahmedabad"/>
    <n v="325000"/>
    <n v="65"/>
    <x v="0"/>
    <n v="13"/>
    <n v="3500"/>
    <n v="347"/>
    <m/>
    <s v="In-store"/>
    <s v="Lower"/>
  </r>
  <r>
    <s v="CUST101665"/>
    <n v="60"/>
    <x v="0"/>
    <s v="Unknown"/>
    <s v="Hyderabad"/>
    <n v="1400000"/>
    <n v="37"/>
    <x v="0"/>
    <n v="27"/>
    <n v="7600"/>
    <n v="259"/>
    <s v="Silver"/>
    <m/>
    <s v="Lower"/>
  </r>
  <r>
    <s v="CUST101666"/>
    <n v="51"/>
    <x v="2"/>
    <m/>
    <s v="Delhi"/>
    <n v="750000"/>
    <n v="70"/>
    <x v="3"/>
    <n v="9"/>
    <n v="6700"/>
    <n v="104"/>
    <s v="Silver"/>
    <m/>
    <s v="Lower"/>
  </r>
  <r>
    <s v="CUST101667"/>
    <n v="26"/>
    <x v="3"/>
    <s v="Male"/>
    <m/>
    <n v="1300000"/>
    <n v="26"/>
    <x v="2"/>
    <n v="41"/>
    <n v="6200"/>
    <n v="1"/>
    <s v="Silver"/>
    <s v="Website"/>
    <s v="Higher"/>
  </r>
  <r>
    <s v="CUST101668"/>
    <n v="43"/>
    <x v="4"/>
    <s v="Male"/>
    <m/>
    <n v="1500000"/>
    <n v="2"/>
    <x v="2"/>
    <n v="48"/>
    <n v="1400"/>
    <n v="207"/>
    <s v="Bronze"/>
    <s v="Mobile App"/>
    <s v="Higher"/>
  </r>
  <r>
    <s v="CUST101669"/>
    <n v="19"/>
    <x v="6"/>
    <s v="Female"/>
    <s v="Bengaluru"/>
    <n v="1725000"/>
    <n v="59"/>
    <x v="0"/>
    <n v="12"/>
    <n v="4500"/>
    <n v="135"/>
    <s v="Gold"/>
    <m/>
    <s v="Higher"/>
  </r>
  <r>
    <s v="CUST101670"/>
    <m/>
    <x v="5"/>
    <s v="Male"/>
    <s v="Delhi"/>
    <n v="375000"/>
    <n v="96"/>
    <x v="3"/>
    <n v="10"/>
    <n v="9500"/>
    <n v="271"/>
    <s v="Silver"/>
    <s v="In-store"/>
    <s v="Higher"/>
  </r>
  <r>
    <s v="CUST101671"/>
    <n v="26"/>
    <x v="3"/>
    <s v="Male"/>
    <s v="Mumbai"/>
    <n v="1525000"/>
    <n v="5"/>
    <x v="2"/>
    <n v="6"/>
    <n v="1900"/>
    <n v="89"/>
    <m/>
    <s v="Online"/>
    <s v="Higher"/>
  </r>
  <r>
    <s v="CUST101672"/>
    <n v="26"/>
    <x v="3"/>
    <s v="Female"/>
    <s v="Ahmedabad"/>
    <n v="425000"/>
    <n v="37"/>
    <x v="0"/>
    <n v="34"/>
    <n v="7000"/>
    <n v="195"/>
    <s v="Bronze"/>
    <s v="Online"/>
    <s v="Higher"/>
  </r>
  <r>
    <s v="CUST101673"/>
    <n v="57"/>
    <x v="0"/>
    <s v="Male"/>
    <s v="Bengaluru"/>
    <n v="950000"/>
    <n v="31"/>
    <x v="2"/>
    <n v="52"/>
    <n v="3100"/>
    <n v="122"/>
    <s v="Gold"/>
    <s v="Mobile App"/>
    <s v="Higher"/>
  </r>
  <r>
    <s v="CUST101674"/>
    <n v="34"/>
    <x v="3"/>
    <s v="Female"/>
    <s v="Kolkata"/>
    <n v="1900000"/>
    <n v="76"/>
    <x v="3"/>
    <n v="41"/>
    <n v="5700"/>
    <n v="116"/>
    <m/>
    <s v="Online"/>
    <s v="Higher"/>
  </r>
  <r>
    <s v="CUST101675"/>
    <n v="18"/>
    <x v="6"/>
    <m/>
    <s v="Mumbai"/>
    <n v="550000"/>
    <n v="99"/>
    <x v="3"/>
    <n v="6"/>
    <n v="900"/>
    <n v="196"/>
    <s v="Gold"/>
    <s v="Website"/>
    <s v="Lower"/>
  </r>
  <r>
    <s v="CUST101676"/>
    <n v="42"/>
    <x v="4"/>
    <s v="Female"/>
    <s v="Mumbai"/>
    <n v="1650000"/>
    <n v="94"/>
    <x v="3"/>
    <n v="2"/>
    <n v="4600"/>
    <n v="36"/>
    <m/>
    <s v="Website"/>
    <s v="Higher"/>
  </r>
  <r>
    <s v="CUST101677"/>
    <n v="60"/>
    <x v="0"/>
    <s v="Female"/>
    <m/>
    <n v="375000"/>
    <n v="48"/>
    <x v="0"/>
    <n v="15"/>
    <n v="7900"/>
    <n v="67"/>
    <s v="Gold"/>
    <s v="In-store"/>
    <s v="Higher"/>
  </r>
  <r>
    <s v="CUST101678"/>
    <n v="57"/>
    <x v="0"/>
    <m/>
    <s v="Ahmedabad"/>
    <n v="900000"/>
    <n v="6"/>
    <x v="2"/>
    <n v="17"/>
    <n v="700"/>
    <n v="133"/>
    <m/>
    <m/>
    <s v="Lower"/>
  </r>
  <r>
    <s v="CUST101679"/>
    <n v="59"/>
    <x v="0"/>
    <s v="Female"/>
    <s v="Bengaluru"/>
    <n v="1625000"/>
    <n v="15"/>
    <x v="2"/>
    <n v="16"/>
    <n v="6200"/>
    <n v="281"/>
    <s v="Platinum"/>
    <s v="Mobile App"/>
    <s v="Higher"/>
  </r>
  <r>
    <s v="CUST101680"/>
    <n v="42"/>
    <x v="4"/>
    <m/>
    <s v="Pune"/>
    <n v="1875000"/>
    <n v="15"/>
    <x v="2"/>
    <n v="28"/>
    <n v="800"/>
    <n v="11"/>
    <s v="Gold"/>
    <s v="Mobile App"/>
    <s v="Lower"/>
  </r>
  <r>
    <s v="CUST101681"/>
    <n v="56"/>
    <x v="0"/>
    <s v="Male"/>
    <s v="Bengaluru"/>
    <n v="550000"/>
    <n v="61"/>
    <x v="0"/>
    <n v="72"/>
    <n v="10000"/>
    <n v="218"/>
    <s v="Platinum"/>
    <s v="Online"/>
    <s v="Higher"/>
  </r>
  <r>
    <s v="CUST101682"/>
    <n v="52"/>
    <x v="2"/>
    <s v="Male"/>
    <s v="Chennai"/>
    <n v="1375000"/>
    <n v="16"/>
    <x v="2"/>
    <n v="10"/>
    <n v="11900"/>
    <n v="322"/>
    <s v="Gold"/>
    <m/>
    <s v="Higher"/>
  </r>
  <r>
    <s v="CUST101683"/>
    <n v="20"/>
    <x v="6"/>
    <s v="Unknown"/>
    <s v="Mumbai"/>
    <n v="1050000"/>
    <n v="20"/>
    <x v="2"/>
    <n v="10"/>
    <n v="900"/>
    <n v="156"/>
    <m/>
    <m/>
    <s v="Lower"/>
  </r>
  <r>
    <s v="CUST101684"/>
    <n v="67"/>
    <x v="1"/>
    <m/>
    <s v="Hyderabad"/>
    <n v="1675000"/>
    <n v="77"/>
    <x v="3"/>
    <n v="10"/>
    <n v="4800"/>
    <n v="240"/>
    <m/>
    <m/>
    <s v="Lower"/>
  </r>
  <r>
    <s v="CUST101685"/>
    <n v="54"/>
    <x v="2"/>
    <m/>
    <s v="Mumbai"/>
    <n v="1925000"/>
    <n v="44"/>
    <x v="0"/>
    <n v="73"/>
    <n v="5900"/>
    <n v="60"/>
    <s v="Gold"/>
    <m/>
    <s v="Lower"/>
  </r>
  <r>
    <s v="CUST101686"/>
    <n v="61"/>
    <x v="0"/>
    <m/>
    <s v="Mumbai"/>
    <s v="unknown"/>
    <n v="42"/>
    <x v="0"/>
    <n v="28"/>
    <n v="5600"/>
    <n v="138"/>
    <s v="Silver"/>
    <m/>
    <s v="Lower"/>
  </r>
  <r>
    <s v="CUST101687"/>
    <n v="61"/>
    <x v="0"/>
    <s v="Male"/>
    <m/>
    <n v="850000"/>
    <n v="46"/>
    <x v="0"/>
    <n v="24"/>
    <n v="9400"/>
    <n v="50"/>
    <m/>
    <s v="In-store"/>
    <s v="Higher"/>
  </r>
  <r>
    <s v="CUST101688"/>
    <n v="68"/>
    <x v="1"/>
    <s v="Female"/>
    <s v="Kolkata"/>
    <n v="925000"/>
    <n v="95"/>
    <x v="3"/>
    <n v="19"/>
    <n v="4800"/>
    <n v="167"/>
    <s v="Silver"/>
    <s v="Mobile App"/>
    <s v="Higher"/>
  </r>
  <r>
    <s v="CUST101689"/>
    <n v="47"/>
    <x v="2"/>
    <m/>
    <s v="Pune"/>
    <n v="400000"/>
    <n v="34"/>
    <x v="0"/>
    <n v="68"/>
    <n v="1200"/>
    <n v="165"/>
    <m/>
    <s v="Online"/>
    <s v="Lower"/>
  </r>
  <r>
    <s v="CUST101690"/>
    <n v="55"/>
    <x v="0"/>
    <s v="Male"/>
    <s v="Delhi"/>
    <n v="275000"/>
    <n v="64"/>
    <x v="0"/>
    <n v="56"/>
    <n v="600"/>
    <n v="319"/>
    <m/>
    <s v="In-store"/>
    <s v="Higher"/>
  </r>
  <r>
    <s v="CUST101691"/>
    <n v="51"/>
    <x v="2"/>
    <s v="Male"/>
    <s v="Delhi"/>
    <n v="1000000"/>
    <n v="29"/>
    <x v="2"/>
    <n v="67"/>
    <n v="6900"/>
    <n v="189"/>
    <s v="Gold"/>
    <s v="Website"/>
    <s v="Higher"/>
  </r>
  <r>
    <s v="CUST101692"/>
    <n v="29"/>
    <x v="3"/>
    <s v="Female"/>
    <s v="Kolkata"/>
    <n v="950000"/>
    <n v="3"/>
    <x v="2"/>
    <n v="42"/>
    <n v="2700"/>
    <n v="92"/>
    <m/>
    <s v="Website"/>
    <s v="Higher"/>
  </r>
  <r>
    <s v="CUST101693"/>
    <n v="36"/>
    <x v="4"/>
    <s v="Female"/>
    <s v="Mumbai"/>
    <n v="575000"/>
    <n v="9"/>
    <x v="2"/>
    <n v="12"/>
    <n v="8900"/>
    <n v="294"/>
    <m/>
    <s v="Website"/>
    <s v="Higher"/>
  </r>
  <r>
    <s v="CUST101694"/>
    <n v="54"/>
    <x v="2"/>
    <s v="Female"/>
    <s v="Delhi"/>
    <n v="1050000"/>
    <n v="75"/>
    <x v="3"/>
    <n v="18"/>
    <n v="9300"/>
    <n v="289"/>
    <s v="Bronze"/>
    <m/>
    <s v="Higher"/>
  </r>
  <r>
    <s v="CUST101695"/>
    <n v="61"/>
    <x v="0"/>
    <s v="Male"/>
    <s v="Ahmedabad"/>
    <n v="450000"/>
    <n v="75"/>
    <x v="3"/>
    <n v="23"/>
    <n v="8000"/>
    <n v="75"/>
    <m/>
    <m/>
    <s v="Higher"/>
  </r>
  <r>
    <s v="CUST101696"/>
    <n v="66"/>
    <x v="1"/>
    <s v="Male"/>
    <s v="Pune"/>
    <n v="1975000"/>
    <n v="25"/>
    <x v="2"/>
    <n v="6"/>
    <n v="6300"/>
    <n v="45"/>
    <s v="Platinum"/>
    <s v="Mobile App"/>
    <s v="Higher"/>
  </r>
  <r>
    <s v="CUST101697"/>
    <n v="34"/>
    <x v="3"/>
    <s v="Female"/>
    <s v="Delhi"/>
    <n v="1725000"/>
    <n v="86"/>
    <x v="3"/>
    <n v="53"/>
    <n v="4000"/>
    <n v="53"/>
    <s v="Gold"/>
    <s v="Website"/>
    <s v="Higher"/>
  </r>
  <r>
    <s v="CUST101698"/>
    <n v="27"/>
    <x v="3"/>
    <m/>
    <s v="Kolkata"/>
    <n v="150000"/>
    <n v="42"/>
    <x v="0"/>
    <n v="42"/>
    <n v="3400"/>
    <n v="175"/>
    <s v="Silver"/>
    <m/>
    <s v="Lower"/>
  </r>
  <r>
    <s v="CUST101699"/>
    <s v="NA"/>
    <x v="5"/>
    <s v="Unknown"/>
    <s v="Chennai"/>
    <n v="1700000"/>
    <n v="46"/>
    <x v="0"/>
    <n v="66"/>
    <n v="2500"/>
    <n v="161"/>
    <m/>
    <m/>
    <s v="Lower"/>
  </r>
  <r>
    <s v="CUST101700"/>
    <n v="66"/>
    <x v="1"/>
    <s v="Male"/>
    <s v="Delhi"/>
    <n v="975000"/>
    <n v="73"/>
    <x v="3"/>
    <n v="30"/>
    <n v="11300"/>
    <n v="67"/>
    <s v="Silver"/>
    <m/>
    <s v="Higher"/>
  </r>
  <r>
    <s v="CUST101701"/>
    <n v="64"/>
    <x v="0"/>
    <s v="Unknown"/>
    <s v="Pune"/>
    <n v="375000"/>
    <n v="84"/>
    <x v="3"/>
    <n v="9"/>
    <n v="10600"/>
    <n v="361"/>
    <s v="Bronze"/>
    <m/>
    <s v="Lower"/>
  </r>
  <r>
    <s v="CUST101702"/>
    <n v="29"/>
    <x v="3"/>
    <s v="Male"/>
    <m/>
    <n v="300000"/>
    <n v="59"/>
    <x v="0"/>
    <n v="42"/>
    <n v="3900"/>
    <n v="270"/>
    <s v="Gold"/>
    <s v="Website"/>
    <s v="Higher"/>
  </r>
  <r>
    <s v="CUST101703"/>
    <n v="33"/>
    <x v="3"/>
    <s v="Female"/>
    <m/>
    <n v="1525000"/>
    <n v="21"/>
    <x v="2"/>
    <n v="34"/>
    <n v="500"/>
    <n v="124"/>
    <m/>
    <s v="In-store"/>
    <s v="Higher"/>
  </r>
  <r>
    <s v="CUST101704"/>
    <n v="41"/>
    <x v="4"/>
    <s v="Male"/>
    <s v="Ahmedabad"/>
    <n v="1050000"/>
    <n v="74"/>
    <x v="3"/>
    <n v="40"/>
    <n v="10100"/>
    <n v="182"/>
    <s v="Silver"/>
    <s v="Website"/>
    <s v="Higher"/>
  </r>
  <r>
    <s v="CUST101705"/>
    <n v="36"/>
    <x v="4"/>
    <m/>
    <s v="Bengaluru"/>
    <n v="850000"/>
    <n v="22"/>
    <x v="2"/>
    <n v="17"/>
    <n v="1500"/>
    <n v="182"/>
    <m/>
    <m/>
    <s v="Lower"/>
  </r>
  <r>
    <s v="CUST101706"/>
    <n v="25"/>
    <x v="3"/>
    <s v="Male"/>
    <s v="Bengaluru"/>
    <n v="425000"/>
    <n v="29"/>
    <x v="2"/>
    <n v="29"/>
    <n v="3600"/>
    <n v="36"/>
    <m/>
    <s v="Website"/>
    <s v="Higher"/>
  </r>
  <r>
    <s v="CUST101707"/>
    <n v="48"/>
    <x v="2"/>
    <s v="Unknown"/>
    <s v="Delhi"/>
    <n v="550000"/>
    <n v="63"/>
    <x v="0"/>
    <n v="50"/>
    <n v="9000"/>
    <n v="212"/>
    <s v="Bronze"/>
    <s v="Online"/>
    <s v="Lower"/>
  </r>
  <r>
    <s v="CUST101708"/>
    <n v="38"/>
    <x v="4"/>
    <s v="Male"/>
    <s v="Hyderabad"/>
    <n v="1325000"/>
    <n v="73"/>
    <x v="3"/>
    <n v="76"/>
    <n v="6700"/>
    <n v="134"/>
    <m/>
    <m/>
    <s v="Higher"/>
  </r>
  <r>
    <s v="CUST101709"/>
    <n v="34"/>
    <x v="3"/>
    <s v="Female"/>
    <s v="Chennai"/>
    <n v="775000"/>
    <n v="61"/>
    <x v="0"/>
    <n v="49"/>
    <n v="7800"/>
    <n v="353"/>
    <s v="Silver"/>
    <s v="Mobile App"/>
    <s v="Higher"/>
  </r>
  <r>
    <s v="CUST101710"/>
    <n v="40"/>
    <x v="4"/>
    <m/>
    <s v="Kolkata"/>
    <n v="425000"/>
    <n v="64"/>
    <x v="0"/>
    <n v="73"/>
    <n v="1000"/>
    <n v="178"/>
    <s v="Silver"/>
    <s v="Website"/>
    <s v="Lower"/>
  </r>
  <r>
    <s v="CUST101711"/>
    <n v="54"/>
    <x v="2"/>
    <s v="Unknown"/>
    <s v="Chennai"/>
    <n v="650000"/>
    <n v="69"/>
    <x v="3"/>
    <n v="61"/>
    <n v="8500"/>
    <n v="166"/>
    <s v="Gold"/>
    <m/>
    <s v="Lower"/>
  </r>
  <r>
    <s v="CUST101712"/>
    <m/>
    <x v="5"/>
    <m/>
    <m/>
    <n v="1175000"/>
    <n v="40"/>
    <x v="0"/>
    <n v="46"/>
    <n v="1100"/>
    <n v="337"/>
    <s v="Gold"/>
    <s v="In-store"/>
    <s v="Lower"/>
  </r>
  <r>
    <s v="CUST101713"/>
    <n v="33"/>
    <x v="3"/>
    <s v="Male"/>
    <s v="Delhi"/>
    <n v="1650000"/>
    <n v="75"/>
    <x v="3"/>
    <n v="46"/>
    <n v="3000"/>
    <n v="329"/>
    <s v="Silver"/>
    <s v="Website"/>
    <s v="Higher"/>
  </r>
  <r>
    <s v="CUST101714"/>
    <n v="23"/>
    <x v="6"/>
    <s v="Male"/>
    <s v="Pune"/>
    <n v="1575000"/>
    <n v="1"/>
    <x v="2"/>
    <n v="17"/>
    <n v="8000"/>
    <n v="327"/>
    <m/>
    <s v="In-store"/>
    <s v="Higher"/>
  </r>
  <r>
    <s v="CUST101715"/>
    <n v="25"/>
    <x v="3"/>
    <m/>
    <s v="Kolkata"/>
    <n v="1475000"/>
    <n v="65"/>
    <x v="0"/>
    <n v="66"/>
    <n v="9300"/>
    <n v="46"/>
    <s v="Gold"/>
    <s v="Online"/>
    <s v="Lower"/>
  </r>
  <r>
    <s v="CUST101716"/>
    <n v="42"/>
    <x v="4"/>
    <s v="Female"/>
    <s v="Chennai"/>
    <n v="975000"/>
    <n v="62"/>
    <x v="0"/>
    <n v="5"/>
    <n v="2000"/>
    <n v="156"/>
    <s v="Silver"/>
    <s v="Mobile App"/>
    <s v="Higher"/>
  </r>
  <r>
    <s v="CUST101717"/>
    <n v="35"/>
    <x v="4"/>
    <s v="Male"/>
    <s v="Pune"/>
    <n v="300000"/>
    <n v="54"/>
    <x v="0"/>
    <n v="54"/>
    <n v="4400"/>
    <n v="236"/>
    <m/>
    <m/>
    <s v="Higher"/>
  </r>
  <r>
    <s v="CUST101718"/>
    <n v="42"/>
    <x v="4"/>
    <s v="Male"/>
    <s v="Kolkata"/>
    <n v="1000000"/>
    <n v="60"/>
    <x v="0"/>
    <n v="16"/>
    <n v="4300"/>
    <n v="316"/>
    <s v="Platinum"/>
    <m/>
    <s v="Higher"/>
  </r>
  <r>
    <s v="CUST101719"/>
    <n v="29"/>
    <x v="3"/>
    <m/>
    <s v="Chennai"/>
    <n v="500000"/>
    <n v="46"/>
    <x v="0"/>
    <m/>
    <n v="7200"/>
    <n v="60"/>
    <m/>
    <m/>
    <s v="Lower"/>
  </r>
  <r>
    <s v="CUST101720"/>
    <n v="32"/>
    <x v="3"/>
    <s v="Unknown"/>
    <s v="Ahmedabad"/>
    <n v="1750000"/>
    <n v="5"/>
    <x v="2"/>
    <n v="7"/>
    <n v="3500"/>
    <n v="5"/>
    <s v="Platinum"/>
    <s v="Mobile App"/>
    <s v="Lower"/>
  </r>
  <r>
    <s v="CUST101721"/>
    <n v="43"/>
    <x v="4"/>
    <s v="Male"/>
    <m/>
    <n v="750000"/>
    <n v="22"/>
    <x v="2"/>
    <n v="8"/>
    <n v="10300"/>
    <n v="181"/>
    <s v="Platinum"/>
    <s v="Online"/>
    <s v="Higher"/>
  </r>
  <r>
    <s v="CUST101722"/>
    <n v="58"/>
    <x v="0"/>
    <s v="Female"/>
    <s v="Mumbai"/>
    <n v="1600000"/>
    <n v="90"/>
    <x v="3"/>
    <n v="72"/>
    <n v="10800"/>
    <n v="145"/>
    <m/>
    <s v="Online"/>
    <s v="Higher"/>
  </r>
  <r>
    <s v="CUST101723"/>
    <n v="62"/>
    <x v="0"/>
    <m/>
    <s v="Kolkata"/>
    <n v="275000"/>
    <n v="53"/>
    <x v="0"/>
    <n v="38"/>
    <n v="9100"/>
    <n v="315"/>
    <s v="Silver"/>
    <s v="Website"/>
    <s v="Lower"/>
  </r>
  <r>
    <s v="CUST101724"/>
    <n v="43"/>
    <x v="4"/>
    <m/>
    <m/>
    <n v="1425000"/>
    <n v="70"/>
    <x v="3"/>
    <n v="54"/>
    <n v="7900"/>
    <n v="265"/>
    <s v="Silver"/>
    <s v="Online"/>
    <s v="Lower"/>
  </r>
  <r>
    <s v="CUST101725"/>
    <n v="64"/>
    <x v="0"/>
    <m/>
    <m/>
    <n v="650000"/>
    <n v="32"/>
    <x v="2"/>
    <n v="76"/>
    <n v="5600"/>
    <n v="223"/>
    <s v="Gold"/>
    <s v="Website"/>
    <s v="Lower"/>
  </r>
  <r>
    <s v="CUST101726"/>
    <n v="49"/>
    <x v="2"/>
    <s v="Female"/>
    <s v="Hyderabad"/>
    <n v="1900000"/>
    <n v="11"/>
    <x v="2"/>
    <n v="15"/>
    <n v="8900"/>
    <n v="301"/>
    <s v="Bronze"/>
    <s v="In-store"/>
    <s v="Higher"/>
  </r>
  <r>
    <s v="CUST101727"/>
    <n v="27"/>
    <x v="3"/>
    <s v="Male"/>
    <s v="Delhi"/>
    <n v="925000"/>
    <n v="10"/>
    <x v="2"/>
    <n v="50"/>
    <n v="3800"/>
    <n v="336"/>
    <s v="Silver"/>
    <s v="Mobile App"/>
    <s v="Higher"/>
  </r>
  <r>
    <s v="CUST101728"/>
    <n v="33"/>
    <x v="3"/>
    <s v="Unknown"/>
    <m/>
    <n v="1450000"/>
    <n v="39"/>
    <x v="0"/>
    <n v="56"/>
    <n v="9900"/>
    <n v="237"/>
    <m/>
    <s v="In-store"/>
    <s v="Lower"/>
  </r>
  <r>
    <s v="CUST101729"/>
    <n v="24"/>
    <x v="6"/>
    <s v="Female"/>
    <s v="Pune"/>
    <n v="1600000"/>
    <n v="98"/>
    <x v="3"/>
    <n v="9"/>
    <n v="8700"/>
    <n v="13"/>
    <s v="Bronze"/>
    <s v="In-store"/>
    <s v="Higher"/>
  </r>
  <r>
    <s v="CUST101730"/>
    <n v="34"/>
    <x v="3"/>
    <m/>
    <s v="Kolkata"/>
    <n v="1850000"/>
    <n v="31"/>
    <x v="2"/>
    <n v="8"/>
    <n v="10000"/>
    <n v="339"/>
    <m/>
    <s v="In-store"/>
    <s v="Lower"/>
  </r>
  <r>
    <s v="CUST101731"/>
    <n v="40"/>
    <x v="4"/>
    <m/>
    <s v="Delhi"/>
    <n v="1675000"/>
    <n v="12"/>
    <x v="2"/>
    <n v="19"/>
    <n v="5800"/>
    <n v="268"/>
    <m/>
    <s v="In-store"/>
    <s v="Lower"/>
  </r>
  <r>
    <s v="CUST101732"/>
    <n v="43"/>
    <x v="4"/>
    <m/>
    <s v="Delhi"/>
    <n v="225000"/>
    <n v="80"/>
    <x v="3"/>
    <n v="51"/>
    <n v="10200"/>
    <n v="266"/>
    <m/>
    <m/>
    <s v="Lower"/>
  </r>
  <r>
    <s v="CUST101733"/>
    <n v="38"/>
    <x v="4"/>
    <m/>
    <m/>
    <n v="575000"/>
    <n v="38"/>
    <x v="0"/>
    <n v="72"/>
    <n v="1900"/>
    <n v="16"/>
    <s v="Bronze"/>
    <s v="Online"/>
    <s v="Lower"/>
  </r>
  <r>
    <s v="CUST101734"/>
    <n v="39"/>
    <x v="4"/>
    <m/>
    <m/>
    <n v="1525000"/>
    <n v="67"/>
    <x v="3"/>
    <n v="57"/>
    <n v="1200"/>
    <n v="92"/>
    <s v="Platinum"/>
    <s v="Mobile App"/>
    <s v="Lower"/>
  </r>
  <r>
    <s v="CUST101735"/>
    <n v="24"/>
    <x v="6"/>
    <m/>
    <s v="Mumbai"/>
    <n v="725000"/>
    <n v="66"/>
    <x v="0"/>
    <n v="68"/>
    <n v="8900"/>
    <n v="248"/>
    <m/>
    <s v="Mobile App"/>
    <s v="Lower"/>
  </r>
  <r>
    <s v="CUST101736"/>
    <n v="31"/>
    <x v="3"/>
    <s v="Male"/>
    <s v="Chennai"/>
    <n v="1775000"/>
    <n v="52"/>
    <x v="0"/>
    <n v="31"/>
    <n v="4600"/>
    <n v="19"/>
    <m/>
    <m/>
    <s v="Higher"/>
  </r>
  <r>
    <s v="CUST101737"/>
    <n v="32"/>
    <x v="3"/>
    <m/>
    <s v="Kolkata"/>
    <n v="450000"/>
    <n v="5"/>
    <x v="2"/>
    <n v="3"/>
    <n v="400"/>
    <n v="360"/>
    <s v="Gold"/>
    <s v="In-store"/>
    <s v="Lower"/>
  </r>
  <r>
    <s v="CUST101738"/>
    <m/>
    <x v="5"/>
    <s v="Unknown"/>
    <m/>
    <n v="1675000"/>
    <n v="11"/>
    <x v="2"/>
    <n v="43"/>
    <n v="10100"/>
    <n v="103"/>
    <s v="Silver"/>
    <s v="Mobile App"/>
    <s v="Lower"/>
  </r>
  <r>
    <s v="CUST101739"/>
    <n v="24"/>
    <x v="6"/>
    <s v="Female"/>
    <s v="Bengaluru"/>
    <n v="1475000"/>
    <n v="25"/>
    <x v="2"/>
    <n v="29"/>
    <n v="1600"/>
    <n v="95"/>
    <m/>
    <s v="Website"/>
    <s v="Higher"/>
  </r>
  <r>
    <s v="CUST101740"/>
    <n v="26"/>
    <x v="3"/>
    <s v="Unknown"/>
    <s v="Kolkata"/>
    <n v="500000"/>
    <n v="35"/>
    <x v="0"/>
    <n v="10"/>
    <n v="11300"/>
    <n v="283"/>
    <s v="Silver"/>
    <s v="Mobile App"/>
    <s v="Lower"/>
  </r>
  <r>
    <s v="CUST101741"/>
    <n v="68"/>
    <x v="1"/>
    <s v="Female"/>
    <s v="Kolkata"/>
    <n v="1850000"/>
    <n v="35"/>
    <x v="0"/>
    <n v="12"/>
    <n v="11100"/>
    <n v="213"/>
    <s v="Silver"/>
    <s v="In-store"/>
    <s v="Higher"/>
  </r>
  <r>
    <s v="CUST101742"/>
    <n v="65"/>
    <x v="0"/>
    <m/>
    <s v="Kolkata"/>
    <n v="200000"/>
    <n v="22"/>
    <x v="2"/>
    <n v="46"/>
    <n v="4300"/>
    <n v="37"/>
    <s v="Bronze"/>
    <s v="Mobile App"/>
    <s v="Lower"/>
  </r>
  <r>
    <s v="CUST101743"/>
    <n v="25"/>
    <x v="3"/>
    <s v="Female"/>
    <s v="Delhi"/>
    <n v="1050000"/>
    <n v="37"/>
    <x v="0"/>
    <n v="30"/>
    <n v="400"/>
    <n v="61"/>
    <s v="Gold"/>
    <s v="Online"/>
    <s v="Higher"/>
  </r>
  <r>
    <s v="CUST101744"/>
    <n v="67"/>
    <x v="1"/>
    <s v="Male"/>
    <s v="Pune"/>
    <n v="1050000"/>
    <n v="86"/>
    <x v="3"/>
    <n v="32"/>
    <n v="2100"/>
    <n v="291"/>
    <s v="Gold"/>
    <s v="In-store"/>
    <s v="Higher"/>
  </r>
  <r>
    <s v="CUST101745"/>
    <n v="40"/>
    <x v="4"/>
    <s v="Male"/>
    <s v="Delhi"/>
    <n v="200000"/>
    <n v="55"/>
    <x v="0"/>
    <n v="73"/>
    <n v="8200"/>
    <n v="362"/>
    <m/>
    <m/>
    <s v="Higher"/>
  </r>
  <r>
    <s v="CUST101746"/>
    <n v="46"/>
    <x v="2"/>
    <s v="Female"/>
    <s v="Pune"/>
    <n v="1700000"/>
    <n v="75"/>
    <x v="3"/>
    <n v="47"/>
    <n v="10900"/>
    <n v="303"/>
    <s v="Gold"/>
    <s v="Online"/>
    <s v="Higher"/>
  </r>
  <r>
    <s v="CUST101747"/>
    <n v="35"/>
    <x v="4"/>
    <m/>
    <m/>
    <n v="1000000"/>
    <n v="96"/>
    <x v="3"/>
    <n v="63"/>
    <n v="11000"/>
    <n v="244"/>
    <s v="Gold"/>
    <s v="Mobile App"/>
    <s v="Lower"/>
  </r>
  <r>
    <s v="CUST101748"/>
    <n v="48"/>
    <x v="2"/>
    <s v="Unknown"/>
    <s v="Bengaluru"/>
    <n v="1425000"/>
    <n v="99"/>
    <x v="3"/>
    <n v="26"/>
    <n v="9100"/>
    <n v="311"/>
    <s v="Gold"/>
    <m/>
    <s v="Lower"/>
  </r>
  <r>
    <s v="CUST101749"/>
    <n v="47"/>
    <x v="2"/>
    <s v="Female"/>
    <s v="Delhi"/>
    <n v="825000"/>
    <n v="95"/>
    <x v="3"/>
    <n v="3"/>
    <n v="300"/>
    <n v="344"/>
    <m/>
    <m/>
    <s v="Higher"/>
  </r>
  <r>
    <s v="CUST101750"/>
    <n v="69"/>
    <x v="1"/>
    <s v="Male"/>
    <s v="Pune"/>
    <n v="575000"/>
    <n v="72"/>
    <x v="3"/>
    <n v="23"/>
    <n v="400"/>
    <n v="351"/>
    <s v="Platinum"/>
    <s v="Online"/>
    <s v="Higher"/>
  </r>
  <r>
    <s v="CUST101751"/>
    <n v="56"/>
    <x v="0"/>
    <s v="Female"/>
    <s v="Delhi"/>
    <n v="1025000"/>
    <n v="64"/>
    <x v="0"/>
    <n v="75"/>
    <n v="11400"/>
    <n v="6"/>
    <s v="Gold"/>
    <m/>
    <s v="Higher"/>
  </r>
  <r>
    <s v="CUST101752"/>
    <n v="52"/>
    <x v="2"/>
    <m/>
    <s v="Hyderabad"/>
    <n v="950000"/>
    <n v="20"/>
    <x v="2"/>
    <n v="74"/>
    <n v="2900"/>
    <n v="306"/>
    <s v="Gold"/>
    <s v="Website"/>
    <s v="Lower"/>
  </r>
  <r>
    <s v="CUST101753"/>
    <n v="35"/>
    <x v="4"/>
    <s v="Female"/>
    <s v="Delhi"/>
    <n v="1725000"/>
    <n v="98"/>
    <x v="3"/>
    <n v="50"/>
    <n v="400"/>
    <n v="165"/>
    <s v="Bronze"/>
    <s v="Online"/>
    <s v="Higher"/>
  </r>
  <r>
    <s v="CUST101754"/>
    <n v="59"/>
    <x v="0"/>
    <s v="Unknown"/>
    <s v="Bengaluru"/>
    <n v="775000"/>
    <n v="4"/>
    <x v="2"/>
    <n v="36"/>
    <n v="9600"/>
    <n v="13"/>
    <s v="Bronze"/>
    <m/>
    <s v="Lower"/>
  </r>
  <r>
    <s v="CUST101755"/>
    <n v="56"/>
    <x v="0"/>
    <s v="Female"/>
    <s v="Bengaluru"/>
    <n v="1325000"/>
    <n v="18"/>
    <x v="2"/>
    <n v="13"/>
    <n v="5300"/>
    <n v="25"/>
    <s v="Gold"/>
    <m/>
    <s v="Higher"/>
  </r>
  <r>
    <s v="CUST101756"/>
    <n v="34"/>
    <x v="3"/>
    <m/>
    <s v="Pune"/>
    <n v="1125000"/>
    <n v="51"/>
    <x v="0"/>
    <n v="29"/>
    <n v="1200"/>
    <n v="224"/>
    <s v="Platinum"/>
    <s v="Website"/>
    <s v="Lower"/>
  </r>
  <r>
    <s v="CUST101757"/>
    <n v="31"/>
    <x v="3"/>
    <s v="Male"/>
    <s v="Pune"/>
    <n v="550000"/>
    <n v="68"/>
    <x v="3"/>
    <n v="38"/>
    <n v="2100"/>
    <n v="123"/>
    <s v="Gold"/>
    <m/>
    <s v="Higher"/>
  </r>
  <r>
    <s v="CUST101758"/>
    <n v="48"/>
    <x v="2"/>
    <s v="Unknown"/>
    <m/>
    <n v="1125000"/>
    <n v="20"/>
    <x v="2"/>
    <n v="77"/>
    <n v="10800"/>
    <n v="129"/>
    <s v="Gold"/>
    <s v="Mobile App"/>
    <s v="Lower"/>
  </r>
  <r>
    <s v="CUST101759"/>
    <n v="41"/>
    <x v="4"/>
    <s v="Female"/>
    <s v="Bengaluru"/>
    <n v="300000"/>
    <n v="9"/>
    <x v="2"/>
    <n v="5"/>
    <n v="8200"/>
    <n v="305"/>
    <s v="Gold"/>
    <s v="In-store"/>
    <s v="Higher"/>
  </r>
  <r>
    <s v="CUST101760"/>
    <n v="52"/>
    <x v="2"/>
    <s v="Female"/>
    <s v="Bengaluru"/>
    <n v="1550000"/>
    <n v="80"/>
    <x v="3"/>
    <n v="20"/>
    <n v="1500"/>
    <n v="122"/>
    <m/>
    <m/>
    <s v="Higher"/>
  </r>
  <r>
    <s v="CUST101761"/>
    <n v="61"/>
    <x v="0"/>
    <s v="Female"/>
    <s v="Mumbai"/>
    <n v="325000"/>
    <n v="26"/>
    <x v="2"/>
    <n v="78"/>
    <n v="5000"/>
    <n v="35"/>
    <s v="Platinum"/>
    <s v="Mobile App"/>
    <s v="Higher"/>
  </r>
  <r>
    <s v="CUST101762"/>
    <n v="62"/>
    <x v="0"/>
    <s v="Male"/>
    <s v="Kolkata"/>
    <n v="1525000"/>
    <m/>
    <x v="1"/>
    <n v="14"/>
    <n v="11600"/>
    <n v="83"/>
    <s v="Silver"/>
    <s v="In-store"/>
    <s v="Higher"/>
  </r>
  <r>
    <s v="CUST101763"/>
    <n v="51"/>
    <x v="2"/>
    <s v="Male"/>
    <s v="Ahmedabad"/>
    <n v="900000"/>
    <n v="25"/>
    <x v="2"/>
    <n v="8"/>
    <n v="5800"/>
    <n v="309"/>
    <s v="Gold"/>
    <s v="In-store"/>
    <s v="Higher"/>
  </r>
  <r>
    <s v="CUST101764"/>
    <n v="20"/>
    <x v="6"/>
    <s v="Male"/>
    <s v="Delhi"/>
    <n v="1600000"/>
    <n v="68"/>
    <x v="3"/>
    <n v="48"/>
    <n v="7400"/>
    <n v="182"/>
    <s v="Silver"/>
    <m/>
    <s v="Higher"/>
  </r>
  <r>
    <s v="CUST101765"/>
    <n v="54"/>
    <x v="2"/>
    <s v="Male"/>
    <s v="Chennai"/>
    <n v="1575000"/>
    <n v="41"/>
    <x v="0"/>
    <n v="13"/>
    <n v="5800"/>
    <n v="76"/>
    <s v="Platinum"/>
    <s v="Website"/>
    <s v="Higher"/>
  </r>
  <r>
    <s v="CUST101766"/>
    <n v="60"/>
    <x v="0"/>
    <s v="Female"/>
    <m/>
    <n v="425000"/>
    <n v="59"/>
    <x v="0"/>
    <n v="24"/>
    <n v="5200"/>
    <n v="104"/>
    <s v="Gold"/>
    <s v="Website"/>
    <s v="Higher"/>
  </r>
  <r>
    <s v="CUST101767"/>
    <n v="57"/>
    <x v="0"/>
    <m/>
    <s v="Kolkata"/>
    <n v="1325000"/>
    <n v="45"/>
    <x v="0"/>
    <n v="79"/>
    <n v="9700"/>
    <n v="232"/>
    <s v="Silver"/>
    <s v="Online"/>
    <s v="Lower"/>
  </r>
  <r>
    <s v="CUST101768"/>
    <n v="43"/>
    <x v="4"/>
    <s v="Male"/>
    <s v="Ahmedabad"/>
    <n v="900000"/>
    <n v="41"/>
    <x v="0"/>
    <n v="65"/>
    <n v="4700"/>
    <n v="303"/>
    <m/>
    <s v="Mobile App"/>
    <s v="Higher"/>
  </r>
  <r>
    <s v="CUST101769"/>
    <s v="NA"/>
    <x v="5"/>
    <s v="Male"/>
    <s v="Mumbai"/>
    <n v="1700000"/>
    <n v="38"/>
    <x v="0"/>
    <n v="34"/>
    <n v="9100"/>
    <n v="43"/>
    <s v="Silver"/>
    <m/>
    <s v="Higher"/>
  </r>
  <r>
    <s v="CUST101770"/>
    <n v="40"/>
    <x v="4"/>
    <s v="Female"/>
    <s v="Chennai"/>
    <n v="1975000"/>
    <n v="19"/>
    <x v="2"/>
    <n v="51"/>
    <n v="6100"/>
    <n v="93"/>
    <s v="Platinum"/>
    <m/>
    <s v="Higher"/>
  </r>
  <r>
    <s v="CUST101771"/>
    <n v="61"/>
    <x v="0"/>
    <s v="Female"/>
    <s v="Pune"/>
    <n v="1100000"/>
    <n v="14"/>
    <x v="2"/>
    <n v="3"/>
    <n v="4100"/>
    <n v="144"/>
    <s v="Gold"/>
    <s v="Mobile App"/>
    <s v="Higher"/>
  </r>
  <r>
    <s v="CUST101772"/>
    <n v="56"/>
    <x v="0"/>
    <s v="Male"/>
    <s v="Bengaluru"/>
    <m/>
    <n v="21"/>
    <x v="2"/>
    <n v="78"/>
    <n v="2300"/>
    <n v="254"/>
    <m/>
    <m/>
    <s v="Higher"/>
  </r>
  <r>
    <s v="CUST101773"/>
    <n v="32"/>
    <x v="3"/>
    <s v="Male"/>
    <s v="Hyderabad"/>
    <n v="625000"/>
    <n v="15"/>
    <x v="2"/>
    <n v="58"/>
    <n v="5700"/>
    <n v="78"/>
    <s v="Platinum"/>
    <m/>
    <s v="Higher"/>
  </r>
  <r>
    <s v="CUST101774"/>
    <n v="66"/>
    <x v="1"/>
    <s v="Female"/>
    <m/>
    <n v="1325000"/>
    <n v="3"/>
    <x v="2"/>
    <n v="72"/>
    <n v="5900"/>
    <n v="263"/>
    <m/>
    <m/>
    <s v="Higher"/>
  </r>
  <r>
    <s v="CUST101775"/>
    <n v="21"/>
    <x v="6"/>
    <s v="Female"/>
    <m/>
    <n v="1900000"/>
    <n v="37"/>
    <x v="0"/>
    <n v="55"/>
    <n v="11600"/>
    <n v="70"/>
    <s v="Gold"/>
    <s v="Online"/>
    <s v="Higher"/>
  </r>
  <r>
    <s v="CUST101776"/>
    <n v="46"/>
    <x v="2"/>
    <s v="Female"/>
    <s v="Bengaluru"/>
    <n v="1475000"/>
    <n v="46"/>
    <x v="0"/>
    <m/>
    <n v="10400"/>
    <n v="149"/>
    <s v="Silver"/>
    <s v="Online"/>
    <s v="Higher"/>
  </r>
  <r>
    <s v="CUST101777"/>
    <n v="39"/>
    <x v="4"/>
    <m/>
    <s v="Hyderabad"/>
    <m/>
    <n v="16"/>
    <x v="2"/>
    <n v="42"/>
    <n v="4300"/>
    <n v="292"/>
    <m/>
    <m/>
    <s v="Lower"/>
  </r>
  <r>
    <s v="CUST101778"/>
    <n v="42"/>
    <x v="4"/>
    <m/>
    <s v="Ahmedabad"/>
    <n v="1900000"/>
    <n v="14"/>
    <x v="2"/>
    <n v="21"/>
    <n v="9500"/>
    <n v="214"/>
    <m/>
    <s v="Online"/>
    <s v="Lower"/>
  </r>
  <r>
    <s v="CUST101779"/>
    <n v="30"/>
    <x v="3"/>
    <s v="Female"/>
    <s v="Pune"/>
    <n v="850000"/>
    <n v="9"/>
    <x v="2"/>
    <n v="10"/>
    <n v="7200"/>
    <n v="360"/>
    <s v="Platinum"/>
    <m/>
    <s v="Higher"/>
  </r>
  <r>
    <s v="CUST101780"/>
    <n v="35"/>
    <x v="4"/>
    <s v="Male"/>
    <s v="Chennai"/>
    <n v="1975000"/>
    <n v="7"/>
    <x v="2"/>
    <n v="57"/>
    <n v="8400"/>
    <n v="310"/>
    <s v="Platinum"/>
    <s v="Online"/>
    <s v="Higher"/>
  </r>
  <r>
    <s v="CUST101781"/>
    <n v="50"/>
    <x v="2"/>
    <m/>
    <s v="Ahmedabad"/>
    <n v="1950000"/>
    <n v="14"/>
    <x v="2"/>
    <n v="25"/>
    <n v="5100"/>
    <n v="147"/>
    <s v="Platinum"/>
    <s v="Website"/>
    <s v="Lower"/>
  </r>
  <r>
    <s v="CUST101782"/>
    <n v="33"/>
    <x v="3"/>
    <m/>
    <s v="Bengaluru"/>
    <n v="1325000"/>
    <n v="6"/>
    <x v="2"/>
    <n v="56"/>
    <n v="4600"/>
    <n v="25"/>
    <s v="Bronze"/>
    <m/>
    <s v="Lower"/>
  </r>
  <r>
    <s v="CUST101783"/>
    <n v="62"/>
    <x v="0"/>
    <s v="Male"/>
    <s v="Bengaluru"/>
    <n v="1975000"/>
    <n v="85"/>
    <x v="3"/>
    <n v="38"/>
    <n v="3700"/>
    <n v="323"/>
    <m/>
    <s v="Website"/>
    <s v="Higher"/>
  </r>
  <r>
    <s v="CUST101784"/>
    <n v="59"/>
    <x v="0"/>
    <s v="Unknown"/>
    <s v="Chennai"/>
    <n v="1525000"/>
    <n v="15"/>
    <x v="2"/>
    <n v="61"/>
    <n v="9300"/>
    <n v="109"/>
    <m/>
    <s v="Website"/>
    <s v="Lower"/>
  </r>
  <r>
    <s v="CUST101785"/>
    <n v="61"/>
    <x v="0"/>
    <m/>
    <m/>
    <n v="550000"/>
    <n v="52"/>
    <x v="0"/>
    <n v="47"/>
    <n v="700"/>
    <n v="181"/>
    <s v="Gold"/>
    <m/>
    <s v="Lower"/>
  </r>
  <r>
    <s v="CUST101786"/>
    <n v="19"/>
    <x v="6"/>
    <m/>
    <s v="Hyderabad"/>
    <n v="350000"/>
    <n v="72"/>
    <x v="3"/>
    <n v="54"/>
    <n v="7300"/>
    <n v="251"/>
    <s v="Bronze"/>
    <s v="Mobile App"/>
    <s v="Lower"/>
  </r>
  <r>
    <s v="CUST101787"/>
    <s v="NA"/>
    <x v="5"/>
    <s v="Female"/>
    <s v="Ahmedabad"/>
    <n v="975000"/>
    <n v="34"/>
    <x v="0"/>
    <n v="46"/>
    <n v="7600"/>
    <n v="203"/>
    <s v="Platinum"/>
    <s v="In-store"/>
    <s v="Higher"/>
  </r>
  <r>
    <s v="CUST101788"/>
    <n v="52"/>
    <x v="2"/>
    <s v="Male"/>
    <s v="Pune"/>
    <n v="1250000"/>
    <n v="1"/>
    <x v="2"/>
    <n v="68"/>
    <n v="7600"/>
    <n v="304"/>
    <s v="Platinum"/>
    <s v="Online"/>
    <s v="Higher"/>
  </r>
  <r>
    <s v="CUST101789"/>
    <n v="59"/>
    <x v="0"/>
    <s v="Male"/>
    <s v="Bengaluru"/>
    <n v="350000"/>
    <n v="96"/>
    <x v="3"/>
    <n v="4"/>
    <n v="5300"/>
    <n v="170"/>
    <m/>
    <m/>
    <s v="Higher"/>
  </r>
  <r>
    <s v="CUST101790"/>
    <n v="51"/>
    <x v="2"/>
    <m/>
    <s v="Ahmedabad"/>
    <n v="300000"/>
    <n v="69"/>
    <x v="3"/>
    <n v="66"/>
    <n v="5900"/>
    <n v="175"/>
    <s v="Bronze"/>
    <s v="Online"/>
    <s v="Lower"/>
  </r>
  <r>
    <s v="CUST101791"/>
    <n v="47"/>
    <x v="2"/>
    <s v="Female"/>
    <m/>
    <n v="525000"/>
    <n v="94"/>
    <x v="3"/>
    <n v="43"/>
    <n v="6000"/>
    <n v="347"/>
    <s v="Silver"/>
    <m/>
    <s v="Higher"/>
  </r>
  <r>
    <s v="CUST101792"/>
    <s v="NA"/>
    <x v="5"/>
    <s v="Female"/>
    <s v="Ahmedabad"/>
    <n v="600000"/>
    <n v="86"/>
    <x v="3"/>
    <n v="62"/>
    <n v="9400"/>
    <n v="170"/>
    <m/>
    <s v="Mobile App"/>
    <s v="Higher"/>
  </r>
  <r>
    <s v="CUST101793"/>
    <n v="30"/>
    <x v="3"/>
    <s v="Male"/>
    <s v="Chennai"/>
    <n v="275000"/>
    <n v="20"/>
    <x v="2"/>
    <n v="4"/>
    <n v="3800"/>
    <n v="2"/>
    <s v="Gold"/>
    <s v="In-store"/>
    <s v="Higher"/>
  </r>
  <r>
    <s v="CUST101794"/>
    <n v="30"/>
    <x v="3"/>
    <s v="Female"/>
    <s v="Pune"/>
    <n v="400000"/>
    <n v="80"/>
    <x v="3"/>
    <n v="65"/>
    <n v="1200"/>
    <n v="134"/>
    <s v="Silver"/>
    <s v="Mobile App"/>
    <s v="Higher"/>
  </r>
  <r>
    <s v="CUST101795"/>
    <n v="35"/>
    <x v="4"/>
    <s v="Male"/>
    <s v="Mumbai"/>
    <m/>
    <n v="7"/>
    <x v="2"/>
    <n v="62"/>
    <n v="5200"/>
    <n v="127"/>
    <s v="Silver"/>
    <s v="In-store"/>
    <s v="Higher"/>
  </r>
  <r>
    <s v="CUST101796"/>
    <n v="49"/>
    <x v="2"/>
    <m/>
    <s v="Chennai"/>
    <n v="1650000"/>
    <n v="7"/>
    <x v="2"/>
    <n v="2"/>
    <n v="10100"/>
    <n v="46"/>
    <s v="Gold"/>
    <m/>
    <s v="Lower"/>
  </r>
  <r>
    <s v="CUST101797"/>
    <n v="49"/>
    <x v="2"/>
    <s v="Female"/>
    <s v="Ahmedabad"/>
    <n v="1175000"/>
    <n v="50"/>
    <x v="0"/>
    <n v="9"/>
    <n v="11900"/>
    <n v="194"/>
    <s v="Platinum"/>
    <m/>
    <s v="Higher"/>
  </r>
  <r>
    <s v="CUST101798"/>
    <n v="52"/>
    <x v="2"/>
    <m/>
    <s v="Mumbai"/>
    <n v="450000"/>
    <n v="2"/>
    <x v="2"/>
    <n v="57"/>
    <n v="10100"/>
    <n v="362"/>
    <m/>
    <m/>
    <s v="Lower"/>
  </r>
  <r>
    <s v="CUST101799"/>
    <n v="56"/>
    <x v="0"/>
    <s v="Unknown"/>
    <s v="Bengaluru"/>
    <n v="425000"/>
    <n v="47"/>
    <x v="0"/>
    <n v="45"/>
    <n v="3900"/>
    <n v="209"/>
    <m/>
    <s v="Website"/>
    <s v="Lower"/>
  </r>
  <r>
    <s v="CUST101800"/>
    <n v="63"/>
    <x v="0"/>
    <s v="Female"/>
    <s v="Mumbai"/>
    <n v="1975000"/>
    <n v="14"/>
    <x v="2"/>
    <n v="18"/>
    <n v="11400"/>
    <n v="296"/>
    <s v="Platinum"/>
    <s v="Website"/>
    <s v="Higher"/>
  </r>
  <r>
    <s v="CUST101801"/>
    <n v="69"/>
    <x v="1"/>
    <m/>
    <m/>
    <n v="625000"/>
    <n v="31"/>
    <x v="2"/>
    <n v="48"/>
    <n v="2200"/>
    <n v="58"/>
    <s v="Platinum"/>
    <m/>
    <s v="Lower"/>
  </r>
  <r>
    <s v="CUST101802"/>
    <n v="46"/>
    <x v="2"/>
    <s v="Male"/>
    <s v="Delhi"/>
    <n v="1375000"/>
    <n v="50"/>
    <x v="0"/>
    <n v="42"/>
    <n v="1500"/>
    <n v="78"/>
    <s v="Bronze"/>
    <m/>
    <s v="Higher"/>
  </r>
  <r>
    <s v="CUST101803"/>
    <n v="66"/>
    <x v="1"/>
    <m/>
    <m/>
    <n v="1025000"/>
    <n v="61"/>
    <x v="0"/>
    <n v="41"/>
    <n v="7700"/>
    <n v="202"/>
    <s v="Silver"/>
    <m/>
    <s v="Lower"/>
  </r>
  <r>
    <s v="CUST101804"/>
    <n v="46"/>
    <x v="2"/>
    <m/>
    <s v="Chennai"/>
    <n v="1850000"/>
    <n v="41"/>
    <x v="0"/>
    <n v="75"/>
    <n v="11100"/>
    <n v="289"/>
    <s v="Silver"/>
    <s v="Website"/>
    <s v="Lower"/>
  </r>
  <r>
    <s v="CUST101805"/>
    <m/>
    <x v="5"/>
    <s v="Male"/>
    <s v="Delhi"/>
    <n v="1050000"/>
    <n v="14"/>
    <x v="2"/>
    <n v="58"/>
    <n v="2100"/>
    <n v="62"/>
    <m/>
    <m/>
    <s v="Higher"/>
  </r>
  <r>
    <s v="CUST101806"/>
    <n v="61"/>
    <x v="0"/>
    <s v="Female"/>
    <s v="Chennai"/>
    <n v="425000"/>
    <n v="5"/>
    <x v="2"/>
    <n v="42"/>
    <n v="9400"/>
    <n v="268"/>
    <s v="Silver"/>
    <m/>
    <s v="Higher"/>
  </r>
  <r>
    <s v="CUST101807"/>
    <n v="33"/>
    <x v="3"/>
    <s v="Male"/>
    <m/>
    <n v="1125000"/>
    <n v="75"/>
    <x v="3"/>
    <n v="35"/>
    <n v="10400"/>
    <n v="126"/>
    <m/>
    <s v="Mobile App"/>
    <s v="Higher"/>
  </r>
  <r>
    <s v="CUST101808"/>
    <n v="61"/>
    <x v="0"/>
    <s v="Male"/>
    <s v="Pune"/>
    <n v="1475000"/>
    <n v="5"/>
    <x v="2"/>
    <n v="38"/>
    <n v="5800"/>
    <n v="49"/>
    <m/>
    <s v="Online"/>
    <s v="Higher"/>
  </r>
  <r>
    <s v="CUST101809"/>
    <n v="64"/>
    <x v="0"/>
    <m/>
    <s v="Kolkata"/>
    <n v="175000"/>
    <n v="64"/>
    <x v="0"/>
    <n v="67"/>
    <n v="4700"/>
    <n v="88"/>
    <m/>
    <m/>
    <s v="Lower"/>
  </r>
  <r>
    <s v="CUST101810"/>
    <n v="27"/>
    <x v="3"/>
    <s v="Male"/>
    <s v="Bengaluru"/>
    <n v="1375000"/>
    <n v="29"/>
    <x v="2"/>
    <n v="41"/>
    <n v="6200"/>
    <n v="334"/>
    <s v="Gold"/>
    <m/>
    <s v="Higher"/>
  </r>
  <r>
    <s v="CUST101811"/>
    <n v="47"/>
    <x v="2"/>
    <s v="Male"/>
    <s v="Bengaluru"/>
    <n v="1150000"/>
    <n v="75"/>
    <x v="3"/>
    <n v="50"/>
    <n v="7000"/>
    <n v="261"/>
    <m/>
    <m/>
    <s v="Higher"/>
  </r>
  <r>
    <s v="CUST101812"/>
    <n v="42"/>
    <x v="4"/>
    <s v="Female"/>
    <m/>
    <n v="1250000"/>
    <n v="5"/>
    <x v="2"/>
    <n v="72"/>
    <n v="5900"/>
    <n v="179"/>
    <m/>
    <m/>
    <s v="Higher"/>
  </r>
  <r>
    <s v="CUST101813"/>
    <n v="56"/>
    <x v="0"/>
    <s v="Male"/>
    <s v="Ahmedabad"/>
    <n v="350000"/>
    <n v="96"/>
    <x v="3"/>
    <n v="79"/>
    <n v="5600"/>
    <n v="69"/>
    <s v="Bronze"/>
    <s v="Website"/>
    <s v="Higher"/>
  </r>
  <r>
    <s v="CUST101814"/>
    <n v="37"/>
    <x v="4"/>
    <s v="Female"/>
    <s v="Hyderabad"/>
    <n v="1675000"/>
    <n v="36"/>
    <x v="0"/>
    <n v="45"/>
    <n v="3900"/>
    <n v="60"/>
    <s v="Bronze"/>
    <m/>
    <s v="Higher"/>
  </r>
  <r>
    <s v="CUST101815"/>
    <n v="22"/>
    <x v="6"/>
    <s v="Female"/>
    <s v="Chennai"/>
    <n v="1300000"/>
    <n v="79"/>
    <x v="3"/>
    <n v="71"/>
    <n v="8500"/>
    <n v="302"/>
    <s v="Platinum"/>
    <s v="Website"/>
    <s v="Higher"/>
  </r>
  <r>
    <s v="CUST101816"/>
    <n v="18"/>
    <x v="6"/>
    <s v="Unknown"/>
    <s v="Kolkata"/>
    <n v="250000"/>
    <n v="19"/>
    <x v="2"/>
    <n v="19"/>
    <n v="3900"/>
    <n v="249"/>
    <s v="Platinum"/>
    <m/>
    <s v="Lower"/>
  </r>
  <r>
    <s v="CUST101817"/>
    <n v="47"/>
    <x v="2"/>
    <s v="Female"/>
    <s v="Kolkata"/>
    <m/>
    <n v="64"/>
    <x v="0"/>
    <n v="17"/>
    <n v="11900"/>
    <n v="169"/>
    <m/>
    <s v="Website"/>
    <s v="Higher"/>
  </r>
  <r>
    <s v="CUST101818"/>
    <n v="66"/>
    <x v="1"/>
    <s v="Male"/>
    <m/>
    <n v="150000"/>
    <n v="22"/>
    <x v="2"/>
    <n v="65"/>
    <n v="1600"/>
    <n v="269"/>
    <s v="Platinum"/>
    <s v="Website"/>
    <s v="Higher"/>
  </r>
  <r>
    <s v="CUST101819"/>
    <n v="20"/>
    <x v="6"/>
    <s v="Male"/>
    <m/>
    <n v="1225000"/>
    <n v="34"/>
    <x v="0"/>
    <n v="77"/>
    <n v="9700"/>
    <n v="364"/>
    <s v="Platinum"/>
    <s v="Mobile App"/>
    <s v="Higher"/>
  </r>
  <r>
    <s v="CUST101820"/>
    <n v="62"/>
    <x v="0"/>
    <s v="Female"/>
    <s v="Hyderabad"/>
    <n v="675000"/>
    <n v="56"/>
    <x v="0"/>
    <n v="56"/>
    <n v="9400"/>
    <n v="112"/>
    <s v="Bronze"/>
    <m/>
    <s v="Higher"/>
  </r>
  <r>
    <s v="CUST101821"/>
    <n v="31"/>
    <x v="3"/>
    <s v="Male"/>
    <s v="Ahmedabad"/>
    <n v="1075000"/>
    <n v="17"/>
    <x v="2"/>
    <n v="41"/>
    <n v="10200"/>
    <n v="100"/>
    <s v="Platinum"/>
    <s v="Mobile App"/>
    <s v="Higher"/>
  </r>
  <r>
    <s v="CUST101822"/>
    <n v="47"/>
    <x v="2"/>
    <s v="Female"/>
    <m/>
    <n v="600000"/>
    <n v="76"/>
    <x v="3"/>
    <n v="42"/>
    <n v="4600"/>
    <n v="215"/>
    <s v="Bronze"/>
    <s v="Website"/>
    <s v="Higher"/>
  </r>
  <r>
    <s v="CUST101823"/>
    <n v="67"/>
    <x v="1"/>
    <s v="Unknown"/>
    <s v="Mumbai"/>
    <n v="900000"/>
    <n v="89"/>
    <x v="3"/>
    <n v="6"/>
    <n v="10400"/>
    <n v="113"/>
    <m/>
    <s v="Mobile App"/>
    <s v="Lower"/>
  </r>
  <r>
    <s v="CUST101824"/>
    <n v="21"/>
    <x v="6"/>
    <m/>
    <m/>
    <n v="1800000"/>
    <n v="56"/>
    <x v="0"/>
    <n v="69"/>
    <n v="8500"/>
    <n v="97"/>
    <m/>
    <m/>
    <s v="Lower"/>
  </r>
  <r>
    <s v="CUST101825"/>
    <n v="35"/>
    <x v="4"/>
    <s v="Male"/>
    <s v="Ahmedabad"/>
    <n v="1175000"/>
    <n v="17"/>
    <x v="2"/>
    <n v="75"/>
    <n v="4400"/>
    <n v="307"/>
    <m/>
    <m/>
    <s v="Higher"/>
  </r>
  <r>
    <s v="CUST101826"/>
    <n v="54"/>
    <x v="2"/>
    <m/>
    <s v="Pune"/>
    <n v="775000"/>
    <n v="74"/>
    <x v="3"/>
    <n v="73"/>
    <n v="300"/>
    <n v="118"/>
    <s v="Gold"/>
    <s v="Website"/>
    <s v="Lower"/>
  </r>
  <r>
    <s v="CUST101827"/>
    <n v="42"/>
    <x v="4"/>
    <s v="Male"/>
    <s v="Bengaluru"/>
    <n v="450000"/>
    <n v="92"/>
    <x v="3"/>
    <n v="40"/>
    <n v="2500"/>
    <n v="36"/>
    <s v="Platinum"/>
    <m/>
    <s v="Higher"/>
  </r>
  <r>
    <s v="CUST101828"/>
    <n v="65"/>
    <x v="0"/>
    <s v="Unknown"/>
    <s v="Bengaluru"/>
    <n v="1575000"/>
    <n v="82"/>
    <x v="3"/>
    <n v="41"/>
    <m/>
    <n v="337"/>
    <m/>
    <s v="Mobile App"/>
    <s v="Lower"/>
  </r>
  <r>
    <s v="CUST101829"/>
    <n v="18"/>
    <x v="6"/>
    <s v="Male"/>
    <s v="Ahmedabad"/>
    <n v="575000"/>
    <n v="18"/>
    <x v="2"/>
    <n v="9"/>
    <n v="6600"/>
    <n v="359"/>
    <m/>
    <s v="In-store"/>
    <s v="Higher"/>
  </r>
  <r>
    <s v="CUST101830"/>
    <m/>
    <x v="5"/>
    <m/>
    <s v="Hyderabad"/>
    <n v="1800000"/>
    <n v="45"/>
    <x v="0"/>
    <n v="8"/>
    <n v="3000"/>
    <n v="290"/>
    <m/>
    <m/>
    <s v="Lower"/>
  </r>
  <r>
    <s v="CUST101831"/>
    <n v="63"/>
    <x v="0"/>
    <s v="Female"/>
    <m/>
    <n v="200000"/>
    <n v="96"/>
    <x v="3"/>
    <n v="44"/>
    <n v="11400"/>
    <n v="304"/>
    <s v="Silver"/>
    <s v="Mobile App"/>
    <s v="Higher"/>
  </r>
  <r>
    <s v="CUST101832"/>
    <n v="32"/>
    <x v="3"/>
    <s v="Female"/>
    <s v="Kolkata"/>
    <n v="1500000"/>
    <n v="78"/>
    <x v="3"/>
    <n v="58"/>
    <n v="600"/>
    <n v="360"/>
    <s v="Silver"/>
    <s v="Mobile App"/>
    <s v="Higher"/>
  </r>
  <r>
    <s v="CUST101833"/>
    <n v="26"/>
    <x v="3"/>
    <m/>
    <s v="Hyderabad"/>
    <n v="1575000"/>
    <n v="56"/>
    <x v="0"/>
    <n v="67"/>
    <n v="4300"/>
    <n v="347"/>
    <m/>
    <s v="Mobile App"/>
    <s v="Lower"/>
  </r>
  <r>
    <s v="CUST101834"/>
    <n v="32"/>
    <x v="3"/>
    <s v="Male"/>
    <s v="Ahmedabad"/>
    <n v="1700000"/>
    <n v="80"/>
    <x v="3"/>
    <n v="13"/>
    <n v="6200"/>
    <n v="124"/>
    <s v="Bronze"/>
    <m/>
    <s v="Higher"/>
  </r>
  <r>
    <s v="CUST101835"/>
    <n v="66"/>
    <x v="1"/>
    <s v="Unknown"/>
    <m/>
    <n v="1425000"/>
    <n v="50"/>
    <x v="0"/>
    <n v="19"/>
    <n v="2000"/>
    <n v="40"/>
    <s v="Gold"/>
    <s v="In-store"/>
    <s v="Lower"/>
  </r>
  <r>
    <s v="CUST101836"/>
    <n v="41"/>
    <x v="4"/>
    <s v="Female"/>
    <m/>
    <n v="725000"/>
    <n v="58"/>
    <x v="0"/>
    <n v="49"/>
    <n v="6500"/>
    <n v="141"/>
    <m/>
    <s v="Website"/>
    <s v="Higher"/>
  </r>
  <r>
    <s v="CUST101837"/>
    <n v="21"/>
    <x v="6"/>
    <s v="Male"/>
    <s v="Chennai"/>
    <n v="1925000"/>
    <n v="18"/>
    <x v="2"/>
    <m/>
    <n v="6300"/>
    <n v="26"/>
    <s v="Silver"/>
    <s v="Website"/>
    <s v="Higher"/>
  </r>
  <r>
    <s v="CUST101838"/>
    <n v="29"/>
    <x v="3"/>
    <s v="Male"/>
    <s v="Delhi"/>
    <n v="350000"/>
    <n v="80"/>
    <x v="3"/>
    <n v="78"/>
    <n v="5100"/>
    <n v="142"/>
    <s v="Gold"/>
    <m/>
    <s v="Higher"/>
  </r>
  <r>
    <s v="CUST101839"/>
    <n v="54"/>
    <x v="2"/>
    <s v="Unknown"/>
    <s v="Bengaluru"/>
    <n v="1050000"/>
    <n v="81"/>
    <x v="3"/>
    <n v="30"/>
    <n v="4900"/>
    <n v="352"/>
    <m/>
    <m/>
    <s v="Lower"/>
  </r>
  <r>
    <s v="CUST101840"/>
    <n v="54"/>
    <x v="2"/>
    <s v="Female"/>
    <s v="Ahmedabad"/>
    <n v="1450000"/>
    <n v="7"/>
    <x v="2"/>
    <n v="66"/>
    <n v="11700"/>
    <n v="336"/>
    <m/>
    <s v="Online"/>
    <s v="Higher"/>
  </r>
  <r>
    <s v="CUST101841"/>
    <n v="60"/>
    <x v="0"/>
    <m/>
    <s v="Kolkata"/>
    <n v="725000"/>
    <n v="76"/>
    <x v="3"/>
    <n v="77"/>
    <n v="4100"/>
    <n v="57"/>
    <s v="Bronze"/>
    <m/>
    <s v="Lower"/>
  </r>
  <r>
    <s v="CUST101842"/>
    <n v="23"/>
    <x v="6"/>
    <s v="Male"/>
    <s v="Delhi"/>
    <n v="650000"/>
    <n v="98"/>
    <x v="3"/>
    <n v="59"/>
    <n v="9100"/>
    <n v="150"/>
    <s v="Gold"/>
    <s v="In-store"/>
    <s v="Higher"/>
  </r>
  <r>
    <s v="CUST101843"/>
    <n v="56"/>
    <x v="0"/>
    <s v="Male"/>
    <s v="Pune"/>
    <n v="1125000"/>
    <n v="10"/>
    <x v="2"/>
    <n v="53"/>
    <n v="8400"/>
    <n v="205"/>
    <s v="Silver"/>
    <s v="Mobile App"/>
    <s v="Higher"/>
  </r>
  <r>
    <s v="CUST101844"/>
    <n v="63"/>
    <x v="0"/>
    <s v="Female"/>
    <m/>
    <n v="1675000"/>
    <n v="69"/>
    <x v="3"/>
    <n v="52"/>
    <n v="800"/>
    <n v="76"/>
    <m/>
    <m/>
    <s v="Higher"/>
  </r>
  <r>
    <s v="CUST101845"/>
    <n v="41"/>
    <x v="4"/>
    <s v="Male"/>
    <s v="Chennai"/>
    <n v="1875000"/>
    <n v="85"/>
    <x v="3"/>
    <m/>
    <n v="8500"/>
    <n v="285"/>
    <m/>
    <s v="Mobile App"/>
    <s v="Higher"/>
  </r>
  <r>
    <s v="CUST101846"/>
    <n v="28"/>
    <x v="3"/>
    <s v="Male"/>
    <m/>
    <n v="1850000"/>
    <n v="3"/>
    <x v="2"/>
    <n v="31"/>
    <n v="5500"/>
    <n v="210"/>
    <s v="Platinum"/>
    <m/>
    <s v="Higher"/>
  </r>
  <r>
    <s v="CUST101847"/>
    <n v="30"/>
    <x v="3"/>
    <s v="Female"/>
    <s v="Delhi"/>
    <n v="475000"/>
    <n v="83"/>
    <x v="3"/>
    <n v="15"/>
    <n v="7800"/>
    <n v="258"/>
    <m/>
    <s v="Website"/>
    <s v="Higher"/>
  </r>
  <r>
    <s v="CUST101848"/>
    <n v="51"/>
    <x v="2"/>
    <s v="Female"/>
    <s v="Delhi"/>
    <n v="1175000"/>
    <n v="44"/>
    <x v="0"/>
    <n v="20"/>
    <n v="2700"/>
    <n v="259"/>
    <s v="Silver"/>
    <m/>
    <s v="Higher"/>
  </r>
  <r>
    <s v="CUST101849"/>
    <n v="42"/>
    <x v="4"/>
    <s v="Male"/>
    <m/>
    <n v="1375000"/>
    <n v="99"/>
    <x v="3"/>
    <n v="5"/>
    <n v="10100"/>
    <n v="184"/>
    <m/>
    <m/>
    <s v="Higher"/>
  </r>
  <r>
    <s v="CUST101850"/>
    <n v="24"/>
    <x v="6"/>
    <s v="Unknown"/>
    <s v="Kolkata"/>
    <n v="1650000"/>
    <n v="70"/>
    <x v="3"/>
    <n v="7"/>
    <n v="6700"/>
    <n v="328"/>
    <s v="Silver"/>
    <s v="In-store"/>
    <s v="Lower"/>
  </r>
  <r>
    <s v="CUST101851"/>
    <n v="69"/>
    <x v="1"/>
    <m/>
    <s v="Kolkata"/>
    <n v="225000"/>
    <n v="14"/>
    <x v="2"/>
    <n v="18"/>
    <n v="700"/>
    <n v="11"/>
    <s v="Platinum"/>
    <s v="Website"/>
    <s v="Lower"/>
  </r>
  <r>
    <s v="CUST101852"/>
    <n v="21"/>
    <x v="6"/>
    <s v="Female"/>
    <s v="Mumbai"/>
    <n v="1925000"/>
    <n v="4"/>
    <x v="2"/>
    <n v="56"/>
    <n v="6700"/>
    <n v="160"/>
    <m/>
    <m/>
    <s v="Higher"/>
  </r>
  <r>
    <s v="CUST101853"/>
    <n v="25"/>
    <x v="3"/>
    <m/>
    <s v="Pune"/>
    <m/>
    <n v="18"/>
    <x v="2"/>
    <n v="75"/>
    <n v="1000"/>
    <n v="260"/>
    <s v="Gold"/>
    <s v="In-store"/>
    <s v="Lower"/>
  </r>
  <r>
    <s v="CUST101854"/>
    <n v="37"/>
    <x v="4"/>
    <m/>
    <s v="Kolkata"/>
    <n v="550000"/>
    <n v="93"/>
    <x v="3"/>
    <n v="45"/>
    <n v="4100"/>
    <n v="88"/>
    <s v="Gold"/>
    <m/>
    <s v="Lower"/>
  </r>
  <r>
    <s v="CUST101855"/>
    <n v="46"/>
    <x v="2"/>
    <s v="Male"/>
    <s v="Pune"/>
    <n v="1550000"/>
    <n v="99"/>
    <x v="3"/>
    <n v="28"/>
    <n v="11300"/>
    <n v="184"/>
    <m/>
    <s v="Mobile App"/>
    <s v="Higher"/>
  </r>
  <r>
    <s v="CUST101856"/>
    <m/>
    <x v="5"/>
    <s v="Female"/>
    <s v="Pune"/>
    <n v="1325000"/>
    <n v="52"/>
    <x v="0"/>
    <n v="50"/>
    <n v="4500"/>
    <n v="16"/>
    <s v="Gold"/>
    <s v="Online"/>
    <s v="Higher"/>
  </r>
  <r>
    <s v="CUST101857"/>
    <m/>
    <x v="5"/>
    <s v="Female"/>
    <s v="Delhi"/>
    <n v="1225000"/>
    <n v="38"/>
    <x v="0"/>
    <n v="2"/>
    <n v="8400"/>
    <n v="244"/>
    <m/>
    <s v="In-store"/>
    <s v="Higher"/>
  </r>
  <r>
    <s v="CUST101858"/>
    <n v="68"/>
    <x v="1"/>
    <s v="Male"/>
    <s v="Pune"/>
    <n v="1250000"/>
    <n v="80"/>
    <x v="3"/>
    <n v="68"/>
    <n v="11200"/>
    <n v="86"/>
    <m/>
    <s v="Mobile App"/>
    <s v="Higher"/>
  </r>
  <r>
    <s v="CUST101859"/>
    <n v="62"/>
    <x v="0"/>
    <m/>
    <s v="Chennai"/>
    <n v="950000"/>
    <n v="20"/>
    <x v="2"/>
    <n v="77"/>
    <n v="7500"/>
    <n v="199"/>
    <m/>
    <s v="In-store"/>
    <s v="Lower"/>
  </r>
  <r>
    <s v="CUST101860"/>
    <n v="63"/>
    <x v="0"/>
    <s v="Female"/>
    <m/>
    <n v="900000"/>
    <n v="88"/>
    <x v="3"/>
    <n v="24"/>
    <n v="700"/>
    <n v="10"/>
    <s v="Silver"/>
    <s v="In-store"/>
    <s v="Higher"/>
  </r>
  <r>
    <s v="CUST101861"/>
    <n v="27"/>
    <x v="3"/>
    <s v="Male"/>
    <s v="Mumbai"/>
    <n v="1300000"/>
    <n v="99"/>
    <x v="3"/>
    <n v="48"/>
    <m/>
    <n v="164"/>
    <s v="Bronze"/>
    <s v="In-store"/>
    <s v="Higher"/>
  </r>
  <r>
    <s v="CUST101862"/>
    <n v="60"/>
    <x v="0"/>
    <s v="Female"/>
    <s v="Ahmedabad"/>
    <n v="275000"/>
    <n v="44"/>
    <x v="0"/>
    <n v="45"/>
    <n v="600"/>
    <n v="24"/>
    <s v="Silver"/>
    <m/>
    <s v="Higher"/>
  </r>
  <r>
    <s v="CUST101863"/>
    <n v="51"/>
    <x v="2"/>
    <s v="Male"/>
    <s v="Hyderabad"/>
    <n v="1925000"/>
    <n v="51"/>
    <x v="0"/>
    <n v="58"/>
    <n v="11000"/>
    <n v="64"/>
    <s v="Gold"/>
    <s v="Website"/>
    <s v="Higher"/>
  </r>
  <r>
    <s v="CUST101864"/>
    <n v="43"/>
    <x v="4"/>
    <s v="Unknown"/>
    <s v="Mumbai"/>
    <n v="1900000"/>
    <n v="19"/>
    <x v="2"/>
    <n v="36"/>
    <n v="9500"/>
    <n v="312"/>
    <s v="Bronze"/>
    <s v="In-store"/>
    <s v="Lower"/>
  </r>
  <r>
    <s v="CUST101865"/>
    <n v="58"/>
    <x v="0"/>
    <m/>
    <s v="Chennai"/>
    <n v="975000"/>
    <n v="68"/>
    <x v="3"/>
    <n v="2"/>
    <n v="300"/>
    <n v="238"/>
    <m/>
    <m/>
    <s v="Lower"/>
  </r>
  <r>
    <s v="CUST101866"/>
    <n v="66"/>
    <x v="1"/>
    <s v="Male"/>
    <s v="Mumbai"/>
    <n v="1450000"/>
    <n v="97"/>
    <x v="3"/>
    <n v="18"/>
    <n v="9600"/>
    <n v="345"/>
    <s v="Gold"/>
    <s v="Online"/>
    <s v="Higher"/>
  </r>
  <r>
    <s v="CUST101867"/>
    <n v="20"/>
    <x v="6"/>
    <s v="Female"/>
    <s v="Pune"/>
    <n v="475000"/>
    <n v="66"/>
    <x v="0"/>
    <n v="49"/>
    <n v="5800"/>
    <n v="238"/>
    <s v="Platinum"/>
    <s v="Website"/>
    <s v="Higher"/>
  </r>
  <r>
    <s v="CUST101868"/>
    <n v="23"/>
    <x v="6"/>
    <m/>
    <s v="Delhi"/>
    <n v="525000"/>
    <n v="13"/>
    <x v="2"/>
    <n v="8"/>
    <n v="4700"/>
    <n v="22"/>
    <s v="Gold"/>
    <m/>
    <s v="Lower"/>
  </r>
  <r>
    <s v="CUST101869"/>
    <n v="22"/>
    <x v="6"/>
    <m/>
    <s v="Hyderabad"/>
    <n v="1200000"/>
    <n v="62"/>
    <x v="0"/>
    <n v="58"/>
    <n v="6700"/>
    <n v="180"/>
    <s v="Bronze"/>
    <s v="Online"/>
    <s v="Lower"/>
  </r>
  <r>
    <s v="CUST101870"/>
    <n v="22"/>
    <x v="6"/>
    <s v="Female"/>
    <s v="Kolkata"/>
    <n v="1950000"/>
    <n v="61"/>
    <x v="0"/>
    <n v="15"/>
    <n v="500"/>
    <n v="306"/>
    <s v="Bronze"/>
    <s v="Website"/>
    <s v="Higher"/>
  </r>
  <r>
    <s v="CUST101871"/>
    <m/>
    <x v="5"/>
    <s v="Unknown"/>
    <s v="Delhi"/>
    <n v="1975000"/>
    <n v="30"/>
    <x v="2"/>
    <n v="17"/>
    <n v="2400"/>
    <n v="47"/>
    <m/>
    <m/>
    <s v="Lower"/>
  </r>
  <r>
    <s v="CUST101872"/>
    <n v="64"/>
    <x v="0"/>
    <s v="Male"/>
    <s v="Pune"/>
    <n v="425000"/>
    <n v="98"/>
    <x v="3"/>
    <n v="23"/>
    <n v="7400"/>
    <n v="279"/>
    <m/>
    <s v="Online"/>
    <s v="Higher"/>
  </r>
  <r>
    <s v="CUST101873"/>
    <n v="40"/>
    <x v="4"/>
    <s v="Male"/>
    <s v="Pune"/>
    <n v="1875000"/>
    <n v="30"/>
    <x v="2"/>
    <n v="66"/>
    <n v="5800"/>
    <n v="224"/>
    <s v="Platinum"/>
    <m/>
    <s v="Higher"/>
  </r>
  <r>
    <s v="CUST101874"/>
    <n v="66"/>
    <x v="1"/>
    <s v="Male"/>
    <s v="Hyderabad"/>
    <n v="600000"/>
    <n v="51"/>
    <x v="0"/>
    <n v="70"/>
    <n v="2000"/>
    <n v="218"/>
    <m/>
    <s v="Online"/>
    <s v="Higher"/>
  </r>
  <r>
    <s v="CUST101875"/>
    <n v="26"/>
    <x v="3"/>
    <s v="Female"/>
    <s v="Hyderabad"/>
    <n v="1150000"/>
    <n v="88"/>
    <x v="3"/>
    <n v="27"/>
    <n v="2700"/>
    <n v="237"/>
    <s v="Platinum"/>
    <s v="In-store"/>
    <s v="Higher"/>
  </r>
  <r>
    <s v="CUST101876"/>
    <n v="52"/>
    <x v="2"/>
    <s v="Male"/>
    <s v="Bengaluru"/>
    <n v="1450000"/>
    <n v="48"/>
    <x v="0"/>
    <n v="37"/>
    <n v="5000"/>
    <n v="204"/>
    <s v="Platinum"/>
    <s v="In-store"/>
    <s v="Higher"/>
  </r>
  <r>
    <s v="CUST101877"/>
    <n v="37"/>
    <x v="4"/>
    <s v="Female"/>
    <m/>
    <n v="850000"/>
    <n v="33"/>
    <x v="2"/>
    <n v="49"/>
    <n v="11800"/>
    <n v="339"/>
    <m/>
    <s v="Website"/>
    <s v="Higher"/>
  </r>
  <r>
    <s v="CUST101878"/>
    <n v="66"/>
    <x v="1"/>
    <s v="Male"/>
    <m/>
    <n v="1875000"/>
    <n v="74"/>
    <x v="3"/>
    <n v="64"/>
    <n v="8600"/>
    <n v="19"/>
    <s v="Gold"/>
    <s v="Online"/>
    <s v="Higher"/>
  </r>
  <r>
    <s v="CUST101879"/>
    <n v="59"/>
    <x v="0"/>
    <s v="Male"/>
    <s v="Delhi"/>
    <n v="1600000"/>
    <n v="82"/>
    <x v="3"/>
    <n v="34"/>
    <n v="3300"/>
    <n v="180"/>
    <s v="Silver"/>
    <s v="In-store"/>
    <s v="Higher"/>
  </r>
  <r>
    <s v="CUST101880"/>
    <n v="52"/>
    <x v="2"/>
    <s v="Male"/>
    <s v="Kolkata"/>
    <n v="1725000"/>
    <n v="19"/>
    <x v="2"/>
    <n v="18"/>
    <n v="3200"/>
    <n v="162"/>
    <s v="Platinum"/>
    <s v="Website"/>
    <s v="Higher"/>
  </r>
  <r>
    <s v="CUST101881"/>
    <n v="67"/>
    <x v="1"/>
    <s v="Male"/>
    <s v="Mumbai"/>
    <n v="725000"/>
    <n v="71"/>
    <x v="3"/>
    <n v="64"/>
    <n v="8200"/>
    <n v="285"/>
    <s v="Bronze"/>
    <s v="Mobile App"/>
    <s v="Higher"/>
  </r>
  <r>
    <s v="CUST101882"/>
    <n v="35"/>
    <x v="4"/>
    <s v="Female"/>
    <s v="Pune"/>
    <n v="525000"/>
    <n v="57"/>
    <x v="0"/>
    <n v="74"/>
    <n v="6800"/>
    <n v="61"/>
    <m/>
    <s v="In-store"/>
    <s v="Higher"/>
  </r>
  <r>
    <s v="CUST101883"/>
    <n v="34"/>
    <x v="3"/>
    <s v="Female"/>
    <s v="Pune"/>
    <n v="1425000"/>
    <n v="19"/>
    <x v="2"/>
    <n v="44"/>
    <n v="8300"/>
    <n v="85"/>
    <m/>
    <s v="In-store"/>
    <s v="Higher"/>
  </r>
  <r>
    <s v="CUST101884"/>
    <n v="41"/>
    <x v="4"/>
    <s v="Female"/>
    <s v="Bengaluru"/>
    <n v="275000"/>
    <n v="88"/>
    <x v="3"/>
    <n v="17"/>
    <n v="1200"/>
    <n v="35"/>
    <s v="Gold"/>
    <m/>
    <s v="Higher"/>
  </r>
  <r>
    <s v="CUST101885"/>
    <n v="20"/>
    <x v="6"/>
    <s v="Unknown"/>
    <s v="Delhi"/>
    <n v="1050000"/>
    <n v="79"/>
    <x v="3"/>
    <n v="59"/>
    <n v="7300"/>
    <n v="5"/>
    <s v="Platinum"/>
    <m/>
    <s v="Lower"/>
  </r>
  <r>
    <s v="CUST101886"/>
    <n v="49"/>
    <x v="2"/>
    <m/>
    <s v="Delhi"/>
    <n v="225000"/>
    <n v="41"/>
    <x v="0"/>
    <n v="13"/>
    <n v="6100"/>
    <n v="76"/>
    <m/>
    <s v="Mobile App"/>
    <s v="Lower"/>
  </r>
  <r>
    <s v="CUST101887"/>
    <n v="52"/>
    <x v="2"/>
    <s v="Male"/>
    <m/>
    <n v="1075000"/>
    <n v="42"/>
    <x v="0"/>
    <n v="52"/>
    <n v="10800"/>
    <n v="253"/>
    <s v="Gold"/>
    <s v="Online"/>
    <s v="Higher"/>
  </r>
  <r>
    <s v="CUST101888"/>
    <n v="55"/>
    <x v="0"/>
    <s v="Unknown"/>
    <s v="Hyderabad"/>
    <n v="1150000"/>
    <n v="87"/>
    <x v="3"/>
    <n v="60"/>
    <n v="5300"/>
    <n v="7"/>
    <m/>
    <s v="Website"/>
    <s v="Lower"/>
  </r>
  <r>
    <s v="CUST101889"/>
    <n v="30"/>
    <x v="3"/>
    <m/>
    <s v="Kolkata"/>
    <n v="475000"/>
    <n v="52"/>
    <x v="0"/>
    <n v="42"/>
    <n v="11800"/>
    <n v="169"/>
    <m/>
    <s v="Mobile App"/>
    <s v="Lower"/>
  </r>
  <r>
    <s v="CUST101890"/>
    <n v="64"/>
    <x v="0"/>
    <m/>
    <s v="Hyderabad"/>
    <n v="1900000"/>
    <n v="4"/>
    <x v="2"/>
    <n v="64"/>
    <n v="1100"/>
    <n v="130"/>
    <s v="Bronze"/>
    <s v="Online"/>
    <s v="Lower"/>
  </r>
  <r>
    <s v="CUST101891"/>
    <n v="42"/>
    <x v="4"/>
    <s v="Female"/>
    <s v="Kolkata"/>
    <n v="1400000"/>
    <m/>
    <x v="1"/>
    <n v="66"/>
    <n v="5600"/>
    <n v="138"/>
    <s v="Platinum"/>
    <s v="In-store"/>
    <s v="Higher"/>
  </r>
  <r>
    <s v="CUST101892"/>
    <n v="26"/>
    <x v="3"/>
    <m/>
    <s v="Chennai"/>
    <n v="1750000"/>
    <n v="4"/>
    <x v="2"/>
    <n v="34"/>
    <n v="6400"/>
    <n v="358"/>
    <s v="Platinum"/>
    <m/>
    <s v="Lower"/>
  </r>
  <r>
    <s v="CUST101893"/>
    <n v="21"/>
    <x v="6"/>
    <m/>
    <s v="Ahmedabad"/>
    <n v="1425000"/>
    <n v="5"/>
    <x v="2"/>
    <n v="71"/>
    <n v="8300"/>
    <n v="300"/>
    <m/>
    <s v="Website"/>
    <s v="Lower"/>
  </r>
  <r>
    <s v="CUST101894"/>
    <n v="31"/>
    <x v="3"/>
    <s v="Male"/>
    <m/>
    <n v="875000"/>
    <n v="41"/>
    <x v="0"/>
    <n v="64"/>
    <n v="1100"/>
    <n v="326"/>
    <s v="Gold"/>
    <s v="Website"/>
    <s v="Higher"/>
  </r>
  <r>
    <s v="CUST101895"/>
    <n v="54"/>
    <x v="2"/>
    <s v="Male"/>
    <m/>
    <n v="1550000"/>
    <n v="87"/>
    <x v="3"/>
    <n v="33"/>
    <n v="1100"/>
    <n v="91"/>
    <m/>
    <s v="Mobile App"/>
    <s v="Higher"/>
  </r>
  <r>
    <s v="CUST101896"/>
    <n v="51"/>
    <x v="2"/>
    <m/>
    <s v="Kolkata"/>
    <n v="875000"/>
    <m/>
    <x v="1"/>
    <n v="12"/>
    <n v="10300"/>
    <n v="163"/>
    <s v="Silver"/>
    <m/>
    <s v="Lower"/>
  </r>
  <r>
    <s v="CUST101897"/>
    <n v="28"/>
    <x v="3"/>
    <s v="Unknown"/>
    <m/>
    <n v="1175000"/>
    <n v="61"/>
    <x v="0"/>
    <n v="76"/>
    <n v="2600"/>
    <n v="318"/>
    <s v="Platinum"/>
    <s v="Online"/>
    <s v="Lower"/>
  </r>
  <r>
    <s v="CUST101898"/>
    <n v="58"/>
    <x v="0"/>
    <s v="Male"/>
    <s v="Hyderabad"/>
    <n v="400000"/>
    <n v="75"/>
    <x v="3"/>
    <n v="19"/>
    <n v="4100"/>
    <n v="253"/>
    <s v="Bronze"/>
    <m/>
    <s v="Higher"/>
  </r>
  <r>
    <s v="CUST101899"/>
    <n v="20"/>
    <x v="6"/>
    <s v="Female"/>
    <s v="Pune"/>
    <n v="800000"/>
    <n v="55"/>
    <x v="0"/>
    <n v="9"/>
    <n v="7700"/>
    <n v="201"/>
    <s v="Platinum"/>
    <m/>
    <s v="Higher"/>
  </r>
  <r>
    <s v="CUST101900"/>
    <n v="45"/>
    <x v="2"/>
    <s v="Male"/>
    <s v="Hyderabad"/>
    <n v="725000"/>
    <n v="75"/>
    <x v="3"/>
    <n v="74"/>
    <n v="1000"/>
    <n v="20"/>
    <s v="Platinum"/>
    <s v="Mobile App"/>
    <s v="Higher"/>
  </r>
  <r>
    <s v="CUST101901"/>
    <n v="46"/>
    <x v="2"/>
    <s v="Unknown"/>
    <s v="Kolkata"/>
    <n v="1100000"/>
    <n v="13"/>
    <x v="2"/>
    <n v="17"/>
    <n v="2700"/>
    <n v="229"/>
    <s v="Silver"/>
    <m/>
    <s v="Lower"/>
  </r>
  <r>
    <s v="CUST101902"/>
    <n v="26"/>
    <x v="3"/>
    <s v="Female"/>
    <s v="Delhi"/>
    <n v="1925000"/>
    <n v="14"/>
    <x v="2"/>
    <n v="50"/>
    <n v="11200"/>
    <n v="163"/>
    <s v="Silver"/>
    <m/>
    <s v="Higher"/>
  </r>
  <r>
    <s v="CUST101903"/>
    <n v="20"/>
    <x v="6"/>
    <s v="Male"/>
    <s v="Hyderabad"/>
    <n v="575000"/>
    <n v="60"/>
    <x v="0"/>
    <n v="39"/>
    <n v="6800"/>
    <n v="165"/>
    <m/>
    <m/>
    <s v="Higher"/>
  </r>
  <r>
    <s v="CUST101904"/>
    <n v="42"/>
    <x v="4"/>
    <m/>
    <m/>
    <s v="unknown"/>
    <n v="72"/>
    <x v="3"/>
    <n v="41"/>
    <n v="1200"/>
    <n v="232"/>
    <s v="Platinum"/>
    <s v="Website"/>
    <s v="Lower"/>
  </r>
  <r>
    <s v="CUST101905"/>
    <n v="51"/>
    <x v="2"/>
    <s v="Female"/>
    <s v="Bengaluru"/>
    <n v="1250000"/>
    <n v="25"/>
    <x v="2"/>
    <n v="10"/>
    <n v="11900"/>
    <n v="328"/>
    <s v="Platinum"/>
    <s v="Online"/>
    <s v="Higher"/>
  </r>
  <r>
    <s v="CUST101906"/>
    <n v="29"/>
    <x v="3"/>
    <s v="Male"/>
    <m/>
    <n v="425000"/>
    <n v="82"/>
    <x v="3"/>
    <n v="12"/>
    <n v="2600"/>
    <n v="238"/>
    <s v="Gold"/>
    <s v="Online"/>
    <s v="Higher"/>
  </r>
  <r>
    <s v="CUST101907"/>
    <n v="59"/>
    <x v="0"/>
    <s v="Male"/>
    <s v="Pune"/>
    <n v="1350000"/>
    <n v="44"/>
    <x v="0"/>
    <n v="79"/>
    <n v="11400"/>
    <n v="120"/>
    <s v="Gold"/>
    <s v="Mobile App"/>
    <s v="Higher"/>
  </r>
  <r>
    <s v="CUST101908"/>
    <n v="26"/>
    <x v="3"/>
    <s v="Female"/>
    <m/>
    <n v="900000"/>
    <n v="82"/>
    <x v="3"/>
    <n v="15"/>
    <n v="8200"/>
    <n v="351"/>
    <m/>
    <s v="In-store"/>
    <s v="Higher"/>
  </r>
  <r>
    <s v="CUST101909"/>
    <n v="32"/>
    <x v="3"/>
    <m/>
    <s v="Bengaluru"/>
    <n v="675000"/>
    <n v="10"/>
    <x v="2"/>
    <n v="28"/>
    <n v="8500"/>
    <n v="107"/>
    <m/>
    <s v="Mobile App"/>
    <s v="Lower"/>
  </r>
  <r>
    <s v="CUST101910"/>
    <n v="57"/>
    <x v="0"/>
    <m/>
    <s v="Kolkata"/>
    <n v="1225000"/>
    <n v="71"/>
    <x v="3"/>
    <n v="4"/>
    <n v="6100"/>
    <n v="250"/>
    <s v="Bronze"/>
    <s v="Online"/>
    <s v="Lower"/>
  </r>
  <r>
    <s v="CUST101911"/>
    <n v="42"/>
    <x v="4"/>
    <s v="Female"/>
    <s v="Chennai"/>
    <n v="1725000"/>
    <n v="50"/>
    <x v="0"/>
    <n v="36"/>
    <n v="3300"/>
    <n v="336"/>
    <s v="Bronze"/>
    <s v="Website"/>
    <s v="Higher"/>
  </r>
  <r>
    <s v="CUST101912"/>
    <n v="22"/>
    <x v="6"/>
    <s v="Female"/>
    <s v="Bengaluru"/>
    <s v="unknown"/>
    <n v="44"/>
    <x v="0"/>
    <n v="65"/>
    <n v="1300"/>
    <n v="284"/>
    <s v="Gold"/>
    <s v="Mobile App"/>
    <s v="Higher"/>
  </r>
  <r>
    <s v="CUST101913"/>
    <n v="28"/>
    <x v="3"/>
    <m/>
    <s v="Ahmedabad"/>
    <n v="750000"/>
    <n v="14"/>
    <x v="2"/>
    <n v="47"/>
    <n v="800"/>
    <n v="198"/>
    <m/>
    <s v="In-store"/>
    <s v="Lower"/>
  </r>
  <r>
    <s v="CUST101914"/>
    <n v="51"/>
    <x v="2"/>
    <m/>
    <s v="Chennai"/>
    <n v="1400000"/>
    <n v="15"/>
    <x v="2"/>
    <m/>
    <n v="7200"/>
    <n v="220"/>
    <s v="Bronze"/>
    <m/>
    <s v="Lower"/>
  </r>
  <r>
    <s v="CUST101915"/>
    <n v="41"/>
    <x v="4"/>
    <s v="Male"/>
    <s v="Mumbai"/>
    <n v="300000"/>
    <n v="16"/>
    <x v="2"/>
    <n v="39"/>
    <n v="3400"/>
    <n v="151"/>
    <s v="Platinum"/>
    <s v="Mobile App"/>
    <s v="Higher"/>
  </r>
  <r>
    <s v="CUST101916"/>
    <n v="32"/>
    <x v="3"/>
    <s v="Female"/>
    <s v="Pune"/>
    <n v="275000"/>
    <n v="2"/>
    <x v="2"/>
    <n v="38"/>
    <n v="4100"/>
    <n v="286"/>
    <m/>
    <m/>
    <s v="Higher"/>
  </r>
  <r>
    <s v="CUST101917"/>
    <n v="55"/>
    <x v="0"/>
    <s v="Male"/>
    <m/>
    <n v="725000"/>
    <n v="30"/>
    <x v="2"/>
    <n v="44"/>
    <n v="5000"/>
    <n v="265"/>
    <s v="Silver"/>
    <s v="In-store"/>
    <s v="Higher"/>
  </r>
  <r>
    <s v="CUST101918"/>
    <n v="25"/>
    <x v="3"/>
    <m/>
    <s v="Mumbai"/>
    <n v="600000"/>
    <n v="30"/>
    <x v="2"/>
    <n v="51"/>
    <n v="1500"/>
    <n v="220"/>
    <m/>
    <m/>
    <s v="Lower"/>
  </r>
  <r>
    <s v="CUST101919"/>
    <n v="22"/>
    <x v="6"/>
    <s v="Unknown"/>
    <s v="Hyderabad"/>
    <n v="350000"/>
    <n v="82"/>
    <x v="3"/>
    <n v="26"/>
    <n v="6100"/>
    <n v="216"/>
    <s v="Platinum"/>
    <s v="Website"/>
    <s v="Lower"/>
  </r>
  <r>
    <s v="CUST101920"/>
    <n v="65"/>
    <x v="0"/>
    <m/>
    <s v="Kolkata"/>
    <n v="1025000"/>
    <n v="31"/>
    <x v="2"/>
    <n v="36"/>
    <n v="6900"/>
    <n v="315"/>
    <s v="Gold"/>
    <s v="Online"/>
    <s v="Lower"/>
  </r>
  <r>
    <s v="CUST101921"/>
    <n v="43"/>
    <x v="4"/>
    <s v="Male"/>
    <s v="Pune"/>
    <n v="1125000"/>
    <n v="77"/>
    <x v="3"/>
    <n v="69"/>
    <n v="5800"/>
    <n v="156"/>
    <m/>
    <s v="Mobile App"/>
    <s v="Higher"/>
  </r>
  <r>
    <s v="CUST101922"/>
    <n v="35"/>
    <x v="4"/>
    <s v="Female"/>
    <s v="Delhi"/>
    <n v="725000"/>
    <n v="20"/>
    <x v="2"/>
    <n v="1"/>
    <n v="4300"/>
    <n v="216"/>
    <m/>
    <s v="Mobile App"/>
    <s v="Higher"/>
  </r>
  <r>
    <s v="CUST101923"/>
    <n v="23"/>
    <x v="6"/>
    <m/>
    <s v="Chennai"/>
    <n v="1325000"/>
    <n v="49"/>
    <x v="0"/>
    <n v="53"/>
    <n v="5800"/>
    <n v="335"/>
    <s v="Gold"/>
    <m/>
    <s v="Lower"/>
  </r>
  <r>
    <s v="CUST101924"/>
    <n v="54"/>
    <x v="2"/>
    <s v="Male"/>
    <s v="Delhi"/>
    <n v="1700000"/>
    <n v="35"/>
    <x v="0"/>
    <n v="6"/>
    <n v="3700"/>
    <n v="359"/>
    <s v="Platinum"/>
    <m/>
    <s v="Higher"/>
  </r>
  <r>
    <s v="CUST101925"/>
    <n v="65"/>
    <x v="0"/>
    <m/>
    <s v="Mumbai"/>
    <n v="1850000"/>
    <n v="23"/>
    <x v="2"/>
    <n v="37"/>
    <n v="4000"/>
    <n v="114"/>
    <s v="Bronze"/>
    <s v="Online"/>
    <s v="Lower"/>
  </r>
  <r>
    <s v="CUST101926"/>
    <n v="30"/>
    <x v="3"/>
    <s v="Male"/>
    <s v="Bengaluru"/>
    <n v="1450000"/>
    <n v="97"/>
    <x v="3"/>
    <n v="2"/>
    <n v="8300"/>
    <n v="161"/>
    <m/>
    <s v="Mobile App"/>
    <s v="Higher"/>
  </r>
  <r>
    <s v="CUST101927"/>
    <n v="45"/>
    <x v="2"/>
    <m/>
    <s v="Bengaluru"/>
    <n v="1475000"/>
    <m/>
    <x v="1"/>
    <n v="69"/>
    <n v="6900"/>
    <n v="303"/>
    <m/>
    <s v="Online"/>
    <s v="Lower"/>
  </r>
  <r>
    <s v="CUST101928"/>
    <n v="22"/>
    <x v="6"/>
    <s v="Male"/>
    <s v="Kolkata"/>
    <n v="1175000"/>
    <n v="99"/>
    <x v="3"/>
    <n v="41"/>
    <n v="3600"/>
    <n v="98"/>
    <s v="Bronze"/>
    <m/>
    <s v="Higher"/>
  </r>
  <r>
    <s v="CUST101929"/>
    <n v="30"/>
    <x v="3"/>
    <m/>
    <s v="Mumbai"/>
    <n v="1250000"/>
    <n v="100"/>
    <x v="3"/>
    <n v="51"/>
    <n v="7800"/>
    <n v="157"/>
    <m/>
    <m/>
    <s v="Lower"/>
  </r>
  <r>
    <s v="CUST101930"/>
    <n v="34"/>
    <x v="3"/>
    <s v="Female"/>
    <m/>
    <n v="475000"/>
    <n v="61"/>
    <x v="0"/>
    <n v="47"/>
    <n v="9000"/>
    <n v="162"/>
    <s v="Gold"/>
    <m/>
    <s v="Higher"/>
  </r>
  <r>
    <s v="CUST101931"/>
    <n v="67"/>
    <x v="1"/>
    <s v="Male"/>
    <s v="Pune"/>
    <n v="850000"/>
    <n v="84"/>
    <x v="3"/>
    <n v="13"/>
    <n v="7200"/>
    <n v="42"/>
    <s v="Gold"/>
    <s v="In-store"/>
    <s v="Higher"/>
  </r>
  <r>
    <s v="CUST101932"/>
    <n v="57"/>
    <x v="0"/>
    <s v="Male"/>
    <s v="Chennai"/>
    <n v="275000"/>
    <n v="55"/>
    <x v="0"/>
    <n v="76"/>
    <n v="10800"/>
    <n v="180"/>
    <s v="Silver"/>
    <m/>
    <s v="Higher"/>
  </r>
  <r>
    <s v="CUST101933"/>
    <n v="62"/>
    <x v="0"/>
    <s v="Unknown"/>
    <s v="Bengaluru"/>
    <n v="300000"/>
    <n v="67"/>
    <x v="3"/>
    <n v="69"/>
    <n v="1300"/>
    <n v="303"/>
    <m/>
    <m/>
    <s v="Lower"/>
  </r>
  <r>
    <s v="CUST101934"/>
    <n v="49"/>
    <x v="2"/>
    <m/>
    <s v="Bengaluru"/>
    <n v="1050000"/>
    <n v="8"/>
    <x v="2"/>
    <n v="66"/>
    <n v="11400"/>
    <n v="330"/>
    <s v="Gold"/>
    <m/>
    <s v="Lower"/>
  </r>
  <r>
    <s v="CUST101935"/>
    <n v="46"/>
    <x v="2"/>
    <s v="Male"/>
    <s v="Delhi"/>
    <n v="1450000"/>
    <n v="40"/>
    <x v="0"/>
    <n v="59"/>
    <n v="2900"/>
    <n v="51"/>
    <s v="Silver"/>
    <s v="Online"/>
    <s v="Higher"/>
  </r>
  <r>
    <s v="CUST101936"/>
    <n v="68"/>
    <x v="1"/>
    <s v="Male"/>
    <s v="Delhi"/>
    <n v="575000"/>
    <n v="59"/>
    <x v="0"/>
    <n v="68"/>
    <n v="5000"/>
    <n v="252"/>
    <s v="Bronze"/>
    <s v="In-store"/>
    <s v="Higher"/>
  </r>
  <r>
    <s v="CUST101937"/>
    <n v="20"/>
    <x v="6"/>
    <m/>
    <m/>
    <n v="1075000"/>
    <n v="32"/>
    <x v="2"/>
    <n v="59"/>
    <n v="2600"/>
    <n v="350"/>
    <m/>
    <s v="In-store"/>
    <s v="Lower"/>
  </r>
  <r>
    <s v="CUST101938"/>
    <n v="57"/>
    <x v="0"/>
    <s v="Male"/>
    <s v="Hyderabad"/>
    <n v="1600000"/>
    <n v="93"/>
    <x v="3"/>
    <n v="10"/>
    <n v="2000"/>
    <n v="120"/>
    <m/>
    <s v="Mobile App"/>
    <s v="Higher"/>
  </r>
  <r>
    <s v="CUST101939"/>
    <n v="51"/>
    <x v="2"/>
    <s v="Female"/>
    <m/>
    <n v="150000"/>
    <n v="7"/>
    <x v="2"/>
    <n v="13"/>
    <n v="2900"/>
    <n v="75"/>
    <s v="Gold"/>
    <m/>
    <s v="Higher"/>
  </r>
  <r>
    <s v="CUST101940"/>
    <n v="57"/>
    <x v="0"/>
    <s v="Female"/>
    <s v="Delhi"/>
    <n v="1825000"/>
    <n v="2"/>
    <x v="2"/>
    <n v="2"/>
    <n v="5600"/>
    <n v="162"/>
    <s v="Gold"/>
    <s v="Website"/>
    <s v="Higher"/>
  </r>
  <r>
    <s v="CUST101941"/>
    <n v="44"/>
    <x v="4"/>
    <s v="Male"/>
    <s v="Delhi"/>
    <n v="1225000"/>
    <n v="85"/>
    <x v="3"/>
    <n v="15"/>
    <n v="5700"/>
    <n v="149"/>
    <s v="Platinum"/>
    <s v="Mobile App"/>
    <s v="Higher"/>
  </r>
  <r>
    <s v="CUST101942"/>
    <n v="30"/>
    <x v="3"/>
    <m/>
    <s v="Pune"/>
    <n v="1300000"/>
    <n v="6"/>
    <x v="2"/>
    <n v="46"/>
    <n v="10700"/>
    <n v="123"/>
    <s v="Bronze"/>
    <s v="Mobile App"/>
    <s v="Lower"/>
  </r>
  <r>
    <s v="CUST101943"/>
    <n v="62"/>
    <x v="0"/>
    <s v="Unknown"/>
    <m/>
    <n v="1000000"/>
    <n v="92"/>
    <x v="3"/>
    <n v="57"/>
    <n v="2300"/>
    <n v="141"/>
    <s v="Bronze"/>
    <s v="Mobile App"/>
    <s v="Lower"/>
  </r>
  <r>
    <s v="CUST101944"/>
    <n v="50"/>
    <x v="2"/>
    <s v="Male"/>
    <s v="Delhi"/>
    <n v="1625000"/>
    <n v="36"/>
    <x v="0"/>
    <n v="10"/>
    <n v="6100"/>
    <n v="182"/>
    <m/>
    <s v="In-store"/>
    <s v="Higher"/>
  </r>
  <r>
    <s v="CUST101945"/>
    <n v="23"/>
    <x v="6"/>
    <s v="Female"/>
    <s v="Chennai"/>
    <n v="1425000"/>
    <n v="32"/>
    <x v="2"/>
    <n v="22"/>
    <n v="11700"/>
    <n v="277"/>
    <s v="Silver"/>
    <s v="Online"/>
    <s v="Higher"/>
  </r>
  <r>
    <s v="CUST101946"/>
    <n v="41"/>
    <x v="4"/>
    <s v="Male"/>
    <s v="Pune"/>
    <n v="325000"/>
    <n v="45"/>
    <x v="0"/>
    <n v="79"/>
    <n v="3600"/>
    <n v="257"/>
    <s v="Silver"/>
    <m/>
    <s v="Higher"/>
  </r>
  <r>
    <s v="CUST101947"/>
    <n v="36"/>
    <x v="4"/>
    <s v="Unknown"/>
    <s v="Hyderabad"/>
    <n v="1150000"/>
    <n v="42"/>
    <x v="0"/>
    <n v="77"/>
    <n v="9900"/>
    <n v="325"/>
    <s v="Platinum"/>
    <s v="In-store"/>
    <s v="Lower"/>
  </r>
  <r>
    <s v="CUST101948"/>
    <n v="33"/>
    <x v="3"/>
    <s v="Female"/>
    <s v="Mumbai"/>
    <n v="200000"/>
    <n v="53"/>
    <x v="0"/>
    <n v="8"/>
    <n v="6000"/>
    <n v="245"/>
    <m/>
    <m/>
    <s v="Higher"/>
  </r>
  <r>
    <s v="CUST101949"/>
    <n v="57"/>
    <x v="0"/>
    <s v="Unknown"/>
    <s v="Pune"/>
    <n v="1850000"/>
    <n v="9"/>
    <x v="2"/>
    <n v="21"/>
    <n v="5000"/>
    <n v="86"/>
    <s v="Bronze"/>
    <m/>
    <s v="Lower"/>
  </r>
  <r>
    <s v="CUST101950"/>
    <n v="45"/>
    <x v="2"/>
    <s v="Female"/>
    <s v="Mumbai"/>
    <n v="475000"/>
    <n v="75"/>
    <x v="3"/>
    <n v="22"/>
    <n v="5600"/>
    <n v="71"/>
    <s v="Silver"/>
    <s v="Website"/>
    <s v="Higher"/>
  </r>
  <r>
    <s v="CUST101951"/>
    <n v="50"/>
    <x v="2"/>
    <s v="Male"/>
    <s v="Bengaluru"/>
    <n v="775000"/>
    <n v="87"/>
    <x v="3"/>
    <n v="45"/>
    <n v="2000"/>
    <n v="269"/>
    <s v="Bronze"/>
    <s v="Mobile App"/>
    <s v="Higher"/>
  </r>
  <r>
    <s v="CUST101952"/>
    <n v="65"/>
    <x v="0"/>
    <s v="Male"/>
    <m/>
    <n v="1875000"/>
    <n v="75"/>
    <x v="3"/>
    <n v="40"/>
    <n v="500"/>
    <n v="180"/>
    <s v="Bronze"/>
    <s v="Website"/>
    <s v="Higher"/>
  </r>
  <r>
    <s v="CUST101953"/>
    <n v="58"/>
    <x v="0"/>
    <s v="Female"/>
    <s v="Hyderabad"/>
    <n v="1575000"/>
    <n v="49"/>
    <x v="0"/>
    <n v="22"/>
    <n v="2600"/>
    <n v="279"/>
    <m/>
    <s v="Mobile App"/>
    <s v="Higher"/>
  </r>
  <r>
    <s v="CUST101954"/>
    <n v="30"/>
    <x v="3"/>
    <m/>
    <m/>
    <n v="1125000"/>
    <n v="2"/>
    <x v="2"/>
    <n v="30"/>
    <n v="300"/>
    <n v="149"/>
    <s v="Silver"/>
    <s v="In-store"/>
    <s v="Lower"/>
  </r>
  <r>
    <s v="CUST101955"/>
    <n v="60"/>
    <x v="0"/>
    <s v="Female"/>
    <s v="Hyderabad"/>
    <n v="1400000"/>
    <n v="67"/>
    <x v="3"/>
    <n v="62"/>
    <n v="800"/>
    <n v="6"/>
    <s v="Gold"/>
    <m/>
    <s v="Higher"/>
  </r>
  <r>
    <s v="CUST101956"/>
    <n v="62"/>
    <x v="0"/>
    <s v="Female"/>
    <m/>
    <n v="250000"/>
    <n v="11"/>
    <x v="2"/>
    <n v="73"/>
    <n v="2100"/>
    <n v="148"/>
    <s v="Gold"/>
    <s v="Website"/>
    <s v="Higher"/>
  </r>
  <r>
    <s v="CUST101957"/>
    <n v="42"/>
    <x v="4"/>
    <s v="Female"/>
    <s v="Pune"/>
    <s v="unknown"/>
    <n v="50"/>
    <x v="0"/>
    <n v="45"/>
    <n v="8800"/>
    <n v="332"/>
    <m/>
    <m/>
    <s v="Higher"/>
  </r>
  <r>
    <s v="CUST101958"/>
    <m/>
    <x v="5"/>
    <s v="Female"/>
    <m/>
    <n v="925000"/>
    <n v="35"/>
    <x v="0"/>
    <n v="35"/>
    <n v="11700"/>
    <n v="168"/>
    <s v="Silver"/>
    <s v="In-store"/>
    <s v="Higher"/>
  </r>
  <r>
    <s v="CUST101959"/>
    <n v="59"/>
    <x v="0"/>
    <s v="Male"/>
    <s v="Ahmedabad"/>
    <n v="150000"/>
    <n v="15"/>
    <x v="2"/>
    <n v="42"/>
    <n v="4500"/>
    <n v="9"/>
    <s v="Platinum"/>
    <s v="In-store"/>
    <s v="Higher"/>
  </r>
  <r>
    <s v="CUST101960"/>
    <n v="53"/>
    <x v="2"/>
    <s v="Unknown"/>
    <s v="Hyderabad"/>
    <s v="unknown"/>
    <n v="75"/>
    <x v="3"/>
    <n v="5"/>
    <n v="1000"/>
    <n v="178"/>
    <m/>
    <m/>
    <s v="Lower"/>
  </r>
  <r>
    <s v="CUST101961"/>
    <n v="44"/>
    <x v="4"/>
    <m/>
    <s v="Mumbai"/>
    <n v="1475000"/>
    <n v="31"/>
    <x v="2"/>
    <n v="27"/>
    <n v="7100"/>
    <n v="284"/>
    <m/>
    <s v="Mobile App"/>
    <s v="Lower"/>
  </r>
  <r>
    <s v="CUST101962"/>
    <n v="55"/>
    <x v="0"/>
    <s v="Female"/>
    <s v="Hyderabad"/>
    <n v="400000"/>
    <n v="92"/>
    <x v="3"/>
    <n v="70"/>
    <n v="5400"/>
    <n v="116"/>
    <s v="Bronze"/>
    <m/>
    <s v="Higher"/>
  </r>
  <r>
    <s v="CUST101963"/>
    <n v="24"/>
    <x v="6"/>
    <s v="Female"/>
    <s v="Bengaluru"/>
    <n v="1450000"/>
    <n v="62"/>
    <x v="0"/>
    <n v="62"/>
    <n v="7500"/>
    <n v="96"/>
    <m/>
    <s v="Mobile App"/>
    <s v="Higher"/>
  </r>
  <r>
    <s v="CUST101964"/>
    <n v="22"/>
    <x v="6"/>
    <s v="Female"/>
    <s v="Chennai"/>
    <n v="325000"/>
    <n v="28"/>
    <x v="2"/>
    <n v="32"/>
    <n v="4900"/>
    <n v="331"/>
    <m/>
    <s v="Mobile App"/>
    <s v="Higher"/>
  </r>
  <r>
    <s v="CUST101965"/>
    <n v="60"/>
    <x v="0"/>
    <m/>
    <s v="Ahmedabad"/>
    <n v="750000"/>
    <n v="96"/>
    <x v="3"/>
    <n v="8"/>
    <n v="8700"/>
    <n v="344"/>
    <m/>
    <s v="In-store"/>
    <s v="Lower"/>
  </r>
  <r>
    <s v="CUST101966"/>
    <n v="62"/>
    <x v="0"/>
    <m/>
    <s v="Kolkata"/>
    <n v="1125000"/>
    <n v="25"/>
    <x v="2"/>
    <n v="18"/>
    <n v="3000"/>
    <n v="56"/>
    <s v="Silver"/>
    <s v="Mobile App"/>
    <s v="Lower"/>
  </r>
  <r>
    <s v="CUST101967"/>
    <n v="68"/>
    <x v="1"/>
    <s v="Male"/>
    <s v="Hyderabad"/>
    <n v="925000"/>
    <n v="84"/>
    <x v="3"/>
    <n v="78"/>
    <n v="4800"/>
    <n v="207"/>
    <s v="Bronze"/>
    <s v="Online"/>
    <s v="Higher"/>
  </r>
  <r>
    <s v="CUST101968"/>
    <n v="48"/>
    <x v="2"/>
    <s v="Female"/>
    <s v="Delhi"/>
    <n v="825000"/>
    <n v="92"/>
    <x v="3"/>
    <n v="15"/>
    <n v="600"/>
    <n v="105"/>
    <m/>
    <m/>
    <s v="Higher"/>
  </r>
  <r>
    <s v="CUST101969"/>
    <n v="40"/>
    <x v="4"/>
    <s v="Male"/>
    <s v="Pune"/>
    <n v="200000"/>
    <n v="25"/>
    <x v="2"/>
    <n v="26"/>
    <n v="9000"/>
    <n v="35"/>
    <s v="Gold"/>
    <m/>
    <s v="Higher"/>
  </r>
  <r>
    <s v="CUST101970"/>
    <n v="59"/>
    <x v="0"/>
    <s v="Unknown"/>
    <s v="Pune"/>
    <n v="1675000"/>
    <n v="75"/>
    <x v="3"/>
    <n v="53"/>
    <n v="1000"/>
    <n v="209"/>
    <s v="Platinum"/>
    <m/>
    <s v="Lower"/>
  </r>
  <r>
    <s v="CUST101971"/>
    <n v="27"/>
    <x v="3"/>
    <s v="Female"/>
    <m/>
    <n v="800000"/>
    <n v="83"/>
    <x v="3"/>
    <n v="44"/>
    <n v="11800"/>
    <n v="281"/>
    <m/>
    <m/>
    <s v="Higher"/>
  </r>
  <r>
    <s v="CUST101972"/>
    <n v="49"/>
    <x v="2"/>
    <m/>
    <m/>
    <n v="1250000"/>
    <n v="92"/>
    <x v="3"/>
    <n v="32"/>
    <n v="6300"/>
    <n v="355"/>
    <m/>
    <s v="Mobile App"/>
    <s v="Lower"/>
  </r>
  <r>
    <s v="CUST101973"/>
    <n v="60"/>
    <x v="0"/>
    <m/>
    <s v="Pune"/>
    <n v="750000"/>
    <n v="1"/>
    <x v="2"/>
    <n v="28"/>
    <n v="1900"/>
    <n v="147"/>
    <m/>
    <s v="Mobile App"/>
    <s v="Lower"/>
  </r>
  <r>
    <s v="CUST101974"/>
    <m/>
    <x v="5"/>
    <s v="Unknown"/>
    <m/>
    <n v="1650000"/>
    <n v="59"/>
    <x v="0"/>
    <n v="39"/>
    <n v="3600"/>
    <n v="287"/>
    <s v="Platinum"/>
    <s v="Website"/>
    <s v="Lower"/>
  </r>
  <r>
    <s v="CUST101975"/>
    <n v="47"/>
    <x v="2"/>
    <s v="Male"/>
    <s v="Ahmedabad"/>
    <n v="1225000"/>
    <n v="69"/>
    <x v="3"/>
    <n v="32"/>
    <n v="2200"/>
    <n v="81"/>
    <m/>
    <m/>
    <s v="Higher"/>
  </r>
  <r>
    <s v="CUST101976"/>
    <n v="56"/>
    <x v="0"/>
    <m/>
    <s v="Ahmedabad"/>
    <n v="1275000"/>
    <n v="74"/>
    <x v="3"/>
    <n v="77"/>
    <n v="8200"/>
    <n v="50"/>
    <s v="Gold"/>
    <m/>
    <s v="Lower"/>
  </r>
  <r>
    <s v="CUST101977"/>
    <n v="48"/>
    <x v="2"/>
    <s v="Female"/>
    <s v="Mumbai"/>
    <n v="475000"/>
    <n v="42"/>
    <x v="0"/>
    <n v="79"/>
    <n v="7600"/>
    <n v="87"/>
    <m/>
    <m/>
    <s v="Higher"/>
  </r>
  <r>
    <s v="CUST101978"/>
    <n v="35"/>
    <x v="4"/>
    <s v="Female"/>
    <s v="Hyderabad"/>
    <n v="325000"/>
    <n v="34"/>
    <x v="0"/>
    <n v="18"/>
    <n v="3600"/>
    <n v="191"/>
    <s v="Silver"/>
    <s v="Mobile App"/>
    <s v="Higher"/>
  </r>
  <r>
    <s v="CUST101979"/>
    <n v="53"/>
    <x v="2"/>
    <m/>
    <s v="Kolkata"/>
    <n v="1325000"/>
    <n v="100"/>
    <x v="3"/>
    <n v="70"/>
    <n v="4500"/>
    <n v="303"/>
    <s v="Bronze"/>
    <s v="Online"/>
    <s v="Lower"/>
  </r>
  <r>
    <s v="CUST101980"/>
    <n v="19"/>
    <x v="6"/>
    <s v="Male"/>
    <s v="Pune"/>
    <n v="475000"/>
    <n v="66"/>
    <x v="0"/>
    <n v="11"/>
    <n v="1200"/>
    <n v="1"/>
    <s v="Gold"/>
    <s v="Website"/>
    <s v="Higher"/>
  </r>
  <r>
    <s v="CUST101981"/>
    <n v="31"/>
    <x v="3"/>
    <m/>
    <s v="Hyderabad"/>
    <n v="1750000"/>
    <n v="18"/>
    <x v="2"/>
    <n v="32"/>
    <n v="9600"/>
    <n v="138"/>
    <s v="Platinum"/>
    <s v="Online"/>
    <s v="Lower"/>
  </r>
  <r>
    <s v="CUST101982"/>
    <n v="30"/>
    <x v="3"/>
    <s v="Male"/>
    <s v="Ahmedabad"/>
    <n v="300000"/>
    <n v="77"/>
    <x v="3"/>
    <n v="20"/>
    <n v="3200"/>
    <n v="136"/>
    <s v="Platinum"/>
    <s v="Mobile App"/>
    <s v="Higher"/>
  </r>
  <r>
    <s v="CUST101983"/>
    <n v="46"/>
    <x v="2"/>
    <m/>
    <s v="Bengaluru"/>
    <n v="1350000"/>
    <n v="5"/>
    <x v="2"/>
    <n v="40"/>
    <n v="11700"/>
    <n v="362"/>
    <s v="Gold"/>
    <m/>
    <s v="Lower"/>
  </r>
  <r>
    <s v="CUST101984"/>
    <n v="29"/>
    <x v="3"/>
    <m/>
    <s v="Pune"/>
    <n v="1500000"/>
    <n v="20"/>
    <x v="2"/>
    <n v="8"/>
    <n v="2700"/>
    <n v="154"/>
    <s v="Silver"/>
    <m/>
    <s v="Lower"/>
  </r>
  <r>
    <s v="CUST101985"/>
    <n v="56"/>
    <x v="0"/>
    <s v="Female"/>
    <s v="Hyderabad"/>
    <n v="450000"/>
    <n v="66"/>
    <x v="0"/>
    <n v="35"/>
    <n v="5900"/>
    <n v="162"/>
    <m/>
    <s v="Online"/>
    <s v="Higher"/>
  </r>
  <r>
    <s v="CUST101986"/>
    <n v="19"/>
    <x v="6"/>
    <s v="Male"/>
    <s v="Ahmedabad"/>
    <n v="1950000"/>
    <n v="75"/>
    <x v="3"/>
    <n v="69"/>
    <n v="11200"/>
    <n v="19"/>
    <s v="Silver"/>
    <s v="In-store"/>
    <s v="Higher"/>
  </r>
  <r>
    <s v="CUST101987"/>
    <n v="49"/>
    <x v="2"/>
    <s v="Male"/>
    <s v="Chennai"/>
    <n v="1525000"/>
    <n v="62"/>
    <x v="0"/>
    <n v="78"/>
    <n v="6500"/>
    <n v="328"/>
    <m/>
    <s v="Mobile App"/>
    <s v="Higher"/>
  </r>
  <r>
    <s v="CUST101988"/>
    <n v="30"/>
    <x v="3"/>
    <m/>
    <s v="Ahmedabad"/>
    <n v="1525000"/>
    <n v="94"/>
    <x v="3"/>
    <n v="21"/>
    <n v="10900"/>
    <n v="243"/>
    <m/>
    <m/>
    <s v="Lower"/>
  </r>
  <r>
    <s v="CUST101989"/>
    <n v="63"/>
    <x v="0"/>
    <m/>
    <m/>
    <n v="500000"/>
    <n v="96"/>
    <x v="3"/>
    <n v="24"/>
    <n v="10700"/>
    <n v="129"/>
    <s v="Platinum"/>
    <m/>
    <s v="Lower"/>
  </r>
  <r>
    <s v="CUST101990"/>
    <n v="44"/>
    <x v="4"/>
    <s v="Unknown"/>
    <s v="Delhi"/>
    <n v="1550000"/>
    <n v="32"/>
    <x v="2"/>
    <n v="17"/>
    <n v="7300"/>
    <n v="176"/>
    <m/>
    <s v="In-store"/>
    <s v="Lower"/>
  </r>
  <r>
    <s v="CUST101991"/>
    <n v="66"/>
    <x v="1"/>
    <s v="Unknown"/>
    <m/>
    <n v="1575000"/>
    <n v="58"/>
    <x v="0"/>
    <n v="18"/>
    <n v="4900"/>
    <n v="280"/>
    <s v="Gold"/>
    <m/>
    <s v="Lower"/>
  </r>
  <r>
    <s v="CUST101992"/>
    <n v="58"/>
    <x v="0"/>
    <s v="Unknown"/>
    <m/>
    <n v="1000000"/>
    <n v="50"/>
    <x v="0"/>
    <n v="12"/>
    <n v="8600"/>
    <n v="84"/>
    <m/>
    <m/>
    <s v="Lower"/>
  </r>
  <r>
    <s v="CUST101993"/>
    <n v="34"/>
    <x v="3"/>
    <s v="Male"/>
    <m/>
    <n v="525000"/>
    <n v="38"/>
    <x v="0"/>
    <n v="16"/>
    <n v="8300"/>
    <n v="222"/>
    <s v="Gold"/>
    <m/>
    <s v="Higher"/>
  </r>
  <r>
    <s v="CUST101994"/>
    <n v="57"/>
    <x v="0"/>
    <s v="Female"/>
    <m/>
    <n v="325000"/>
    <n v="55"/>
    <x v="0"/>
    <n v="4"/>
    <n v="500"/>
    <n v="325"/>
    <s v="Bronze"/>
    <s v="In-store"/>
    <s v="Higher"/>
  </r>
  <r>
    <s v="CUST101995"/>
    <n v="48"/>
    <x v="2"/>
    <s v="Female"/>
    <s v="Pune"/>
    <n v="1250000"/>
    <n v="28"/>
    <x v="2"/>
    <n v="34"/>
    <n v="11300"/>
    <n v="145"/>
    <s v="Platinum"/>
    <s v="Online"/>
    <s v="Higher"/>
  </r>
  <r>
    <s v="CUST101996"/>
    <n v="51"/>
    <x v="2"/>
    <s v="Unknown"/>
    <s v="Chennai"/>
    <n v="1125000"/>
    <n v="74"/>
    <x v="3"/>
    <n v="46"/>
    <n v="4800"/>
    <n v="106"/>
    <s v="Silver"/>
    <s v="Mobile App"/>
    <s v="Lower"/>
  </r>
  <r>
    <s v="CUST101997"/>
    <n v="41"/>
    <x v="4"/>
    <s v="Female"/>
    <s v="Chennai"/>
    <n v="1475000"/>
    <n v="86"/>
    <x v="3"/>
    <n v="75"/>
    <n v="10600"/>
    <n v="325"/>
    <m/>
    <s v="In-store"/>
    <s v="Higher"/>
  </r>
  <r>
    <s v="CUST101998"/>
    <n v="62"/>
    <x v="0"/>
    <m/>
    <s v="Pune"/>
    <n v="475000"/>
    <n v="81"/>
    <x v="3"/>
    <n v="77"/>
    <n v="3800"/>
    <n v="11"/>
    <s v="Silver"/>
    <s v="In-store"/>
    <s v="Lower"/>
  </r>
  <r>
    <s v="CUST101999"/>
    <n v="52"/>
    <x v="2"/>
    <s v="Male"/>
    <s v="Hyderabad"/>
    <n v="1600000"/>
    <n v="22"/>
    <x v="2"/>
    <n v="31"/>
    <n v="2800"/>
    <n v="166"/>
    <s v="Silver"/>
    <m/>
    <s v="Higher"/>
  </r>
  <r>
    <s v="CUST102000"/>
    <n v="65"/>
    <x v="0"/>
    <s v="Unknown"/>
    <s v="Pune"/>
    <n v="1450000"/>
    <n v="43"/>
    <x v="0"/>
    <n v="25"/>
    <n v="1200"/>
    <n v="196"/>
    <m/>
    <m/>
    <s v="Lower"/>
  </r>
  <r>
    <s v="CUST102001"/>
    <n v="23"/>
    <x v="6"/>
    <m/>
    <s v="Kolkata"/>
    <n v="800000"/>
    <n v="83"/>
    <x v="3"/>
    <n v="74"/>
    <n v="3600"/>
    <n v="231"/>
    <s v="Platinum"/>
    <s v="In-store"/>
    <s v="Lower"/>
  </r>
  <r>
    <s v="CUST102002"/>
    <n v="36"/>
    <x v="4"/>
    <s v="Female"/>
    <s v="Kolkata"/>
    <n v="1300000"/>
    <n v="81"/>
    <x v="3"/>
    <n v="24"/>
    <n v="8000"/>
    <n v="147"/>
    <m/>
    <s v="Mobile App"/>
    <s v="Higher"/>
  </r>
  <r>
    <s v="CUST102003"/>
    <n v="47"/>
    <x v="2"/>
    <s v="Male"/>
    <m/>
    <n v="275000"/>
    <n v="88"/>
    <x v="3"/>
    <n v="65"/>
    <n v="1000"/>
    <n v="359"/>
    <s v="Bronze"/>
    <s v="Online"/>
    <s v="Higher"/>
  </r>
  <r>
    <s v="CUST102004"/>
    <n v="24"/>
    <x v="6"/>
    <s v="Male"/>
    <s v="Ahmedabad"/>
    <n v="1500000"/>
    <n v="36"/>
    <x v="0"/>
    <n v="25"/>
    <n v="5700"/>
    <n v="238"/>
    <s v="Silver"/>
    <m/>
    <s v="Higher"/>
  </r>
  <r>
    <s v="CUST102005"/>
    <n v="27"/>
    <x v="3"/>
    <s v="Female"/>
    <s v="Pune"/>
    <n v="1225000"/>
    <n v="96"/>
    <x v="3"/>
    <n v="28"/>
    <n v="9300"/>
    <n v="13"/>
    <m/>
    <s v="Online"/>
    <s v="Higher"/>
  </r>
  <r>
    <s v="CUST102006"/>
    <n v="58"/>
    <x v="0"/>
    <s v="Unknown"/>
    <s v="Pune"/>
    <n v="575000"/>
    <n v="52"/>
    <x v="0"/>
    <n v="36"/>
    <n v="1200"/>
    <n v="219"/>
    <s v="Silver"/>
    <s v="Online"/>
    <s v="Lower"/>
  </r>
  <r>
    <s v="CUST102007"/>
    <n v="49"/>
    <x v="2"/>
    <s v="Male"/>
    <s v="Hyderabad"/>
    <n v="525000"/>
    <n v="36"/>
    <x v="0"/>
    <n v="6"/>
    <n v="5900"/>
    <n v="257"/>
    <s v="Platinum"/>
    <s v="Mobile App"/>
    <s v="Higher"/>
  </r>
  <r>
    <s v="CUST102008"/>
    <n v="51"/>
    <x v="2"/>
    <s v="Female"/>
    <s v="Mumbai"/>
    <n v="425000"/>
    <n v="28"/>
    <x v="2"/>
    <n v="66"/>
    <n v="11600"/>
    <n v="2"/>
    <s v="Platinum"/>
    <m/>
    <s v="Higher"/>
  </r>
  <r>
    <s v="CUST102009"/>
    <n v="45"/>
    <x v="2"/>
    <s v="Female"/>
    <m/>
    <n v="625000"/>
    <n v="78"/>
    <x v="3"/>
    <n v="67"/>
    <n v="8100"/>
    <n v="210"/>
    <s v="Gold"/>
    <m/>
    <s v="Higher"/>
  </r>
  <r>
    <s v="CUST102010"/>
    <n v="32"/>
    <x v="3"/>
    <s v="Female"/>
    <m/>
    <n v="1250000"/>
    <n v="58"/>
    <x v="0"/>
    <n v="72"/>
    <n v="10300"/>
    <m/>
    <s v="Platinum"/>
    <m/>
    <s v="Higher"/>
  </r>
  <r>
    <s v="CUST102011"/>
    <n v="47"/>
    <x v="2"/>
    <s v="Male"/>
    <m/>
    <n v="1725000"/>
    <n v="36"/>
    <x v="0"/>
    <n v="48"/>
    <n v="8800"/>
    <n v="225"/>
    <s v="Platinum"/>
    <s v="Mobile App"/>
    <s v="Higher"/>
  </r>
  <r>
    <s v="CUST102012"/>
    <n v="54"/>
    <x v="2"/>
    <s v="Female"/>
    <s v="Ahmedabad"/>
    <n v="1600000"/>
    <n v="70"/>
    <x v="3"/>
    <n v="70"/>
    <n v="4700"/>
    <n v="194"/>
    <s v="Silver"/>
    <m/>
    <s v="Higher"/>
  </r>
  <r>
    <s v="CUST102013"/>
    <n v="46"/>
    <x v="2"/>
    <m/>
    <m/>
    <n v="675000"/>
    <n v="9"/>
    <x v="2"/>
    <n v="78"/>
    <n v="5200"/>
    <n v="196"/>
    <s v="Bronze"/>
    <s v="In-store"/>
    <s v="Lower"/>
  </r>
  <r>
    <s v="CUST102014"/>
    <n v="39"/>
    <x v="4"/>
    <s v="Male"/>
    <s v="Bengaluru"/>
    <n v="1300000"/>
    <n v="21"/>
    <x v="2"/>
    <n v="67"/>
    <n v="6600"/>
    <n v="260"/>
    <s v="Silver"/>
    <s v="Website"/>
    <s v="Higher"/>
  </r>
  <r>
    <s v="CUST102015"/>
    <n v="21"/>
    <x v="6"/>
    <s v="Unknown"/>
    <s v="Mumbai"/>
    <n v="850000"/>
    <n v="64"/>
    <x v="0"/>
    <n v="48"/>
    <n v="9700"/>
    <n v="57"/>
    <m/>
    <s v="Website"/>
    <s v="Lower"/>
  </r>
  <r>
    <s v="CUST102016"/>
    <n v="37"/>
    <x v="4"/>
    <s v="Unknown"/>
    <s v="Ahmedabad"/>
    <n v="1250000"/>
    <n v="76"/>
    <x v="3"/>
    <n v="65"/>
    <n v="400"/>
    <n v="113"/>
    <s v="Platinum"/>
    <s v="Website"/>
    <s v="Lower"/>
  </r>
  <r>
    <s v="CUST102017"/>
    <n v="49"/>
    <x v="2"/>
    <m/>
    <s v="Kolkata"/>
    <s v="unknown"/>
    <n v="61"/>
    <x v="0"/>
    <n v="44"/>
    <n v="4700"/>
    <n v="213"/>
    <s v="Gold"/>
    <s v="Online"/>
    <s v="Lower"/>
  </r>
  <r>
    <s v="CUST102018"/>
    <n v="53"/>
    <x v="2"/>
    <s v="Female"/>
    <s v="Hyderabad"/>
    <n v="350000"/>
    <n v="94"/>
    <x v="3"/>
    <n v="63"/>
    <n v="9700"/>
    <n v="279"/>
    <s v="Bronze"/>
    <m/>
    <s v="Higher"/>
  </r>
  <r>
    <s v="CUST102019"/>
    <n v="67"/>
    <x v="1"/>
    <s v="Female"/>
    <m/>
    <n v="725000"/>
    <n v="95"/>
    <x v="3"/>
    <n v="46"/>
    <n v="6400"/>
    <n v="244"/>
    <s v="Gold"/>
    <s v="Mobile App"/>
    <s v="Higher"/>
  </r>
  <r>
    <s v="CUST102020"/>
    <n v="21"/>
    <x v="6"/>
    <s v="Male"/>
    <s v="Kolkata"/>
    <n v="500000"/>
    <n v="40"/>
    <x v="0"/>
    <n v="19"/>
    <n v="1600"/>
    <n v="117"/>
    <m/>
    <m/>
    <s v="Higher"/>
  </r>
  <r>
    <s v="CUST102021"/>
    <n v="44"/>
    <x v="4"/>
    <s v="Unknown"/>
    <m/>
    <n v="1025000"/>
    <n v="56"/>
    <x v="0"/>
    <n v="64"/>
    <n v="7600"/>
    <n v="87"/>
    <s v="Gold"/>
    <s v="Mobile App"/>
    <s v="Lower"/>
  </r>
  <r>
    <s v="CUST102022"/>
    <n v="34"/>
    <x v="3"/>
    <m/>
    <s v="Chennai"/>
    <n v="450000"/>
    <n v="4"/>
    <x v="2"/>
    <n v="73"/>
    <n v="9600"/>
    <n v="263"/>
    <s v="Gold"/>
    <m/>
    <s v="Lower"/>
  </r>
  <r>
    <s v="CUST102023"/>
    <n v="29"/>
    <x v="3"/>
    <m/>
    <m/>
    <n v="1225000"/>
    <n v="31"/>
    <x v="2"/>
    <n v="71"/>
    <n v="10200"/>
    <n v="300"/>
    <m/>
    <s v="Online"/>
    <s v="Lower"/>
  </r>
  <r>
    <s v="CUST102024"/>
    <n v="39"/>
    <x v="4"/>
    <m/>
    <m/>
    <n v="1900000"/>
    <n v="27"/>
    <x v="2"/>
    <n v="50"/>
    <n v="11300"/>
    <n v="113"/>
    <s v="Platinum"/>
    <s v="In-store"/>
    <s v="Lower"/>
  </r>
  <r>
    <s v="CUST102025"/>
    <n v="34"/>
    <x v="3"/>
    <s v="Unknown"/>
    <s v="Delhi"/>
    <n v="1925000"/>
    <n v="58"/>
    <x v="0"/>
    <n v="63"/>
    <n v="10600"/>
    <n v="164"/>
    <m/>
    <s v="Website"/>
    <s v="Lower"/>
  </r>
  <r>
    <s v="CUST102026"/>
    <n v="27"/>
    <x v="3"/>
    <s v="Female"/>
    <m/>
    <m/>
    <n v="25"/>
    <x v="2"/>
    <n v="41"/>
    <n v="1700"/>
    <n v="4"/>
    <s v="Platinum"/>
    <s v="Website"/>
    <s v="Higher"/>
  </r>
  <r>
    <s v="CUST102027"/>
    <m/>
    <x v="5"/>
    <m/>
    <m/>
    <n v="1025000"/>
    <n v="69"/>
    <x v="3"/>
    <n v="7"/>
    <n v="1600"/>
    <n v="118"/>
    <m/>
    <m/>
    <s v="Lower"/>
  </r>
  <r>
    <s v="CUST102028"/>
    <n v="18"/>
    <x v="6"/>
    <s v="Female"/>
    <s v="Hyderabad"/>
    <n v="1650000"/>
    <n v="70"/>
    <x v="3"/>
    <n v="9"/>
    <n v="3300"/>
    <n v="23"/>
    <s v="Platinum"/>
    <s v="Online"/>
    <s v="Higher"/>
  </r>
  <r>
    <s v="CUST102029"/>
    <n v="39"/>
    <x v="4"/>
    <s v="Male"/>
    <s v="Mumbai"/>
    <n v="1125000"/>
    <n v="5"/>
    <x v="2"/>
    <n v="4"/>
    <n v="3100"/>
    <n v="233"/>
    <s v="Platinum"/>
    <s v="Website"/>
    <s v="Higher"/>
  </r>
  <r>
    <s v="CUST102030"/>
    <n v="43"/>
    <x v="4"/>
    <s v="Female"/>
    <s v="Kolkata"/>
    <n v="800000"/>
    <n v="91"/>
    <x v="3"/>
    <n v="49"/>
    <n v="2900"/>
    <n v="90"/>
    <s v="Platinum"/>
    <m/>
    <s v="Higher"/>
  </r>
  <r>
    <s v="CUST102031"/>
    <n v="35"/>
    <x v="4"/>
    <s v="Female"/>
    <m/>
    <n v="150000"/>
    <n v="8"/>
    <x v="2"/>
    <n v="76"/>
    <n v="8700"/>
    <n v="255"/>
    <s v="Gold"/>
    <m/>
    <s v="Higher"/>
  </r>
  <r>
    <s v="CUST102032"/>
    <n v="67"/>
    <x v="1"/>
    <m/>
    <m/>
    <n v="975000"/>
    <n v="9"/>
    <x v="2"/>
    <n v="6"/>
    <n v="1100"/>
    <n v="92"/>
    <m/>
    <m/>
    <s v="Lower"/>
  </r>
  <r>
    <s v="CUST102033"/>
    <n v="31"/>
    <x v="3"/>
    <s v="Male"/>
    <s v="Chennai"/>
    <n v="1825000"/>
    <n v="15"/>
    <x v="2"/>
    <n v="21"/>
    <n v="2200"/>
    <n v="155"/>
    <s v="Platinum"/>
    <s v="Mobile App"/>
    <s v="Higher"/>
  </r>
  <r>
    <s v="CUST102034"/>
    <n v="64"/>
    <x v="0"/>
    <s v="Male"/>
    <m/>
    <n v="650000"/>
    <n v="100"/>
    <x v="3"/>
    <n v="15"/>
    <n v="10100"/>
    <n v="307"/>
    <m/>
    <s v="Website"/>
    <s v="Higher"/>
  </r>
  <r>
    <s v="CUST102035"/>
    <n v="46"/>
    <x v="2"/>
    <s v="Unknown"/>
    <s v="Pune"/>
    <n v="950000"/>
    <n v="7"/>
    <x v="2"/>
    <n v="67"/>
    <n v="6000"/>
    <n v="115"/>
    <m/>
    <s v="Website"/>
    <s v="Lower"/>
  </r>
  <r>
    <s v="CUST102036"/>
    <n v="29"/>
    <x v="3"/>
    <s v="Unknown"/>
    <s v="Bengaluru"/>
    <n v="300000"/>
    <n v="96"/>
    <x v="3"/>
    <n v="66"/>
    <n v="8100"/>
    <n v="207"/>
    <s v="Silver"/>
    <m/>
    <s v="Lower"/>
  </r>
  <r>
    <s v="CUST102037"/>
    <n v="53"/>
    <x v="2"/>
    <s v="Male"/>
    <s v="Pune"/>
    <n v="1750000"/>
    <n v="72"/>
    <x v="3"/>
    <n v="56"/>
    <n v="9000"/>
    <n v="81"/>
    <s v="Silver"/>
    <s v="In-store"/>
    <s v="Higher"/>
  </r>
  <r>
    <s v="CUST102038"/>
    <n v="52"/>
    <x v="2"/>
    <m/>
    <m/>
    <n v="200000"/>
    <n v="15"/>
    <x v="2"/>
    <n v="68"/>
    <n v="5100"/>
    <n v="103"/>
    <s v="Bronze"/>
    <m/>
    <s v="Lower"/>
  </r>
  <r>
    <s v="CUST102039"/>
    <n v="69"/>
    <x v="1"/>
    <s v="Male"/>
    <s v="Pune"/>
    <n v="1400000"/>
    <n v="37"/>
    <x v="0"/>
    <n v="32"/>
    <n v="5900"/>
    <n v="80"/>
    <m/>
    <s v="In-store"/>
    <s v="Higher"/>
  </r>
  <r>
    <s v="CUST102040"/>
    <n v="29"/>
    <x v="3"/>
    <s v="Unknown"/>
    <s v="Hyderabad"/>
    <n v="1475000"/>
    <n v="83"/>
    <x v="3"/>
    <n v="66"/>
    <n v="1800"/>
    <n v="103"/>
    <s v="Silver"/>
    <m/>
    <s v="Lower"/>
  </r>
  <r>
    <s v="CUST102041"/>
    <n v="24"/>
    <x v="6"/>
    <s v="Male"/>
    <s v="Delhi"/>
    <n v="1975000"/>
    <n v="39"/>
    <x v="0"/>
    <n v="29"/>
    <n v="10200"/>
    <n v="240"/>
    <s v="Platinum"/>
    <m/>
    <s v="Higher"/>
  </r>
  <r>
    <s v="CUST102042"/>
    <n v="46"/>
    <x v="2"/>
    <m/>
    <m/>
    <n v="1600000"/>
    <n v="6"/>
    <x v="2"/>
    <n v="66"/>
    <n v="7700"/>
    <n v="265"/>
    <m/>
    <s v="In-store"/>
    <s v="Lower"/>
  </r>
  <r>
    <s v="CUST102043"/>
    <n v="28"/>
    <x v="3"/>
    <m/>
    <m/>
    <n v="275000"/>
    <n v="83"/>
    <x v="3"/>
    <n v="34"/>
    <n v="1000"/>
    <n v="33"/>
    <m/>
    <s v="Online"/>
    <s v="Lower"/>
  </r>
  <r>
    <s v="CUST102044"/>
    <n v="50"/>
    <x v="2"/>
    <s v="Male"/>
    <s v="Delhi"/>
    <n v="850000"/>
    <n v="57"/>
    <x v="0"/>
    <n v="27"/>
    <n v="6900"/>
    <n v="35"/>
    <s v="Bronze"/>
    <m/>
    <s v="Higher"/>
  </r>
  <r>
    <s v="CUST102045"/>
    <n v="23"/>
    <x v="6"/>
    <m/>
    <s v="Kolkata"/>
    <n v="550000"/>
    <n v="92"/>
    <x v="3"/>
    <n v="60"/>
    <n v="2100"/>
    <n v="249"/>
    <s v="Silver"/>
    <m/>
    <s v="Lower"/>
  </r>
  <r>
    <s v="CUST102046"/>
    <n v="64"/>
    <x v="0"/>
    <s v="Unknown"/>
    <s v="Delhi"/>
    <n v="1625000"/>
    <n v="81"/>
    <x v="3"/>
    <n v="39"/>
    <n v="11200"/>
    <n v="50"/>
    <s v="Gold"/>
    <s v="Mobile App"/>
    <s v="Lower"/>
  </r>
  <r>
    <s v="CUST102047"/>
    <n v="32"/>
    <x v="3"/>
    <s v="Female"/>
    <s v="Pune"/>
    <n v="675000"/>
    <n v="19"/>
    <x v="2"/>
    <n v="44"/>
    <n v="10700"/>
    <n v="280"/>
    <m/>
    <s v="Mobile App"/>
    <s v="Higher"/>
  </r>
  <r>
    <s v="CUST102048"/>
    <n v="49"/>
    <x v="2"/>
    <m/>
    <s v="Hyderabad"/>
    <n v="725000"/>
    <n v="63"/>
    <x v="0"/>
    <n v="36"/>
    <n v="6900"/>
    <n v="242"/>
    <s v="Bronze"/>
    <s v="Mobile App"/>
    <s v="Lower"/>
  </r>
  <r>
    <s v="CUST102049"/>
    <n v="68"/>
    <x v="1"/>
    <s v="Male"/>
    <s v="Chennai"/>
    <n v="1400000"/>
    <n v="31"/>
    <x v="2"/>
    <n v="19"/>
    <n v="3800"/>
    <n v="152"/>
    <s v="Platinum"/>
    <m/>
    <s v="Higher"/>
  </r>
  <r>
    <s v="CUST102050"/>
    <n v="28"/>
    <x v="3"/>
    <s v="Female"/>
    <s v="Kolkata"/>
    <n v="1375000"/>
    <n v="75"/>
    <x v="3"/>
    <n v="45"/>
    <n v="9100"/>
    <n v="147"/>
    <m/>
    <s v="Website"/>
    <s v="Higher"/>
  </r>
  <r>
    <s v="CUST102051"/>
    <n v="40"/>
    <x v="4"/>
    <m/>
    <s v="Ahmedabad"/>
    <n v="400000"/>
    <n v="79"/>
    <x v="3"/>
    <n v="21"/>
    <n v="6200"/>
    <n v="39"/>
    <m/>
    <m/>
    <s v="Lower"/>
  </r>
  <r>
    <s v="CUST102052"/>
    <n v="43"/>
    <x v="4"/>
    <s v="Male"/>
    <s v="Chennai"/>
    <n v="1525000"/>
    <n v="10"/>
    <x v="2"/>
    <n v="23"/>
    <n v="3800"/>
    <n v="189"/>
    <s v="Platinum"/>
    <m/>
    <s v="Higher"/>
  </r>
  <r>
    <s v="CUST102053"/>
    <n v="51"/>
    <x v="2"/>
    <m/>
    <s v="Mumbai"/>
    <n v="1900000"/>
    <n v="87"/>
    <x v="3"/>
    <n v="27"/>
    <n v="1300"/>
    <n v="25"/>
    <s v="Platinum"/>
    <s v="In-store"/>
    <s v="Lower"/>
  </r>
  <r>
    <s v="CUST102054"/>
    <n v="63"/>
    <x v="0"/>
    <s v="Male"/>
    <s v="Mumbai"/>
    <n v="1175000"/>
    <n v="67"/>
    <x v="3"/>
    <n v="72"/>
    <n v="5300"/>
    <n v="244"/>
    <m/>
    <m/>
    <s v="Higher"/>
  </r>
  <r>
    <s v="CUST102055"/>
    <n v="51"/>
    <x v="2"/>
    <m/>
    <s v="Mumbai"/>
    <n v="1100000"/>
    <n v="62"/>
    <x v="0"/>
    <n v="19"/>
    <n v="8200"/>
    <n v="223"/>
    <s v="Gold"/>
    <m/>
    <s v="Lower"/>
  </r>
  <r>
    <s v="CUST102056"/>
    <n v="46"/>
    <x v="2"/>
    <m/>
    <s v="Mumbai"/>
    <n v="1850000"/>
    <n v="3"/>
    <x v="2"/>
    <n v="41"/>
    <n v="5700"/>
    <n v="230"/>
    <s v="Gold"/>
    <s v="In-store"/>
    <s v="Lower"/>
  </r>
  <r>
    <s v="CUST102057"/>
    <n v="21"/>
    <x v="6"/>
    <s v="Male"/>
    <s v="Hyderabad"/>
    <n v="1325000"/>
    <n v="18"/>
    <x v="2"/>
    <n v="26"/>
    <n v="5600"/>
    <n v="153"/>
    <m/>
    <m/>
    <s v="Higher"/>
  </r>
  <r>
    <s v="CUST102058"/>
    <n v="34"/>
    <x v="3"/>
    <s v="Unknown"/>
    <s v="Chennai"/>
    <n v="1550000"/>
    <n v="25"/>
    <x v="2"/>
    <n v="28"/>
    <n v="1900"/>
    <n v="288"/>
    <m/>
    <m/>
    <s v="Lower"/>
  </r>
  <r>
    <s v="CUST102059"/>
    <n v="52"/>
    <x v="2"/>
    <m/>
    <m/>
    <n v="650000"/>
    <n v="20"/>
    <x v="2"/>
    <n v="64"/>
    <n v="6400"/>
    <n v="108"/>
    <m/>
    <s v="Online"/>
    <s v="Lower"/>
  </r>
  <r>
    <s v="CUST102060"/>
    <n v="30"/>
    <x v="3"/>
    <s v="Unknown"/>
    <s v="Bengaluru"/>
    <n v="625000"/>
    <n v="58"/>
    <x v="0"/>
    <n v="68"/>
    <n v="4400"/>
    <n v="33"/>
    <m/>
    <m/>
    <s v="Lower"/>
  </r>
  <r>
    <s v="CUST102061"/>
    <n v="58"/>
    <x v="0"/>
    <m/>
    <s v="Kolkata"/>
    <n v="500000"/>
    <n v="93"/>
    <x v="3"/>
    <m/>
    <n v="2600"/>
    <n v="363"/>
    <s v="Silver"/>
    <s v="In-store"/>
    <s v="Lower"/>
  </r>
  <r>
    <s v="CUST102062"/>
    <n v="56"/>
    <x v="0"/>
    <s v="Unknown"/>
    <s v="Ahmedabad"/>
    <n v="1850000"/>
    <n v="86"/>
    <x v="3"/>
    <n v="51"/>
    <n v="1900"/>
    <n v="111"/>
    <s v="Platinum"/>
    <s v="Online"/>
    <s v="Lower"/>
  </r>
  <r>
    <s v="CUST102063"/>
    <n v="32"/>
    <x v="3"/>
    <m/>
    <s v="Pune"/>
    <s v="unknown"/>
    <n v="50"/>
    <x v="0"/>
    <n v="74"/>
    <n v="5000"/>
    <n v="121"/>
    <m/>
    <s v="Website"/>
    <s v="Lower"/>
  </r>
  <r>
    <s v="CUST102064"/>
    <s v="NA"/>
    <x v="5"/>
    <s v="Female"/>
    <m/>
    <n v="1400000"/>
    <n v="79"/>
    <x v="3"/>
    <n v="48"/>
    <n v="8600"/>
    <n v="16"/>
    <s v="Silver"/>
    <s v="In-store"/>
    <s v="Higher"/>
  </r>
  <r>
    <s v="CUST102065"/>
    <n v="46"/>
    <x v="2"/>
    <m/>
    <s v="Mumbai"/>
    <m/>
    <n v="10"/>
    <x v="2"/>
    <n v="10"/>
    <n v="8800"/>
    <n v="227"/>
    <m/>
    <m/>
    <s v="Lower"/>
  </r>
  <r>
    <s v="CUST102066"/>
    <n v="46"/>
    <x v="2"/>
    <m/>
    <s v="Ahmedabad"/>
    <n v="1675000"/>
    <n v="21"/>
    <x v="2"/>
    <n v="73"/>
    <n v="7200"/>
    <n v="11"/>
    <s v="Platinum"/>
    <m/>
    <s v="Lower"/>
  </r>
  <r>
    <s v="CUST102067"/>
    <n v="28"/>
    <x v="3"/>
    <s v="Unknown"/>
    <m/>
    <n v="1050000"/>
    <n v="29"/>
    <x v="2"/>
    <n v="39"/>
    <n v="900"/>
    <n v="203"/>
    <s v="Silver"/>
    <m/>
    <s v="Lower"/>
  </r>
  <r>
    <s v="CUST102068"/>
    <n v="69"/>
    <x v="1"/>
    <s v="Male"/>
    <s v="Bengaluru"/>
    <n v="275000"/>
    <n v="96"/>
    <x v="3"/>
    <n v="19"/>
    <n v="1600"/>
    <n v="202"/>
    <s v="Platinum"/>
    <s v="Online"/>
    <s v="Higher"/>
  </r>
  <r>
    <s v="CUST102069"/>
    <n v="49"/>
    <x v="2"/>
    <m/>
    <s v="Ahmedabad"/>
    <n v="1900000"/>
    <n v="10"/>
    <x v="2"/>
    <n v="64"/>
    <n v="1300"/>
    <n v="98"/>
    <s v="Gold"/>
    <s v="Online"/>
    <s v="Lower"/>
  </r>
  <r>
    <s v="CUST102070"/>
    <n v="19"/>
    <x v="6"/>
    <s v="Unknown"/>
    <s v="Chennai"/>
    <n v="775000"/>
    <n v="13"/>
    <x v="2"/>
    <n v="19"/>
    <n v="1400"/>
    <n v="116"/>
    <m/>
    <s v="Website"/>
    <s v="Lower"/>
  </r>
  <r>
    <s v="CUST102071"/>
    <n v="64"/>
    <x v="0"/>
    <s v="Female"/>
    <s v="Ahmedabad"/>
    <n v="325000"/>
    <n v="47"/>
    <x v="0"/>
    <n v="76"/>
    <n v="11200"/>
    <n v="281"/>
    <s v="Gold"/>
    <s v="Website"/>
    <s v="Higher"/>
  </r>
  <r>
    <s v="CUST102072"/>
    <n v="31"/>
    <x v="3"/>
    <s v="Unknown"/>
    <s v="Mumbai"/>
    <n v="1950000"/>
    <n v="23"/>
    <x v="2"/>
    <n v="62"/>
    <n v="700"/>
    <n v="349"/>
    <s v="Bronze"/>
    <m/>
    <s v="Lower"/>
  </r>
  <r>
    <s v="CUST102073"/>
    <n v="37"/>
    <x v="4"/>
    <m/>
    <s v="Bengaluru"/>
    <n v="225000"/>
    <n v="50"/>
    <x v="0"/>
    <n v="13"/>
    <n v="700"/>
    <n v="232"/>
    <m/>
    <m/>
    <s v="Lower"/>
  </r>
  <r>
    <s v="CUST102074"/>
    <n v="39"/>
    <x v="4"/>
    <s v="Female"/>
    <s v="Pune"/>
    <n v="650000"/>
    <n v="87"/>
    <x v="3"/>
    <n v="25"/>
    <n v="2200"/>
    <n v="111"/>
    <m/>
    <s v="Mobile App"/>
    <s v="Higher"/>
  </r>
  <r>
    <s v="CUST102075"/>
    <n v="28"/>
    <x v="3"/>
    <s v="Female"/>
    <m/>
    <n v="900000"/>
    <n v="95"/>
    <x v="3"/>
    <n v="42"/>
    <n v="5600"/>
    <n v="352"/>
    <s v="Silver"/>
    <s v="Website"/>
    <s v="Higher"/>
  </r>
  <r>
    <s v="CUST102076"/>
    <n v="44"/>
    <x v="4"/>
    <m/>
    <s v="Delhi"/>
    <n v="650000"/>
    <n v="4"/>
    <x v="2"/>
    <n v="39"/>
    <n v="5700"/>
    <n v="12"/>
    <s v="Platinum"/>
    <m/>
    <s v="Lower"/>
  </r>
  <r>
    <s v="CUST102077"/>
    <n v="20"/>
    <x v="6"/>
    <m/>
    <s v="Mumbai"/>
    <n v="750000"/>
    <n v="67"/>
    <x v="3"/>
    <n v="30"/>
    <n v="6000"/>
    <n v="21"/>
    <s v="Bronze"/>
    <s v="Website"/>
    <s v="Lower"/>
  </r>
  <r>
    <s v="CUST102078"/>
    <n v="34"/>
    <x v="3"/>
    <m/>
    <m/>
    <n v="500000"/>
    <n v="85"/>
    <x v="3"/>
    <n v="5"/>
    <n v="8100"/>
    <n v="127"/>
    <m/>
    <s v="In-store"/>
    <s v="Lower"/>
  </r>
  <r>
    <s v="CUST102079"/>
    <n v="61"/>
    <x v="0"/>
    <s v="Male"/>
    <s v="Bengaluru"/>
    <n v="1000000"/>
    <n v="53"/>
    <x v="0"/>
    <m/>
    <n v="9200"/>
    <n v="285"/>
    <m/>
    <s v="Online"/>
    <s v="Higher"/>
  </r>
  <r>
    <s v="CUST102080"/>
    <n v="45"/>
    <x v="2"/>
    <m/>
    <s v="Chennai"/>
    <n v="1350000"/>
    <n v="2"/>
    <x v="2"/>
    <n v="18"/>
    <n v="9900"/>
    <n v="121"/>
    <m/>
    <m/>
    <s v="Lower"/>
  </r>
  <r>
    <s v="CUST102081"/>
    <n v="46"/>
    <x v="2"/>
    <s v="Male"/>
    <s v="Hyderabad"/>
    <n v="1200000"/>
    <n v="68"/>
    <x v="3"/>
    <n v="21"/>
    <n v="3200"/>
    <n v="124"/>
    <s v="Silver"/>
    <s v="Website"/>
    <s v="Higher"/>
  </r>
  <r>
    <s v="CUST102082"/>
    <n v="38"/>
    <x v="4"/>
    <m/>
    <s v="Bengaluru"/>
    <n v="1150000"/>
    <n v="65"/>
    <x v="0"/>
    <n v="50"/>
    <n v="2600"/>
    <n v="33"/>
    <m/>
    <s v="Online"/>
    <s v="Lower"/>
  </r>
  <r>
    <s v="CUST102083"/>
    <n v="64"/>
    <x v="0"/>
    <s v="Male"/>
    <m/>
    <n v="1050000"/>
    <n v="79"/>
    <x v="3"/>
    <n v="6"/>
    <n v="8900"/>
    <n v="170"/>
    <s v="Gold"/>
    <s v="Mobile App"/>
    <s v="Higher"/>
  </r>
  <r>
    <s v="CUST102084"/>
    <n v="33"/>
    <x v="3"/>
    <s v="Female"/>
    <s v="Delhi"/>
    <n v="1550000"/>
    <n v="57"/>
    <x v="0"/>
    <n v="50"/>
    <n v="7500"/>
    <n v="77"/>
    <s v="Bronze"/>
    <s v="Website"/>
    <s v="Higher"/>
  </r>
  <r>
    <s v="CUST102085"/>
    <n v="54"/>
    <x v="2"/>
    <s v="Male"/>
    <s v="Delhi"/>
    <n v="1175000"/>
    <n v="97"/>
    <x v="3"/>
    <m/>
    <n v="500"/>
    <n v="297"/>
    <s v="Silver"/>
    <m/>
    <s v="Higher"/>
  </r>
  <r>
    <s v="CUST102086"/>
    <n v="37"/>
    <x v="4"/>
    <m/>
    <s v="Kolkata"/>
    <n v="1300000"/>
    <n v="70"/>
    <x v="3"/>
    <n v="66"/>
    <n v="10200"/>
    <n v="330"/>
    <s v="Platinum"/>
    <s v="In-store"/>
    <s v="Lower"/>
  </r>
  <r>
    <s v="CUST102087"/>
    <n v="23"/>
    <x v="6"/>
    <s v="Female"/>
    <m/>
    <n v="1650000"/>
    <n v="7"/>
    <x v="2"/>
    <n v="1"/>
    <n v="5000"/>
    <n v="63"/>
    <s v="Silver"/>
    <s v="Online"/>
    <s v="Higher"/>
  </r>
  <r>
    <s v="CUST102088"/>
    <n v="36"/>
    <x v="4"/>
    <s v="Female"/>
    <m/>
    <n v="475000"/>
    <n v="19"/>
    <x v="2"/>
    <n v="57"/>
    <n v="7300"/>
    <n v="270"/>
    <s v="Platinum"/>
    <s v="Online"/>
    <s v="Higher"/>
  </r>
  <r>
    <s v="CUST102089"/>
    <n v="22"/>
    <x v="6"/>
    <m/>
    <s v="Delhi"/>
    <n v="1825000"/>
    <n v="44"/>
    <x v="0"/>
    <n v="30"/>
    <n v="2400"/>
    <n v="216"/>
    <s v="Platinum"/>
    <s v="In-store"/>
    <s v="Lower"/>
  </r>
  <r>
    <s v="CUST102090"/>
    <n v="20"/>
    <x v="6"/>
    <s v="Female"/>
    <s v="Kolkata"/>
    <n v="1450000"/>
    <n v="63"/>
    <x v="0"/>
    <n v="58"/>
    <n v="1600"/>
    <n v="190"/>
    <m/>
    <m/>
    <s v="Higher"/>
  </r>
  <r>
    <s v="CUST102091"/>
    <n v="18"/>
    <x v="6"/>
    <s v="Male"/>
    <s v="Kolkata"/>
    <n v="975000"/>
    <n v="65"/>
    <x v="0"/>
    <n v="52"/>
    <n v="5000"/>
    <n v="75"/>
    <s v="Silver"/>
    <m/>
    <s v="Higher"/>
  </r>
  <r>
    <s v="CUST102092"/>
    <n v="55"/>
    <x v="0"/>
    <s v="Female"/>
    <s v="Kolkata"/>
    <m/>
    <n v="39"/>
    <x v="0"/>
    <n v="37"/>
    <n v="3100"/>
    <n v="174"/>
    <s v="Gold"/>
    <s v="Mobile App"/>
    <s v="Higher"/>
  </r>
  <r>
    <s v="CUST102093"/>
    <n v="32"/>
    <x v="3"/>
    <s v="Female"/>
    <s v="Bengaluru"/>
    <n v="725000"/>
    <n v="83"/>
    <x v="3"/>
    <n v="48"/>
    <n v="5200"/>
    <n v="67"/>
    <s v="Platinum"/>
    <m/>
    <s v="Higher"/>
  </r>
  <r>
    <s v="CUST102094"/>
    <n v="51"/>
    <x v="2"/>
    <s v="Male"/>
    <s v="Kolkata"/>
    <n v="625000"/>
    <n v="26"/>
    <x v="2"/>
    <n v="1"/>
    <n v="8200"/>
    <n v="93"/>
    <m/>
    <s v="In-store"/>
    <s v="Higher"/>
  </r>
  <r>
    <s v="CUST102095"/>
    <n v="52"/>
    <x v="2"/>
    <s v="Female"/>
    <s v="Mumbai"/>
    <n v="1850000"/>
    <n v="44"/>
    <x v="0"/>
    <n v="19"/>
    <n v="11400"/>
    <n v="53"/>
    <s v="Gold"/>
    <s v="Mobile App"/>
    <s v="Higher"/>
  </r>
  <r>
    <s v="CUST102096"/>
    <n v="66"/>
    <x v="1"/>
    <s v="Female"/>
    <m/>
    <n v="875000"/>
    <n v="12"/>
    <x v="2"/>
    <n v="46"/>
    <n v="10000"/>
    <n v="94"/>
    <s v="Silver"/>
    <m/>
    <s v="Higher"/>
  </r>
  <r>
    <s v="CUST102097"/>
    <n v="42"/>
    <x v="4"/>
    <s v="Male"/>
    <s v="Mumbai"/>
    <n v="300000"/>
    <n v="22"/>
    <x v="2"/>
    <n v="67"/>
    <n v="1200"/>
    <n v="113"/>
    <s v="Gold"/>
    <s v="Website"/>
    <s v="Higher"/>
  </r>
  <r>
    <s v="CUST102098"/>
    <n v="41"/>
    <x v="4"/>
    <m/>
    <s v="Hyderabad"/>
    <n v="1025000"/>
    <n v="77"/>
    <x v="3"/>
    <n v="2"/>
    <n v="7300"/>
    <n v="229"/>
    <s v="Silver"/>
    <s v="Website"/>
    <s v="Lower"/>
  </r>
  <r>
    <s v="CUST102099"/>
    <n v="29"/>
    <x v="3"/>
    <m/>
    <s v="Delhi"/>
    <n v="1075000"/>
    <n v="92"/>
    <x v="3"/>
    <n v="56"/>
    <n v="9100"/>
    <n v="250"/>
    <s v="Platinum"/>
    <m/>
    <s v="Lower"/>
  </r>
  <r>
    <s v="CUST102100"/>
    <n v="35"/>
    <x v="4"/>
    <m/>
    <m/>
    <n v="1425000"/>
    <n v="14"/>
    <x v="2"/>
    <n v="17"/>
    <n v="2900"/>
    <n v="209"/>
    <s v="Bronze"/>
    <m/>
    <s v="Lower"/>
  </r>
  <r>
    <s v="CUST102101"/>
    <n v="32"/>
    <x v="3"/>
    <m/>
    <s v="Kolkata"/>
    <n v="500000"/>
    <n v="86"/>
    <x v="3"/>
    <n v="79"/>
    <n v="8100"/>
    <n v="182"/>
    <s v="Bronze"/>
    <s v="Mobile App"/>
    <s v="Lower"/>
  </r>
  <r>
    <s v="CUST102102"/>
    <n v="61"/>
    <x v="0"/>
    <m/>
    <s v="Chennai"/>
    <n v="1275000"/>
    <n v="30"/>
    <x v="2"/>
    <n v="22"/>
    <n v="9800"/>
    <n v="267"/>
    <m/>
    <m/>
    <s v="Lower"/>
  </r>
  <r>
    <s v="CUST102103"/>
    <n v="33"/>
    <x v="3"/>
    <m/>
    <s v="Chennai"/>
    <n v="700000"/>
    <n v="44"/>
    <x v="0"/>
    <n v="27"/>
    <n v="3000"/>
    <n v="281"/>
    <m/>
    <s v="In-store"/>
    <s v="Lower"/>
  </r>
  <r>
    <s v="CUST102104"/>
    <n v="44"/>
    <x v="4"/>
    <s v="Male"/>
    <s v="Delhi"/>
    <n v="425000"/>
    <n v="84"/>
    <x v="3"/>
    <n v="55"/>
    <n v="1100"/>
    <n v="155"/>
    <s v="Platinum"/>
    <m/>
    <s v="Higher"/>
  </r>
  <r>
    <s v="CUST102105"/>
    <n v="25"/>
    <x v="3"/>
    <m/>
    <s v="Hyderabad"/>
    <n v="1225000"/>
    <n v="91"/>
    <x v="3"/>
    <n v="32"/>
    <n v="7300"/>
    <n v="83"/>
    <s v="Gold"/>
    <m/>
    <s v="Lower"/>
  </r>
  <r>
    <s v="CUST102106"/>
    <n v="63"/>
    <x v="0"/>
    <m/>
    <s v="Chennai"/>
    <n v="500000"/>
    <n v="38"/>
    <x v="0"/>
    <n v="60"/>
    <n v="8200"/>
    <n v="186"/>
    <s v="Silver"/>
    <m/>
    <s v="Lower"/>
  </r>
  <r>
    <s v="CUST102107"/>
    <n v="42"/>
    <x v="4"/>
    <m/>
    <s v="Mumbai"/>
    <n v="1350000"/>
    <n v="59"/>
    <x v="0"/>
    <n v="28"/>
    <n v="2800"/>
    <n v="349"/>
    <s v="Bronze"/>
    <s v="Website"/>
    <s v="Lower"/>
  </r>
  <r>
    <s v="CUST102108"/>
    <n v="34"/>
    <x v="3"/>
    <s v="Female"/>
    <s v="Ahmedabad"/>
    <n v="650000"/>
    <n v="42"/>
    <x v="0"/>
    <n v="28"/>
    <n v="10100"/>
    <n v="139"/>
    <s v="Silver"/>
    <s v="In-store"/>
    <s v="Higher"/>
  </r>
  <r>
    <s v="CUST102109"/>
    <n v="46"/>
    <x v="2"/>
    <s v="Male"/>
    <s v="Bengaluru"/>
    <n v="500000"/>
    <n v="52"/>
    <x v="0"/>
    <n v="74"/>
    <n v="8300"/>
    <n v="55"/>
    <s v="Platinum"/>
    <s v="Website"/>
    <s v="Higher"/>
  </r>
  <r>
    <s v="CUST102110"/>
    <m/>
    <x v="5"/>
    <s v="Unknown"/>
    <s v="Pune"/>
    <n v="475000"/>
    <n v="63"/>
    <x v="0"/>
    <n v="25"/>
    <n v="8900"/>
    <n v="19"/>
    <s v="Gold"/>
    <s v="Mobile App"/>
    <s v="Lower"/>
  </r>
  <r>
    <s v="CUST102111"/>
    <n v="25"/>
    <x v="3"/>
    <s v="Male"/>
    <s v="Chennai"/>
    <n v="1175000"/>
    <n v="61"/>
    <x v="0"/>
    <n v="78"/>
    <n v="1000"/>
    <n v="348"/>
    <s v="Silver"/>
    <s v="Mobile App"/>
    <s v="Higher"/>
  </r>
  <r>
    <s v="CUST102112"/>
    <n v="32"/>
    <x v="3"/>
    <m/>
    <m/>
    <n v="500000"/>
    <n v="34"/>
    <x v="0"/>
    <n v="26"/>
    <n v="400"/>
    <n v="346"/>
    <s v="Gold"/>
    <s v="Online"/>
    <s v="Lower"/>
  </r>
  <r>
    <s v="CUST102113"/>
    <n v="44"/>
    <x v="4"/>
    <s v="Male"/>
    <s v="Kolkata"/>
    <n v="1700000"/>
    <n v="39"/>
    <x v="0"/>
    <n v="75"/>
    <n v="9700"/>
    <n v="267"/>
    <s v="Bronze"/>
    <m/>
    <s v="Higher"/>
  </r>
  <r>
    <s v="CUST102114"/>
    <n v="63"/>
    <x v="0"/>
    <m/>
    <m/>
    <n v="1825000"/>
    <n v="41"/>
    <x v="0"/>
    <n v="71"/>
    <n v="5900"/>
    <n v="142"/>
    <s v="Silver"/>
    <s v="In-store"/>
    <s v="Lower"/>
  </r>
  <r>
    <s v="CUST102115"/>
    <n v="67"/>
    <x v="1"/>
    <s v="Male"/>
    <m/>
    <n v="800000"/>
    <n v="37"/>
    <x v="0"/>
    <n v="17"/>
    <n v="5400"/>
    <n v="316"/>
    <m/>
    <s v="In-store"/>
    <s v="Higher"/>
  </r>
  <r>
    <s v="CUST102116"/>
    <n v="69"/>
    <x v="1"/>
    <s v="Male"/>
    <s v="Bengaluru"/>
    <n v="1450000"/>
    <n v="65"/>
    <x v="0"/>
    <n v="7"/>
    <n v="6000"/>
    <n v="164"/>
    <s v="Bronze"/>
    <s v="Website"/>
    <s v="Higher"/>
  </r>
  <r>
    <s v="CUST102117"/>
    <n v="24"/>
    <x v="6"/>
    <s v="Male"/>
    <s v="Mumbai"/>
    <n v="1425000"/>
    <n v="79"/>
    <x v="3"/>
    <n v="56"/>
    <n v="9800"/>
    <n v="252"/>
    <s v="Gold"/>
    <m/>
    <s v="Higher"/>
  </r>
  <r>
    <s v="CUST102118"/>
    <n v="20"/>
    <x v="6"/>
    <s v="Female"/>
    <s v="Hyderabad"/>
    <n v="1700000"/>
    <n v="32"/>
    <x v="2"/>
    <n v="64"/>
    <n v="9500"/>
    <n v="232"/>
    <s v="Platinum"/>
    <m/>
    <s v="Higher"/>
  </r>
  <r>
    <s v="CUST102119"/>
    <n v="46"/>
    <x v="2"/>
    <m/>
    <s v="Bengaluru"/>
    <n v="1950000"/>
    <n v="8"/>
    <x v="2"/>
    <n v="20"/>
    <n v="500"/>
    <n v="297"/>
    <m/>
    <s v="Website"/>
    <s v="Lower"/>
  </r>
  <r>
    <s v="CUST102120"/>
    <n v="61"/>
    <x v="0"/>
    <s v="Female"/>
    <s v="Pune"/>
    <n v="1450000"/>
    <n v="97"/>
    <x v="3"/>
    <n v="38"/>
    <n v="1000"/>
    <n v="363"/>
    <m/>
    <m/>
    <s v="Higher"/>
  </r>
  <r>
    <s v="CUST102121"/>
    <m/>
    <x v="5"/>
    <s v="Male"/>
    <s v="Ahmedabad"/>
    <n v="1550000"/>
    <n v="18"/>
    <x v="2"/>
    <n v="75"/>
    <n v="6100"/>
    <n v="60"/>
    <s v="Silver"/>
    <s v="In-store"/>
    <s v="Higher"/>
  </r>
  <r>
    <s v="CUST102122"/>
    <n v="41"/>
    <x v="4"/>
    <s v="Unknown"/>
    <s v="Chennai"/>
    <n v="1425000"/>
    <n v="45"/>
    <x v="0"/>
    <n v="58"/>
    <n v="400"/>
    <n v="22"/>
    <m/>
    <s v="Website"/>
    <s v="Lower"/>
  </r>
  <r>
    <s v="CUST102123"/>
    <n v="20"/>
    <x v="6"/>
    <s v="Female"/>
    <s v="Hyderabad"/>
    <n v="1200000"/>
    <n v="93"/>
    <x v="3"/>
    <n v="16"/>
    <n v="9700"/>
    <n v="126"/>
    <s v="Bronze"/>
    <m/>
    <s v="Higher"/>
  </r>
  <r>
    <s v="CUST102124"/>
    <n v="37"/>
    <x v="4"/>
    <s v="Female"/>
    <s v="Hyderabad"/>
    <n v="300000"/>
    <n v="96"/>
    <x v="3"/>
    <n v="51"/>
    <n v="6400"/>
    <n v="103"/>
    <s v="Silver"/>
    <s v="Online"/>
    <s v="Higher"/>
  </r>
  <r>
    <s v="CUST102125"/>
    <n v="63"/>
    <x v="0"/>
    <s v="Male"/>
    <s v="Chennai"/>
    <n v="1175000"/>
    <n v="33"/>
    <x v="2"/>
    <n v="27"/>
    <n v="11700"/>
    <n v="221"/>
    <s v="Silver"/>
    <m/>
    <s v="Higher"/>
  </r>
  <r>
    <s v="CUST102126"/>
    <n v="32"/>
    <x v="3"/>
    <s v="Unknown"/>
    <s v="Chennai"/>
    <n v="225000"/>
    <n v="5"/>
    <x v="2"/>
    <n v="51"/>
    <n v="5100"/>
    <n v="110"/>
    <m/>
    <s v="Online"/>
    <s v="Lower"/>
  </r>
  <r>
    <s v="CUST102127"/>
    <n v="42"/>
    <x v="4"/>
    <m/>
    <s v="Chennai"/>
    <n v="1850000"/>
    <n v="82"/>
    <x v="3"/>
    <n v="75"/>
    <n v="10300"/>
    <n v="58"/>
    <m/>
    <m/>
    <s v="Lower"/>
  </r>
  <r>
    <s v="CUST102128"/>
    <n v="47"/>
    <x v="2"/>
    <s v="Male"/>
    <s v="Chennai"/>
    <n v="250000"/>
    <n v="74"/>
    <x v="3"/>
    <n v="16"/>
    <n v="2200"/>
    <n v="65"/>
    <m/>
    <s v="Mobile App"/>
    <s v="Higher"/>
  </r>
  <r>
    <s v="CUST102129"/>
    <n v="31"/>
    <x v="3"/>
    <s v="Female"/>
    <s v="Chennai"/>
    <m/>
    <n v="36"/>
    <x v="0"/>
    <n v="60"/>
    <n v="3100"/>
    <n v="58"/>
    <m/>
    <s v="In-store"/>
    <s v="Higher"/>
  </r>
  <r>
    <s v="CUST102130"/>
    <n v="24"/>
    <x v="6"/>
    <s v="Unknown"/>
    <s v="Hyderabad"/>
    <n v="1150000"/>
    <n v="97"/>
    <x v="3"/>
    <n v="76"/>
    <n v="1900"/>
    <n v="158"/>
    <s v="Platinum"/>
    <s v="Online"/>
    <s v="Lower"/>
  </r>
  <r>
    <s v="CUST102131"/>
    <n v="34"/>
    <x v="3"/>
    <m/>
    <s v="Delhi"/>
    <n v="225000"/>
    <n v="23"/>
    <x v="2"/>
    <n v="40"/>
    <n v="7600"/>
    <n v="76"/>
    <s v="Gold"/>
    <s v="Online"/>
    <s v="Lower"/>
  </r>
  <r>
    <s v="CUST102132"/>
    <n v="61"/>
    <x v="0"/>
    <s v="Unknown"/>
    <s v="Delhi"/>
    <n v="175000"/>
    <n v="40"/>
    <x v="0"/>
    <n v="67"/>
    <n v="10700"/>
    <n v="19"/>
    <m/>
    <s v="Website"/>
    <s v="Lower"/>
  </r>
  <r>
    <s v="CUST102133"/>
    <n v="37"/>
    <x v="4"/>
    <s v="Male"/>
    <m/>
    <n v="1800000"/>
    <n v="5"/>
    <x v="2"/>
    <n v="2"/>
    <n v="2400"/>
    <n v="190"/>
    <s v="Bronze"/>
    <s v="Website"/>
    <s v="Higher"/>
  </r>
  <r>
    <s v="CUST102134"/>
    <n v="53"/>
    <x v="2"/>
    <s v="Unknown"/>
    <s v="Delhi"/>
    <n v="650000"/>
    <n v="34"/>
    <x v="0"/>
    <n v="48"/>
    <n v="800"/>
    <n v="250"/>
    <s v="Silver"/>
    <s v="Website"/>
    <s v="Lower"/>
  </r>
  <r>
    <s v="CUST102135"/>
    <n v="26"/>
    <x v="3"/>
    <s v="Unknown"/>
    <s v="Pune"/>
    <n v="1875000"/>
    <n v="24"/>
    <x v="2"/>
    <n v="52"/>
    <n v="6400"/>
    <n v="360"/>
    <m/>
    <m/>
    <s v="Lower"/>
  </r>
  <r>
    <s v="CUST102136"/>
    <n v="55"/>
    <x v="0"/>
    <s v="Unknown"/>
    <s v="Delhi"/>
    <n v="1200000"/>
    <n v="17"/>
    <x v="2"/>
    <n v="24"/>
    <n v="10900"/>
    <n v="363"/>
    <m/>
    <s v="Mobile App"/>
    <s v="Lower"/>
  </r>
  <r>
    <s v="CUST102137"/>
    <n v="65"/>
    <x v="0"/>
    <m/>
    <s v="Hyderabad"/>
    <n v="1850000"/>
    <n v="95"/>
    <x v="3"/>
    <n v="78"/>
    <n v="10000"/>
    <n v="79"/>
    <s v="Bronze"/>
    <s v="Online"/>
    <s v="Lower"/>
  </r>
  <r>
    <s v="CUST102138"/>
    <n v="39"/>
    <x v="4"/>
    <s v="Female"/>
    <s v="Chennai"/>
    <n v="350000"/>
    <n v="71"/>
    <x v="3"/>
    <n v="2"/>
    <n v="3300"/>
    <n v="84"/>
    <s v="Platinum"/>
    <m/>
    <s v="Higher"/>
  </r>
  <r>
    <s v="CUST102139"/>
    <m/>
    <x v="5"/>
    <s v="Male"/>
    <s v="Kolkata"/>
    <n v="825000"/>
    <n v="81"/>
    <x v="3"/>
    <n v="65"/>
    <n v="6400"/>
    <n v="172"/>
    <s v="Bronze"/>
    <s v="Website"/>
    <s v="Higher"/>
  </r>
  <r>
    <s v="CUST102140"/>
    <m/>
    <x v="5"/>
    <m/>
    <s v="Kolkata"/>
    <n v="775000"/>
    <n v="92"/>
    <x v="3"/>
    <n v="20"/>
    <m/>
    <n v="212"/>
    <m/>
    <s v="Mobile App"/>
    <s v="Lower"/>
  </r>
  <r>
    <s v="CUST102141"/>
    <m/>
    <x v="5"/>
    <s v="Unknown"/>
    <s v="Pune"/>
    <n v="200000"/>
    <m/>
    <x v="1"/>
    <n v="34"/>
    <n v="1400"/>
    <n v="149"/>
    <m/>
    <m/>
    <s v="Lower"/>
  </r>
  <r>
    <s v="CUST102142"/>
    <n v="19"/>
    <x v="6"/>
    <s v="Unknown"/>
    <m/>
    <n v="1950000"/>
    <n v="22"/>
    <x v="2"/>
    <n v="41"/>
    <n v="1400"/>
    <n v="10"/>
    <s v="Bronze"/>
    <s v="Mobile App"/>
    <s v="Lower"/>
  </r>
  <r>
    <s v="CUST102143"/>
    <n v="41"/>
    <x v="4"/>
    <s v="Female"/>
    <s v="Hyderabad"/>
    <n v="1350000"/>
    <n v="15"/>
    <x v="2"/>
    <n v="41"/>
    <n v="6500"/>
    <n v="30"/>
    <s v="Platinum"/>
    <s v="Website"/>
    <s v="Higher"/>
  </r>
  <r>
    <s v="CUST102144"/>
    <n v="25"/>
    <x v="3"/>
    <s v="Male"/>
    <s v="Mumbai"/>
    <n v="550000"/>
    <m/>
    <x v="1"/>
    <n v="75"/>
    <n v="1800"/>
    <n v="280"/>
    <m/>
    <s v="In-store"/>
    <s v="Higher"/>
  </r>
  <r>
    <s v="CUST102145"/>
    <n v="28"/>
    <x v="3"/>
    <s v="Male"/>
    <s v="Bengaluru"/>
    <n v="1700000"/>
    <n v="15"/>
    <x v="2"/>
    <n v="23"/>
    <n v="2700"/>
    <n v="55"/>
    <s v="Platinum"/>
    <s v="Online"/>
    <s v="Higher"/>
  </r>
  <r>
    <s v="CUST102146"/>
    <n v="30"/>
    <x v="3"/>
    <m/>
    <m/>
    <n v="1500000"/>
    <n v="25"/>
    <x v="2"/>
    <n v="38"/>
    <n v="2400"/>
    <n v="360"/>
    <s v="Silver"/>
    <s v="Website"/>
    <s v="Lower"/>
  </r>
  <r>
    <s v="CUST102147"/>
    <n v="34"/>
    <x v="3"/>
    <s v="Female"/>
    <s v="Mumbai"/>
    <n v="700000"/>
    <n v="53"/>
    <x v="0"/>
    <n v="44"/>
    <n v="9300"/>
    <n v="127"/>
    <m/>
    <m/>
    <s v="Higher"/>
  </r>
  <r>
    <s v="CUST102148"/>
    <n v="25"/>
    <x v="3"/>
    <s v="Male"/>
    <s v="Hyderabad"/>
    <n v="975000"/>
    <n v="21"/>
    <x v="2"/>
    <n v="67"/>
    <n v="9000"/>
    <n v="180"/>
    <m/>
    <s v="Online"/>
    <s v="Higher"/>
  </r>
  <r>
    <s v="CUST102149"/>
    <n v="38"/>
    <x v="4"/>
    <m/>
    <s v="Delhi"/>
    <n v="1850000"/>
    <m/>
    <x v="1"/>
    <n v="62"/>
    <n v="7800"/>
    <n v="232"/>
    <s v="Bronze"/>
    <s v="Mobile App"/>
    <s v="Lower"/>
  </r>
  <r>
    <s v="CUST102150"/>
    <n v="35"/>
    <x v="4"/>
    <s v="Unknown"/>
    <s v="Chennai"/>
    <n v="500000"/>
    <n v="66"/>
    <x v="0"/>
    <n v="12"/>
    <n v="11900"/>
    <n v="93"/>
    <s v="Gold"/>
    <m/>
    <s v="Lower"/>
  </r>
  <r>
    <s v="CUST102151"/>
    <n v="47"/>
    <x v="2"/>
    <s v="Male"/>
    <s v="Mumbai"/>
    <n v="1300000"/>
    <n v="91"/>
    <x v="3"/>
    <n v="30"/>
    <n v="2000"/>
    <n v="8"/>
    <s v="Gold"/>
    <s v="Online"/>
    <s v="Higher"/>
  </r>
  <r>
    <s v="CUST102152"/>
    <n v="35"/>
    <x v="4"/>
    <s v="Male"/>
    <s v="Bengaluru"/>
    <n v="200000"/>
    <n v="32"/>
    <x v="2"/>
    <n v="65"/>
    <n v="4700"/>
    <n v="247"/>
    <s v="Silver"/>
    <m/>
    <s v="Higher"/>
  </r>
  <r>
    <s v="CUST102153"/>
    <n v="63"/>
    <x v="0"/>
    <m/>
    <m/>
    <n v="825000"/>
    <n v="21"/>
    <x v="2"/>
    <n v="41"/>
    <n v="11300"/>
    <n v="331"/>
    <s v="Gold"/>
    <s v="Mobile App"/>
    <s v="Lower"/>
  </r>
  <r>
    <s v="CUST102154"/>
    <n v="64"/>
    <x v="0"/>
    <s v="Male"/>
    <s v="Kolkata"/>
    <n v="200000"/>
    <n v="68"/>
    <x v="3"/>
    <n v="20"/>
    <n v="8200"/>
    <n v="196"/>
    <s v="Silver"/>
    <s v="Website"/>
    <s v="Higher"/>
  </r>
  <r>
    <s v="CUST102155"/>
    <n v="48"/>
    <x v="2"/>
    <s v="Male"/>
    <m/>
    <n v="225000"/>
    <n v="44"/>
    <x v="0"/>
    <n v="6"/>
    <n v="7000"/>
    <n v="163"/>
    <m/>
    <m/>
    <s v="Higher"/>
  </r>
  <r>
    <s v="CUST102156"/>
    <n v="55"/>
    <x v="0"/>
    <s v="Male"/>
    <s v="Bengaluru"/>
    <n v="900000"/>
    <n v="83"/>
    <x v="3"/>
    <n v="75"/>
    <n v="1400"/>
    <n v="40"/>
    <s v="Silver"/>
    <s v="Website"/>
    <s v="Higher"/>
  </r>
  <r>
    <s v="CUST102157"/>
    <n v="49"/>
    <x v="2"/>
    <s v="Male"/>
    <s v="Chennai"/>
    <n v="1250000"/>
    <n v="66"/>
    <x v="0"/>
    <n v="4"/>
    <n v="5100"/>
    <n v="254"/>
    <s v="Platinum"/>
    <s v="Mobile App"/>
    <s v="Higher"/>
  </r>
  <r>
    <s v="CUST102158"/>
    <n v="28"/>
    <x v="3"/>
    <s v="Unknown"/>
    <s v="Delhi"/>
    <n v="1600000"/>
    <n v="90"/>
    <x v="3"/>
    <n v="10"/>
    <n v="3500"/>
    <n v="85"/>
    <s v="Platinum"/>
    <s v="Mobile App"/>
    <s v="Lower"/>
  </r>
  <r>
    <s v="CUST102159"/>
    <n v="62"/>
    <x v="0"/>
    <s v="Male"/>
    <s v="Bengaluru"/>
    <n v="1250000"/>
    <n v="98"/>
    <x v="3"/>
    <n v="51"/>
    <n v="8800"/>
    <n v="272"/>
    <s v="Platinum"/>
    <m/>
    <s v="Higher"/>
  </r>
  <r>
    <s v="CUST102160"/>
    <n v="42"/>
    <x v="4"/>
    <m/>
    <m/>
    <m/>
    <n v="14"/>
    <x v="2"/>
    <n v="38"/>
    <n v="6500"/>
    <n v="78"/>
    <m/>
    <m/>
    <s v="Lower"/>
  </r>
  <r>
    <s v="CUST102161"/>
    <n v="50"/>
    <x v="2"/>
    <s v="Unknown"/>
    <s v="Bengaluru"/>
    <n v="1050000"/>
    <n v="15"/>
    <x v="2"/>
    <n v="1"/>
    <n v="2000"/>
    <n v="213"/>
    <s v="Platinum"/>
    <s v="Mobile App"/>
    <s v="Lower"/>
  </r>
  <r>
    <s v="CUST102162"/>
    <n v="55"/>
    <x v="0"/>
    <s v="Unknown"/>
    <s v="Hyderabad"/>
    <n v="1750000"/>
    <n v="20"/>
    <x v="2"/>
    <n v="8"/>
    <n v="5600"/>
    <n v="304"/>
    <s v="Platinum"/>
    <m/>
    <s v="Lower"/>
  </r>
  <r>
    <s v="CUST102163"/>
    <n v="58"/>
    <x v="0"/>
    <s v="Male"/>
    <s v="Delhi"/>
    <n v="350000"/>
    <n v="34"/>
    <x v="0"/>
    <m/>
    <n v="11400"/>
    <n v="255"/>
    <s v="Platinum"/>
    <m/>
    <s v="Higher"/>
  </r>
  <r>
    <s v="CUST102164"/>
    <n v="25"/>
    <x v="3"/>
    <s v="Female"/>
    <s v="Chennai"/>
    <n v="550000"/>
    <n v="36"/>
    <x v="0"/>
    <n v="63"/>
    <n v="9900"/>
    <n v="91"/>
    <s v="Platinum"/>
    <m/>
    <s v="Higher"/>
  </r>
  <r>
    <s v="CUST102165"/>
    <n v="28"/>
    <x v="3"/>
    <s v="Female"/>
    <s v="Kolkata"/>
    <n v="1750000"/>
    <n v="83"/>
    <x v="3"/>
    <n v="33"/>
    <n v="2900"/>
    <n v="193"/>
    <m/>
    <m/>
    <s v="Higher"/>
  </r>
  <r>
    <s v="CUST102166"/>
    <n v="39"/>
    <x v="4"/>
    <s v="Male"/>
    <s v="Kolkata"/>
    <n v="200000"/>
    <n v="9"/>
    <x v="2"/>
    <n v="15"/>
    <n v="10800"/>
    <n v="253"/>
    <s v="Platinum"/>
    <m/>
    <s v="Higher"/>
  </r>
  <r>
    <s v="CUST102167"/>
    <n v="68"/>
    <x v="1"/>
    <m/>
    <s v="Bengaluru"/>
    <n v="775000"/>
    <n v="71"/>
    <x v="3"/>
    <n v="31"/>
    <n v="8500"/>
    <n v="278"/>
    <s v="Platinum"/>
    <s v="Online"/>
    <s v="Lower"/>
  </r>
  <r>
    <s v="CUST102168"/>
    <n v="41"/>
    <x v="4"/>
    <s v="Female"/>
    <s v="Hyderabad"/>
    <n v="1450000"/>
    <n v="30"/>
    <x v="2"/>
    <n v="21"/>
    <n v="11400"/>
    <n v="143"/>
    <m/>
    <s v="Mobile App"/>
    <s v="Higher"/>
  </r>
  <r>
    <s v="CUST102169"/>
    <n v="58"/>
    <x v="0"/>
    <s v="Male"/>
    <s v="Mumbai"/>
    <n v="900000"/>
    <n v="77"/>
    <x v="3"/>
    <n v="3"/>
    <n v="8000"/>
    <n v="244"/>
    <m/>
    <s v="Mobile App"/>
    <s v="Higher"/>
  </r>
  <r>
    <s v="CUST102170"/>
    <n v="34"/>
    <x v="3"/>
    <s v="Male"/>
    <m/>
    <n v="775000"/>
    <n v="91"/>
    <x v="3"/>
    <n v="66"/>
    <n v="2700"/>
    <n v="212"/>
    <s v="Platinum"/>
    <s v="In-store"/>
    <s v="Higher"/>
  </r>
  <r>
    <s v="CUST102171"/>
    <n v="29"/>
    <x v="3"/>
    <s v="Unknown"/>
    <m/>
    <n v="700000"/>
    <n v="63"/>
    <x v="0"/>
    <n v="35"/>
    <n v="3600"/>
    <n v="195"/>
    <s v="Silver"/>
    <s v="Website"/>
    <s v="Lower"/>
  </r>
  <r>
    <s v="CUST102172"/>
    <n v="63"/>
    <x v="0"/>
    <s v="Male"/>
    <m/>
    <n v="875000"/>
    <n v="35"/>
    <x v="0"/>
    <n v="41"/>
    <n v="9000"/>
    <n v="270"/>
    <m/>
    <s v="In-store"/>
    <s v="Higher"/>
  </r>
  <r>
    <s v="CUST102173"/>
    <n v="49"/>
    <x v="2"/>
    <m/>
    <s v="Mumbai"/>
    <n v="375000"/>
    <n v="13"/>
    <x v="2"/>
    <n v="59"/>
    <n v="10400"/>
    <n v="329"/>
    <m/>
    <m/>
    <s v="Lower"/>
  </r>
  <r>
    <s v="CUST102174"/>
    <n v="32"/>
    <x v="3"/>
    <s v="Male"/>
    <s v="Hyderabad"/>
    <n v="1925000"/>
    <n v="79"/>
    <x v="3"/>
    <n v="16"/>
    <n v="6200"/>
    <n v="19"/>
    <s v="Gold"/>
    <m/>
    <s v="Higher"/>
  </r>
  <r>
    <s v="CUST102175"/>
    <n v="33"/>
    <x v="3"/>
    <s v="Male"/>
    <m/>
    <n v="1725000"/>
    <n v="46"/>
    <x v="0"/>
    <n v="56"/>
    <n v="5600"/>
    <n v="40"/>
    <s v="Bronze"/>
    <s v="Online"/>
    <s v="Higher"/>
  </r>
  <r>
    <s v="CUST102176"/>
    <m/>
    <x v="5"/>
    <s v="Female"/>
    <m/>
    <n v="675000"/>
    <n v="56"/>
    <x v="0"/>
    <n v="45"/>
    <n v="8900"/>
    <n v="98"/>
    <m/>
    <s v="Online"/>
    <s v="Higher"/>
  </r>
  <r>
    <s v="CUST102177"/>
    <n v="39"/>
    <x v="4"/>
    <s v="Male"/>
    <s v="Mumbai"/>
    <n v="500000"/>
    <n v="9"/>
    <x v="2"/>
    <n v="59"/>
    <n v="700"/>
    <n v="4"/>
    <m/>
    <s v="Online"/>
    <s v="Higher"/>
  </r>
  <r>
    <s v="CUST102178"/>
    <n v="45"/>
    <x v="2"/>
    <m/>
    <s v="Mumbai"/>
    <n v="1525000"/>
    <n v="87"/>
    <x v="3"/>
    <n v="50"/>
    <n v="11000"/>
    <n v="33"/>
    <s v="Platinum"/>
    <s v="Online"/>
    <s v="Lower"/>
  </r>
  <r>
    <s v="CUST102179"/>
    <n v="37"/>
    <x v="4"/>
    <s v="Male"/>
    <s v="Chennai"/>
    <n v="1975000"/>
    <n v="36"/>
    <x v="0"/>
    <n v="12"/>
    <n v="3800"/>
    <n v="299"/>
    <m/>
    <s v="Online"/>
    <s v="Higher"/>
  </r>
  <r>
    <s v="CUST102180"/>
    <n v="50"/>
    <x v="2"/>
    <m/>
    <s v="Chennai"/>
    <n v="625000"/>
    <n v="3"/>
    <x v="2"/>
    <n v="12"/>
    <n v="5600"/>
    <n v="165"/>
    <s v="Bronze"/>
    <s v="Online"/>
    <s v="Lower"/>
  </r>
  <r>
    <s v="CUST102181"/>
    <n v="27"/>
    <x v="3"/>
    <m/>
    <s v="Delhi"/>
    <n v="1300000"/>
    <n v="98"/>
    <x v="3"/>
    <n v="33"/>
    <n v="9000"/>
    <n v="27"/>
    <s v="Bronze"/>
    <s v="Online"/>
    <s v="Lower"/>
  </r>
  <r>
    <s v="CUST102182"/>
    <n v="57"/>
    <x v="0"/>
    <s v="Unknown"/>
    <m/>
    <n v="1450000"/>
    <n v="19"/>
    <x v="2"/>
    <n v="49"/>
    <n v="3800"/>
    <n v="173"/>
    <m/>
    <s v="Online"/>
    <s v="Lower"/>
  </r>
  <r>
    <s v="CUST102183"/>
    <n v="49"/>
    <x v="2"/>
    <s v="Male"/>
    <m/>
    <n v="1450000"/>
    <n v="28"/>
    <x v="2"/>
    <n v="21"/>
    <n v="7100"/>
    <n v="337"/>
    <s v="Platinum"/>
    <m/>
    <s v="Higher"/>
  </r>
  <r>
    <s v="CUST102184"/>
    <n v="67"/>
    <x v="1"/>
    <s v="Male"/>
    <s v="Delhi"/>
    <n v="150000"/>
    <n v="23"/>
    <x v="2"/>
    <n v="60"/>
    <n v="4100"/>
    <n v="113"/>
    <s v="Platinum"/>
    <s v="Online"/>
    <s v="Higher"/>
  </r>
  <r>
    <s v="CUST102185"/>
    <n v="50"/>
    <x v="2"/>
    <s v="Female"/>
    <m/>
    <n v="175000"/>
    <n v="7"/>
    <x v="2"/>
    <n v="52"/>
    <n v="7200"/>
    <n v="95"/>
    <s v="Silver"/>
    <s v="Mobile App"/>
    <s v="Higher"/>
  </r>
  <r>
    <s v="CUST102186"/>
    <n v="19"/>
    <x v="6"/>
    <s v="Male"/>
    <s v="Pune"/>
    <n v="1575000"/>
    <n v="76"/>
    <x v="3"/>
    <n v="54"/>
    <n v="11100"/>
    <n v="319"/>
    <s v="Bronze"/>
    <s v="Online"/>
    <s v="Higher"/>
  </r>
  <r>
    <s v="CUST102187"/>
    <n v="50"/>
    <x v="2"/>
    <s v="Unknown"/>
    <s v="Ahmedabad"/>
    <n v="600000"/>
    <n v="14"/>
    <x v="2"/>
    <n v="39"/>
    <n v="10200"/>
    <n v="233"/>
    <s v="Platinum"/>
    <s v="Website"/>
    <s v="Lower"/>
  </r>
  <r>
    <s v="CUST102188"/>
    <n v="50"/>
    <x v="2"/>
    <m/>
    <m/>
    <n v="1675000"/>
    <n v="46"/>
    <x v="0"/>
    <n v="49"/>
    <n v="11100"/>
    <n v="134"/>
    <s v="Bronze"/>
    <s v="Online"/>
    <s v="Lower"/>
  </r>
  <r>
    <s v="CUST102189"/>
    <n v="58"/>
    <x v="0"/>
    <s v="Male"/>
    <s v="Chennai"/>
    <n v="1925000"/>
    <n v="15"/>
    <x v="2"/>
    <n v="64"/>
    <n v="600"/>
    <n v="124"/>
    <s v="Silver"/>
    <m/>
    <s v="Higher"/>
  </r>
  <r>
    <s v="CUST102190"/>
    <n v="30"/>
    <x v="3"/>
    <s v="Male"/>
    <s v="Delhi"/>
    <n v="425000"/>
    <n v="67"/>
    <x v="3"/>
    <n v="26"/>
    <n v="7600"/>
    <n v="351"/>
    <s v="Gold"/>
    <m/>
    <s v="Higher"/>
  </r>
  <r>
    <s v="CUST102191"/>
    <n v="47"/>
    <x v="2"/>
    <s v="Unknown"/>
    <s v="Delhi"/>
    <n v="775000"/>
    <n v="15"/>
    <x v="2"/>
    <n v="71"/>
    <n v="11800"/>
    <n v="323"/>
    <s v="Bronze"/>
    <m/>
    <s v="Lower"/>
  </r>
  <r>
    <s v="CUST102192"/>
    <n v="50"/>
    <x v="2"/>
    <m/>
    <m/>
    <n v="800000"/>
    <n v="51"/>
    <x v="0"/>
    <n v="7"/>
    <n v="6700"/>
    <n v="353"/>
    <s v="Silver"/>
    <m/>
    <s v="Lower"/>
  </r>
  <r>
    <s v="CUST102193"/>
    <n v="30"/>
    <x v="3"/>
    <m/>
    <s v="Mumbai"/>
    <n v="850000"/>
    <n v="88"/>
    <x v="3"/>
    <n v="72"/>
    <n v="8700"/>
    <n v="116"/>
    <s v="Silver"/>
    <m/>
    <s v="Lower"/>
  </r>
  <r>
    <s v="CUST102194"/>
    <n v="69"/>
    <x v="1"/>
    <s v="Male"/>
    <s v="Kolkata"/>
    <n v="500000"/>
    <n v="8"/>
    <x v="2"/>
    <n v="62"/>
    <n v="4200"/>
    <n v="13"/>
    <s v="Silver"/>
    <s v="Online"/>
    <s v="Higher"/>
  </r>
  <r>
    <s v="CUST102195"/>
    <n v="43"/>
    <x v="4"/>
    <s v="Female"/>
    <s v="Bengaluru"/>
    <n v="1275000"/>
    <n v="69"/>
    <x v="3"/>
    <n v="24"/>
    <n v="10500"/>
    <n v="320"/>
    <m/>
    <s v="Online"/>
    <s v="Higher"/>
  </r>
  <r>
    <s v="CUST102196"/>
    <n v="39"/>
    <x v="4"/>
    <s v="Male"/>
    <s v="Bengaluru"/>
    <n v="150000"/>
    <n v="62"/>
    <x v="0"/>
    <n v="40"/>
    <n v="3900"/>
    <n v="165"/>
    <m/>
    <m/>
    <s v="Higher"/>
  </r>
  <r>
    <s v="CUST102197"/>
    <n v="56"/>
    <x v="0"/>
    <s v="Female"/>
    <s v="Delhi"/>
    <n v="1625000"/>
    <n v="51"/>
    <x v="0"/>
    <n v="76"/>
    <n v="6900"/>
    <n v="208"/>
    <s v="Platinum"/>
    <s v="Website"/>
    <s v="Higher"/>
  </r>
  <r>
    <s v="CUST102198"/>
    <n v="19"/>
    <x v="6"/>
    <m/>
    <m/>
    <n v="1550000"/>
    <n v="63"/>
    <x v="0"/>
    <n v="47"/>
    <n v="11300"/>
    <n v="85"/>
    <s v="Bronze"/>
    <s v="In-store"/>
    <s v="Lower"/>
  </r>
  <r>
    <s v="CUST102199"/>
    <n v="55"/>
    <x v="0"/>
    <m/>
    <s v="Pune"/>
    <n v="200000"/>
    <n v="68"/>
    <x v="3"/>
    <n v="8"/>
    <n v="3300"/>
    <n v="248"/>
    <m/>
    <s v="Mobile App"/>
    <s v="Lower"/>
  </r>
  <r>
    <s v="CUST102200"/>
    <n v="56"/>
    <x v="0"/>
    <s v="Female"/>
    <m/>
    <n v="575000"/>
    <n v="78"/>
    <x v="3"/>
    <n v="54"/>
    <n v="9300"/>
    <n v="56"/>
    <m/>
    <m/>
    <s v="Higher"/>
  </r>
  <r>
    <s v="CUST102201"/>
    <n v="43"/>
    <x v="4"/>
    <m/>
    <s v="Delhi"/>
    <n v="1425000"/>
    <n v="16"/>
    <x v="2"/>
    <n v="9"/>
    <n v="8300"/>
    <n v="172"/>
    <s v="Bronze"/>
    <s v="Online"/>
    <s v="Lower"/>
  </r>
  <r>
    <s v="CUST102202"/>
    <n v="63"/>
    <x v="0"/>
    <s v="Male"/>
    <m/>
    <n v="1625000"/>
    <n v="84"/>
    <x v="3"/>
    <n v="3"/>
    <n v="8900"/>
    <n v="141"/>
    <m/>
    <s v="Mobile App"/>
    <s v="Higher"/>
  </r>
  <r>
    <s v="CUST102203"/>
    <n v="67"/>
    <x v="1"/>
    <s v="Female"/>
    <s v="Chennai"/>
    <n v="975000"/>
    <n v="24"/>
    <x v="2"/>
    <n v="54"/>
    <n v="7900"/>
    <n v="132"/>
    <m/>
    <s v="Online"/>
    <s v="Higher"/>
  </r>
  <r>
    <s v="CUST102204"/>
    <n v="32"/>
    <x v="3"/>
    <m/>
    <m/>
    <n v="1625000"/>
    <n v="6"/>
    <x v="2"/>
    <n v="21"/>
    <n v="4900"/>
    <n v="201"/>
    <s v="Platinum"/>
    <s v="In-store"/>
    <s v="Lower"/>
  </r>
  <r>
    <s v="CUST102205"/>
    <n v="51"/>
    <x v="2"/>
    <s v="Female"/>
    <m/>
    <n v="775000"/>
    <n v="57"/>
    <x v="0"/>
    <n v="48"/>
    <n v="2900"/>
    <n v="289"/>
    <s v="Silver"/>
    <s v="In-store"/>
    <s v="Higher"/>
  </r>
  <r>
    <s v="CUST102206"/>
    <n v="59"/>
    <x v="0"/>
    <s v="Female"/>
    <m/>
    <n v="1925000"/>
    <n v="31"/>
    <x v="2"/>
    <n v="47"/>
    <n v="5300"/>
    <n v="309"/>
    <m/>
    <m/>
    <s v="Higher"/>
  </r>
  <r>
    <s v="CUST102207"/>
    <s v="NA"/>
    <x v="5"/>
    <s v="Male"/>
    <s v="Pune"/>
    <n v="600000"/>
    <n v="6"/>
    <x v="2"/>
    <n v="68"/>
    <n v="2200"/>
    <n v="357"/>
    <m/>
    <s v="Mobile App"/>
    <s v="Higher"/>
  </r>
  <r>
    <s v="CUST102208"/>
    <n v="61"/>
    <x v="0"/>
    <s v="Male"/>
    <s v="Chennai"/>
    <n v="675000"/>
    <n v="99"/>
    <x v="3"/>
    <n v="63"/>
    <n v="11200"/>
    <n v="345"/>
    <s v="Bronze"/>
    <m/>
    <s v="Higher"/>
  </r>
  <r>
    <s v="CUST102209"/>
    <n v="66"/>
    <x v="1"/>
    <s v="Unknown"/>
    <s v="Kolkata"/>
    <n v="950000"/>
    <n v="79"/>
    <x v="3"/>
    <n v="16"/>
    <n v="11900"/>
    <n v="179"/>
    <s v="Silver"/>
    <s v="Mobile App"/>
    <s v="Lower"/>
  </r>
  <r>
    <s v="CUST102210"/>
    <n v="57"/>
    <x v="0"/>
    <s v="Female"/>
    <s v="Mumbai"/>
    <n v="1075000"/>
    <n v="29"/>
    <x v="2"/>
    <n v="74"/>
    <n v="1500"/>
    <n v="29"/>
    <s v="Platinum"/>
    <m/>
    <s v="Higher"/>
  </r>
  <r>
    <s v="CUST102211"/>
    <n v="28"/>
    <x v="3"/>
    <s v="Female"/>
    <s v="Chennai"/>
    <n v="1000000"/>
    <n v="67"/>
    <x v="3"/>
    <n v="5"/>
    <n v="6500"/>
    <n v="307"/>
    <s v="Bronze"/>
    <s v="In-store"/>
    <s v="Higher"/>
  </r>
  <r>
    <s v="CUST102212"/>
    <n v="20"/>
    <x v="6"/>
    <s v="Unknown"/>
    <s v="Hyderabad"/>
    <n v="1800000"/>
    <n v="75"/>
    <x v="3"/>
    <n v="11"/>
    <n v="4600"/>
    <n v="306"/>
    <s v="Gold"/>
    <s v="Online"/>
    <s v="Lower"/>
  </r>
  <r>
    <s v="CUST102213"/>
    <n v="23"/>
    <x v="6"/>
    <s v="Unknown"/>
    <s v="Ahmedabad"/>
    <n v="375000"/>
    <n v="3"/>
    <x v="2"/>
    <n v="29"/>
    <n v="2600"/>
    <n v="36"/>
    <s v="Gold"/>
    <m/>
    <s v="Lower"/>
  </r>
  <r>
    <s v="CUST102214"/>
    <n v="26"/>
    <x v="3"/>
    <m/>
    <s v="Delhi"/>
    <n v="500000"/>
    <n v="28"/>
    <x v="2"/>
    <n v="79"/>
    <m/>
    <n v="109"/>
    <s v="Gold"/>
    <m/>
    <s v="Lower"/>
  </r>
  <r>
    <s v="CUST102215"/>
    <n v="23"/>
    <x v="6"/>
    <m/>
    <s v="Hyderabad"/>
    <n v="400000"/>
    <n v="74"/>
    <x v="3"/>
    <n v="70"/>
    <n v="10700"/>
    <n v="316"/>
    <s v="Platinum"/>
    <m/>
    <s v="Lower"/>
  </r>
  <r>
    <s v="CUST102216"/>
    <n v="26"/>
    <x v="3"/>
    <s v="Female"/>
    <s v="Pune"/>
    <n v="725000"/>
    <n v="97"/>
    <x v="3"/>
    <n v="48"/>
    <n v="500"/>
    <n v="146"/>
    <s v="Gold"/>
    <s v="Website"/>
    <s v="Higher"/>
  </r>
  <r>
    <s v="CUST102217"/>
    <n v="56"/>
    <x v="0"/>
    <s v="Unknown"/>
    <s v="Hyderabad"/>
    <s v="unknown"/>
    <n v="48"/>
    <x v="0"/>
    <n v="15"/>
    <n v="10900"/>
    <n v="276"/>
    <m/>
    <s v="In-store"/>
    <s v="Lower"/>
  </r>
  <r>
    <s v="CUST102218"/>
    <n v="48"/>
    <x v="2"/>
    <s v="Male"/>
    <m/>
    <n v="225000"/>
    <n v="80"/>
    <x v="3"/>
    <n v="34"/>
    <n v="1200"/>
    <n v="146"/>
    <s v="Bronze"/>
    <m/>
    <s v="Higher"/>
  </r>
  <r>
    <s v="CUST102219"/>
    <n v="49"/>
    <x v="2"/>
    <s v="Female"/>
    <m/>
    <n v="450000"/>
    <n v="10"/>
    <x v="2"/>
    <n v="60"/>
    <n v="6700"/>
    <n v="168"/>
    <m/>
    <s v="In-store"/>
    <s v="Higher"/>
  </r>
  <r>
    <s v="CUST102220"/>
    <n v="58"/>
    <x v="0"/>
    <s v="Unknown"/>
    <s v="Mumbai"/>
    <n v="1950000"/>
    <n v="33"/>
    <x v="2"/>
    <n v="62"/>
    <n v="5100"/>
    <n v="257"/>
    <s v="Gold"/>
    <m/>
    <s v="Lower"/>
  </r>
  <r>
    <s v="CUST102221"/>
    <n v="67"/>
    <x v="1"/>
    <s v="Male"/>
    <s v="Bengaluru"/>
    <n v="1550000"/>
    <n v="100"/>
    <x v="3"/>
    <n v="2"/>
    <n v="6000"/>
    <n v="275"/>
    <s v="Bronze"/>
    <s v="Online"/>
    <s v="Higher"/>
  </r>
  <r>
    <s v="CUST102222"/>
    <n v="29"/>
    <x v="3"/>
    <s v="Male"/>
    <s v="Delhi"/>
    <n v="1050000"/>
    <n v="67"/>
    <x v="3"/>
    <m/>
    <n v="7900"/>
    <n v="87"/>
    <m/>
    <s v="Mobile App"/>
    <s v="Higher"/>
  </r>
  <r>
    <s v="CUST102223"/>
    <n v="25"/>
    <x v="3"/>
    <s v="Male"/>
    <s v="Bengaluru"/>
    <n v="1325000"/>
    <n v="69"/>
    <x v="3"/>
    <n v="19"/>
    <n v="8000"/>
    <n v="154"/>
    <s v="Platinum"/>
    <s v="In-store"/>
    <s v="Higher"/>
  </r>
  <r>
    <s v="CUST102224"/>
    <n v="25"/>
    <x v="3"/>
    <m/>
    <m/>
    <n v="1900000"/>
    <n v="12"/>
    <x v="2"/>
    <n v="49"/>
    <n v="9900"/>
    <n v="285"/>
    <s v="Silver"/>
    <m/>
    <s v="Lower"/>
  </r>
  <r>
    <s v="CUST102225"/>
    <n v="67"/>
    <x v="1"/>
    <m/>
    <m/>
    <n v="150000"/>
    <n v="57"/>
    <x v="0"/>
    <n v="78"/>
    <n v="400"/>
    <n v="315"/>
    <m/>
    <m/>
    <s v="Lower"/>
  </r>
  <r>
    <s v="CUST102226"/>
    <n v="45"/>
    <x v="2"/>
    <s v="Male"/>
    <m/>
    <n v="1625000"/>
    <n v="44"/>
    <x v="0"/>
    <n v="28"/>
    <n v="6800"/>
    <n v="319"/>
    <m/>
    <m/>
    <s v="Higher"/>
  </r>
  <r>
    <s v="CUST102227"/>
    <n v="37"/>
    <x v="4"/>
    <m/>
    <m/>
    <n v="425000"/>
    <n v="13"/>
    <x v="2"/>
    <n v="48"/>
    <n v="10500"/>
    <n v="98"/>
    <s v="Gold"/>
    <s v="Mobile App"/>
    <s v="Lower"/>
  </r>
  <r>
    <s v="CUST102228"/>
    <n v="64"/>
    <x v="0"/>
    <m/>
    <s v="Delhi"/>
    <n v="650000"/>
    <n v="24"/>
    <x v="2"/>
    <n v="37"/>
    <n v="10700"/>
    <n v="211"/>
    <m/>
    <s v="In-store"/>
    <s v="Lower"/>
  </r>
  <r>
    <s v="CUST102229"/>
    <n v="24"/>
    <x v="6"/>
    <s v="Female"/>
    <s v="Bengaluru"/>
    <n v="400000"/>
    <n v="44"/>
    <x v="0"/>
    <n v="74"/>
    <n v="3300"/>
    <n v="48"/>
    <s v="Silver"/>
    <m/>
    <s v="Higher"/>
  </r>
  <r>
    <s v="CUST102230"/>
    <n v="28"/>
    <x v="3"/>
    <s v="Male"/>
    <s v="Chennai"/>
    <n v="1225000"/>
    <n v="57"/>
    <x v="0"/>
    <n v="49"/>
    <n v="7000"/>
    <n v="318"/>
    <s v="Platinum"/>
    <m/>
    <s v="Higher"/>
  </r>
  <r>
    <s v="CUST102231"/>
    <n v="37"/>
    <x v="4"/>
    <s v="Female"/>
    <m/>
    <n v="1575000"/>
    <n v="96"/>
    <x v="3"/>
    <n v="48"/>
    <n v="10000"/>
    <n v="274"/>
    <m/>
    <s v="Mobile App"/>
    <s v="Higher"/>
  </r>
  <r>
    <s v="CUST102232"/>
    <n v="33"/>
    <x v="3"/>
    <s v="Female"/>
    <s v="Bengaluru"/>
    <n v="1225000"/>
    <n v="16"/>
    <x v="2"/>
    <n v="73"/>
    <n v="8500"/>
    <n v="194"/>
    <s v="Platinum"/>
    <s v="Online"/>
    <s v="Higher"/>
  </r>
  <r>
    <s v="CUST102233"/>
    <n v="21"/>
    <x v="6"/>
    <s v="Male"/>
    <s v="Kolkata"/>
    <n v="975000"/>
    <n v="96"/>
    <x v="3"/>
    <n v="29"/>
    <n v="3900"/>
    <n v="252"/>
    <s v="Silver"/>
    <s v="Website"/>
    <s v="Higher"/>
  </r>
  <r>
    <s v="CUST102234"/>
    <n v="23"/>
    <x v="6"/>
    <s v="Female"/>
    <s v="Bengaluru"/>
    <n v="750000"/>
    <m/>
    <x v="1"/>
    <n v="60"/>
    <n v="7500"/>
    <n v="283"/>
    <m/>
    <s v="In-store"/>
    <s v="Higher"/>
  </r>
  <r>
    <s v="CUST102235"/>
    <n v="39"/>
    <x v="4"/>
    <m/>
    <s v="Kolkata"/>
    <n v="225000"/>
    <n v="100"/>
    <x v="3"/>
    <n v="29"/>
    <n v="2600"/>
    <n v="262"/>
    <m/>
    <s v="Mobile App"/>
    <s v="Lower"/>
  </r>
  <r>
    <s v="CUST102236"/>
    <n v="43"/>
    <x v="4"/>
    <s v="Male"/>
    <s v="Kolkata"/>
    <n v="1725000"/>
    <n v="21"/>
    <x v="2"/>
    <n v="58"/>
    <n v="7900"/>
    <n v="262"/>
    <s v="Gold"/>
    <s v="Website"/>
    <s v="Higher"/>
  </r>
  <r>
    <s v="CUST102237"/>
    <n v="20"/>
    <x v="6"/>
    <s v="Male"/>
    <m/>
    <n v="525000"/>
    <n v="76"/>
    <x v="3"/>
    <n v="48"/>
    <n v="4600"/>
    <n v="31"/>
    <s v="Bronze"/>
    <s v="Website"/>
    <s v="Higher"/>
  </r>
  <r>
    <s v="CUST102238"/>
    <n v="58"/>
    <x v="0"/>
    <m/>
    <s v="Delhi"/>
    <n v="375000"/>
    <n v="51"/>
    <x v="0"/>
    <n v="23"/>
    <n v="9600"/>
    <n v="105"/>
    <s v="Platinum"/>
    <s v="Mobile App"/>
    <s v="Lower"/>
  </r>
  <r>
    <s v="CUST102239"/>
    <n v="59"/>
    <x v="0"/>
    <s v="Male"/>
    <s v="Pune"/>
    <n v="1775000"/>
    <n v="21"/>
    <x v="2"/>
    <n v="27"/>
    <n v="8500"/>
    <n v="350"/>
    <s v="Silver"/>
    <m/>
    <s v="Higher"/>
  </r>
  <r>
    <s v="CUST102240"/>
    <n v="31"/>
    <x v="3"/>
    <s v="Female"/>
    <m/>
    <n v="1000000"/>
    <n v="60"/>
    <x v="0"/>
    <n v="7"/>
    <n v="4300"/>
    <n v="312"/>
    <m/>
    <m/>
    <s v="Higher"/>
  </r>
  <r>
    <s v="CUST102241"/>
    <n v="28"/>
    <x v="3"/>
    <m/>
    <s v="Delhi"/>
    <n v="275000"/>
    <n v="51"/>
    <x v="0"/>
    <n v="49"/>
    <n v="7600"/>
    <n v="169"/>
    <m/>
    <s v="Mobile App"/>
    <s v="Lower"/>
  </r>
  <r>
    <s v="CUST102242"/>
    <n v="35"/>
    <x v="4"/>
    <s v="Male"/>
    <s v="Delhi"/>
    <n v="600000"/>
    <n v="21"/>
    <x v="2"/>
    <n v="54"/>
    <n v="5300"/>
    <n v="236"/>
    <s v="Gold"/>
    <s v="Mobile App"/>
    <s v="Higher"/>
  </r>
  <r>
    <s v="CUST102243"/>
    <m/>
    <x v="5"/>
    <s v="Male"/>
    <s v="Hyderabad"/>
    <n v="1600000"/>
    <n v="6"/>
    <x v="2"/>
    <n v="68"/>
    <n v="4400"/>
    <n v="274"/>
    <m/>
    <m/>
    <s v="Higher"/>
  </r>
  <r>
    <s v="CUST102244"/>
    <n v="29"/>
    <x v="3"/>
    <s v="Female"/>
    <m/>
    <n v="1450000"/>
    <n v="73"/>
    <x v="3"/>
    <n v="78"/>
    <n v="11000"/>
    <n v="343"/>
    <s v="Gold"/>
    <s v="Online"/>
    <s v="Higher"/>
  </r>
  <r>
    <s v="CUST102245"/>
    <n v="40"/>
    <x v="4"/>
    <m/>
    <m/>
    <n v="325000"/>
    <n v="65"/>
    <x v="0"/>
    <n v="42"/>
    <n v="8000"/>
    <n v="230"/>
    <m/>
    <m/>
    <s v="Lower"/>
  </r>
  <r>
    <s v="CUST102246"/>
    <n v="29"/>
    <x v="3"/>
    <s v="Female"/>
    <m/>
    <n v="375000"/>
    <n v="76"/>
    <x v="3"/>
    <n v="74"/>
    <n v="4200"/>
    <n v="23"/>
    <s v="Bronze"/>
    <m/>
    <s v="Higher"/>
  </r>
  <r>
    <s v="CUST102247"/>
    <n v="30"/>
    <x v="3"/>
    <s v="Female"/>
    <s v="Ahmedabad"/>
    <n v="1800000"/>
    <n v="58"/>
    <x v="0"/>
    <n v="59"/>
    <n v="5000"/>
    <n v="164"/>
    <s v="Bronze"/>
    <s v="Website"/>
    <s v="Higher"/>
  </r>
  <r>
    <s v="CUST102248"/>
    <n v="42"/>
    <x v="4"/>
    <s v="Unknown"/>
    <m/>
    <n v="1075000"/>
    <n v="78"/>
    <x v="3"/>
    <n v="44"/>
    <n v="11500"/>
    <n v="281"/>
    <s v="Silver"/>
    <s v="Website"/>
    <s v="Lower"/>
  </r>
  <r>
    <s v="CUST102249"/>
    <n v="62"/>
    <x v="0"/>
    <m/>
    <s v="Delhi"/>
    <n v="850000"/>
    <n v="6"/>
    <x v="2"/>
    <n v="26"/>
    <n v="8600"/>
    <n v="7"/>
    <s v="Silver"/>
    <s v="Website"/>
    <s v="Lower"/>
  </r>
  <r>
    <s v="CUST102250"/>
    <n v="68"/>
    <x v="1"/>
    <s v="Male"/>
    <s v="Hyderabad"/>
    <n v="500000"/>
    <n v="65"/>
    <x v="0"/>
    <n v="23"/>
    <n v="600"/>
    <n v="210"/>
    <s v="Gold"/>
    <s v="Mobile App"/>
    <s v="Higher"/>
  </r>
  <r>
    <s v="CUST102251"/>
    <n v="36"/>
    <x v="4"/>
    <s v="Female"/>
    <s v="Kolkata"/>
    <n v="700000"/>
    <n v="86"/>
    <x v="3"/>
    <n v="73"/>
    <n v="10400"/>
    <n v="253"/>
    <s v="Gold"/>
    <s v="In-store"/>
    <s v="Higher"/>
  </r>
  <r>
    <s v="CUST102252"/>
    <s v="NA"/>
    <x v="5"/>
    <s v="Male"/>
    <s v="Pune"/>
    <n v="1275000"/>
    <n v="34"/>
    <x v="0"/>
    <n v="8"/>
    <n v="11000"/>
    <n v="133"/>
    <s v="Gold"/>
    <m/>
    <s v="Higher"/>
  </r>
  <r>
    <s v="CUST102253"/>
    <n v="63"/>
    <x v="0"/>
    <s v="Female"/>
    <s v="Pune"/>
    <n v="825000"/>
    <n v="56"/>
    <x v="0"/>
    <n v="53"/>
    <n v="6200"/>
    <n v="274"/>
    <s v="Gold"/>
    <s v="In-store"/>
    <s v="Higher"/>
  </r>
  <r>
    <s v="CUST102254"/>
    <n v="53"/>
    <x v="2"/>
    <s v="Female"/>
    <s v="Kolkata"/>
    <n v="775000"/>
    <n v="75"/>
    <x v="3"/>
    <n v="14"/>
    <n v="11600"/>
    <n v="106"/>
    <m/>
    <s v="Online"/>
    <s v="Higher"/>
  </r>
  <r>
    <s v="CUST102255"/>
    <n v="62"/>
    <x v="0"/>
    <s v="Unknown"/>
    <s v="Bengaluru"/>
    <n v="375000"/>
    <n v="3"/>
    <x v="2"/>
    <n v="71"/>
    <n v="4100"/>
    <n v="232"/>
    <m/>
    <s v="Online"/>
    <s v="Lower"/>
  </r>
  <r>
    <s v="CUST102256"/>
    <n v="25"/>
    <x v="3"/>
    <s v="Unknown"/>
    <s v="Bengaluru"/>
    <n v="1300000"/>
    <n v="42"/>
    <x v="0"/>
    <n v="7"/>
    <n v="700"/>
    <n v="33"/>
    <s v="Bronze"/>
    <m/>
    <s v="Lower"/>
  </r>
  <r>
    <s v="CUST102257"/>
    <n v="46"/>
    <x v="2"/>
    <m/>
    <m/>
    <n v="225000"/>
    <n v="62"/>
    <x v="0"/>
    <n v="9"/>
    <n v="10800"/>
    <n v="79"/>
    <s v="Silver"/>
    <s v="Website"/>
    <s v="Lower"/>
  </r>
  <r>
    <s v="CUST102258"/>
    <s v="NA"/>
    <x v="5"/>
    <m/>
    <m/>
    <n v="1500000"/>
    <n v="6"/>
    <x v="2"/>
    <n v="3"/>
    <n v="9800"/>
    <n v="35"/>
    <s v="Silver"/>
    <m/>
    <s v="Lower"/>
  </r>
  <r>
    <s v="CUST102259"/>
    <m/>
    <x v="5"/>
    <s v="Female"/>
    <s v="Ahmedabad"/>
    <n v="1775000"/>
    <n v="6"/>
    <x v="2"/>
    <n v="78"/>
    <n v="800"/>
    <n v="110"/>
    <s v="Platinum"/>
    <s v="Online"/>
    <s v="Higher"/>
  </r>
  <r>
    <s v="CUST102260"/>
    <s v="NA"/>
    <x v="5"/>
    <s v="Female"/>
    <s v="Hyderabad"/>
    <n v="1800000"/>
    <n v="63"/>
    <x v="0"/>
    <n v="17"/>
    <n v="1600"/>
    <n v="321"/>
    <s v="Silver"/>
    <s v="In-store"/>
    <s v="Higher"/>
  </r>
  <r>
    <s v="CUST102261"/>
    <n v="49"/>
    <x v="2"/>
    <s v="Male"/>
    <s v="Pune"/>
    <n v="300000"/>
    <n v="20"/>
    <x v="2"/>
    <n v="44"/>
    <n v="7200"/>
    <n v="63"/>
    <s v="Silver"/>
    <s v="In-store"/>
    <s v="Higher"/>
  </r>
  <r>
    <s v="CUST102262"/>
    <n v="68"/>
    <x v="1"/>
    <s v="Male"/>
    <m/>
    <n v="1500000"/>
    <n v="21"/>
    <x v="2"/>
    <n v="46"/>
    <n v="8000"/>
    <n v="328"/>
    <m/>
    <m/>
    <s v="Higher"/>
  </r>
  <r>
    <s v="CUST102263"/>
    <n v="61"/>
    <x v="0"/>
    <s v="Unknown"/>
    <s v="Mumbai"/>
    <n v="900000"/>
    <n v="2"/>
    <x v="2"/>
    <n v="58"/>
    <n v="1400"/>
    <n v="297"/>
    <m/>
    <s v="Mobile App"/>
    <s v="Lower"/>
  </r>
  <r>
    <s v="CUST102264"/>
    <n v="35"/>
    <x v="4"/>
    <s v="Male"/>
    <m/>
    <n v="1975000"/>
    <n v="90"/>
    <x v="3"/>
    <n v="28"/>
    <n v="6400"/>
    <n v="178"/>
    <s v="Platinum"/>
    <s v="Website"/>
    <s v="Higher"/>
  </r>
  <r>
    <s v="CUST102265"/>
    <n v="23"/>
    <x v="6"/>
    <s v="Female"/>
    <s v="Mumbai"/>
    <n v="600000"/>
    <n v="95"/>
    <x v="3"/>
    <n v="14"/>
    <n v="2900"/>
    <n v="364"/>
    <s v="Gold"/>
    <s v="Mobile App"/>
    <s v="Higher"/>
  </r>
  <r>
    <s v="CUST102266"/>
    <n v="35"/>
    <x v="4"/>
    <s v="Unknown"/>
    <s v="Chennai"/>
    <n v="825000"/>
    <n v="90"/>
    <x v="3"/>
    <n v="9"/>
    <n v="5600"/>
    <n v="232"/>
    <s v="Platinum"/>
    <m/>
    <s v="Lower"/>
  </r>
  <r>
    <s v="CUST102267"/>
    <n v="36"/>
    <x v="4"/>
    <s v="Male"/>
    <s v="Delhi"/>
    <n v="825000"/>
    <n v="56"/>
    <x v="0"/>
    <n v="26"/>
    <n v="9200"/>
    <n v="104"/>
    <s v="Platinum"/>
    <s v="Online"/>
    <s v="Higher"/>
  </r>
  <r>
    <s v="CUST102268"/>
    <n v="39"/>
    <x v="4"/>
    <m/>
    <s v="Kolkata"/>
    <n v="600000"/>
    <n v="96"/>
    <x v="3"/>
    <n v="2"/>
    <n v="1400"/>
    <n v="294"/>
    <s v="Bronze"/>
    <m/>
    <s v="Lower"/>
  </r>
  <r>
    <s v="CUST102269"/>
    <n v="54"/>
    <x v="2"/>
    <s v="Female"/>
    <s v="Delhi"/>
    <n v="625000"/>
    <n v="10"/>
    <x v="2"/>
    <n v="75"/>
    <n v="1000"/>
    <n v="35"/>
    <m/>
    <m/>
    <s v="Higher"/>
  </r>
  <r>
    <s v="CUST102270"/>
    <n v="49"/>
    <x v="2"/>
    <s v="Male"/>
    <m/>
    <n v="450000"/>
    <n v="87"/>
    <x v="3"/>
    <m/>
    <n v="7600"/>
    <n v="194"/>
    <s v="Silver"/>
    <m/>
    <s v="Higher"/>
  </r>
  <r>
    <s v="CUST102271"/>
    <n v="58"/>
    <x v="0"/>
    <m/>
    <s v="Delhi"/>
    <s v="unknown"/>
    <n v="70"/>
    <x v="3"/>
    <n v="34"/>
    <n v="1800"/>
    <n v="174"/>
    <s v="Bronze"/>
    <s v="Mobile App"/>
    <s v="Lower"/>
  </r>
  <r>
    <s v="CUST102272"/>
    <n v="20"/>
    <x v="6"/>
    <s v="Female"/>
    <s v="Hyderabad"/>
    <n v="1200000"/>
    <n v="23"/>
    <x v="2"/>
    <n v="19"/>
    <n v="5400"/>
    <n v="102"/>
    <m/>
    <s v="Mobile App"/>
    <s v="Higher"/>
  </r>
  <r>
    <s v="CUST102273"/>
    <n v="45"/>
    <x v="2"/>
    <m/>
    <s v="Chennai"/>
    <n v="400000"/>
    <n v="92"/>
    <x v="3"/>
    <n v="39"/>
    <n v="2800"/>
    <n v="324"/>
    <s v="Silver"/>
    <m/>
    <s v="Lower"/>
  </r>
  <r>
    <s v="CUST102274"/>
    <n v="27"/>
    <x v="3"/>
    <s v="Unknown"/>
    <s v="Ahmedabad"/>
    <n v="1325000"/>
    <n v="30"/>
    <x v="2"/>
    <n v="13"/>
    <n v="1000"/>
    <n v="293"/>
    <s v="Platinum"/>
    <s v="In-store"/>
    <s v="Lower"/>
  </r>
  <r>
    <s v="CUST102275"/>
    <n v="68"/>
    <x v="1"/>
    <s v="Female"/>
    <s v="Chennai"/>
    <n v="500000"/>
    <n v="78"/>
    <x v="3"/>
    <n v="5"/>
    <n v="10700"/>
    <n v="85"/>
    <s v="Silver"/>
    <s v="In-store"/>
    <s v="Higher"/>
  </r>
  <r>
    <s v="CUST102276"/>
    <n v="52"/>
    <x v="2"/>
    <s v="Male"/>
    <s v="Pune"/>
    <n v="550000"/>
    <n v="37"/>
    <x v="0"/>
    <n v="50"/>
    <n v="4700"/>
    <n v="201"/>
    <s v="Gold"/>
    <m/>
    <s v="Higher"/>
  </r>
  <r>
    <s v="CUST102277"/>
    <n v="46"/>
    <x v="2"/>
    <m/>
    <s v="Hyderabad"/>
    <n v="1475000"/>
    <n v="55"/>
    <x v="0"/>
    <n v="23"/>
    <n v="9500"/>
    <n v="173"/>
    <s v="Gold"/>
    <m/>
    <s v="Lower"/>
  </r>
  <r>
    <s v="CUST102278"/>
    <m/>
    <x v="5"/>
    <m/>
    <s v="Delhi"/>
    <n v="1375000"/>
    <n v="96"/>
    <x v="3"/>
    <n v="29"/>
    <n v="8600"/>
    <n v="29"/>
    <s v="Platinum"/>
    <s v="In-store"/>
    <s v="Lower"/>
  </r>
  <r>
    <s v="CUST102279"/>
    <n v="32"/>
    <x v="3"/>
    <s v="Male"/>
    <s v="Ahmedabad"/>
    <n v="825000"/>
    <n v="49"/>
    <x v="0"/>
    <n v="72"/>
    <n v="8300"/>
    <n v="297"/>
    <m/>
    <m/>
    <s v="Higher"/>
  </r>
  <r>
    <s v="CUST102280"/>
    <n v="50"/>
    <x v="2"/>
    <s v="Unknown"/>
    <s v="Delhi"/>
    <n v="225000"/>
    <n v="34"/>
    <x v="0"/>
    <n v="26"/>
    <n v="2100"/>
    <n v="56"/>
    <s v="Gold"/>
    <s v="In-store"/>
    <s v="Lower"/>
  </r>
  <r>
    <s v="CUST102281"/>
    <n v="24"/>
    <x v="6"/>
    <s v="Female"/>
    <m/>
    <n v="675000"/>
    <n v="44"/>
    <x v="0"/>
    <n v="79"/>
    <n v="1900"/>
    <n v="16"/>
    <s v="Platinum"/>
    <m/>
    <s v="Higher"/>
  </r>
  <r>
    <s v="CUST102282"/>
    <n v="29"/>
    <x v="3"/>
    <s v="Female"/>
    <m/>
    <n v="1100000"/>
    <n v="22"/>
    <x v="2"/>
    <n v="57"/>
    <n v="10500"/>
    <n v="140"/>
    <s v="Bronze"/>
    <s v="In-store"/>
    <s v="Higher"/>
  </r>
  <r>
    <s v="CUST102283"/>
    <n v="66"/>
    <x v="1"/>
    <s v="Female"/>
    <s v="Bengaluru"/>
    <n v="975000"/>
    <n v="31"/>
    <x v="2"/>
    <n v="1"/>
    <n v="6700"/>
    <n v="66"/>
    <m/>
    <m/>
    <s v="Higher"/>
  </r>
  <r>
    <s v="CUST102284"/>
    <n v="47"/>
    <x v="2"/>
    <s v="Unknown"/>
    <s v="Chennai"/>
    <n v="1225000"/>
    <n v="7"/>
    <x v="2"/>
    <n v="28"/>
    <n v="11800"/>
    <n v="147"/>
    <s v="Gold"/>
    <s v="Mobile App"/>
    <s v="Lower"/>
  </r>
  <r>
    <s v="CUST102285"/>
    <n v="38"/>
    <x v="4"/>
    <s v="Unknown"/>
    <s v="Ahmedabad"/>
    <n v="1175000"/>
    <n v="21"/>
    <x v="2"/>
    <n v="62"/>
    <n v="3100"/>
    <n v="158"/>
    <s v="Platinum"/>
    <s v="Mobile App"/>
    <s v="Lower"/>
  </r>
  <r>
    <s v="CUST102286"/>
    <n v="48"/>
    <x v="2"/>
    <m/>
    <m/>
    <n v="1125000"/>
    <n v="16"/>
    <x v="2"/>
    <n v="47"/>
    <n v="1600"/>
    <n v="69"/>
    <s v="Platinum"/>
    <m/>
    <s v="Lower"/>
  </r>
  <r>
    <s v="CUST102287"/>
    <n v="41"/>
    <x v="4"/>
    <m/>
    <s v="Bengaluru"/>
    <n v="425000"/>
    <n v="20"/>
    <x v="2"/>
    <n v="78"/>
    <n v="1900"/>
    <n v="23"/>
    <s v="Bronze"/>
    <s v="In-store"/>
    <s v="Lower"/>
  </r>
  <r>
    <s v="CUST102288"/>
    <n v="37"/>
    <x v="4"/>
    <s v="Female"/>
    <s v="Hyderabad"/>
    <n v="175000"/>
    <n v="43"/>
    <x v="0"/>
    <n v="59"/>
    <n v="1500"/>
    <n v="190"/>
    <s v="Bronze"/>
    <m/>
    <s v="Higher"/>
  </r>
  <r>
    <s v="CUST102289"/>
    <n v="54"/>
    <x v="2"/>
    <s v="Female"/>
    <s v="Ahmedabad"/>
    <n v="825000"/>
    <n v="44"/>
    <x v="0"/>
    <n v="31"/>
    <n v="9500"/>
    <n v="248"/>
    <m/>
    <m/>
    <s v="Higher"/>
  </r>
  <r>
    <s v="CUST102290"/>
    <n v="21"/>
    <x v="6"/>
    <s v="Female"/>
    <s v="Bengaluru"/>
    <n v="1975000"/>
    <n v="47"/>
    <x v="0"/>
    <n v="70"/>
    <n v="10000"/>
    <n v="309"/>
    <m/>
    <s v="Mobile App"/>
    <s v="Higher"/>
  </r>
  <r>
    <s v="CUST102291"/>
    <n v="45"/>
    <x v="2"/>
    <s v="Unknown"/>
    <s v="Kolkata"/>
    <n v="1800000"/>
    <n v="19"/>
    <x v="2"/>
    <n v="49"/>
    <n v="9300"/>
    <n v="145"/>
    <s v="Gold"/>
    <s v="Online"/>
    <s v="Lower"/>
  </r>
  <r>
    <s v="CUST102292"/>
    <n v="61"/>
    <x v="0"/>
    <s v="Unknown"/>
    <s v="Ahmedabad"/>
    <n v="1900000"/>
    <n v="48"/>
    <x v="0"/>
    <n v="5"/>
    <n v="6500"/>
    <n v="305"/>
    <s v="Platinum"/>
    <s v="In-store"/>
    <s v="Lower"/>
  </r>
  <r>
    <s v="CUST102293"/>
    <n v="37"/>
    <x v="4"/>
    <s v="Male"/>
    <m/>
    <n v="1925000"/>
    <n v="96"/>
    <x v="3"/>
    <n v="31"/>
    <n v="11200"/>
    <n v="177"/>
    <m/>
    <s v="Online"/>
    <s v="Higher"/>
  </r>
  <r>
    <s v="CUST102294"/>
    <n v="41"/>
    <x v="4"/>
    <m/>
    <s v="Bengaluru"/>
    <m/>
    <n v="79"/>
    <x v="3"/>
    <n v="37"/>
    <n v="3500"/>
    <n v="195"/>
    <m/>
    <s v="Online"/>
    <s v="Lower"/>
  </r>
  <r>
    <s v="CUST102295"/>
    <n v="67"/>
    <x v="1"/>
    <s v="Male"/>
    <s v="Delhi"/>
    <n v="375000"/>
    <n v="69"/>
    <x v="3"/>
    <n v="79"/>
    <n v="3100"/>
    <n v="13"/>
    <s v="Bronze"/>
    <s v="Website"/>
    <s v="Higher"/>
  </r>
  <r>
    <s v="CUST102296"/>
    <n v="66"/>
    <x v="1"/>
    <s v="Male"/>
    <m/>
    <n v="1550000"/>
    <n v="11"/>
    <x v="2"/>
    <n v="15"/>
    <n v="3900"/>
    <n v="364"/>
    <s v="Platinum"/>
    <s v="Online"/>
    <s v="Higher"/>
  </r>
  <r>
    <s v="CUST102297"/>
    <n v="68"/>
    <x v="1"/>
    <s v="Unknown"/>
    <s v="Kolkata"/>
    <n v="1050000"/>
    <n v="79"/>
    <x v="3"/>
    <n v="52"/>
    <n v="10500"/>
    <n v="166"/>
    <s v="Silver"/>
    <s v="Online"/>
    <s v="Lower"/>
  </r>
  <r>
    <s v="CUST102298"/>
    <n v="49"/>
    <x v="2"/>
    <s v="Male"/>
    <m/>
    <s v="unknown"/>
    <n v="29"/>
    <x v="2"/>
    <n v="69"/>
    <n v="8500"/>
    <n v="150"/>
    <m/>
    <m/>
    <s v="Higher"/>
  </r>
  <r>
    <s v="CUST102299"/>
    <n v="58"/>
    <x v="0"/>
    <s v="Female"/>
    <s v="Mumbai"/>
    <n v="1725000"/>
    <n v="45"/>
    <x v="0"/>
    <n v="11"/>
    <n v="4800"/>
    <n v="341"/>
    <m/>
    <s v="Website"/>
    <s v="Higher"/>
  </r>
  <r>
    <s v="CUST102300"/>
    <n v="53"/>
    <x v="2"/>
    <m/>
    <s v="Bengaluru"/>
    <n v="1125000"/>
    <n v="68"/>
    <x v="3"/>
    <n v="43"/>
    <n v="2600"/>
    <n v="45"/>
    <s v="Bronze"/>
    <s v="Website"/>
    <s v="Lower"/>
  </r>
  <r>
    <s v="CUST102301"/>
    <m/>
    <x v="5"/>
    <m/>
    <s v="Hyderabad"/>
    <n v="1625000"/>
    <n v="36"/>
    <x v="0"/>
    <n v="70"/>
    <n v="1600"/>
    <n v="174"/>
    <s v="Platinum"/>
    <s v="Website"/>
    <s v="Lower"/>
  </r>
  <r>
    <s v="CUST102302"/>
    <n v="51"/>
    <x v="2"/>
    <s v="Female"/>
    <s v="Bengaluru"/>
    <n v="1325000"/>
    <n v="48"/>
    <x v="0"/>
    <n v="23"/>
    <n v="11300"/>
    <n v="167"/>
    <m/>
    <m/>
    <s v="Higher"/>
  </r>
  <r>
    <s v="CUST102303"/>
    <n v="53"/>
    <x v="2"/>
    <s v="Female"/>
    <s v="Mumbai"/>
    <n v="600000"/>
    <n v="87"/>
    <x v="3"/>
    <n v="40"/>
    <n v="10300"/>
    <n v="197"/>
    <m/>
    <s v="Website"/>
    <s v="Higher"/>
  </r>
  <r>
    <s v="CUST102304"/>
    <n v="19"/>
    <x v="6"/>
    <s v="Female"/>
    <s v="Kolkata"/>
    <n v="1925000"/>
    <n v="15"/>
    <x v="2"/>
    <n v="63"/>
    <n v="700"/>
    <n v="206"/>
    <m/>
    <m/>
    <s v="Higher"/>
  </r>
  <r>
    <s v="CUST102305"/>
    <n v="32"/>
    <x v="3"/>
    <s v="Male"/>
    <s v="Kolkata"/>
    <n v="950000"/>
    <n v="44"/>
    <x v="0"/>
    <n v="2"/>
    <n v="5500"/>
    <n v="82"/>
    <s v="Gold"/>
    <m/>
    <s v="Higher"/>
  </r>
  <r>
    <s v="CUST102306"/>
    <n v="51"/>
    <x v="2"/>
    <m/>
    <m/>
    <n v="1225000"/>
    <n v="67"/>
    <x v="3"/>
    <n v="79"/>
    <n v="9000"/>
    <n v="68"/>
    <s v="Silver"/>
    <s v="In-store"/>
    <s v="Lower"/>
  </r>
  <r>
    <s v="CUST102307"/>
    <n v="53"/>
    <x v="2"/>
    <s v="Male"/>
    <s v="Ahmedabad"/>
    <n v="1050000"/>
    <n v="96"/>
    <x v="3"/>
    <n v="73"/>
    <n v="10000"/>
    <n v="97"/>
    <s v="Bronze"/>
    <m/>
    <s v="Higher"/>
  </r>
  <r>
    <s v="CUST102308"/>
    <n v="23"/>
    <x v="6"/>
    <s v="Female"/>
    <s v="Hyderabad"/>
    <n v="1025000"/>
    <n v="74"/>
    <x v="3"/>
    <n v="47"/>
    <n v="11600"/>
    <n v="167"/>
    <m/>
    <s v="In-store"/>
    <s v="Higher"/>
  </r>
  <r>
    <s v="CUST102309"/>
    <n v="56"/>
    <x v="0"/>
    <s v="Female"/>
    <m/>
    <n v="650000"/>
    <n v="40"/>
    <x v="0"/>
    <n v="30"/>
    <n v="9700"/>
    <n v="77"/>
    <s v="Gold"/>
    <s v="Website"/>
    <s v="Higher"/>
  </r>
  <r>
    <s v="CUST102310"/>
    <n v="59"/>
    <x v="0"/>
    <s v="Female"/>
    <s v="Hyderabad"/>
    <n v="175000"/>
    <m/>
    <x v="1"/>
    <n v="16"/>
    <n v="3200"/>
    <n v="237"/>
    <s v="Gold"/>
    <s v="Website"/>
    <s v="Higher"/>
  </r>
  <r>
    <s v="CUST102311"/>
    <n v="68"/>
    <x v="1"/>
    <s v="Female"/>
    <s v="Hyderabad"/>
    <n v="900000"/>
    <n v="86"/>
    <x v="3"/>
    <n v="59"/>
    <n v="6200"/>
    <n v="196"/>
    <s v="Silver"/>
    <s v="In-store"/>
    <s v="Higher"/>
  </r>
  <r>
    <s v="CUST102312"/>
    <n v="68"/>
    <x v="1"/>
    <s v="Male"/>
    <s v="Mumbai"/>
    <n v="875000"/>
    <n v="14"/>
    <x v="2"/>
    <n v="47"/>
    <n v="7500"/>
    <n v="291"/>
    <s v="Bronze"/>
    <s v="Mobile App"/>
    <s v="Higher"/>
  </r>
  <r>
    <s v="CUST102313"/>
    <m/>
    <x v="5"/>
    <s v="Female"/>
    <m/>
    <m/>
    <n v="63"/>
    <x v="0"/>
    <n v="30"/>
    <n v="9300"/>
    <n v="136"/>
    <s v="Bronze"/>
    <m/>
    <s v="Higher"/>
  </r>
  <r>
    <s v="CUST102314"/>
    <n v="29"/>
    <x v="3"/>
    <m/>
    <s v="Hyderabad"/>
    <n v="1225000"/>
    <n v="81"/>
    <x v="3"/>
    <n v="9"/>
    <n v="3000"/>
    <n v="308"/>
    <m/>
    <m/>
    <s v="Lower"/>
  </r>
  <r>
    <s v="CUST102315"/>
    <n v="20"/>
    <x v="6"/>
    <s v="Female"/>
    <s v="Pune"/>
    <n v="425000"/>
    <n v="85"/>
    <x v="3"/>
    <n v="65"/>
    <n v="10800"/>
    <n v="296"/>
    <s v="Bronze"/>
    <m/>
    <s v="Higher"/>
  </r>
  <r>
    <s v="CUST102316"/>
    <n v="62"/>
    <x v="0"/>
    <m/>
    <s v="Mumbai"/>
    <n v="1400000"/>
    <n v="51"/>
    <x v="0"/>
    <n v="59"/>
    <n v="2800"/>
    <n v="36"/>
    <s v="Gold"/>
    <m/>
    <s v="Lower"/>
  </r>
  <r>
    <s v="CUST102317"/>
    <n v="35"/>
    <x v="4"/>
    <s v="Male"/>
    <s v="Kolkata"/>
    <n v="1350000"/>
    <n v="79"/>
    <x v="3"/>
    <n v="64"/>
    <n v="2000"/>
    <n v="248"/>
    <m/>
    <s v="Online"/>
    <s v="Higher"/>
  </r>
  <r>
    <s v="CUST102318"/>
    <n v="57"/>
    <x v="0"/>
    <m/>
    <s v="Mumbai"/>
    <n v="725000"/>
    <n v="58"/>
    <x v="0"/>
    <n v="8"/>
    <n v="3800"/>
    <n v="254"/>
    <s v="Bronze"/>
    <s v="Website"/>
    <s v="Lower"/>
  </r>
  <r>
    <s v="CUST102319"/>
    <n v="38"/>
    <x v="4"/>
    <m/>
    <s v="Delhi"/>
    <n v="725000"/>
    <n v="15"/>
    <x v="2"/>
    <n v="52"/>
    <n v="1000"/>
    <n v="214"/>
    <s v="Silver"/>
    <m/>
    <s v="Lower"/>
  </r>
  <r>
    <s v="CUST102320"/>
    <n v="32"/>
    <x v="3"/>
    <s v="Male"/>
    <s v="Delhi"/>
    <n v="1625000"/>
    <n v="65"/>
    <x v="0"/>
    <n v="18"/>
    <n v="2000"/>
    <n v="252"/>
    <s v="Gold"/>
    <m/>
    <s v="Higher"/>
  </r>
  <r>
    <s v="CUST102321"/>
    <n v="50"/>
    <x v="2"/>
    <m/>
    <s v="Hyderabad"/>
    <n v="400000"/>
    <n v="88"/>
    <x v="3"/>
    <n v="58"/>
    <n v="8600"/>
    <n v="70"/>
    <s v="Platinum"/>
    <m/>
    <s v="Lower"/>
  </r>
  <r>
    <s v="CUST102322"/>
    <n v="52"/>
    <x v="2"/>
    <s v="Male"/>
    <m/>
    <n v="450000"/>
    <n v="55"/>
    <x v="0"/>
    <n v="49"/>
    <n v="6000"/>
    <n v="234"/>
    <s v="Silver"/>
    <m/>
    <s v="Higher"/>
  </r>
  <r>
    <s v="CUST102323"/>
    <n v="43"/>
    <x v="4"/>
    <m/>
    <s v="Kolkata"/>
    <n v="1925000"/>
    <n v="76"/>
    <x v="3"/>
    <n v="32"/>
    <n v="3400"/>
    <n v="329"/>
    <s v="Silver"/>
    <s v="Website"/>
    <s v="Lower"/>
  </r>
  <r>
    <s v="CUST102324"/>
    <n v="25"/>
    <x v="3"/>
    <s v="Male"/>
    <s v="Mumbai"/>
    <n v="1975000"/>
    <n v="10"/>
    <x v="2"/>
    <n v="48"/>
    <n v="9500"/>
    <n v="16"/>
    <s v="Bronze"/>
    <m/>
    <s v="Higher"/>
  </r>
  <r>
    <s v="CUST102325"/>
    <n v="53"/>
    <x v="2"/>
    <m/>
    <m/>
    <n v="1925000"/>
    <n v="42"/>
    <x v="0"/>
    <n v="45"/>
    <n v="5100"/>
    <n v="174"/>
    <m/>
    <s v="In-store"/>
    <s v="Lower"/>
  </r>
  <r>
    <s v="CUST102326"/>
    <n v="65"/>
    <x v="0"/>
    <s v="Unknown"/>
    <s v="Mumbai"/>
    <n v="1725000"/>
    <n v="95"/>
    <x v="3"/>
    <n v="54"/>
    <n v="5000"/>
    <n v="187"/>
    <m/>
    <s v="Website"/>
    <s v="Lower"/>
  </r>
  <r>
    <s v="CUST102327"/>
    <n v="47"/>
    <x v="2"/>
    <s v="Male"/>
    <s v="Mumbai"/>
    <n v="625000"/>
    <n v="11"/>
    <x v="2"/>
    <n v="46"/>
    <n v="8400"/>
    <n v="294"/>
    <s v="Gold"/>
    <m/>
    <s v="Higher"/>
  </r>
  <r>
    <s v="CUST102328"/>
    <n v="40"/>
    <x v="4"/>
    <m/>
    <s v="Pune"/>
    <n v="1925000"/>
    <n v="16"/>
    <x v="2"/>
    <n v="31"/>
    <n v="7300"/>
    <n v="225"/>
    <s v="Bronze"/>
    <s v="Mobile App"/>
    <s v="Lower"/>
  </r>
  <r>
    <s v="CUST102329"/>
    <n v="59"/>
    <x v="0"/>
    <s v="Unknown"/>
    <s v="Delhi"/>
    <n v="1950000"/>
    <n v="73"/>
    <x v="3"/>
    <n v="37"/>
    <n v="6700"/>
    <n v="274"/>
    <m/>
    <m/>
    <s v="Lower"/>
  </r>
  <r>
    <s v="CUST102330"/>
    <n v="61"/>
    <x v="0"/>
    <s v="Female"/>
    <s v="Mumbai"/>
    <n v="1900000"/>
    <n v="78"/>
    <x v="3"/>
    <n v="16"/>
    <n v="9400"/>
    <n v="12"/>
    <m/>
    <s v="In-store"/>
    <s v="Higher"/>
  </r>
  <r>
    <s v="CUST102331"/>
    <n v="31"/>
    <x v="3"/>
    <s v="Unknown"/>
    <s v="Pune"/>
    <n v="825000"/>
    <n v="19"/>
    <x v="2"/>
    <n v="46"/>
    <n v="3500"/>
    <n v="310"/>
    <s v="Platinum"/>
    <s v="Website"/>
    <s v="Lower"/>
  </r>
  <r>
    <s v="CUST102332"/>
    <n v="31"/>
    <x v="3"/>
    <s v="Female"/>
    <s v="Delhi"/>
    <n v="175000"/>
    <n v="31"/>
    <x v="2"/>
    <n v="46"/>
    <n v="5200"/>
    <n v="219"/>
    <m/>
    <s v="Online"/>
    <s v="Higher"/>
  </r>
  <r>
    <s v="CUST102333"/>
    <n v="19"/>
    <x v="6"/>
    <m/>
    <s v="Pune"/>
    <n v="1200000"/>
    <n v="73"/>
    <x v="3"/>
    <n v="78"/>
    <n v="600"/>
    <n v="1"/>
    <s v="Bronze"/>
    <s v="Website"/>
    <s v="Lower"/>
  </r>
  <r>
    <s v="CUST102334"/>
    <s v="NA"/>
    <x v="5"/>
    <s v="Unknown"/>
    <m/>
    <n v="325000"/>
    <n v="100"/>
    <x v="3"/>
    <n v="61"/>
    <m/>
    <n v="111"/>
    <s v="Bronze"/>
    <m/>
    <s v="Lower"/>
  </r>
  <r>
    <s v="CUST102335"/>
    <n v="54"/>
    <x v="2"/>
    <s v="Male"/>
    <s v="Ahmedabad"/>
    <n v="450000"/>
    <n v="53"/>
    <x v="0"/>
    <n v="46"/>
    <n v="8600"/>
    <n v="277"/>
    <m/>
    <m/>
    <s v="Higher"/>
  </r>
  <r>
    <s v="CUST102336"/>
    <n v="22"/>
    <x v="6"/>
    <s v="Female"/>
    <s v="Delhi"/>
    <n v="1000000"/>
    <n v="90"/>
    <x v="3"/>
    <n v="51"/>
    <n v="11900"/>
    <n v="129"/>
    <s v="Silver"/>
    <s v="Online"/>
    <s v="Higher"/>
  </r>
  <r>
    <s v="CUST102337"/>
    <n v="55"/>
    <x v="0"/>
    <m/>
    <m/>
    <n v="700000"/>
    <n v="8"/>
    <x v="2"/>
    <n v="62"/>
    <n v="11800"/>
    <n v="93"/>
    <s v="Bronze"/>
    <s v="In-store"/>
    <s v="Lower"/>
  </r>
  <r>
    <s v="CUST102338"/>
    <n v="62"/>
    <x v="0"/>
    <m/>
    <s v="Ahmedabad"/>
    <n v="1275000"/>
    <n v="24"/>
    <x v="2"/>
    <n v="35"/>
    <n v="3800"/>
    <n v="39"/>
    <s v="Silver"/>
    <m/>
    <s v="Lower"/>
  </r>
  <r>
    <s v="CUST102339"/>
    <n v="58"/>
    <x v="0"/>
    <s v="Female"/>
    <m/>
    <n v="500000"/>
    <n v="8"/>
    <x v="2"/>
    <m/>
    <n v="9700"/>
    <n v="316"/>
    <s v="Gold"/>
    <s v="In-store"/>
    <s v="Higher"/>
  </r>
  <r>
    <s v="CUST102340"/>
    <m/>
    <x v="5"/>
    <m/>
    <s v="Mumbai"/>
    <n v="175000"/>
    <n v="83"/>
    <x v="3"/>
    <n v="42"/>
    <n v="10400"/>
    <n v="159"/>
    <s v="Gold"/>
    <s v="In-store"/>
    <s v="Lower"/>
  </r>
  <r>
    <s v="CUST102341"/>
    <n v="64"/>
    <x v="0"/>
    <s v="Unknown"/>
    <s v="Kolkata"/>
    <n v="1650000"/>
    <n v="48"/>
    <x v="0"/>
    <n v="45"/>
    <n v="3000"/>
    <n v="186"/>
    <m/>
    <s v="Website"/>
    <s v="Lower"/>
  </r>
  <r>
    <s v="CUST102342"/>
    <n v="31"/>
    <x v="3"/>
    <m/>
    <m/>
    <m/>
    <n v="30"/>
    <x v="2"/>
    <n v="68"/>
    <n v="500"/>
    <n v="353"/>
    <s v="Gold"/>
    <s v="In-store"/>
    <s v="Lower"/>
  </r>
  <r>
    <s v="CUST102343"/>
    <n v="56"/>
    <x v="0"/>
    <m/>
    <s v="Pune"/>
    <n v="1725000"/>
    <n v="58"/>
    <x v="0"/>
    <n v="75"/>
    <n v="800"/>
    <n v="256"/>
    <m/>
    <m/>
    <s v="Lower"/>
  </r>
  <r>
    <s v="CUST102344"/>
    <n v="42"/>
    <x v="4"/>
    <s v="Female"/>
    <s v="Pune"/>
    <n v="1425000"/>
    <n v="86"/>
    <x v="3"/>
    <n v="47"/>
    <n v="4700"/>
    <n v="239"/>
    <m/>
    <m/>
    <s v="Higher"/>
  </r>
  <r>
    <s v="CUST102345"/>
    <n v="37"/>
    <x v="4"/>
    <m/>
    <s v="Pune"/>
    <n v="1025000"/>
    <n v="55"/>
    <x v="0"/>
    <n v="79"/>
    <n v="2500"/>
    <n v="104"/>
    <m/>
    <m/>
    <s v="Lower"/>
  </r>
  <r>
    <s v="CUST102346"/>
    <n v="19"/>
    <x v="6"/>
    <m/>
    <s v="Pune"/>
    <n v="1800000"/>
    <n v="73"/>
    <x v="3"/>
    <n v="30"/>
    <n v="900"/>
    <m/>
    <m/>
    <s v="Mobile App"/>
    <s v="Lower"/>
  </r>
  <r>
    <s v="CUST102347"/>
    <n v="56"/>
    <x v="0"/>
    <m/>
    <m/>
    <n v="1850000"/>
    <n v="62"/>
    <x v="0"/>
    <n v="24"/>
    <n v="6300"/>
    <n v="29"/>
    <m/>
    <s v="In-store"/>
    <s v="Lower"/>
  </r>
  <r>
    <s v="CUST102348"/>
    <n v="23"/>
    <x v="6"/>
    <s v="Female"/>
    <s v="Kolkata"/>
    <n v="1800000"/>
    <n v="48"/>
    <x v="0"/>
    <n v="66"/>
    <n v="10200"/>
    <n v="89"/>
    <m/>
    <s v="Mobile App"/>
    <s v="Higher"/>
  </r>
  <r>
    <s v="CUST102349"/>
    <n v="34"/>
    <x v="3"/>
    <s v="Female"/>
    <s v="Bengaluru"/>
    <n v="1300000"/>
    <n v="4"/>
    <x v="2"/>
    <n v="43"/>
    <n v="6700"/>
    <n v="51"/>
    <s v="Silver"/>
    <s v="Website"/>
    <s v="Higher"/>
  </r>
  <r>
    <s v="CUST102350"/>
    <n v="42"/>
    <x v="4"/>
    <s v="Unknown"/>
    <s v="Pune"/>
    <n v="175000"/>
    <n v="37"/>
    <x v="0"/>
    <n v="34"/>
    <n v="800"/>
    <n v="364"/>
    <m/>
    <s v="Mobile App"/>
    <s v="Lower"/>
  </r>
  <r>
    <s v="CUST102351"/>
    <n v="45"/>
    <x v="2"/>
    <s v="Female"/>
    <s v="Bengaluru"/>
    <n v="1225000"/>
    <n v="8"/>
    <x v="2"/>
    <n v="23"/>
    <n v="2600"/>
    <n v="147"/>
    <s v="Silver"/>
    <s v="In-store"/>
    <s v="Higher"/>
  </r>
  <r>
    <s v="CUST102352"/>
    <n v="19"/>
    <x v="6"/>
    <s v="Female"/>
    <s v="Kolkata"/>
    <n v="1725000"/>
    <n v="1"/>
    <x v="2"/>
    <n v="61"/>
    <n v="3900"/>
    <n v="314"/>
    <s v="Gold"/>
    <m/>
    <s v="Higher"/>
  </r>
  <r>
    <s v="CUST102353"/>
    <n v="52"/>
    <x v="2"/>
    <s v="Male"/>
    <s v="Kolkata"/>
    <n v="825000"/>
    <n v="92"/>
    <x v="3"/>
    <n v="37"/>
    <n v="4700"/>
    <n v="36"/>
    <s v="Silver"/>
    <s v="Website"/>
    <s v="Higher"/>
  </r>
  <r>
    <s v="CUST102354"/>
    <n v="54"/>
    <x v="2"/>
    <s v="Female"/>
    <s v="Ahmedabad"/>
    <n v="1475000"/>
    <n v="70"/>
    <x v="3"/>
    <n v="13"/>
    <n v="5300"/>
    <n v="284"/>
    <s v="Bronze"/>
    <s v="In-store"/>
    <s v="Higher"/>
  </r>
  <r>
    <s v="CUST102355"/>
    <n v="22"/>
    <x v="6"/>
    <s v="Male"/>
    <s v="Delhi"/>
    <n v="1975000"/>
    <n v="47"/>
    <x v="0"/>
    <n v="71"/>
    <n v="10200"/>
    <n v="101"/>
    <s v="Platinum"/>
    <s v="Website"/>
    <s v="Higher"/>
  </r>
  <r>
    <s v="CUST102356"/>
    <n v="18"/>
    <x v="6"/>
    <s v="Unknown"/>
    <m/>
    <n v="1800000"/>
    <n v="100"/>
    <x v="3"/>
    <n v="7"/>
    <n v="9000"/>
    <n v="107"/>
    <s v="Bronze"/>
    <s v="Online"/>
    <s v="Lower"/>
  </r>
  <r>
    <s v="CUST102357"/>
    <n v="57"/>
    <x v="0"/>
    <m/>
    <s v="Hyderabad"/>
    <n v="1025000"/>
    <n v="75"/>
    <x v="3"/>
    <n v="42"/>
    <n v="10400"/>
    <n v="345"/>
    <s v="Bronze"/>
    <s v="In-store"/>
    <s v="Lower"/>
  </r>
  <r>
    <s v="CUST102358"/>
    <n v="29"/>
    <x v="3"/>
    <m/>
    <m/>
    <n v="1700000"/>
    <n v="5"/>
    <x v="2"/>
    <n v="38"/>
    <n v="4700"/>
    <n v="291"/>
    <m/>
    <s v="Online"/>
    <s v="Lower"/>
  </r>
  <r>
    <s v="CUST102359"/>
    <n v="53"/>
    <x v="2"/>
    <m/>
    <m/>
    <n v="750000"/>
    <n v="50"/>
    <x v="0"/>
    <n v="52"/>
    <n v="6500"/>
    <n v="349"/>
    <s v="Platinum"/>
    <s v="Mobile App"/>
    <s v="Lower"/>
  </r>
  <r>
    <s v="CUST102360"/>
    <n v="62"/>
    <x v="0"/>
    <s v="Unknown"/>
    <s v="Hyderabad"/>
    <n v="1325000"/>
    <n v="24"/>
    <x v="2"/>
    <n v="44"/>
    <n v="3100"/>
    <n v="105"/>
    <m/>
    <s v="In-store"/>
    <s v="Lower"/>
  </r>
  <r>
    <s v="CUST102361"/>
    <n v="40"/>
    <x v="4"/>
    <s v="Unknown"/>
    <s v="Kolkata"/>
    <n v="1100000"/>
    <n v="47"/>
    <x v="0"/>
    <n v="64"/>
    <n v="10300"/>
    <n v="221"/>
    <s v="Silver"/>
    <s v="Online"/>
    <s v="Lower"/>
  </r>
  <r>
    <s v="CUST102362"/>
    <n v="64"/>
    <x v="0"/>
    <s v="Male"/>
    <m/>
    <n v="1300000"/>
    <n v="18"/>
    <x v="2"/>
    <n v="13"/>
    <n v="11100"/>
    <n v="76"/>
    <m/>
    <m/>
    <s v="Higher"/>
  </r>
  <r>
    <s v="CUST102363"/>
    <n v="48"/>
    <x v="2"/>
    <m/>
    <s v="Chennai"/>
    <n v="650000"/>
    <n v="84"/>
    <x v="3"/>
    <n v="28"/>
    <n v="9800"/>
    <n v="227"/>
    <s v="Silver"/>
    <m/>
    <s v="Lower"/>
  </r>
  <r>
    <s v="CUST102364"/>
    <n v="28"/>
    <x v="3"/>
    <s v="Unknown"/>
    <s v="Delhi"/>
    <n v="875000"/>
    <n v="28"/>
    <x v="2"/>
    <n v="1"/>
    <n v="2700"/>
    <n v="84"/>
    <s v="Platinum"/>
    <s v="Mobile App"/>
    <s v="Lower"/>
  </r>
  <r>
    <s v="CUST102365"/>
    <n v="27"/>
    <x v="3"/>
    <s v="Female"/>
    <m/>
    <n v="900000"/>
    <n v="77"/>
    <x v="3"/>
    <n v="43"/>
    <n v="1200"/>
    <n v="76"/>
    <s v="Gold"/>
    <s v="In-store"/>
    <s v="Higher"/>
  </r>
  <r>
    <s v="CUST102366"/>
    <n v="20"/>
    <x v="6"/>
    <m/>
    <s v="Delhi"/>
    <n v="775000"/>
    <n v="5"/>
    <x v="2"/>
    <n v="42"/>
    <n v="3700"/>
    <n v="249"/>
    <s v="Silver"/>
    <s v="In-store"/>
    <s v="Lower"/>
  </r>
  <r>
    <s v="CUST102367"/>
    <m/>
    <x v="5"/>
    <s v="Female"/>
    <s v="Bengaluru"/>
    <n v="675000"/>
    <n v="30"/>
    <x v="2"/>
    <n v="50"/>
    <n v="5700"/>
    <n v="255"/>
    <s v="Bronze"/>
    <m/>
    <s v="Higher"/>
  </r>
  <r>
    <s v="CUST102368"/>
    <n v="31"/>
    <x v="3"/>
    <m/>
    <m/>
    <n v="650000"/>
    <n v="1"/>
    <x v="2"/>
    <n v="60"/>
    <n v="2700"/>
    <n v="50"/>
    <s v="Platinum"/>
    <m/>
    <s v="Lower"/>
  </r>
  <r>
    <s v="CUST102369"/>
    <n v="33"/>
    <x v="3"/>
    <s v="Male"/>
    <s v="Delhi"/>
    <n v="150000"/>
    <n v="86"/>
    <x v="3"/>
    <n v="1"/>
    <n v="9300"/>
    <n v="356"/>
    <s v="Platinum"/>
    <s v="Online"/>
    <s v="Higher"/>
  </r>
  <r>
    <s v="CUST102370"/>
    <n v="27"/>
    <x v="3"/>
    <m/>
    <s v="Bengaluru"/>
    <n v="1050000"/>
    <n v="82"/>
    <x v="3"/>
    <n v="51"/>
    <n v="4700"/>
    <n v="210"/>
    <s v="Silver"/>
    <s v="Online"/>
    <s v="Lower"/>
  </r>
  <r>
    <s v="CUST102371"/>
    <n v="46"/>
    <x v="2"/>
    <s v="Male"/>
    <s v="Pune"/>
    <s v="unknown"/>
    <n v="46"/>
    <x v="0"/>
    <n v="16"/>
    <n v="9800"/>
    <n v="158"/>
    <s v="Silver"/>
    <s v="Online"/>
    <s v="Higher"/>
  </r>
  <r>
    <s v="CUST102372"/>
    <n v="27"/>
    <x v="3"/>
    <m/>
    <s v="Bengaluru"/>
    <n v="1275000"/>
    <n v="69"/>
    <x v="3"/>
    <n v="39"/>
    <n v="1400"/>
    <n v="328"/>
    <m/>
    <s v="Website"/>
    <s v="Lower"/>
  </r>
  <r>
    <s v="CUST102373"/>
    <n v="29"/>
    <x v="3"/>
    <s v="Unknown"/>
    <m/>
    <n v="350000"/>
    <n v="31"/>
    <x v="2"/>
    <n v="15"/>
    <n v="600"/>
    <n v="233"/>
    <m/>
    <s v="Mobile App"/>
    <s v="Lower"/>
  </r>
  <r>
    <s v="CUST102374"/>
    <n v="47"/>
    <x v="2"/>
    <m/>
    <s v="Ahmedabad"/>
    <n v="550000"/>
    <n v="70"/>
    <x v="3"/>
    <n v="33"/>
    <n v="10800"/>
    <n v="77"/>
    <s v="Bronze"/>
    <s v="In-store"/>
    <s v="Lower"/>
  </r>
  <r>
    <s v="CUST102375"/>
    <n v="58"/>
    <x v="0"/>
    <s v="Unknown"/>
    <s v="Pune"/>
    <n v="1300000"/>
    <n v="91"/>
    <x v="3"/>
    <n v="53"/>
    <n v="9200"/>
    <n v="223"/>
    <s v="Platinum"/>
    <s v="Mobile App"/>
    <s v="Lower"/>
  </r>
  <r>
    <s v="CUST102376"/>
    <n v="18"/>
    <x v="6"/>
    <m/>
    <s v="Kolkata"/>
    <n v="1600000"/>
    <n v="56"/>
    <x v="0"/>
    <n v="17"/>
    <n v="6900"/>
    <n v="121"/>
    <s v="Gold"/>
    <m/>
    <s v="Lower"/>
  </r>
  <r>
    <s v="CUST102377"/>
    <n v="22"/>
    <x v="6"/>
    <s v="Female"/>
    <s v="Mumbai"/>
    <n v="1475000"/>
    <n v="89"/>
    <x v="3"/>
    <n v="6"/>
    <n v="1900"/>
    <n v="310"/>
    <s v="Gold"/>
    <m/>
    <s v="Higher"/>
  </r>
  <r>
    <s v="CUST102378"/>
    <n v="37"/>
    <x v="4"/>
    <s v="Female"/>
    <s v="Bengaluru"/>
    <n v="425000"/>
    <n v="93"/>
    <x v="3"/>
    <n v="31"/>
    <n v="7500"/>
    <n v="327"/>
    <s v="Platinum"/>
    <s v="Mobile App"/>
    <s v="Higher"/>
  </r>
  <r>
    <s v="CUST102379"/>
    <n v="25"/>
    <x v="3"/>
    <s v="Male"/>
    <s v="Bengaluru"/>
    <n v="1725000"/>
    <n v="28"/>
    <x v="2"/>
    <n v="69"/>
    <n v="9500"/>
    <n v="341"/>
    <s v="Bronze"/>
    <s v="Mobile App"/>
    <s v="Higher"/>
  </r>
  <r>
    <s v="CUST102380"/>
    <n v="60"/>
    <x v="0"/>
    <s v="Male"/>
    <s v="Delhi"/>
    <n v="275000"/>
    <n v="16"/>
    <x v="2"/>
    <n v="40"/>
    <n v="6700"/>
    <n v="358"/>
    <m/>
    <s v="Online"/>
    <s v="Higher"/>
  </r>
  <r>
    <s v="CUST102381"/>
    <n v="29"/>
    <x v="3"/>
    <m/>
    <s v="Kolkata"/>
    <n v="1450000"/>
    <n v="54"/>
    <x v="0"/>
    <n v="30"/>
    <n v="8400"/>
    <n v="107"/>
    <m/>
    <m/>
    <s v="Lower"/>
  </r>
  <r>
    <s v="CUST102382"/>
    <n v="18"/>
    <x v="6"/>
    <s v="Unknown"/>
    <m/>
    <n v="525000"/>
    <n v="53"/>
    <x v="0"/>
    <n v="69"/>
    <n v="10700"/>
    <n v="241"/>
    <m/>
    <s v="Mobile App"/>
    <s v="Lower"/>
  </r>
  <r>
    <s v="CUST102383"/>
    <m/>
    <x v="5"/>
    <m/>
    <s v="Chennai"/>
    <n v="250000"/>
    <n v="12"/>
    <x v="2"/>
    <n v="76"/>
    <n v="5500"/>
    <n v="28"/>
    <s v="Gold"/>
    <s v="In-store"/>
    <s v="Lower"/>
  </r>
  <r>
    <s v="CUST102384"/>
    <n v="37"/>
    <x v="4"/>
    <s v="Male"/>
    <s v="Hyderabad"/>
    <n v="1950000"/>
    <n v="20"/>
    <x v="2"/>
    <n v="7"/>
    <n v="8600"/>
    <n v="192"/>
    <s v="Gold"/>
    <s v="Online"/>
    <s v="Higher"/>
  </r>
  <r>
    <s v="CUST102385"/>
    <n v="45"/>
    <x v="2"/>
    <s v="Female"/>
    <s v="Bengaluru"/>
    <n v="1275000"/>
    <n v="82"/>
    <x v="3"/>
    <n v="13"/>
    <n v="5900"/>
    <n v="249"/>
    <s v="Bronze"/>
    <s v="Mobile App"/>
    <s v="Higher"/>
  </r>
  <r>
    <s v="CUST102386"/>
    <n v="60"/>
    <x v="0"/>
    <s v="Female"/>
    <m/>
    <n v="475000"/>
    <n v="34"/>
    <x v="0"/>
    <n v="4"/>
    <n v="10700"/>
    <n v="364"/>
    <s v="Gold"/>
    <m/>
    <s v="Higher"/>
  </r>
  <r>
    <s v="CUST102387"/>
    <n v="54"/>
    <x v="2"/>
    <s v="Male"/>
    <s v="Chennai"/>
    <n v="1225000"/>
    <n v="53"/>
    <x v="0"/>
    <n v="50"/>
    <n v="10000"/>
    <n v="213"/>
    <s v="Silver"/>
    <m/>
    <s v="Higher"/>
  </r>
  <r>
    <s v="CUST102388"/>
    <n v="64"/>
    <x v="0"/>
    <s v="Unknown"/>
    <s v="Hyderabad"/>
    <n v="1700000"/>
    <n v="64"/>
    <x v="0"/>
    <n v="3"/>
    <n v="11700"/>
    <n v="21"/>
    <s v="Gold"/>
    <s v="In-store"/>
    <s v="Lower"/>
  </r>
  <r>
    <s v="CUST102389"/>
    <n v="54"/>
    <x v="2"/>
    <m/>
    <s v="Mumbai"/>
    <n v="1425000"/>
    <n v="23"/>
    <x v="2"/>
    <n v="12"/>
    <n v="3000"/>
    <n v="155"/>
    <m/>
    <m/>
    <s v="Lower"/>
  </r>
  <r>
    <s v="CUST102390"/>
    <n v="29"/>
    <x v="3"/>
    <s v="Male"/>
    <s v="Delhi"/>
    <n v="775000"/>
    <n v="27"/>
    <x v="2"/>
    <n v="65"/>
    <n v="11400"/>
    <n v="27"/>
    <s v="Bronze"/>
    <m/>
    <s v="Higher"/>
  </r>
  <r>
    <s v="CUST102391"/>
    <n v="54"/>
    <x v="2"/>
    <s v="Unknown"/>
    <m/>
    <n v="1450000"/>
    <n v="17"/>
    <x v="2"/>
    <n v="27"/>
    <n v="10100"/>
    <n v="77"/>
    <s v="Platinum"/>
    <m/>
    <s v="Lower"/>
  </r>
  <r>
    <s v="CUST102392"/>
    <n v="66"/>
    <x v="1"/>
    <s v="Female"/>
    <s v="Delhi"/>
    <n v="850000"/>
    <n v="48"/>
    <x v="0"/>
    <n v="50"/>
    <n v="1800"/>
    <n v="306"/>
    <s v="Platinum"/>
    <m/>
    <s v="Higher"/>
  </r>
  <r>
    <s v="CUST102393"/>
    <n v="66"/>
    <x v="1"/>
    <s v="Male"/>
    <s v="Hyderabad"/>
    <n v="600000"/>
    <n v="21"/>
    <x v="2"/>
    <n v="77"/>
    <n v="2300"/>
    <n v="57"/>
    <s v="Bronze"/>
    <m/>
    <s v="Higher"/>
  </r>
  <r>
    <s v="CUST102394"/>
    <n v="61"/>
    <x v="0"/>
    <s v="Unknown"/>
    <s v="Ahmedabad"/>
    <n v="1300000"/>
    <n v="50"/>
    <x v="0"/>
    <n v="17"/>
    <n v="7900"/>
    <n v="119"/>
    <s v="Silver"/>
    <s v="Website"/>
    <s v="Lower"/>
  </r>
  <r>
    <s v="CUST102395"/>
    <n v="45"/>
    <x v="2"/>
    <s v="Male"/>
    <s v="Bengaluru"/>
    <n v="325000"/>
    <n v="40"/>
    <x v="0"/>
    <n v="72"/>
    <n v="10100"/>
    <n v="165"/>
    <s v="Platinum"/>
    <s v="In-store"/>
    <s v="Higher"/>
  </r>
  <r>
    <s v="CUST102396"/>
    <n v="64"/>
    <x v="0"/>
    <s v="Male"/>
    <s v="Pune"/>
    <n v="700000"/>
    <n v="95"/>
    <x v="3"/>
    <n v="32"/>
    <n v="4400"/>
    <n v="64"/>
    <m/>
    <m/>
    <s v="Higher"/>
  </r>
  <r>
    <s v="CUST102397"/>
    <n v="32"/>
    <x v="3"/>
    <m/>
    <s v="Chennai"/>
    <n v="1000000"/>
    <n v="3"/>
    <x v="2"/>
    <n v="51"/>
    <n v="5600"/>
    <n v="48"/>
    <s v="Platinum"/>
    <s v="Website"/>
    <s v="Lower"/>
  </r>
  <r>
    <s v="CUST102398"/>
    <n v="23"/>
    <x v="6"/>
    <m/>
    <s v="Kolkata"/>
    <n v="1450000"/>
    <n v="17"/>
    <x v="2"/>
    <n v="17"/>
    <n v="3400"/>
    <n v="150"/>
    <s v="Platinum"/>
    <s v="Online"/>
    <s v="Lower"/>
  </r>
  <r>
    <s v="CUST102399"/>
    <n v="61"/>
    <x v="0"/>
    <s v="Unknown"/>
    <m/>
    <n v="1575000"/>
    <n v="61"/>
    <x v="0"/>
    <n v="34"/>
    <n v="11600"/>
    <n v="158"/>
    <m/>
    <s v="Website"/>
    <s v="Lower"/>
  </r>
  <r>
    <s v="CUST102400"/>
    <n v="37"/>
    <x v="4"/>
    <s v="Unknown"/>
    <s v="Bengaluru"/>
    <n v="250000"/>
    <n v="50"/>
    <x v="0"/>
    <n v="35"/>
    <n v="4000"/>
    <n v="156"/>
    <s v="Gold"/>
    <s v="Online"/>
    <s v="Lower"/>
  </r>
  <r>
    <s v="CUST102401"/>
    <n v="67"/>
    <x v="1"/>
    <s v="Male"/>
    <s v="Pune"/>
    <n v="525000"/>
    <n v="90"/>
    <x v="3"/>
    <n v="24"/>
    <n v="7200"/>
    <n v="151"/>
    <s v="Silver"/>
    <m/>
    <s v="Higher"/>
  </r>
  <r>
    <s v="CUST102402"/>
    <n v="31"/>
    <x v="3"/>
    <s v="Male"/>
    <m/>
    <n v="550000"/>
    <n v="87"/>
    <x v="3"/>
    <n v="54"/>
    <n v="11600"/>
    <n v="225"/>
    <m/>
    <s v="Website"/>
    <s v="Higher"/>
  </r>
  <r>
    <s v="CUST102403"/>
    <n v="19"/>
    <x v="6"/>
    <s v="Female"/>
    <m/>
    <n v="925000"/>
    <n v="6"/>
    <x v="2"/>
    <n v="18"/>
    <n v="10400"/>
    <n v="260"/>
    <m/>
    <m/>
    <s v="Higher"/>
  </r>
  <r>
    <s v="CUST102404"/>
    <n v="26"/>
    <x v="3"/>
    <s v="Male"/>
    <m/>
    <n v="1425000"/>
    <n v="28"/>
    <x v="2"/>
    <n v="50"/>
    <n v="4000"/>
    <n v="256"/>
    <m/>
    <m/>
    <s v="Higher"/>
  </r>
  <r>
    <s v="CUST102405"/>
    <n v="54"/>
    <x v="2"/>
    <s v="Male"/>
    <s v="Mumbai"/>
    <n v="625000"/>
    <n v="72"/>
    <x v="3"/>
    <n v="46"/>
    <n v="5600"/>
    <n v="61"/>
    <s v="Bronze"/>
    <s v="Website"/>
    <s v="Higher"/>
  </r>
  <r>
    <s v="CUST102406"/>
    <n v="37"/>
    <x v="4"/>
    <s v="Unknown"/>
    <s v="Bengaluru"/>
    <n v="1775000"/>
    <n v="55"/>
    <x v="0"/>
    <n v="48"/>
    <n v="6200"/>
    <n v="352"/>
    <s v="Silver"/>
    <s v="Website"/>
    <s v="Lower"/>
  </r>
  <r>
    <s v="CUST102407"/>
    <n v="43"/>
    <x v="4"/>
    <s v="Male"/>
    <s v="Delhi"/>
    <n v="150000"/>
    <n v="58"/>
    <x v="0"/>
    <n v="33"/>
    <n v="7900"/>
    <n v="260"/>
    <s v="Gold"/>
    <m/>
    <s v="Higher"/>
  </r>
  <r>
    <s v="CUST102408"/>
    <n v="46"/>
    <x v="2"/>
    <m/>
    <s v="Ahmedabad"/>
    <n v="1575000"/>
    <n v="45"/>
    <x v="0"/>
    <n v="27"/>
    <n v="11200"/>
    <n v="321"/>
    <m/>
    <s v="Online"/>
    <s v="Lower"/>
  </r>
  <r>
    <s v="CUST102409"/>
    <n v="18"/>
    <x v="6"/>
    <s v="Male"/>
    <s v="Kolkata"/>
    <n v="1225000"/>
    <n v="72"/>
    <x v="3"/>
    <n v="1"/>
    <n v="11900"/>
    <n v="162"/>
    <m/>
    <m/>
    <s v="Higher"/>
  </r>
  <r>
    <s v="CUST102410"/>
    <s v="NA"/>
    <x v="5"/>
    <m/>
    <s v="Delhi"/>
    <n v="275000"/>
    <n v="19"/>
    <x v="2"/>
    <n v="59"/>
    <n v="10500"/>
    <n v="349"/>
    <m/>
    <s v="In-store"/>
    <s v="Lower"/>
  </r>
  <r>
    <s v="CUST102411"/>
    <n v="52"/>
    <x v="2"/>
    <m/>
    <s v="Pune"/>
    <n v="1375000"/>
    <m/>
    <x v="1"/>
    <n v="10"/>
    <n v="7900"/>
    <n v="31"/>
    <s v="Gold"/>
    <s v="Website"/>
    <s v="Lower"/>
  </r>
  <r>
    <s v="CUST102412"/>
    <n v="23"/>
    <x v="6"/>
    <s v="Female"/>
    <s v="Bengaluru"/>
    <n v="1925000"/>
    <n v="29"/>
    <x v="2"/>
    <n v="25"/>
    <n v="4900"/>
    <n v="71"/>
    <m/>
    <s v="In-store"/>
    <s v="Higher"/>
  </r>
  <r>
    <s v="CUST102413"/>
    <n v="54"/>
    <x v="2"/>
    <s v="Unknown"/>
    <s v="Ahmedabad"/>
    <n v="625000"/>
    <n v="23"/>
    <x v="2"/>
    <n v="57"/>
    <n v="1400"/>
    <n v="2"/>
    <m/>
    <m/>
    <s v="Lower"/>
  </r>
  <r>
    <s v="CUST102414"/>
    <m/>
    <x v="5"/>
    <s v="Male"/>
    <m/>
    <n v="475000"/>
    <n v="32"/>
    <x v="2"/>
    <n v="66"/>
    <n v="5500"/>
    <n v="50"/>
    <m/>
    <m/>
    <s v="Higher"/>
  </r>
  <r>
    <s v="CUST102415"/>
    <n v="22"/>
    <x v="6"/>
    <m/>
    <s v="Bengaluru"/>
    <n v="250000"/>
    <n v="10"/>
    <x v="2"/>
    <n v="15"/>
    <n v="3500"/>
    <n v="135"/>
    <m/>
    <m/>
    <s v="Lower"/>
  </r>
  <r>
    <s v="CUST102416"/>
    <n v="50"/>
    <x v="2"/>
    <m/>
    <m/>
    <n v="1150000"/>
    <n v="91"/>
    <x v="3"/>
    <n v="28"/>
    <n v="3000"/>
    <n v="146"/>
    <m/>
    <s v="Mobile App"/>
    <s v="Lower"/>
  </r>
  <r>
    <s v="CUST102417"/>
    <n v="66"/>
    <x v="1"/>
    <m/>
    <m/>
    <n v="1125000"/>
    <n v="49"/>
    <x v="0"/>
    <n v="13"/>
    <n v="500"/>
    <n v="179"/>
    <s v="Bronze"/>
    <s v="In-store"/>
    <s v="Lower"/>
  </r>
  <r>
    <s v="CUST102418"/>
    <n v="68"/>
    <x v="1"/>
    <m/>
    <s v="Mumbai"/>
    <n v="975000"/>
    <n v="65"/>
    <x v="0"/>
    <n v="14"/>
    <n v="8400"/>
    <n v="264"/>
    <s v="Platinum"/>
    <s v="Mobile App"/>
    <s v="Lower"/>
  </r>
  <r>
    <s v="CUST102419"/>
    <n v="31"/>
    <x v="3"/>
    <s v="Female"/>
    <s v="Hyderabad"/>
    <n v="1250000"/>
    <n v="29"/>
    <x v="2"/>
    <n v="66"/>
    <n v="2800"/>
    <n v="311"/>
    <s v="Silver"/>
    <s v="In-store"/>
    <s v="Higher"/>
  </r>
  <r>
    <s v="CUST102420"/>
    <n v="29"/>
    <x v="3"/>
    <s v="Male"/>
    <s v="Bengaluru"/>
    <n v="1900000"/>
    <n v="59"/>
    <x v="0"/>
    <n v="34"/>
    <n v="5600"/>
    <n v="204"/>
    <s v="Bronze"/>
    <m/>
    <s v="Higher"/>
  </r>
  <r>
    <s v="CUST102421"/>
    <n v="59"/>
    <x v="0"/>
    <s v="Female"/>
    <s v="Pune"/>
    <n v="1900000"/>
    <n v="45"/>
    <x v="0"/>
    <n v="25"/>
    <n v="4200"/>
    <n v="299"/>
    <s v="Gold"/>
    <s v="Mobile App"/>
    <s v="Higher"/>
  </r>
  <r>
    <s v="CUST102422"/>
    <n v="37"/>
    <x v="4"/>
    <m/>
    <m/>
    <n v="800000"/>
    <n v="67"/>
    <x v="3"/>
    <n v="54"/>
    <n v="6800"/>
    <n v="187"/>
    <m/>
    <s v="Mobile App"/>
    <s v="Lower"/>
  </r>
  <r>
    <s v="CUST102423"/>
    <m/>
    <x v="5"/>
    <m/>
    <s v="Delhi"/>
    <n v="1225000"/>
    <n v="51"/>
    <x v="0"/>
    <n v="79"/>
    <n v="7000"/>
    <n v="30"/>
    <m/>
    <s v="In-store"/>
    <s v="Lower"/>
  </r>
  <r>
    <s v="CUST102424"/>
    <n v="67"/>
    <x v="1"/>
    <s v="Male"/>
    <m/>
    <n v="950000"/>
    <m/>
    <x v="1"/>
    <n v="12"/>
    <n v="11600"/>
    <n v="59"/>
    <m/>
    <m/>
    <s v="Higher"/>
  </r>
  <r>
    <s v="CUST102425"/>
    <n v="41"/>
    <x v="4"/>
    <s v="Female"/>
    <s v="Pune"/>
    <n v="950000"/>
    <n v="95"/>
    <x v="3"/>
    <n v="9"/>
    <n v="9400"/>
    <n v="9"/>
    <m/>
    <s v="Online"/>
    <s v="Higher"/>
  </r>
  <r>
    <s v="CUST102426"/>
    <n v="60"/>
    <x v="0"/>
    <s v="Male"/>
    <s v="Kolkata"/>
    <n v="1225000"/>
    <n v="11"/>
    <x v="2"/>
    <n v="31"/>
    <n v="9400"/>
    <n v="324"/>
    <s v="Silver"/>
    <m/>
    <s v="Higher"/>
  </r>
  <r>
    <s v="CUST102427"/>
    <n v="51"/>
    <x v="2"/>
    <s v="Male"/>
    <s v="Hyderabad"/>
    <n v="625000"/>
    <n v="86"/>
    <x v="3"/>
    <n v="78"/>
    <n v="9100"/>
    <n v="167"/>
    <s v="Bronze"/>
    <s v="Online"/>
    <s v="Higher"/>
  </r>
  <r>
    <s v="CUST102428"/>
    <n v="42"/>
    <x v="4"/>
    <s v="Unknown"/>
    <m/>
    <n v="1025000"/>
    <n v="82"/>
    <x v="3"/>
    <n v="53"/>
    <n v="9200"/>
    <n v="337"/>
    <s v="Bronze"/>
    <s v="In-store"/>
    <s v="Lower"/>
  </r>
  <r>
    <s v="CUST102429"/>
    <n v="67"/>
    <x v="1"/>
    <s v="Unknown"/>
    <s v="Mumbai"/>
    <n v="300000"/>
    <n v="99"/>
    <x v="3"/>
    <n v="43"/>
    <n v="11100"/>
    <n v="279"/>
    <s v="Gold"/>
    <s v="Website"/>
    <s v="Lower"/>
  </r>
  <r>
    <s v="CUST102430"/>
    <n v="46"/>
    <x v="2"/>
    <s v="Unknown"/>
    <s v="Hyderabad"/>
    <n v="925000"/>
    <n v="6"/>
    <x v="2"/>
    <n v="38"/>
    <n v="4900"/>
    <n v="191"/>
    <s v="Bronze"/>
    <m/>
    <s v="Lower"/>
  </r>
  <r>
    <s v="CUST102431"/>
    <n v="56"/>
    <x v="0"/>
    <s v="Female"/>
    <m/>
    <n v="1800000"/>
    <n v="67"/>
    <x v="3"/>
    <n v="42"/>
    <n v="400"/>
    <n v="242"/>
    <s v="Bronze"/>
    <s v="Mobile App"/>
    <s v="Higher"/>
  </r>
  <r>
    <s v="CUST102432"/>
    <n v="48"/>
    <x v="2"/>
    <s v="Male"/>
    <s v="Pune"/>
    <n v="1100000"/>
    <n v="62"/>
    <x v="0"/>
    <n v="72"/>
    <n v="4400"/>
    <n v="278"/>
    <s v="Platinum"/>
    <m/>
    <s v="Higher"/>
  </r>
  <r>
    <s v="CUST102433"/>
    <n v="64"/>
    <x v="0"/>
    <s v="Male"/>
    <s v="Kolkata"/>
    <n v="725000"/>
    <n v="5"/>
    <x v="2"/>
    <n v="48"/>
    <n v="3600"/>
    <n v="154"/>
    <s v="Silver"/>
    <s v="In-store"/>
    <s v="Higher"/>
  </r>
  <r>
    <s v="CUST102434"/>
    <n v="60"/>
    <x v="0"/>
    <s v="Female"/>
    <s v="Chennai"/>
    <n v="1875000"/>
    <n v="9"/>
    <x v="2"/>
    <n v="67"/>
    <n v="9600"/>
    <n v="160"/>
    <m/>
    <s v="Website"/>
    <s v="Higher"/>
  </r>
  <r>
    <s v="CUST102435"/>
    <n v="67"/>
    <x v="1"/>
    <s v="Unknown"/>
    <s v="Mumbai"/>
    <n v="1475000"/>
    <n v="28"/>
    <x v="2"/>
    <n v="66"/>
    <n v="2300"/>
    <n v="265"/>
    <s v="Bronze"/>
    <s v="Website"/>
    <s v="Lower"/>
  </r>
  <r>
    <s v="CUST102436"/>
    <n v="40"/>
    <x v="4"/>
    <s v="Unknown"/>
    <s v="Ahmedabad"/>
    <n v="1075000"/>
    <n v="83"/>
    <x v="3"/>
    <n v="16"/>
    <n v="11000"/>
    <n v="235"/>
    <s v="Gold"/>
    <m/>
    <s v="Lower"/>
  </r>
  <r>
    <s v="CUST102437"/>
    <n v="61"/>
    <x v="0"/>
    <m/>
    <m/>
    <n v="1975000"/>
    <n v="92"/>
    <x v="3"/>
    <n v="16"/>
    <n v="10300"/>
    <n v="346"/>
    <m/>
    <m/>
    <s v="Lower"/>
  </r>
  <r>
    <s v="CUST102438"/>
    <n v="55"/>
    <x v="0"/>
    <s v="Male"/>
    <s v="Chennai"/>
    <m/>
    <n v="91"/>
    <x v="3"/>
    <n v="31"/>
    <n v="4600"/>
    <n v="199"/>
    <m/>
    <m/>
    <s v="Higher"/>
  </r>
  <r>
    <s v="CUST102439"/>
    <n v="37"/>
    <x v="4"/>
    <s v="Male"/>
    <s v="Bengaluru"/>
    <n v="925000"/>
    <n v="77"/>
    <x v="3"/>
    <n v="58"/>
    <n v="8900"/>
    <n v="33"/>
    <s v="Bronze"/>
    <m/>
    <s v="Higher"/>
  </r>
  <r>
    <s v="CUST102440"/>
    <n v="40"/>
    <x v="4"/>
    <s v="Female"/>
    <s v="Kolkata"/>
    <n v="1250000"/>
    <n v="38"/>
    <x v="0"/>
    <n v="28"/>
    <n v="9900"/>
    <n v="89"/>
    <s v="Bronze"/>
    <s v="In-store"/>
    <s v="Higher"/>
  </r>
  <r>
    <s v="CUST102441"/>
    <n v="62"/>
    <x v="0"/>
    <s v="Female"/>
    <s v="Delhi"/>
    <n v="1650000"/>
    <n v="43"/>
    <x v="0"/>
    <n v="4"/>
    <n v="400"/>
    <n v="95"/>
    <m/>
    <s v="Online"/>
    <s v="Higher"/>
  </r>
  <r>
    <s v="CUST102442"/>
    <n v="69"/>
    <x v="1"/>
    <s v="Unknown"/>
    <s v="Ahmedabad"/>
    <n v="1875000"/>
    <n v="21"/>
    <x v="2"/>
    <n v="10"/>
    <n v="9300"/>
    <n v="221"/>
    <m/>
    <m/>
    <s v="Lower"/>
  </r>
  <r>
    <s v="CUST102443"/>
    <n v="33"/>
    <x v="3"/>
    <s v="Male"/>
    <s v="Pune"/>
    <n v="1450000"/>
    <n v="91"/>
    <x v="3"/>
    <n v="51"/>
    <n v="11400"/>
    <n v="69"/>
    <s v="Platinum"/>
    <s v="Online"/>
    <s v="Higher"/>
  </r>
  <r>
    <s v="CUST102444"/>
    <n v="67"/>
    <x v="1"/>
    <s v="Male"/>
    <s v="Kolkata"/>
    <n v="1400000"/>
    <n v="62"/>
    <x v="0"/>
    <n v="18"/>
    <n v="6100"/>
    <n v="294"/>
    <s v="Silver"/>
    <s v="Mobile App"/>
    <s v="Higher"/>
  </r>
  <r>
    <s v="CUST102445"/>
    <n v="59"/>
    <x v="0"/>
    <s v="Female"/>
    <s v="Hyderabad"/>
    <m/>
    <n v="46"/>
    <x v="0"/>
    <n v="47"/>
    <n v="8800"/>
    <n v="237"/>
    <s v="Platinum"/>
    <s v="In-store"/>
    <s v="Higher"/>
  </r>
  <r>
    <s v="CUST102446"/>
    <s v="NA"/>
    <x v="5"/>
    <s v="Male"/>
    <m/>
    <n v="1525000"/>
    <n v="70"/>
    <x v="3"/>
    <n v="32"/>
    <n v="10000"/>
    <n v="160"/>
    <s v="Gold"/>
    <m/>
    <s v="Higher"/>
  </r>
  <r>
    <s v="CUST102447"/>
    <n v="25"/>
    <x v="3"/>
    <m/>
    <s v="Hyderabad"/>
    <n v="800000"/>
    <n v="38"/>
    <x v="0"/>
    <n v="30"/>
    <n v="1800"/>
    <n v="320"/>
    <m/>
    <s v="Website"/>
    <s v="Lower"/>
  </r>
  <r>
    <s v="CUST102448"/>
    <n v="67"/>
    <x v="1"/>
    <s v="Male"/>
    <s v="Hyderabad"/>
    <n v="1075000"/>
    <n v="49"/>
    <x v="0"/>
    <n v="36"/>
    <n v="2200"/>
    <n v="328"/>
    <s v="Bronze"/>
    <m/>
    <s v="Higher"/>
  </r>
  <r>
    <s v="CUST102449"/>
    <n v="38"/>
    <x v="4"/>
    <m/>
    <s v="Bengaluru"/>
    <n v="1675000"/>
    <n v="75"/>
    <x v="3"/>
    <n v="9"/>
    <n v="2800"/>
    <n v="276"/>
    <s v="Platinum"/>
    <s v="Mobile App"/>
    <s v="Lower"/>
  </r>
  <r>
    <s v="CUST102450"/>
    <n v="18"/>
    <x v="6"/>
    <s v="Female"/>
    <s v="Mumbai"/>
    <n v="575000"/>
    <n v="81"/>
    <x v="3"/>
    <n v="36"/>
    <n v="1800"/>
    <n v="290"/>
    <s v="Silver"/>
    <s v="Website"/>
    <s v="Higher"/>
  </r>
  <r>
    <s v="CUST102451"/>
    <s v="NA"/>
    <x v="5"/>
    <m/>
    <s v="Delhi"/>
    <n v="1725000"/>
    <n v="39"/>
    <x v="0"/>
    <n v="29"/>
    <n v="7200"/>
    <n v="42"/>
    <s v="Gold"/>
    <m/>
    <s v="Lower"/>
  </r>
  <r>
    <s v="CUST102452"/>
    <n v="25"/>
    <x v="3"/>
    <s v="Female"/>
    <s v="Ahmedabad"/>
    <s v="unknown"/>
    <n v="71"/>
    <x v="3"/>
    <n v="16"/>
    <n v="11100"/>
    <n v="66"/>
    <s v="Platinum"/>
    <s v="Website"/>
    <s v="Higher"/>
  </r>
  <r>
    <s v="CUST102453"/>
    <n v="46"/>
    <x v="2"/>
    <s v="Unknown"/>
    <s v="Mumbai"/>
    <n v="875000"/>
    <n v="30"/>
    <x v="2"/>
    <n v="21"/>
    <n v="11000"/>
    <n v="21"/>
    <s v="Bronze"/>
    <m/>
    <s v="Lower"/>
  </r>
  <r>
    <s v="CUST102454"/>
    <n v="49"/>
    <x v="2"/>
    <m/>
    <s v="Kolkata"/>
    <n v="1350000"/>
    <n v="21"/>
    <x v="2"/>
    <n v="64"/>
    <n v="2500"/>
    <n v="335"/>
    <s v="Silver"/>
    <s v="Website"/>
    <s v="Lower"/>
  </r>
  <r>
    <s v="CUST102455"/>
    <n v="55"/>
    <x v="0"/>
    <s v="Male"/>
    <s v="Hyderabad"/>
    <n v="1150000"/>
    <n v="1"/>
    <x v="2"/>
    <n v="66"/>
    <n v="4400"/>
    <n v="70"/>
    <s v="Bronze"/>
    <m/>
    <s v="Higher"/>
  </r>
  <r>
    <s v="CUST102456"/>
    <n v="22"/>
    <x v="6"/>
    <s v="Unknown"/>
    <s v="Bengaluru"/>
    <n v="450000"/>
    <n v="89"/>
    <x v="3"/>
    <n v="59"/>
    <n v="3900"/>
    <n v="261"/>
    <s v="Bronze"/>
    <s v="Website"/>
    <s v="Lower"/>
  </r>
  <r>
    <s v="CUST102457"/>
    <n v="64"/>
    <x v="0"/>
    <s v="Male"/>
    <s v="Kolkata"/>
    <n v="975000"/>
    <n v="32"/>
    <x v="2"/>
    <n v="28"/>
    <n v="7400"/>
    <n v="246"/>
    <s v="Gold"/>
    <s v="In-store"/>
    <s v="Higher"/>
  </r>
  <r>
    <s v="CUST102458"/>
    <n v="39"/>
    <x v="4"/>
    <s v="Unknown"/>
    <m/>
    <n v="750000"/>
    <n v="8"/>
    <x v="2"/>
    <n v="55"/>
    <n v="800"/>
    <n v="323"/>
    <s v="Silver"/>
    <m/>
    <s v="Lower"/>
  </r>
  <r>
    <s v="CUST102459"/>
    <n v="64"/>
    <x v="0"/>
    <s v="Female"/>
    <s v="Delhi"/>
    <n v="1775000"/>
    <n v="69"/>
    <x v="3"/>
    <n v="31"/>
    <n v="3900"/>
    <n v="235"/>
    <m/>
    <m/>
    <s v="Higher"/>
  </r>
  <r>
    <s v="CUST102460"/>
    <n v="51"/>
    <x v="2"/>
    <s v="Female"/>
    <s v="Ahmedabad"/>
    <n v="575000"/>
    <n v="30"/>
    <x v="2"/>
    <n v="33"/>
    <n v="11800"/>
    <n v="272"/>
    <s v="Bronze"/>
    <s v="Mobile App"/>
    <s v="Higher"/>
  </r>
  <r>
    <s v="CUST102461"/>
    <n v="18"/>
    <x v="6"/>
    <s v="Female"/>
    <m/>
    <n v="250000"/>
    <n v="8"/>
    <x v="2"/>
    <n v="60"/>
    <n v="2400"/>
    <n v="99"/>
    <s v="Silver"/>
    <m/>
    <s v="Higher"/>
  </r>
  <r>
    <s v="CUST102462"/>
    <s v="NA"/>
    <x v="5"/>
    <m/>
    <s v="Bengaluru"/>
    <n v="600000"/>
    <n v="19"/>
    <x v="2"/>
    <n v="41"/>
    <n v="800"/>
    <n v="329"/>
    <s v="Bronze"/>
    <s v="Online"/>
    <s v="Lower"/>
  </r>
  <r>
    <s v="CUST102463"/>
    <s v="NA"/>
    <x v="5"/>
    <s v="Male"/>
    <s v="Delhi"/>
    <n v="1175000"/>
    <n v="59"/>
    <x v="0"/>
    <m/>
    <m/>
    <n v="35"/>
    <s v="Platinum"/>
    <s v="In-store"/>
    <s v="Higher"/>
  </r>
  <r>
    <s v="CUST102464"/>
    <n v="43"/>
    <x v="4"/>
    <s v="Female"/>
    <s v="Kolkata"/>
    <n v="575000"/>
    <n v="55"/>
    <x v="0"/>
    <n v="46"/>
    <n v="3400"/>
    <n v="339"/>
    <s v="Platinum"/>
    <s v="Mobile App"/>
    <s v="Higher"/>
  </r>
  <r>
    <s v="CUST102465"/>
    <n v="60"/>
    <x v="0"/>
    <s v="Female"/>
    <s v="Hyderabad"/>
    <n v="925000"/>
    <n v="30"/>
    <x v="2"/>
    <n v="49"/>
    <n v="1900"/>
    <n v="171"/>
    <s v="Silver"/>
    <s v="Online"/>
    <s v="Higher"/>
  </r>
  <r>
    <s v="CUST102466"/>
    <n v="27"/>
    <x v="3"/>
    <m/>
    <s v="Hyderabad"/>
    <n v="650000"/>
    <n v="79"/>
    <x v="3"/>
    <n v="65"/>
    <n v="4000"/>
    <n v="110"/>
    <s v="Gold"/>
    <s v="Website"/>
    <s v="Lower"/>
  </r>
  <r>
    <s v="CUST102467"/>
    <n v="47"/>
    <x v="2"/>
    <s v="Male"/>
    <m/>
    <n v="375000"/>
    <n v="36"/>
    <x v="0"/>
    <n v="42"/>
    <n v="1900"/>
    <n v="295"/>
    <m/>
    <s v="Online"/>
    <s v="Higher"/>
  </r>
  <r>
    <s v="CUST102468"/>
    <n v="67"/>
    <x v="1"/>
    <m/>
    <s v="Hyderabad"/>
    <n v="1050000"/>
    <n v="55"/>
    <x v="0"/>
    <n v="23"/>
    <n v="3900"/>
    <n v="10"/>
    <s v="Platinum"/>
    <s v="Mobile App"/>
    <s v="Lower"/>
  </r>
  <r>
    <s v="CUST102469"/>
    <n v="35"/>
    <x v="4"/>
    <s v="Male"/>
    <s v="Chennai"/>
    <n v="1350000"/>
    <n v="44"/>
    <x v="0"/>
    <n v="27"/>
    <n v="2500"/>
    <n v="202"/>
    <s v="Gold"/>
    <m/>
    <s v="Higher"/>
  </r>
  <r>
    <s v="CUST102470"/>
    <n v="34"/>
    <x v="3"/>
    <s v="Male"/>
    <s v="Hyderabad"/>
    <n v="450000"/>
    <n v="27"/>
    <x v="2"/>
    <n v="32"/>
    <n v="5100"/>
    <n v="257"/>
    <m/>
    <s v="In-store"/>
    <s v="Higher"/>
  </r>
  <r>
    <s v="CUST102471"/>
    <n v="43"/>
    <x v="4"/>
    <s v="Unknown"/>
    <s v="Chennai"/>
    <n v="1500000"/>
    <n v="77"/>
    <x v="3"/>
    <n v="3"/>
    <n v="6300"/>
    <n v="262"/>
    <s v="Platinum"/>
    <s v="Mobile App"/>
    <s v="Lower"/>
  </r>
  <r>
    <s v="CUST102472"/>
    <n v="25"/>
    <x v="3"/>
    <s v="Female"/>
    <s v="Pune"/>
    <n v="550000"/>
    <n v="78"/>
    <x v="3"/>
    <n v="60"/>
    <n v="5100"/>
    <n v="181"/>
    <m/>
    <s v="Online"/>
    <s v="Higher"/>
  </r>
  <r>
    <s v="CUST102473"/>
    <n v="64"/>
    <x v="0"/>
    <s v="Male"/>
    <s v="Chennai"/>
    <n v="350000"/>
    <m/>
    <x v="1"/>
    <n v="76"/>
    <n v="6300"/>
    <n v="66"/>
    <m/>
    <s v="Online"/>
    <s v="Higher"/>
  </r>
  <r>
    <s v="CUST102474"/>
    <n v="57"/>
    <x v="0"/>
    <m/>
    <s v="Delhi"/>
    <n v="1225000"/>
    <n v="54"/>
    <x v="0"/>
    <n v="79"/>
    <n v="7900"/>
    <n v="294"/>
    <s v="Bronze"/>
    <s v="Mobile App"/>
    <s v="Lower"/>
  </r>
  <r>
    <s v="CUST102475"/>
    <n v="66"/>
    <x v="1"/>
    <m/>
    <m/>
    <n v="1275000"/>
    <n v="48"/>
    <x v="0"/>
    <n v="17"/>
    <n v="3400"/>
    <n v="161"/>
    <s v="Silver"/>
    <m/>
    <s v="Lower"/>
  </r>
  <r>
    <s v="CUST102476"/>
    <n v="29"/>
    <x v="3"/>
    <s v="Female"/>
    <s v="Delhi"/>
    <n v="325000"/>
    <n v="30"/>
    <x v="2"/>
    <n v="32"/>
    <n v="8800"/>
    <n v="67"/>
    <s v="Platinum"/>
    <m/>
    <s v="Higher"/>
  </r>
  <r>
    <s v="CUST102477"/>
    <n v="44"/>
    <x v="4"/>
    <m/>
    <m/>
    <n v="1050000"/>
    <n v="39"/>
    <x v="0"/>
    <n v="7"/>
    <n v="6500"/>
    <n v="100"/>
    <s v="Platinum"/>
    <s v="Mobile App"/>
    <s v="Lower"/>
  </r>
  <r>
    <s v="CUST102478"/>
    <n v="25"/>
    <x v="3"/>
    <s v="Male"/>
    <m/>
    <n v="600000"/>
    <n v="13"/>
    <x v="2"/>
    <n v="71"/>
    <n v="900"/>
    <n v="77"/>
    <s v="Bronze"/>
    <m/>
    <s v="Higher"/>
  </r>
  <r>
    <s v="CUST102479"/>
    <n v="42"/>
    <x v="4"/>
    <s v="Unknown"/>
    <s v="Pune"/>
    <n v="1700000"/>
    <n v="16"/>
    <x v="2"/>
    <n v="69"/>
    <n v="2400"/>
    <n v="35"/>
    <s v="Platinum"/>
    <s v="Mobile App"/>
    <s v="Lower"/>
  </r>
  <r>
    <s v="CUST102480"/>
    <n v="63"/>
    <x v="0"/>
    <s v="Female"/>
    <m/>
    <n v="1275000"/>
    <n v="44"/>
    <x v="0"/>
    <n v="58"/>
    <n v="8700"/>
    <n v="45"/>
    <s v="Platinum"/>
    <m/>
    <s v="Higher"/>
  </r>
  <r>
    <s v="CUST102481"/>
    <n v="21"/>
    <x v="6"/>
    <s v="Unknown"/>
    <m/>
    <n v="1900000"/>
    <n v="71"/>
    <x v="3"/>
    <n v="40"/>
    <n v="800"/>
    <n v="150"/>
    <m/>
    <s v="Mobile App"/>
    <s v="Lower"/>
  </r>
  <r>
    <s v="CUST102482"/>
    <n v="50"/>
    <x v="2"/>
    <m/>
    <s v="Bengaluru"/>
    <n v="775000"/>
    <n v="27"/>
    <x v="2"/>
    <n v="48"/>
    <n v="6300"/>
    <n v="68"/>
    <s v="Platinum"/>
    <s v="Website"/>
    <s v="Lower"/>
  </r>
  <r>
    <s v="CUST102483"/>
    <n v="18"/>
    <x v="6"/>
    <s v="Male"/>
    <s v="Mumbai"/>
    <n v="1275000"/>
    <n v="45"/>
    <x v="0"/>
    <n v="51"/>
    <n v="1600"/>
    <n v="254"/>
    <s v="Platinum"/>
    <s v="In-store"/>
    <s v="Higher"/>
  </r>
  <r>
    <s v="CUST102484"/>
    <n v="36"/>
    <x v="4"/>
    <s v="Male"/>
    <s v="Mumbai"/>
    <n v="1275000"/>
    <n v="35"/>
    <x v="0"/>
    <n v="57"/>
    <n v="1800"/>
    <n v="17"/>
    <s v="Platinum"/>
    <s v="In-store"/>
    <s v="Higher"/>
  </r>
  <r>
    <s v="CUST102485"/>
    <n v="48"/>
    <x v="2"/>
    <m/>
    <s v="Bengaluru"/>
    <m/>
    <n v="79"/>
    <x v="3"/>
    <n v="71"/>
    <n v="500"/>
    <n v="261"/>
    <s v="Gold"/>
    <s v="Website"/>
    <s v="Lower"/>
  </r>
  <r>
    <s v="CUST102486"/>
    <n v="33"/>
    <x v="3"/>
    <s v="Male"/>
    <s v="Hyderabad"/>
    <n v="475000"/>
    <n v="28"/>
    <x v="2"/>
    <n v="37"/>
    <n v="1100"/>
    <n v="213"/>
    <s v="Platinum"/>
    <s v="Online"/>
    <s v="Higher"/>
  </r>
  <r>
    <s v="CUST102487"/>
    <n v="31"/>
    <x v="3"/>
    <s v="Male"/>
    <s v="Bengaluru"/>
    <n v="1700000"/>
    <n v="99"/>
    <x v="3"/>
    <n v="75"/>
    <n v="4900"/>
    <n v="313"/>
    <s v="Bronze"/>
    <s v="Online"/>
    <s v="Higher"/>
  </r>
  <r>
    <s v="CUST102488"/>
    <m/>
    <x v="5"/>
    <m/>
    <m/>
    <n v="1925000"/>
    <n v="7"/>
    <x v="2"/>
    <n v="74"/>
    <n v="8700"/>
    <n v="256"/>
    <m/>
    <s v="Online"/>
    <s v="Lower"/>
  </r>
  <r>
    <s v="CUST102489"/>
    <n v="65"/>
    <x v="0"/>
    <s v="Female"/>
    <m/>
    <n v="200000"/>
    <n v="62"/>
    <x v="0"/>
    <n v="55"/>
    <n v="11600"/>
    <n v="216"/>
    <s v="Platinum"/>
    <s v="Online"/>
    <s v="Higher"/>
  </r>
  <r>
    <s v="CUST102490"/>
    <n v="22"/>
    <x v="6"/>
    <m/>
    <s v="Bengaluru"/>
    <n v="825000"/>
    <n v="51"/>
    <x v="0"/>
    <n v="41"/>
    <n v="9600"/>
    <n v="351"/>
    <m/>
    <m/>
    <s v="Lower"/>
  </r>
  <r>
    <s v="CUST102491"/>
    <n v="58"/>
    <x v="0"/>
    <s v="Male"/>
    <s v="Bengaluru"/>
    <n v="850000"/>
    <n v="46"/>
    <x v="0"/>
    <n v="20"/>
    <n v="9600"/>
    <n v="286"/>
    <m/>
    <s v="Website"/>
    <s v="Higher"/>
  </r>
  <r>
    <s v="CUST102492"/>
    <n v="43"/>
    <x v="4"/>
    <s v="Male"/>
    <s v="Hyderabad"/>
    <n v="575000"/>
    <n v="20"/>
    <x v="2"/>
    <n v="33"/>
    <n v="4400"/>
    <n v="7"/>
    <m/>
    <s v="In-store"/>
    <s v="Higher"/>
  </r>
  <r>
    <s v="CUST102493"/>
    <n v="45"/>
    <x v="2"/>
    <m/>
    <s v="Delhi"/>
    <n v="1000000"/>
    <n v="96"/>
    <x v="3"/>
    <n v="40"/>
    <n v="4400"/>
    <n v="199"/>
    <m/>
    <s v="Website"/>
    <s v="Lower"/>
  </r>
  <r>
    <s v="CUST102494"/>
    <n v="19"/>
    <x v="6"/>
    <s v="Female"/>
    <s v="Pune"/>
    <s v="unknown"/>
    <n v="38"/>
    <x v="0"/>
    <n v="34"/>
    <n v="9800"/>
    <n v="91"/>
    <s v="Bronze"/>
    <s v="In-store"/>
    <s v="Higher"/>
  </r>
  <r>
    <s v="CUST102495"/>
    <n v="67"/>
    <x v="1"/>
    <s v="Male"/>
    <s v="Kolkata"/>
    <m/>
    <n v="61"/>
    <x v="0"/>
    <n v="62"/>
    <n v="2500"/>
    <n v="147"/>
    <s v="Gold"/>
    <s v="Online"/>
    <s v="Higher"/>
  </r>
  <r>
    <s v="CUST102496"/>
    <n v="23"/>
    <x v="6"/>
    <m/>
    <m/>
    <n v="1300000"/>
    <n v="32"/>
    <x v="2"/>
    <n v="19"/>
    <n v="500"/>
    <n v="150"/>
    <s v="Bronze"/>
    <m/>
    <s v="Lower"/>
  </r>
  <r>
    <s v="CUST102497"/>
    <n v="26"/>
    <x v="3"/>
    <s v="Female"/>
    <s v="Pune"/>
    <n v="250000"/>
    <n v="26"/>
    <x v="2"/>
    <n v="43"/>
    <n v="300"/>
    <n v="52"/>
    <s v="Gold"/>
    <s v="Mobile App"/>
    <s v="Higher"/>
  </r>
  <r>
    <s v="CUST102498"/>
    <n v="50"/>
    <x v="2"/>
    <m/>
    <s v="Bengaluru"/>
    <m/>
    <n v="58"/>
    <x v="0"/>
    <n v="69"/>
    <n v="6900"/>
    <n v="243"/>
    <s v="Silver"/>
    <s v="Mobile App"/>
    <s v="Lower"/>
  </r>
  <r>
    <s v="CUST102499"/>
    <n v="58"/>
    <x v="0"/>
    <m/>
    <s v="Hyderabad"/>
    <n v="1600000"/>
    <n v="39"/>
    <x v="0"/>
    <n v="63"/>
    <n v="10300"/>
    <n v="219"/>
    <m/>
    <m/>
    <s v="Lower"/>
  </r>
  <r>
    <s v="CUST102500"/>
    <n v="42"/>
    <x v="4"/>
    <s v="Female"/>
    <s v="Chennai"/>
    <m/>
    <n v="20"/>
    <x v="2"/>
    <n v="10"/>
    <n v="7300"/>
    <n v="6"/>
    <m/>
    <s v="Online"/>
    <s v="Higher"/>
  </r>
  <r>
    <s v="CUST102501"/>
    <n v="65"/>
    <x v="0"/>
    <m/>
    <s v="Hyderabad"/>
    <n v="1600000"/>
    <n v="82"/>
    <x v="3"/>
    <n v="13"/>
    <n v="500"/>
    <n v="109"/>
    <m/>
    <s v="Online"/>
    <s v="Lower"/>
  </r>
  <r>
    <s v="CUST102502"/>
    <n v="30"/>
    <x v="3"/>
    <s v="Male"/>
    <s v="Ahmedabad"/>
    <n v="1300000"/>
    <n v="50"/>
    <x v="0"/>
    <n v="5"/>
    <n v="10200"/>
    <n v="351"/>
    <m/>
    <s v="Website"/>
    <s v="Higher"/>
  </r>
  <r>
    <s v="CUST102503"/>
    <n v="26"/>
    <x v="3"/>
    <s v="Unknown"/>
    <s v="Ahmedabad"/>
    <n v="450000"/>
    <n v="79"/>
    <x v="3"/>
    <n v="58"/>
    <n v="5100"/>
    <n v="66"/>
    <m/>
    <m/>
    <s v="Lower"/>
  </r>
  <r>
    <s v="CUST102504"/>
    <m/>
    <x v="5"/>
    <m/>
    <s v="Pune"/>
    <n v="950000"/>
    <n v="52"/>
    <x v="0"/>
    <n v="59"/>
    <n v="6900"/>
    <n v="10"/>
    <m/>
    <m/>
    <s v="Lower"/>
  </r>
  <r>
    <s v="CUST102505"/>
    <n v="30"/>
    <x v="3"/>
    <m/>
    <s v="Mumbai"/>
    <n v="1675000"/>
    <n v="86"/>
    <x v="3"/>
    <n v="76"/>
    <n v="5700"/>
    <n v="202"/>
    <s v="Gold"/>
    <s v="Website"/>
    <s v="Lower"/>
  </r>
  <r>
    <s v="CUST102506"/>
    <n v="48"/>
    <x v="2"/>
    <s v="Female"/>
    <s v="Ahmedabad"/>
    <n v="525000"/>
    <n v="22"/>
    <x v="2"/>
    <n v="59"/>
    <n v="600"/>
    <n v="282"/>
    <m/>
    <m/>
    <s v="Higher"/>
  </r>
  <r>
    <s v="CUST102507"/>
    <n v="58"/>
    <x v="0"/>
    <s v="Female"/>
    <s v="Ahmedabad"/>
    <n v="1225000"/>
    <n v="53"/>
    <x v="0"/>
    <n v="77"/>
    <n v="3300"/>
    <n v="214"/>
    <s v="Bronze"/>
    <m/>
    <s v="Higher"/>
  </r>
  <r>
    <s v="CUST102508"/>
    <n v="28"/>
    <x v="3"/>
    <s v="Female"/>
    <s v="Delhi"/>
    <n v="1575000"/>
    <n v="85"/>
    <x v="3"/>
    <n v="15"/>
    <n v="6800"/>
    <n v="68"/>
    <s v="Gold"/>
    <s v="Mobile App"/>
    <s v="Higher"/>
  </r>
  <r>
    <s v="CUST102509"/>
    <n v="21"/>
    <x v="6"/>
    <s v="Male"/>
    <s v="Chennai"/>
    <n v="275000"/>
    <n v="66"/>
    <x v="0"/>
    <n v="77"/>
    <n v="8000"/>
    <n v="247"/>
    <m/>
    <m/>
    <s v="Higher"/>
  </r>
  <r>
    <s v="CUST102510"/>
    <n v="51"/>
    <x v="2"/>
    <m/>
    <s v="Delhi"/>
    <n v="500000"/>
    <n v="43"/>
    <x v="0"/>
    <n v="1"/>
    <n v="10300"/>
    <n v="354"/>
    <m/>
    <s v="Online"/>
    <s v="Lower"/>
  </r>
  <r>
    <s v="CUST102511"/>
    <n v="55"/>
    <x v="0"/>
    <s v="Male"/>
    <s v="Chennai"/>
    <n v="225000"/>
    <n v="82"/>
    <x v="3"/>
    <n v="38"/>
    <n v="6600"/>
    <n v="327"/>
    <m/>
    <s v="Mobile App"/>
    <s v="Higher"/>
  </r>
  <r>
    <s v="CUST102512"/>
    <n v="63"/>
    <x v="0"/>
    <s v="Male"/>
    <m/>
    <n v="1525000"/>
    <n v="23"/>
    <x v="2"/>
    <n v="53"/>
    <n v="3300"/>
    <n v="50"/>
    <m/>
    <s v="Online"/>
    <s v="Higher"/>
  </r>
  <r>
    <s v="CUST102513"/>
    <n v="21"/>
    <x v="6"/>
    <m/>
    <s v="Kolkata"/>
    <n v="1725000"/>
    <n v="77"/>
    <x v="3"/>
    <n v="52"/>
    <n v="11900"/>
    <n v="17"/>
    <m/>
    <s v="Online"/>
    <s v="Lower"/>
  </r>
  <r>
    <s v="CUST102514"/>
    <n v="55"/>
    <x v="0"/>
    <s v="Female"/>
    <m/>
    <n v="1825000"/>
    <n v="64"/>
    <x v="0"/>
    <n v="1"/>
    <n v="6500"/>
    <n v="11"/>
    <m/>
    <s v="Website"/>
    <s v="Higher"/>
  </r>
  <r>
    <s v="CUST102515"/>
    <n v="36"/>
    <x v="4"/>
    <m/>
    <s v="Ahmedabad"/>
    <n v="975000"/>
    <n v="9"/>
    <x v="2"/>
    <n v="11"/>
    <n v="6800"/>
    <n v="309"/>
    <s v="Silver"/>
    <m/>
    <s v="Lower"/>
  </r>
  <r>
    <s v="CUST102516"/>
    <n v="23"/>
    <x v="6"/>
    <s v="Female"/>
    <m/>
    <n v="1525000"/>
    <n v="7"/>
    <x v="2"/>
    <n v="58"/>
    <n v="3300"/>
    <n v="306"/>
    <m/>
    <m/>
    <s v="Higher"/>
  </r>
  <r>
    <s v="CUST102517"/>
    <n v="51"/>
    <x v="2"/>
    <m/>
    <s v="Ahmedabad"/>
    <n v="925000"/>
    <n v="41"/>
    <x v="0"/>
    <n v="40"/>
    <n v="4900"/>
    <n v="124"/>
    <m/>
    <m/>
    <s v="Lower"/>
  </r>
  <r>
    <s v="CUST102518"/>
    <n v="35"/>
    <x v="4"/>
    <m/>
    <s v="Delhi"/>
    <n v="350000"/>
    <n v="54"/>
    <x v="0"/>
    <n v="60"/>
    <n v="10900"/>
    <n v="225"/>
    <s v="Gold"/>
    <m/>
    <s v="Lower"/>
  </r>
  <r>
    <s v="CUST102519"/>
    <n v="30"/>
    <x v="3"/>
    <s v="Male"/>
    <s v="Kolkata"/>
    <n v="1700000"/>
    <n v="65"/>
    <x v="0"/>
    <n v="44"/>
    <n v="2400"/>
    <n v="244"/>
    <m/>
    <m/>
    <s v="Higher"/>
  </r>
  <r>
    <s v="CUST102520"/>
    <n v="58"/>
    <x v="0"/>
    <s v="Female"/>
    <s v="Delhi"/>
    <n v="1925000"/>
    <n v="2"/>
    <x v="2"/>
    <n v="6"/>
    <n v="7600"/>
    <n v="318"/>
    <s v="Platinum"/>
    <s v="Mobile App"/>
    <s v="Higher"/>
  </r>
  <r>
    <s v="CUST102521"/>
    <n v="40"/>
    <x v="4"/>
    <s v="Female"/>
    <s v="Delhi"/>
    <n v="950000"/>
    <n v="4"/>
    <x v="2"/>
    <n v="28"/>
    <n v="11800"/>
    <n v="332"/>
    <s v="Silver"/>
    <s v="In-store"/>
    <s v="Higher"/>
  </r>
  <r>
    <s v="CUST102522"/>
    <n v="36"/>
    <x v="4"/>
    <m/>
    <s v="Chennai"/>
    <n v="650000"/>
    <n v="78"/>
    <x v="3"/>
    <n v="31"/>
    <n v="9600"/>
    <n v="346"/>
    <m/>
    <s v="Online"/>
    <s v="Lower"/>
  </r>
  <r>
    <s v="CUST102523"/>
    <n v="62"/>
    <x v="0"/>
    <s v="Unknown"/>
    <s v="Mumbai"/>
    <n v="1500000"/>
    <n v="32"/>
    <x v="2"/>
    <n v="8"/>
    <n v="9900"/>
    <n v="29"/>
    <m/>
    <m/>
    <s v="Lower"/>
  </r>
  <r>
    <s v="CUST102524"/>
    <n v="28"/>
    <x v="3"/>
    <s v="Unknown"/>
    <s v="Hyderabad"/>
    <m/>
    <n v="100"/>
    <x v="3"/>
    <n v="5"/>
    <n v="8500"/>
    <n v="358"/>
    <s v="Platinum"/>
    <m/>
    <s v="Lower"/>
  </r>
  <r>
    <s v="CUST102525"/>
    <n v="18"/>
    <x v="6"/>
    <s v="Female"/>
    <s v="Pune"/>
    <n v="1550000"/>
    <n v="2"/>
    <x v="2"/>
    <n v="54"/>
    <n v="4800"/>
    <n v="357"/>
    <m/>
    <s v="In-store"/>
    <s v="Higher"/>
  </r>
  <r>
    <s v="CUST102526"/>
    <n v="41"/>
    <x v="4"/>
    <s v="Unknown"/>
    <m/>
    <n v="175000"/>
    <n v="64"/>
    <x v="0"/>
    <n v="17"/>
    <n v="9100"/>
    <m/>
    <s v="Gold"/>
    <s v="In-store"/>
    <s v="Lower"/>
  </r>
  <r>
    <s v="CUST102527"/>
    <m/>
    <x v="5"/>
    <s v="Male"/>
    <m/>
    <n v="450000"/>
    <n v="14"/>
    <x v="2"/>
    <n v="38"/>
    <n v="6000"/>
    <m/>
    <s v="Silver"/>
    <s v="In-store"/>
    <s v="Higher"/>
  </r>
  <r>
    <s v="CUST102528"/>
    <n v="24"/>
    <x v="6"/>
    <m/>
    <s v="Ahmedabad"/>
    <n v="225000"/>
    <n v="20"/>
    <x v="2"/>
    <n v="9"/>
    <m/>
    <n v="285"/>
    <m/>
    <s v="Mobile App"/>
    <s v="Lower"/>
  </r>
  <r>
    <s v="CUST102529"/>
    <n v="42"/>
    <x v="4"/>
    <s v="Female"/>
    <s v="Delhi"/>
    <n v="1375000"/>
    <n v="89"/>
    <x v="3"/>
    <n v="74"/>
    <n v="6300"/>
    <n v="59"/>
    <s v="Gold"/>
    <s v="In-store"/>
    <s v="Higher"/>
  </r>
  <r>
    <s v="CUST102530"/>
    <n v="38"/>
    <x v="4"/>
    <s v="Female"/>
    <s v="Mumbai"/>
    <n v="1325000"/>
    <n v="49"/>
    <x v="0"/>
    <n v="78"/>
    <m/>
    <n v="143"/>
    <m/>
    <s v="Mobile App"/>
    <s v="Higher"/>
  </r>
  <r>
    <s v="CUST102531"/>
    <n v="32"/>
    <x v="3"/>
    <m/>
    <s v="Delhi"/>
    <n v="875000"/>
    <n v="8"/>
    <x v="2"/>
    <n v="14"/>
    <n v="4800"/>
    <n v="326"/>
    <s v="Platinum"/>
    <s v="Website"/>
    <s v="Lower"/>
  </r>
  <r>
    <s v="CUST102532"/>
    <n v="18"/>
    <x v="6"/>
    <s v="Female"/>
    <s v="Kolkata"/>
    <n v="850000"/>
    <n v="92"/>
    <x v="3"/>
    <n v="26"/>
    <n v="300"/>
    <n v="352"/>
    <m/>
    <s v="Website"/>
    <s v="Higher"/>
  </r>
  <r>
    <s v="CUST102533"/>
    <n v="29"/>
    <x v="3"/>
    <s v="Male"/>
    <s v="Chennai"/>
    <n v="325000"/>
    <n v="63"/>
    <x v="0"/>
    <n v="62"/>
    <n v="9800"/>
    <n v="300"/>
    <m/>
    <m/>
    <s v="Higher"/>
  </r>
  <r>
    <s v="CUST102534"/>
    <n v="24"/>
    <x v="6"/>
    <s v="Female"/>
    <m/>
    <n v="425000"/>
    <n v="46"/>
    <x v="0"/>
    <n v="25"/>
    <n v="2700"/>
    <n v="226"/>
    <s v="Silver"/>
    <s v="Website"/>
    <s v="Higher"/>
  </r>
  <r>
    <s v="CUST102535"/>
    <n v="32"/>
    <x v="3"/>
    <s v="Male"/>
    <s v="Hyderabad"/>
    <n v="1150000"/>
    <n v="21"/>
    <x v="2"/>
    <m/>
    <n v="6300"/>
    <n v="164"/>
    <m/>
    <s v="Mobile App"/>
    <s v="Higher"/>
  </r>
  <r>
    <s v="CUST102536"/>
    <n v="38"/>
    <x v="4"/>
    <m/>
    <s v="Kolkata"/>
    <n v="775000"/>
    <n v="87"/>
    <x v="3"/>
    <n v="36"/>
    <n v="10700"/>
    <n v="84"/>
    <s v="Gold"/>
    <s v="Mobile App"/>
    <s v="Lower"/>
  </r>
  <r>
    <s v="CUST102537"/>
    <n v="36"/>
    <x v="4"/>
    <s v="Female"/>
    <s v="Bengaluru"/>
    <n v="1375000"/>
    <n v="32"/>
    <x v="2"/>
    <m/>
    <n v="8300"/>
    <n v="313"/>
    <s v="Silver"/>
    <s v="Online"/>
    <s v="Higher"/>
  </r>
  <r>
    <s v="CUST102538"/>
    <n v="46"/>
    <x v="2"/>
    <s v="Unknown"/>
    <m/>
    <n v="175000"/>
    <n v="8"/>
    <x v="2"/>
    <n v="33"/>
    <n v="1600"/>
    <n v="117"/>
    <s v="Platinum"/>
    <s v="In-store"/>
    <s v="Lower"/>
  </r>
  <r>
    <s v="CUST102539"/>
    <n v="42"/>
    <x v="4"/>
    <s v="Female"/>
    <s v="Delhi"/>
    <n v="1500000"/>
    <n v="95"/>
    <x v="3"/>
    <n v="3"/>
    <n v="4700"/>
    <n v="320"/>
    <m/>
    <m/>
    <s v="Higher"/>
  </r>
  <r>
    <s v="CUST102540"/>
    <n v="50"/>
    <x v="2"/>
    <m/>
    <s v="Kolkata"/>
    <n v="1525000"/>
    <m/>
    <x v="1"/>
    <n v="11"/>
    <n v="7900"/>
    <n v="204"/>
    <s v="Silver"/>
    <m/>
    <s v="Lower"/>
  </r>
  <r>
    <s v="CUST102541"/>
    <n v="66"/>
    <x v="1"/>
    <s v="Male"/>
    <s v="Hyderabad"/>
    <n v="475000"/>
    <n v="16"/>
    <x v="2"/>
    <n v="58"/>
    <n v="10400"/>
    <n v="355"/>
    <s v="Platinum"/>
    <s v="In-store"/>
    <s v="Higher"/>
  </r>
  <r>
    <s v="CUST102542"/>
    <n v="49"/>
    <x v="2"/>
    <s v="Female"/>
    <s v="Mumbai"/>
    <n v="275000"/>
    <n v="40"/>
    <x v="0"/>
    <n v="64"/>
    <n v="4100"/>
    <n v="294"/>
    <s v="Platinum"/>
    <m/>
    <s v="Higher"/>
  </r>
  <r>
    <s v="CUST102543"/>
    <n v="66"/>
    <x v="1"/>
    <s v="Female"/>
    <s v="Mumbai"/>
    <n v="1650000"/>
    <n v="27"/>
    <x v="2"/>
    <n v="18"/>
    <n v="6800"/>
    <n v="145"/>
    <s v="Gold"/>
    <m/>
    <s v="Higher"/>
  </r>
  <r>
    <s v="CUST102544"/>
    <n v="52"/>
    <x v="2"/>
    <m/>
    <m/>
    <n v="425000"/>
    <n v="18"/>
    <x v="2"/>
    <n v="47"/>
    <n v="3400"/>
    <n v="27"/>
    <m/>
    <m/>
    <s v="Lower"/>
  </r>
  <r>
    <s v="CUST102545"/>
    <n v="61"/>
    <x v="0"/>
    <m/>
    <s v="Hyderabad"/>
    <n v="450000"/>
    <n v="35"/>
    <x v="0"/>
    <n v="44"/>
    <n v="9800"/>
    <n v="17"/>
    <s v="Platinum"/>
    <m/>
    <s v="Lower"/>
  </r>
  <r>
    <s v="CUST102546"/>
    <n v="55"/>
    <x v="0"/>
    <m/>
    <s v="Mumbai"/>
    <n v="600000"/>
    <n v="52"/>
    <x v="0"/>
    <n v="59"/>
    <n v="6000"/>
    <n v="63"/>
    <s v="Platinum"/>
    <s v="Mobile App"/>
    <s v="Lower"/>
  </r>
  <r>
    <s v="CUST102547"/>
    <n v="43"/>
    <x v="4"/>
    <s v="Male"/>
    <s v="Kolkata"/>
    <n v="1225000"/>
    <n v="15"/>
    <x v="2"/>
    <n v="50"/>
    <n v="10600"/>
    <n v="267"/>
    <m/>
    <s v="Mobile App"/>
    <s v="Higher"/>
  </r>
  <r>
    <s v="CUST102548"/>
    <n v="28"/>
    <x v="3"/>
    <m/>
    <m/>
    <n v="1600000"/>
    <n v="63"/>
    <x v="0"/>
    <n v="69"/>
    <n v="5800"/>
    <n v="64"/>
    <s v="Bronze"/>
    <s v="Mobile App"/>
    <s v="Lower"/>
  </r>
  <r>
    <s v="CUST102549"/>
    <n v="52"/>
    <x v="2"/>
    <s v="Unknown"/>
    <s v="Mumbai"/>
    <n v="1050000"/>
    <n v="53"/>
    <x v="0"/>
    <n v="29"/>
    <n v="800"/>
    <n v="39"/>
    <s v="Platinum"/>
    <s v="In-store"/>
    <s v="Lower"/>
  </r>
  <r>
    <s v="CUST102550"/>
    <n v="25"/>
    <x v="3"/>
    <s v="Male"/>
    <m/>
    <n v="750000"/>
    <n v="91"/>
    <x v="3"/>
    <n v="67"/>
    <n v="9100"/>
    <n v="130"/>
    <m/>
    <s v="Website"/>
    <s v="Higher"/>
  </r>
  <r>
    <s v="CUST102551"/>
    <n v="63"/>
    <x v="0"/>
    <m/>
    <s v="Chennai"/>
    <n v="525000"/>
    <n v="81"/>
    <x v="3"/>
    <n v="2"/>
    <n v="6900"/>
    <n v="115"/>
    <s v="Silver"/>
    <m/>
    <s v="Lower"/>
  </r>
  <r>
    <s v="CUST102552"/>
    <n v="31"/>
    <x v="3"/>
    <s v="Male"/>
    <s v="Bengaluru"/>
    <n v="1075000"/>
    <n v="66"/>
    <x v="0"/>
    <n v="25"/>
    <n v="8400"/>
    <n v="45"/>
    <m/>
    <m/>
    <s v="Higher"/>
  </r>
  <r>
    <s v="CUST102553"/>
    <n v="27"/>
    <x v="3"/>
    <s v="Unknown"/>
    <s v="Hyderabad"/>
    <n v="1200000"/>
    <n v="31"/>
    <x v="2"/>
    <n v="19"/>
    <n v="5200"/>
    <n v="216"/>
    <m/>
    <m/>
    <s v="Lower"/>
  </r>
  <r>
    <s v="CUST102554"/>
    <n v="19"/>
    <x v="6"/>
    <m/>
    <s v="Kolkata"/>
    <n v="475000"/>
    <n v="61"/>
    <x v="0"/>
    <n v="40"/>
    <m/>
    <n v="88"/>
    <m/>
    <s v="Online"/>
    <s v="Lower"/>
  </r>
  <r>
    <s v="CUST102555"/>
    <n v="63"/>
    <x v="0"/>
    <m/>
    <s v="Ahmedabad"/>
    <n v="275000"/>
    <n v="64"/>
    <x v="0"/>
    <n v="2"/>
    <m/>
    <n v="336"/>
    <m/>
    <s v="Mobile App"/>
    <s v="Lower"/>
  </r>
  <r>
    <s v="CUST102556"/>
    <n v="26"/>
    <x v="3"/>
    <s v="Male"/>
    <s v="Delhi"/>
    <n v="700000"/>
    <m/>
    <x v="1"/>
    <n v="65"/>
    <n v="4000"/>
    <n v="177"/>
    <m/>
    <m/>
    <s v="Higher"/>
  </r>
  <r>
    <s v="CUST102557"/>
    <n v="20"/>
    <x v="6"/>
    <s v="Male"/>
    <s v="Kolkata"/>
    <n v="1625000"/>
    <n v="98"/>
    <x v="3"/>
    <n v="62"/>
    <n v="10900"/>
    <n v="265"/>
    <m/>
    <m/>
    <s v="Higher"/>
  </r>
  <r>
    <s v="CUST102558"/>
    <n v="38"/>
    <x v="4"/>
    <s v="Male"/>
    <s v="Mumbai"/>
    <n v="425000"/>
    <n v="34"/>
    <x v="0"/>
    <n v="54"/>
    <n v="500"/>
    <n v="105"/>
    <s v="Gold"/>
    <s v="Online"/>
    <s v="Higher"/>
  </r>
  <r>
    <s v="CUST102559"/>
    <n v="43"/>
    <x v="4"/>
    <s v="Female"/>
    <s v="Kolkata"/>
    <n v="450000"/>
    <n v="55"/>
    <x v="0"/>
    <n v="45"/>
    <n v="11400"/>
    <n v="334"/>
    <s v="Bronze"/>
    <m/>
    <s v="Higher"/>
  </r>
  <r>
    <s v="CUST102560"/>
    <n v="25"/>
    <x v="3"/>
    <s v="Unknown"/>
    <s v="Ahmedabad"/>
    <n v="275000"/>
    <n v="59"/>
    <x v="0"/>
    <n v="49"/>
    <n v="700"/>
    <n v="301"/>
    <m/>
    <m/>
    <s v="Lower"/>
  </r>
  <r>
    <s v="CUST102561"/>
    <n v="65"/>
    <x v="0"/>
    <s v="Female"/>
    <s v="Delhi"/>
    <n v="1700000"/>
    <n v="3"/>
    <x v="2"/>
    <n v="69"/>
    <n v="2600"/>
    <n v="171"/>
    <s v="Bronze"/>
    <m/>
    <s v="Higher"/>
  </r>
  <r>
    <s v="CUST102562"/>
    <n v="19"/>
    <x v="6"/>
    <s v="Male"/>
    <m/>
    <n v="1075000"/>
    <n v="17"/>
    <x v="2"/>
    <n v="38"/>
    <n v="5600"/>
    <n v="108"/>
    <m/>
    <s v="Website"/>
    <s v="Higher"/>
  </r>
  <r>
    <s v="CUST102563"/>
    <n v="23"/>
    <x v="6"/>
    <m/>
    <s v="Mumbai"/>
    <n v="1375000"/>
    <n v="78"/>
    <x v="3"/>
    <n v="4"/>
    <n v="3600"/>
    <n v="355"/>
    <m/>
    <s v="Online"/>
    <s v="Lower"/>
  </r>
  <r>
    <s v="CUST102564"/>
    <n v="45"/>
    <x v="2"/>
    <m/>
    <s v="Pune"/>
    <n v="1425000"/>
    <n v="78"/>
    <x v="3"/>
    <n v="17"/>
    <n v="11300"/>
    <n v="161"/>
    <s v="Silver"/>
    <m/>
    <s v="Lower"/>
  </r>
  <r>
    <s v="CUST102565"/>
    <m/>
    <x v="5"/>
    <m/>
    <s v="Mumbai"/>
    <n v="1125000"/>
    <n v="46"/>
    <x v="0"/>
    <n v="53"/>
    <n v="11400"/>
    <n v="283"/>
    <s v="Bronze"/>
    <m/>
    <s v="Lower"/>
  </r>
  <r>
    <s v="CUST102566"/>
    <n v="46"/>
    <x v="2"/>
    <s v="Male"/>
    <s v="Bengaluru"/>
    <n v="325000"/>
    <n v="38"/>
    <x v="0"/>
    <n v="53"/>
    <n v="4100"/>
    <n v="40"/>
    <s v="Bronze"/>
    <s v="Mobile App"/>
    <s v="Higher"/>
  </r>
  <r>
    <s v="CUST102567"/>
    <n v="43"/>
    <x v="4"/>
    <m/>
    <s v="Pune"/>
    <n v="1650000"/>
    <n v="35"/>
    <x v="0"/>
    <n v="31"/>
    <n v="11400"/>
    <n v="26"/>
    <m/>
    <s v="Website"/>
    <s v="Lower"/>
  </r>
  <r>
    <s v="CUST102568"/>
    <n v="42"/>
    <x v="4"/>
    <m/>
    <s v="Bengaluru"/>
    <n v="325000"/>
    <n v="1"/>
    <x v="2"/>
    <n v="22"/>
    <n v="9000"/>
    <n v="83"/>
    <s v="Bronze"/>
    <m/>
    <s v="Lower"/>
  </r>
  <r>
    <s v="CUST102569"/>
    <n v="29"/>
    <x v="3"/>
    <s v="Unknown"/>
    <s v="Ahmedabad"/>
    <n v="975000"/>
    <n v="29"/>
    <x v="2"/>
    <n v="11"/>
    <n v="10200"/>
    <n v="173"/>
    <s v="Gold"/>
    <s v="Website"/>
    <s v="Lower"/>
  </r>
  <r>
    <s v="CUST102570"/>
    <n v="22"/>
    <x v="6"/>
    <m/>
    <s v="Hyderabad"/>
    <n v="1625000"/>
    <n v="4"/>
    <x v="2"/>
    <n v="34"/>
    <n v="9400"/>
    <n v="173"/>
    <m/>
    <s v="Mobile App"/>
    <s v="Lower"/>
  </r>
  <r>
    <s v="CUST102571"/>
    <n v="51"/>
    <x v="2"/>
    <m/>
    <s v="Delhi"/>
    <n v="1550000"/>
    <n v="61"/>
    <x v="0"/>
    <n v="15"/>
    <n v="5000"/>
    <n v="282"/>
    <s v="Bronze"/>
    <s v="Online"/>
    <s v="Lower"/>
  </r>
  <r>
    <s v="CUST102572"/>
    <n v="65"/>
    <x v="0"/>
    <s v="Female"/>
    <s v="Chennai"/>
    <n v="1275000"/>
    <n v="97"/>
    <x v="3"/>
    <n v="10"/>
    <n v="5100"/>
    <n v="70"/>
    <s v="Bronze"/>
    <m/>
    <s v="Higher"/>
  </r>
  <r>
    <s v="CUST102573"/>
    <n v="54"/>
    <x v="2"/>
    <s v="Female"/>
    <m/>
    <n v="675000"/>
    <n v="17"/>
    <x v="2"/>
    <n v="53"/>
    <n v="3600"/>
    <n v="323"/>
    <s v="Bronze"/>
    <m/>
    <s v="Higher"/>
  </r>
  <r>
    <s v="CUST102574"/>
    <n v="32"/>
    <x v="3"/>
    <m/>
    <s v="Chennai"/>
    <n v="1125000"/>
    <n v="28"/>
    <x v="2"/>
    <n v="48"/>
    <n v="8200"/>
    <n v="6"/>
    <m/>
    <s v="In-store"/>
    <s v="Lower"/>
  </r>
  <r>
    <s v="CUST102575"/>
    <n v="61"/>
    <x v="0"/>
    <s v="Unknown"/>
    <m/>
    <n v="1250000"/>
    <n v="50"/>
    <x v="0"/>
    <n v="31"/>
    <n v="10200"/>
    <n v="284"/>
    <s v="Silver"/>
    <s v="In-store"/>
    <s v="Lower"/>
  </r>
  <r>
    <s v="CUST102576"/>
    <n v="53"/>
    <x v="2"/>
    <m/>
    <m/>
    <n v="1500000"/>
    <n v="90"/>
    <x v="3"/>
    <n v="37"/>
    <n v="900"/>
    <n v="195"/>
    <s v="Platinum"/>
    <s v="In-store"/>
    <s v="Lower"/>
  </r>
  <r>
    <s v="CUST102577"/>
    <n v="32"/>
    <x v="3"/>
    <s v="Female"/>
    <s v="Ahmedabad"/>
    <n v="1400000"/>
    <n v="8"/>
    <x v="2"/>
    <n v="28"/>
    <n v="2000"/>
    <n v="13"/>
    <m/>
    <m/>
    <s v="Higher"/>
  </r>
  <r>
    <s v="CUST102578"/>
    <n v="60"/>
    <x v="0"/>
    <s v="Male"/>
    <s v="Hyderabad"/>
    <n v="250000"/>
    <n v="34"/>
    <x v="0"/>
    <n v="31"/>
    <n v="7200"/>
    <n v="63"/>
    <s v="Bronze"/>
    <s v="Website"/>
    <s v="Higher"/>
  </r>
  <r>
    <s v="CUST102579"/>
    <n v="65"/>
    <x v="0"/>
    <s v="Male"/>
    <m/>
    <n v="450000"/>
    <n v="59"/>
    <x v="0"/>
    <n v="70"/>
    <n v="11600"/>
    <n v="13"/>
    <s v="Platinum"/>
    <s v="In-store"/>
    <s v="Higher"/>
  </r>
  <r>
    <s v="CUST102580"/>
    <n v="40"/>
    <x v="4"/>
    <s v="Female"/>
    <s v="Mumbai"/>
    <n v="825000"/>
    <n v="18"/>
    <x v="2"/>
    <n v="14"/>
    <n v="9400"/>
    <n v="249"/>
    <s v="Platinum"/>
    <s v="Online"/>
    <s v="Higher"/>
  </r>
  <r>
    <s v="CUST102581"/>
    <n v="23"/>
    <x v="6"/>
    <m/>
    <s v="Kolkata"/>
    <n v="1675000"/>
    <n v="95"/>
    <x v="3"/>
    <n v="16"/>
    <n v="10500"/>
    <n v="205"/>
    <s v="Bronze"/>
    <m/>
    <s v="Lower"/>
  </r>
  <r>
    <s v="CUST102582"/>
    <n v="63"/>
    <x v="0"/>
    <s v="Unknown"/>
    <s v="Bengaluru"/>
    <n v="725000"/>
    <n v="59"/>
    <x v="0"/>
    <n v="25"/>
    <n v="3600"/>
    <n v="253"/>
    <s v="Bronze"/>
    <s v="Website"/>
    <s v="Lower"/>
  </r>
  <r>
    <s v="CUST102583"/>
    <n v="67"/>
    <x v="1"/>
    <s v="Male"/>
    <m/>
    <n v="300000"/>
    <n v="27"/>
    <x v="2"/>
    <n v="39"/>
    <n v="5300"/>
    <n v="40"/>
    <m/>
    <m/>
    <s v="Higher"/>
  </r>
  <r>
    <s v="CUST102584"/>
    <n v="61"/>
    <x v="0"/>
    <m/>
    <s v="Ahmedabad"/>
    <n v="1075000"/>
    <n v="16"/>
    <x v="2"/>
    <n v="66"/>
    <n v="10700"/>
    <n v="165"/>
    <s v="Platinum"/>
    <s v="Online"/>
    <s v="Lower"/>
  </r>
  <r>
    <s v="CUST102585"/>
    <n v="60"/>
    <x v="0"/>
    <s v="Male"/>
    <s v="Bengaluru"/>
    <n v="1050000"/>
    <n v="10"/>
    <x v="2"/>
    <n v="38"/>
    <n v="9500"/>
    <n v="31"/>
    <s v="Silver"/>
    <m/>
    <s v="Higher"/>
  </r>
  <r>
    <s v="CUST102586"/>
    <n v="62"/>
    <x v="0"/>
    <s v="Female"/>
    <s v="Mumbai"/>
    <n v="1825000"/>
    <n v="76"/>
    <x v="3"/>
    <n v="41"/>
    <n v="7000"/>
    <n v="17"/>
    <s v="Platinum"/>
    <s v="Website"/>
    <s v="Higher"/>
  </r>
  <r>
    <s v="CUST102587"/>
    <n v="38"/>
    <x v="4"/>
    <s v="Female"/>
    <s v="Hyderabad"/>
    <n v="1175000"/>
    <n v="22"/>
    <x v="2"/>
    <n v="40"/>
    <n v="1600"/>
    <n v="137"/>
    <s v="Silver"/>
    <s v="Website"/>
    <s v="Higher"/>
  </r>
  <r>
    <s v="CUST102588"/>
    <n v="40"/>
    <x v="4"/>
    <m/>
    <s v="Delhi"/>
    <n v="250000"/>
    <n v="16"/>
    <x v="2"/>
    <n v="64"/>
    <n v="7100"/>
    <m/>
    <s v="Gold"/>
    <s v="Website"/>
    <s v="Lower"/>
  </r>
  <r>
    <s v="CUST102589"/>
    <n v="60"/>
    <x v="0"/>
    <s v="Female"/>
    <s v="Chennai"/>
    <n v="1725000"/>
    <n v="12"/>
    <x v="2"/>
    <n v="16"/>
    <n v="9100"/>
    <n v="320"/>
    <s v="Silver"/>
    <s v="Mobile App"/>
    <s v="Higher"/>
  </r>
  <r>
    <s v="CUST102590"/>
    <s v="NA"/>
    <x v="5"/>
    <s v="Female"/>
    <s v="Mumbai"/>
    <n v="1375000"/>
    <n v="75"/>
    <x v="3"/>
    <n v="77"/>
    <n v="10500"/>
    <n v="313"/>
    <m/>
    <m/>
    <s v="Higher"/>
  </r>
  <r>
    <s v="CUST102591"/>
    <n v="33"/>
    <x v="3"/>
    <s v="Female"/>
    <m/>
    <n v="500000"/>
    <n v="84"/>
    <x v="3"/>
    <n v="59"/>
    <n v="1000"/>
    <n v="165"/>
    <m/>
    <s v="In-store"/>
    <s v="Higher"/>
  </r>
  <r>
    <s v="CUST102592"/>
    <n v="64"/>
    <x v="0"/>
    <s v="Male"/>
    <s v="Pune"/>
    <n v="1950000"/>
    <n v="51"/>
    <x v="0"/>
    <n v="11"/>
    <n v="1700"/>
    <n v="281"/>
    <s v="Bronze"/>
    <s v="Mobile App"/>
    <s v="Higher"/>
  </r>
  <r>
    <s v="CUST102593"/>
    <m/>
    <x v="5"/>
    <s v="Female"/>
    <s v="Ahmedabad"/>
    <n v="1450000"/>
    <n v="1"/>
    <x v="2"/>
    <n v="1"/>
    <n v="8500"/>
    <n v="223"/>
    <s v="Gold"/>
    <m/>
    <s v="Higher"/>
  </r>
  <r>
    <s v="CUST102594"/>
    <n v="32"/>
    <x v="3"/>
    <s v="Female"/>
    <s v="Chennai"/>
    <n v="750000"/>
    <n v="27"/>
    <x v="2"/>
    <n v="13"/>
    <n v="6100"/>
    <n v="122"/>
    <s v="Platinum"/>
    <m/>
    <s v="Higher"/>
  </r>
  <r>
    <s v="CUST102595"/>
    <n v="42"/>
    <x v="4"/>
    <m/>
    <m/>
    <n v="350000"/>
    <n v="67"/>
    <x v="3"/>
    <n v="30"/>
    <n v="1300"/>
    <n v="78"/>
    <s v="Silver"/>
    <s v="In-store"/>
    <s v="Lower"/>
  </r>
  <r>
    <s v="CUST102596"/>
    <n v="53"/>
    <x v="2"/>
    <s v="Female"/>
    <s v="Delhi"/>
    <n v="1075000"/>
    <n v="12"/>
    <x v="2"/>
    <n v="69"/>
    <n v="2200"/>
    <n v="313"/>
    <s v="Gold"/>
    <s v="Mobile App"/>
    <s v="Higher"/>
  </r>
  <r>
    <s v="CUST102597"/>
    <n v="28"/>
    <x v="3"/>
    <s v="Female"/>
    <m/>
    <n v="675000"/>
    <n v="30"/>
    <x v="2"/>
    <n v="18"/>
    <n v="5700"/>
    <n v="327"/>
    <m/>
    <s v="Mobile App"/>
    <s v="Higher"/>
  </r>
  <r>
    <s v="CUST102598"/>
    <n v="68"/>
    <x v="1"/>
    <m/>
    <s v="Hyderabad"/>
    <n v="1350000"/>
    <n v="9"/>
    <x v="2"/>
    <n v="78"/>
    <n v="3800"/>
    <n v="88"/>
    <s v="Silver"/>
    <s v="Online"/>
    <s v="Lower"/>
  </r>
  <r>
    <s v="CUST102599"/>
    <n v="32"/>
    <x v="3"/>
    <s v="Unknown"/>
    <s v="Pune"/>
    <n v="1825000"/>
    <n v="53"/>
    <x v="0"/>
    <n v="13"/>
    <n v="8400"/>
    <n v="113"/>
    <m/>
    <s v="Mobile App"/>
    <s v="Lower"/>
  </r>
  <r>
    <s v="CUST102600"/>
    <n v="21"/>
    <x v="6"/>
    <s v="Female"/>
    <s v="Bengaluru"/>
    <n v="500000"/>
    <n v="61"/>
    <x v="0"/>
    <n v="32"/>
    <n v="1600"/>
    <n v="100"/>
    <s v="Platinum"/>
    <s v="Website"/>
    <s v="Higher"/>
  </r>
  <r>
    <s v="CUST102601"/>
    <n v="38"/>
    <x v="4"/>
    <s v="Male"/>
    <s v="Chennai"/>
    <n v="1750000"/>
    <n v="54"/>
    <x v="0"/>
    <n v="71"/>
    <n v="6000"/>
    <n v="303"/>
    <s v="Platinum"/>
    <m/>
    <s v="Higher"/>
  </r>
  <r>
    <s v="CUST102602"/>
    <n v="30"/>
    <x v="3"/>
    <s v="Unknown"/>
    <s v="Pune"/>
    <n v="1475000"/>
    <n v="37"/>
    <x v="0"/>
    <n v="72"/>
    <n v="4000"/>
    <n v="239"/>
    <s v="Silver"/>
    <s v="Mobile App"/>
    <s v="Lower"/>
  </r>
  <r>
    <s v="CUST102603"/>
    <n v="39"/>
    <x v="4"/>
    <m/>
    <s v="Kolkata"/>
    <n v="875000"/>
    <n v="65"/>
    <x v="0"/>
    <n v="50"/>
    <n v="9100"/>
    <n v="346"/>
    <m/>
    <s v="Website"/>
    <s v="Lower"/>
  </r>
  <r>
    <s v="CUST102604"/>
    <n v="36"/>
    <x v="4"/>
    <s v="Male"/>
    <s v="Mumbai"/>
    <n v="625000"/>
    <n v="42"/>
    <x v="0"/>
    <n v="71"/>
    <n v="8200"/>
    <n v="111"/>
    <s v="Bronze"/>
    <m/>
    <s v="Higher"/>
  </r>
  <r>
    <s v="CUST102605"/>
    <n v="51"/>
    <x v="2"/>
    <s v="Female"/>
    <s v="Kolkata"/>
    <n v="950000"/>
    <n v="49"/>
    <x v="0"/>
    <m/>
    <n v="8400"/>
    <n v="90"/>
    <s v="Bronze"/>
    <m/>
    <s v="Higher"/>
  </r>
  <r>
    <s v="CUST102606"/>
    <n v="31"/>
    <x v="3"/>
    <m/>
    <s v="Mumbai"/>
    <s v="unknown"/>
    <n v="4"/>
    <x v="2"/>
    <n v="31"/>
    <n v="300"/>
    <n v="139"/>
    <s v="Platinum"/>
    <s v="Website"/>
    <s v="Lower"/>
  </r>
  <r>
    <s v="CUST102607"/>
    <n v="21"/>
    <x v="6"/>
    <s v="Male"/>
    <s v="Hyderabad"/>
    <n v="300000"/>
    <n v="64"/>
    <x v="0"/>
    <n v="51"/>
    <n v="10600"/>
    <n v="135"/>
    <m/>
    <s v="Online"/>
    <s v="Higher"/>
  </r>
  <r>
    <s v="CUST102608"/>
    <n v="65"/>
    <x v="0"/>
    <m/>
    <s v="Pune"/>
    <n v="325000"/>
    <n v="79"/>
    <x v="3"/>
    <n v="27"/>
    <n v="6700"/>
    <n v="12"/>
    <s v="Platinum"/>
    <s v="Online"/>
    <s v="Lower"/>
  </r>
  <r>
    <s v="CUST102609"/>
    <m/>
    <x v="5"/>
    <s v="Unknown"/>
    <s v="Delhi"/>
    <n v="825000"/>
    <n v="51"/>
    <x v="0"/>
    <n v="60"/>
    <n v="300"/>
    <n v="244"/>
    <s v="Bronze"/>
    <m/>
    <s v="Lower"/>
  </r>
  <r>
    <s v="CUST102610"/>
    <n v="69"/>
    <x v="1"/>
    <m/>
    <m/>
    <n v="1250000"/>
    <n v="91"/>
    <x v="3"/>
    <n v="33"/>
    <n v="11700"/>
    <n v="182"/>
    <s v="Platinum"/>
    <m/>
    <s v="Lower"/>
  </r>
  <r>
    <s v="CUST102611"/>
    <n v="63"/>
    <x v="0"/>
    <s v="Female"/>
    <m/>
    <n v="1950000"/>
    <n v="72"/>
    <x v="3"/>
    <n v="53"/>
    <n v="8700"/>
    <n v="195"/>
    <s v="Silver"/>
    <s v="Mobile App"/>
    <s v="Higher"/>
  </r>
  <r>
    <s v="CUST102612"/>
    <n v="44"/>
    <x v="4"/>
    <s v="Female"/>
    <m/>
    <n v="1975000"/>
    <n v="60"/>
    <x v="0"/>
    <n v="72"/>
    <n v="6200"/>
    <n v="362"/>
    <m/>
    <m/>
    <s v="Higher"/>
  </r>
  <r>
    <s v="CUST102613"/>
    <n v="46"/>
    <x v="2"/>
    <m/>
    <s v="Pune"/>
    <n v="400000"/>
    <n v="87"/>
    <x v="3"/>
    <n v="33"/>
    <n v="2700"/>
    <n v="122"/>
    <s v="Silver"/>
    <m/>
    <s v="Lower"/>
  </r>
  <r>
    <s v="CUST102614"/>
    <n v="64"/>
    <x v="0"/>
    <s v="Female"/>
    <s v="Kolkata"/>
    <n v="900000"/>
    <n v="79"/>
    <x v="3"/>
    <n v="41"/>
    <n v="9300"/>
    <n v="53"/>
    <m/>
    <s v="Website"/>
    <s v="Higher"/>
  </r>
  <r>
    <s v="CUST102615"/>
    <n v="45"/>
    <x v="2"/>
    <s v="Male"/>
    <m/>
    <n v="425000"/>
    <n v="91"/>
    <x v="3"/>
    <n v="19"/>
    <n v="1200"/>
    <n v="356"/>
    <m/>
    <s v="Online"/>
    <s v="Higher"/>
  </r>
  <r>
    <s v="CUST102616"/>
    <n v="52"/>
    <x v="2"/>
    <s v="Female"/>
    <s v="Ahmedabad"/>
    <n v="1400000"/>
    <n v="31"/>
    <x v="2"/>
    <n v="41"/>
    <n v="5200"/>
    <n v="173"/>
    <s v="Bronze"/>
    <m/>
    <s v="Higher"/>
  </r>
  <r>
    <s v="CUST102617"/>
    <n v="25"/>
    <x v="3"/>
    <s v="Unknown"/>
    <m/>
    <n v="1225000"/>
    <n v="72"/>
    <x v="3"/>
    <n v="42"/>
    <n v="1400"/>
    <n v="179"/>
    <m/>
    <s v="Website"/>
    <s v="Lower"/>
  </r>
  <r>
    <s v="CUST102618"/>
    <n v="33"/>
    <x v="3"/>
    <s v="Unknown"/>
    <s v="Mumbai"/>
    <n v="1375000"/>
    <n v="94"/>
    <x v="3"/>
    <n v="23"/>
    <n v="9400"/>
    <n v="293"/>
    <m/>
    <m/>
    <s v="Lower"/>
  </r>
  <r>
    <s v="CUST102619"/>
    <n v="59"/>
    <x v="0"/>
    <s v="Female"/>
    <s v="Ahmedabad"/>
    <n v="550000"/>
    <n v="58"/>
    <x v="0"/>
    <n v="75"/>
    <n v="11500"/>
    <n v="59"/>
    <s v="Bronze"/>
    <s v="In-store"/>
    <s v="Higher"/>
  </r>
  <r>
    <s v="CUST102620"/>
    <n v="53"/>
    <x v="2"/>
    <s v="Unknown"/>
    <s v="Chennai"/>
    <n v="1000000"/>
    <n v="82"/>
    <x v="3"/>
    <n v="33"/>
    <n v="3400"/>
    <n v="54"/>
    <s v="Gold"/>
    <s v="Mobile App"/>
    <s v="Lower"/>
  </r>
  <r>
    <s v="CUST102621"/>
    <n v="47"/>
    <x v="2"/>
    <s v="Female"/>
    <m/>
    <n v="150000"/>
    <n v="4"/>
    <x v="2"/>
    <n v="20"/>
    <n v="3500"/>
    <n v="257"/>
    <s v="Gold"/>
    <m/>
    <s v="Higher"/>
  </r>
  <r>
    <s v="CUST102622"/>
    <n v="35"/>
    <x v="4"/>
    <m/>
    <s v="Ahmedabad"/>
    <n v="850000"/>
    <n v="22"/>
    <x v="2"/>
    <n v="25"/>
    <n v="7400"/>
    <n v="245"/>
    <s v="Platinum"/>
    <s v="Website"/>
    <s v="Lower"/>
  </r>
  <r>
    <s v="CUST102623"/>
    <n v="19"/>
    <x v="6"/>
    <s v="Female"/>
    <s v="Pune"/>
    <n v="1400000"/>
    <n v="3"/>
    <x v="2"/>
    <n v="52"/>
    <n v="10800"/>
    <n v="149"/>
    <s v="Gold"/>
    <s v="In-store"/>
    <s v="Higher"/>
  </r>
  <r>
    <s v="CUST102624"/>
    <n v="66"/>
    <x v="1"/>
    <m/>
    <m/>
    <n v="1725000"/>
    <n v="79"/>
    <x v="3"/>
    <n v="12"/>
    <n v="2800"/>
    <n v="284"/>
    <s v="Silver"/>
    <s v="In-store"/>
    <s v="Lower"/>
  </r>
  <r>
    <s v="CUST102625"/>
    <n v="30"/>
    <x v="3"/>
    <s v="Female"/>
    <s v="Chennai"/>
    <n v="225000"/>
    <n v="99"/>
    <x v="3"/>
    <n v="32"/>
    <n v="4400"/>
    <n v="16"/>
    <m/>
    <m/>
    <s v="Higher"/>
  </r>
  <r>
    <s v="CUST102626"/>
    <n v="21"/>
    <x v="6"/>
    <m/>
    <s v="Delhi"/>
    <n v="825000"/>
    <n v="47"/>
    <x v="0"/>
    <n v="33"/>
    <n v="5200"/>
    <n v="176"/>
    <m/>
    <m/>
    <s v="Lower"/>
  </r>
  <r>
    <s v="CUST102627"/>
    <n v="43"/>
    <x v="4"/>
    <m/>
    <s v="Delhi"/>
    <n v="525000"/>
    <n v="38"/>
    <x v="0"/>
    <n v="74"/>
    <n v="6300"/>
    <n v="28"/>
    <s v="Platinum"/>
    <s v="Online"/>
    <s v="Lower"/>
  </r>
  <r>
    <s v="CUST102628"/>
    <n v="42"/>
    <x v="4"/>
    <m/>
    <s v="Hyderabad"/>
    <n v="1700000"/>
    <n v="33"/>
    <x v="2"/>
    <n v="68"/>
    <n v="4300"/>
    <n v="129"/>
    <m/>
    <s v="In-store"/>
    <s v="Lower"/>
  </r>
  <r>
    <s v="CUST102629"/>
    <n v="47"/>
    <x v="2"/>
    <m/>
    <m/>
    <m/>
    <n v="78"/>
    <x v="3"/>
    <n v="15"/>
    <n v="5900"/>
    <n v="223"/>
    <s v="Bronze"/>
    <s v="Mobile App"/>
    <s v="Lower"/>
  </r>
  <r>
    <s v="CUST102630"/>
    <n v="28"/>
    <x v="3"/>
    <m/>
    <m/>
    <n v="1450000"/>
    <n v="48"/>
    <x v="0"/>
    <n v="51"/>
    <n v="400"/>
    <n v="244"/>
    <s v="Gold"/>
    <s v="Website"/>
    <s v="Lower"/>
  </r>
  <r>
    <s v="CUST102631"/>
    <n v="24"/>
    <x v="6"/>
    <s v="Female"/>
    <s v="Bengaluru"/>
    <n v="550000"/>
    <n v="65"/>
    <x v="0"/>
    <n v="6"/>
    <n v="10100"/>
    <n v="354"/>
    <s v="Bronze"/>
    <s v="Website"/>
    <s v="Higher"/>
  </r>
  <r>
    <s v="CUST102632"/>
    <n v="48"/>
    <x v="2"/>
    <m/>
    <s v="Ahmedabad"/>
    <n v="1125000"/>
    <n v="26"/>
    <x v="2"/>
    <n v="69"/>
    <n v="10000"/>
    <n v="238"/>
    <s v="Platinum"/>
    <s v="Website"/>
    <s v="Lower"/>
  </r>
  <r>
    <s v="CUST102633"/>
    <n v="61"/>
    <x v="0"/>
    <m/>
    <s v="Chennai"/>
    <n v="450000"/>
    <n v="8"/>
    <x v="2"/>
    <n v="69"/>
    <n v="7200"/>
    <n v="232"/>
    <m/>
    <m/>
    <s v="Lower"/>
  </r>
  <r>
    <s v="CUST102634"/>
    <n v="27"/>
    <x v="3"/>
    <s v="Male"/>
    <s v="Pune"/>
    <n v="1425000"/>
    <n v="50"/>
    <x v="0"/>
    <n v="35"/>
    <n v="3300"/>
    <n v="326"/>
    <s v="Silver"/>
    <s v="Website"/>
    <s v="Higher"/>
  </r>
  <r>
    <s v="CUST102635"/>
    <n v="56"/>
    <x v="0"/>
    <s v="Female"/>
    <m/>
    <n v="1575000"/>
    <n v="80"/>
    <x v="3"/>
    <n v="34"/>
    <n v="2500"/>
    <n v="92"/>
    <s v="Gold"/>
    <s v="Website"/>
    <s v="Higher"/>
  </r>
  <r>
    <s v="CUST102636"/>
    <n v="30"/>
    <x v="3"/>
    <m/>
    <s v="Pune"/>
    <n v="1050000"/>
    <n v="38"/>
    <x v="0"/>
    <n v="63"/>
    <n v="7800"/>
    <n v="3"/>
    <s v="Bronze"/>
    <s v="Mobile App"/>
    <s v="Lower"/>
  </r>
  <r>
    <s v="CUST102637"/>
    <n v="48"/>
    <x v="2"/>
    <m/>
    <s v="Bengaluru"/>
    <m/>
    <n v="10"/>
    <x v="2"/>
    <n v="68"/>
    <n v="5600"/>
    <n v="81"/>
    <m/>
    <s v="Online"/>
    <s v="Lower"/>
  </r>
  <r>
    <s v="CUST102638"/>
    <n v="24"/>
    <x v="6"/>
    <s v="Unknown"/>
    <s v="Hyderabad"/>
    <n v="1650000"/>
    <n v="42"/>
    <x v="0"/>
    <n v="18"/>
    <n v="11700"/>
    <n v="44"/>
    <s v="Gold"/>
    <m/>
    <s v="Lower"/>
  </r>
  <r>
    <s v="CUST102639"/>
    <n v="66"/>
    <x v="1"/>
    <m/>
    <s v="Bengaluru"/>
    <n v="975000"/>
    <n v="37"/>
    <x v="0"/>
    <n v="26"/>
    <n v="3000"/>
    <n v="155"/>
    <m/>
    <m/>
    <s v="Lower"/>
  </r>
  <r>
    <s v="CUST102640"/>
    <n v="59"/>
    <x v="0"/>
    <s v="Female"/>
    <s v="Mumbai"/>
    <n v="1875000"/>
    <n v="26"/>
    <x v="2"/>
    <n v="61"/>
    <n v="8100"/>
    <n v="24"/>
    <s v="Silver"/>
    <m/>
    <s v="Higher"/>
  </r>
  <r>
    <s v="CUST102641"/>
    <n v="59"/>
    <x v="0"/>
    <m/>
    <s v="Kolkata"/>
    <n v="550000"/>
    <n v="92"/>
    <x v="3"/>
    <n v="78"/>
    <n v="2100"/>
    <n v="99"/>
    <m/>
    <s v="Website"/>
    <s v="Lower"/>
  </r>
  <r>
    <s v="CUST102642"/>
    <n v="53"/>
    <x v="2"/>
    <s v="Male"/>
    <s v="Chennai"/>
    <n v="625000"/>
    <n v="12"/>
    <x v="2"/>
    <n v="74"/>
    <n v="7800"/>
    <n v="171"/>
    <s v="Gold"/>
    <s v="Mobile App"/>
    <s v="Higher"/>
  </r>
  <r>
    <s v="CUST102643"/>
    <n v="37"/>
    <x v="4"/>
    <s v="Female"/>
    <s v="Kolkata"/>
    <n v="1950000"/>
    <n v="84"/>
    <x v="3"/>
    <n v="48"/>
    <n v="11600"/>
    <n v="148"/>
    <s v="Silver"/>
    <s v="In-store"/>
    <s v="Higher"/>
  </r>
  <r>
    <s v="CUST102644"/>
    <n v="21"/>
    <x v="6"/>
    <s v="Female"/>
    <s v="Bengaluru"/>
    <n v="1600000"/>
    <n v="49"/>
    <x v="0"/>
    <n v="72"/>
    <n v="5000"/>
    <n v="123"/>
    <m/>
    <s v="Website"/>
    <s v="Higher"/>
  </r>
  <r>
    <s v="CUST102645"/>
    <m/>
    <x v="5"/>
    <m/>
    <s v="Hyderabad"/>
    <n v="1850000"/>
    <n v="14"/>
    <x v="2"/>
    <n v="31"/>
    <n v="400"/>
    <n v="112"/>
    <m/>
    <s v="Website"/>
    <s v="Lower"/>
  </r>
  <r>
    <s v="CUST102646"/>
    <n v="24"/>
    <x v="6"/>
    <m/>
    <s v="Hyderabad"/>
    <n v="950000"/>
    <n v="46"/>
    <x v="0"/>
    <n v="34"/>
    <n v="1300"/>
    <n v="130"/>
    <m/>
    <m/>
    <s v="Lower"/>
  </r>
  <r>
    <s v="CUST102647"/>
    <m/>
    <x v="5"/>
    <s v="Male"/>
    <s v="Delhi"/>
    <n v="550000"/>
    <n v="35"/>
    <x v="0"/>
    <n v="7"/>
    <n v="4600"/>
    <n v="68"/>
    <s v="Bronze"/>
    <m/>
    <s v="Higher"/>
  </r>
  <r>
    <s v="CUST102648"/>
    <n v="18"/>
    <x v="6"/>
    <s v="Male"/>
    <m/>
    <n v="1550000"/>
    <n v="29"/>
    <x v="2"/>
    <n v="7"/>
    <n v="10300"/>
    <n v="347"/>
    <s v="Platinum"/>
    <s v="Website"/>
    <s v="Higher"/>
  </r>
  <r>
    <s v="CUST102649"/>
    <n v="61"/>
    <x v="0"/>
    <m/>
    <s v="Delhi"/>
    <n v="150000"/>
    <n v="12"/>
    <x v="2"/>
    <n v="47"/>
    <n v="6100"/>
    <n v="316"/>
    <s v="Bronze"/>
    <m/>
    <s v="Lower"/>
  </r>
  <r>
    <s v="CUST102650"/>
    <n v="62"/>
    <x v="0"/>
    <m/>
    <s v="Chennai"/>
    <n v="450000"/>
    <n v="82"/>
    <x v="3"/>
    <n v="8"/>
    <n v="6100"/>
    <n v="217"/>
    <s v="Silver"/>
    <s v="Mobile App"/>
    <s v="Lower"/>
  </r>
  <r>
    <s v="CUST102651"/>
    <n v="59"/>
    <x v="0"/>
    <m/>
    <s v="Chennai"/>
    <n v="800000"/>
    <n v="44"/>
    <x v="0"/>
    <n v="78"/>
    <n v="4000"/>
    <n v="96"/>
    <s v="Bronze"/>
    <s v="In-store"/>
    <s v="Lower"/>
  </r>
  <r>
    <s v="CUST102652"/>
    <n v="64"/>
    <x v="0"/>
    <s v="Female"/>
    <s v="Chennai"/>
    <n v="1875000"/>
    <n v="66"/>
    <x v="0"/>
    <n v="1"/>
    <n v="2700"/>
    <n v="145"/>
    <m/>
    <s v="In-store"/>
    <s v="Higher"/>
  </r>
  <r>
    <s v="CUST102653"/>
    <n v="30"/>
    <x v="3"/>
    <s v="Male"/>
    <s v="Pune"/>
    <n v="1600000"/>
    <n v="2"/>
    <x v="2"/>
    <n v="77"/>
    <n v="10900"/>
    <n v="33"/>
    <s v="Gold"/>
    <s v="In-store"/>
    <s v="Higher"/>
  </r>
  <r>
    <s v="CUST102654"/>
    <s v="NA"/>
    <x v="5"/>
    <m/>
    <s v="Delhi"/>
    <n v="275000"/>
    <n v="59"/>
    <x v="0"/>
    <n v="3"/>
    <n v="2300"/>
    <n v="286"/>
    <m/>
    <s v="Website"/>
    <s v="Lower"/>
  </r>
  <r>
    <s v="CUST102655"/>
    <n v="39"/>
    <x v="4"/>
    <s v="Female"/>
    <s v="Pune"/>
    <n v="700000"/>
    <n v="17"/>
    <x v="2"/>
    <n v="53"/>
    <n v="4400"/>
    <n v="5"/>
    <s v="Bronze"/>
    <m/>
    <s v="Higher"/>
  </r>
  <r>
    <s v="CUST102656"/>
    <m/>
    <x v="5"/>
    <s v="Unknown"/>
    <s v="Kolkata"/>
    <n v="375000"/>
    <n v="10"/>
    <x v="2"/>
    <n v="38"/>
    <n v="3800"/>
    <n v="118"/>
    <s v="Platinum"/>
    <s v="Website"/>
    <s v="Lower"/>
  </r>
  <r>
    <s v="CUST102657"/>
    <n v="38"/>
    <x v="4"/>
    <s v="Female"/>
    <m/>
    <n v="1400000"/>
    <n v="18"/>
    <x v="2"/>
    <n v="51"/>
    <n v="1100"/>
    <n v="140"/>
    <m/>
    <s v="Website"/>
    <s v="Higher"/>
  </r>
  <r>
    <s v="CUST102658"/>
    <n v="39"/>
    <x v="4"/>
    <s v="Male"/>
    <s v="Bengaluru"/>
    <n v="600000"/>
    <n v="22"/>
    <x v="2"/>
    <n v="15"/>
    <n v="1400"/>
    <n v="230"/>
    <m/>
    <s v="Mobile App"/>
    <s v="Higher"/>
  </r>
  <r>
    <s v="CUST102659"/>
    <n v="45"/>
    <x v="2"/>
    <m/>
    <s v="Ahmedabad"/>
    <n v="1400000"/>
    <n v="83"/>
    <x v="3"/>
    <n v="67"/>
    <n v="1200"/>
    <n v="160"/>
    <m/>
    <s v="In-store"/>
    <s v="Lower"/>
  </r>
  <r>
    <s v="CUST102660"/>
    <n v="26"/>
    <x v="3"/>
    <s v="Unknown"/>
    <s v="Delhi"/>
    <n v="1825000"/>
    <n v="58"/>
    <x v="0"/>
    <n v="64"/>
    <n v="6100"/>
    <n v="294"/>
    <s v="Platinum"/>
    <m/>
    <s v="Lower"/>
  </r>
  <r>
    <s v="CUST102661"/>
    <n v="43"/>
    <x v="4"/>
    <s v="Male"/>
    <s v="Ahmedabad"/>
    <n v="1175000"/>
    <n v="53"/>
    <x v="0"/>
    <n v="68"/>
    <n v="11200"/>
    <n v="249"/>
    <m/>
    <m/>
    <s v="Higher"/>
  </r>
  <r>
    <s v="CUST102662"/>
    <n v="26"/>
    <x v="3"/>
    <s v="Female"/>
    <s v="Hyderabad"/>
    <n v="1550000"/>
    <n v="1"/>
    <x v="2"/>
    <n v="5"/>
    <n v="700"/>
    <n v="273"/>
    <s v="Silver"/>
    <s v="Online"/>
    <s v="Higher"/>
  </r>
  <r>
    <s v="CUST102663"/>
    <n v="32"/>
    <x v="3"/>
    <s v="Male"/>
    <s v="Delhi"/>
    <n v="1825000"/>
    <n v="88"/>
    <x v="3"/>
    <n v="10"/>
    <n v="3500"/>
    <n v="186"/>
    <m/>
    <s v="Online"/>
    <s v="Higher"/>
  </r>
  <r>
    <s v="CUST102664"/>
    <n v="27"/>
    <x v="3"/>
    <s v="Female"/>
    <s v="Kolkata"/>
    <n v="1075000"/>
    <n v="61"/>
    <x v="0"/>
    <n v="8"/>
    <n v="7100"/>
    <m/>
    <s v="Platinum"/>
    <m/>
    <s v="Higher"/>
  </r>
  <r>
    <s v="CUST102665"/>
    <n v="41"/>
    <x v="4"/>
    <s v="Male"/>
    <s v="Delhi"/>
    <n v="1675000"/>
    <n v="100"/>
    <x v="3"/>
    <n v="12"/>
    <n v="8200"/>
    <n v="40"/>
    <s v="Silver"/>
    <m/>
    <s v="Higher"/>
  </r>
  <r>
    <s v="CUST102666"/>
    <n v="59"/>
    <x v="0"/>
    <m/>
    <s v="Pune"/>
    <n v="300000"/>
    <n v="89"/>
    <x v="3"/>
    <n v="64"/>
    <n v="6500"/>
    <n v="224"/>
    <s v="Platinum"/>
    <s v="In-store"/>
    <s v="Lower"/>
  </r>
  <r>
    <s v="CUST102667"/>
    <n v="25"/>
    <x v="3"/>
    <s v="Female"/>
    <m/>
    <n v="1900000"/>
    <n v="100"/>
    <x v="3"/>
    <n v="59"/>
    <n v="10300"/>
    <n v="152"/>
    <s v="Platinum"/>
    <s v="Website"/>
    <s v="Higher"/>
  </r>
  <r>
    <s v="CUST102668"/>
    <n v="41"/>
    <x v="4"/>
    <m/>
    <s v="Bengaluru"/>
    <n v="1375000"/>
    <n v="31"/>
    <x v="2"/>
    <n v="67"/>
    <n v="10300"/>
    <n v="140"/>
    <m/>
    <m/>
    <s v="Lower"/>
  </r>
  <r>
    <s v="CUST102669"/>
    <n v="33"/>
    <x v="3"/>
    <m/>
    <m/>
    <n v="1425000"/>
    <n v="31"/>
    <x v="2"/>
    <n v="50"/>
    <n v="3100"/>
    <n v="128"/>
    <s v="Gold"/>
    <m/>
    <s v="Lower"/>
  </r>
  <r>
    <s v="CUST102670"/>
    <n v="66"/>
    <x v="1"/>
    <m/>
    <s v="Bengaluru"/>
    <n v="775000"/>
    <n v="66"/>
    <x v="0"/>
    <n v="23"/>
    <n v="2000"/>
    <n v="351"/>
    <s v="Silver"/>
    <m/>
    <s v="Lower"/>
  </r>
  <r>
    <s v="CUST102671"/>
    <n v="43"/>
    <x v="4"/>
    <m/>
    <s v="Bengaluru"/>
    <n v="775000"/>
    <n v="19"/>
    <x v="2"/>
    <n v="40"/>
    <n v="9500"/>
    <n v="147"/>
    <s v="Platinum"/>
    <m/>
    <s v="Lower"/>
  </r>
  <r>
    <s v="CUST102672"/>
    <n v="44"/>
    <x v="4"/>
    <m/>
    <s v="Hyderabad"/>
    <n v="600000"/>
    <n v="53"/>
    <x v="0"/>
    <n v="78"/>
    <n v="800"/>
    <n v="285"/>
    <s v="Platinum"/>
    <s v="Online"/>
    <s v="Lower"/>
  </r>
  <r>
    <s v="CUST102673"/>
    <n v="54"/>
    <x v="2"/>
    <s v="Unknown"/>
    <s v="Kolkata"/>
    <n v="350000"/>
    <n v="76"/>
    <x v="3"/>
    <n v="77"/>
    <n v="5500"/>
    <n v="218"/>
    <s v="Bronze"/>
    <s v="In-store"/>
    <s v="Lower"/>
  </r>
  <r>
    <s v="CUST102674"/>
    <n v="21"/>
    <x v="6"/>
    <s v="Male"/>
    <s v="Ahmedabad"/>
    <n v="1650000"/>
    <n v="74"/>
    <x v="3"/>
    <n v="76"/>
    <n v="8400"/>
    <n v="220"/>
    <m/>
    <m/>
    <s v="Higher"/>
  </r>
  <r>
    <s v="CUST102675"/>
    <n v="67"/>
    <x v="1"/>
    <s v="Male"/>
    <s v="Kolkata"/>
    <n v="625000"/>
    <n v="95"/>
    <x v="3"/>
    <n v="18"/>
    <n v="3400"/>
    <n v="145"/>
    <s v="Gold"/>
    <s v="Website"/>
    <s v="Higher"/>
  </r>
  <r>
    <s v="CUST102676"/>
    <n v="41"/>
    <x v="4"/>
    <s v="Female"/>
    <m/>
    <n v="1375000"/>
    <n v="22"/>
    <x v="2"/>
    <n v="21"/>
    <n v="4400"/>
    <n v="329"/>
    <m/>
    <s v="Website"/>
    <s v="Higher"/>
  </r>
  <r>
    <s v="CUST102677"/>
    <n v="36"/>
    <x v="4"/>
    <s v="Female"/>
    <s v="Hyderabad"/>
    <n v="675000"/>
    <n v="23"/>
    <x v="2"/>
    <n v="1"/>
    <n v="4900"/>
    <n v="277"/>
    <s v="Silver"/>
    <s v="Mobile App"/>
    <s v="Higher"/>
  </r>
  <r>
    <s v="CUST102678"/>
    <n v="53"/>
    <x v="2"/>
    <s v="Male"/>
    <m/>
    <n v="450000"/>
    <n v="87"/>
    <x v="3"/>
    <n v="38"/>
    <n v="3300"/>
    <n v="242"/>
    <s v="Platinum"/>
    <s v="Website"/>
    <s v="Higher"/>
  </r>
  <r>
    <s v="CUST102679"/>
    <n v="56"/>
    <x v="0"/>
    <s v="Unknown"/>
    <s v="Bengaluru"/>
    <n v="425000"/>
    <n v="15"/>
    <x v="2"/>
    <n v="41"/>
    <n v="6400"/>
    <n v="60"/>
    <m/>
    <m/>
    <s v="Lower"/>
  </r>
  <r>
    <s v="CUST102680"/>
    <n v="27"/>
    <x v="3"/>
    <s v="Female"/>
    <s v="Pune"/>
    <n v="375000"/>
    <n v="26"/>
    <x v="2"/>
    <n v="42"/>
    <n v="5800"/>
    <n v="98"/>
    <s v="Silver"/>
    <m/>
    <s v="Higher"/>
  </r>
  <r>
    <s v="CUST102681"/>
    <n v="42"/>
    <x v="4"/>
    <s v="Unknown"/>
    <s v="Hyderabad"/>
    <n v="1750000"/>
    <n v="3"/>
    <x v="2"/>
    <n v="9"/>
    <m/>
    <n v="331"/>
    <m/>
    <s v="Website"/>
    <s v="Lower"/>
  </r>
  <r>
    <s v="CUST102682"/>
    <n v="35"/>
    <x v="4"/>
    <s v="Male"/>
    <s v="Chennai"/>
    <n v="875000"/>
    <n v="87"/>
    <x v="3"/>
    <n v="23"/>
    <n v="1300"/>
    <n v="181"/>
    <s v="Gold"/>
    <s v="Online"/>
    <s v="Higher"/>
  </r>
  <r>
    <s v="CUST102683"/>
    <n v="36"/>
    <x v="4"/>
    <m/>
    <s v="Delhi"/>
    <n v="325000"/>
    <n v="20"/>
    <x v="2"/>
    <n v="78"/>
    <n v="2800"/>
    <n v="114"/>
    <s v="Bronze"/>
    <s v="In-store"/>
    <s v="Lower"/>
  </r>
  <r>
    <s v="CUST102684"/>
    <n v="53"/>
    <x v="2"/>
    <s v="Female"/>
    <s v="Kolkata"/>
    <n v="650000"/>
    <n v="40"/>
    <x v="0"/>
    <n v="11"/>
    <n v="9400"/>
    <n v="103"/>
    <s v="Gold"/>
    <m/>
    <s v="Higher"/>
  </r>
  <r>
    <s v="CUST102685"/>
    <n v="27"/>
    <x v="3"/>
    <s v="Female"/>
    <s v="Hyderabad"/>
    <n v="675000"/>
    <n v="39"/>
    <x v="0"/>
    <n v="71"/>
    <n v="2900"/>
    <n v="336"/>
    <s v="Bronze"/>
    <m/>
    <s v="Higher"/>
  </r>
  <r>
    <s v="CUST102686"/>
    <n v="50"/>
    <x v="2"/>
    <m/>
    <s v="Chennai"/>
    <n v="575000"/>
    <n v="72"/>
    <x v="3"/>
    <n v="31"/>
    <n v="8500"/>
    <n v="319"/>
    <s v="Silver"/>
    <s v="Website"/>
    <s v="Lower"/>
  </r>
  <r>
    <s v="CUST102687"/>
    <s v="NA"/>
    <x v="5"/>
    <s v="Male"/>
    <s v="Ahmedabad"/>
    <n v="1775000"/>
    <n v="18"/>
    <x v="2"/>
    <n v="26"/>
    <n v="5900"/>
    <n v="57"/>
    <s v="Gold"/>
    <m/>
    <s v="Higher"/>
  </r>
  <r>
    <s v="CUST102688"/>
    <n v="67"/>
    <x v="1"/>
    <s v="Female"/>
    <m/>
    <n v="1325000"/>
    <n v="41"/>
    <x v="0"/>
    <n v="30"/>
    <n v="11100"/>
    <n v="285"/>
    <s v="Gold"/>
    <s v="Website"/>
    <s v="Higher"/>
  </r>
  <r>
    <s v="CUST102689"/>
    <n v="22"/>
    <x v="6"/>
    <m/>
    <m/>
    <n v="1225000"/>
    <n v="70"/>
    <x v="3"/>
    <n v="34"/>
    <n v="2900"/>
    <n v="129"/>
    <s v="Gold"/>
    <m/>
    <s v="Lower"/>
  </r>
  <r>
    <s v="CUST102690"/>
    <n v="64"/>
    <x v="0"/>
    <s v="Male"/>
    <s v="Bengaluru"/>
    <n v="350000"/>
    <n v="27"/>
    <x v="2"/>
    <n v="46"/>
    <n v="6100"/>
    <n v="315"/>
    <m/>
    <s v="Mobile App"/>
    <s v="Higher"/>
  </r>
  <r>
    <s v="CUST102691"/>
    <n v="66"/>
    <x v="1"/>
    <s v="Male"/>
    <s v="Bengaluru"/>
    <n v="1800000"/>
    <n v="100"/>
    <x v="3"/>
    <n v="69"/>
    <n v="6400"/>
    <n v="86"/>
    <s v="Silver"/>
    <s v="In-store"/>
    <s v="Higher"/>
  </r>
  <r>
    <s v="CUST102692"/>
    <n v="52"/>
    <x v="2"/>
    <s v="Female"/>
    <s v="Hyderabad"/>
    <n v="1475000"/>
    <n v="15"/>
    <x v="2"/>
    <n v="5"/>
    <n v="2200"/>
    <n v="200"/>
    <s v="Bronze"/>
    <m/>
    <s v="Higher"/>
  </r>
  <r>
    <s v="CUST102693"/>
    <n v="61"/>
    <x v="0"/>
    <m/>
    <s v="Hyderabad"/>
    <n v="775000"/>
    <n v="37"/>
    <x v="0"/>
    <n v="61"/>
    <n v="500"/>
    <n v="71"/>
    <s v="Gold"/>
    <m/>
    <s v="Lower"/>
  </r>
  <r>
    <s v="CUST102694"/>
    <n v="51"/>
    <x v="2"/>
    <m/>
    <m/>
    <n v="775000"/>
    <n v="58"/>
    <x v="0"/>
    <n v="38"/>
    <n v="1800"/>
    <n v="345"/>
    <s v="Silver"/>
    <s v="Website"/>
    <s v="Lower"/>
  </r>
  <r>
    <s v="CUST102695"/>
    <n v="50"/>
    <x v="2"/>
    <s v="Female"/>
    <s v="Delhi"/>
    <n v="975000"/>
    <n v="5"/>
    <x v="2"/>
    <n v="28"/>
    <n v="10500"/>
    <n v="98"/>
    <m/>
    <s v="Mobile App"/>
    <s v="Higher"/>
  </r>
  <r>
    <s v="CUST102696"/>
    <s v="NA"/>
    <x v="5"/>
    <s v="Male"/>
    <s v="Mumbai"/>
    <n v="325000"/>
    <n v="73"/>
    <x v="3"/>
    <n v="26"/>
    <n v="4600"/>
    <n v="300"/>
    <m/>
    <m/>
    <s v="Higher"/>
  </r>
  <r>
    <s v="CUST102697"/>
    <n v="38"/>
    <x v="4"/>
    <s v="Male"/>
    <s v="Ahmedabad"/>
    <n v="375000"/>
    <n v="7"/>
    <x v="2"/>
    <n v="61"/>
    <n v="9500"/>
    <n v="176"/>
    <m/>
    <s v="In-store"/>
    <s v="Higher"/>
  </r>
  <r>
    <s v="CUST102698"/>
    <n v="34"/>
    <x v="3"/>
    <m/>
    <s v="Bengaluru"/>
    <n v="1325000"/>
    <n v="41"/>
    <x v="0"/>
    <n v="23"/>
    <n v="8100"/>
    <n v="233"/>
    <m/>
    <s v="Mobile App"/>
    <s v="Lower"/>
  </r>
  <r>
    <s v="CUST102699"/>
    <n v="39"/>
    <x v="4"/>
    <s v="Unknown"/>
    <s v="Mumbai"/>
    <n v="1500000"/>
    <n v="84"/>
    <x v="3"/>
    <n v="46"/>
    <n v="3200"/>
    <n v="75"/>
    <s v="Silver"/>
    <m/>
    <s v="Lower"/>
  </r>
  <r>
    <s v="CUST102700"/>
    <n v="65"/>
    <x v="0"/>
    <s v="Unknown"/>
    <s v="Mumbai"/>
    <n v="1475000"/>
    <n v="10"/>
    <x v="2"/>
    <n v="30"/>
    <n v="4200"/>
    <n v="143"/>
    <s v="Bronze"/>
    <s v="Website"/>
    <s v="Lower"/>
  </r>
  <r>
    <s v="CUST102701"/>
    <n v="54"/>
    <x v="2"/>
    <s v="Male"/>
    <s v="Delhi"/>
    <n v="1125000"/>
    <n v="62"/>
    <x v="0"/>
    <n v="67"/>
    <m/>
    <n v="23"/>
    <s v="Silver"/>
    <s v="Online"/>
    <s v="Higher"/>
  </r>
  <r>
    <s v="CUST102702"/>
    <n v="32"/>
    <x v="3"/>
    <s v="Male"/>
    <s v="Pune"/>
    <n v="500000"/>
    <n v="26"/>
    <x v="2"/>
    <n v="33"/>
    <n v="11500"/>
    <n v="181"/>
    <s v="Silver"/>
    <s v="In-store"/>
    <s v="Higher"/>
  </r>
  <r>
    <s v="CUST102703"/>
    <n v="52"/>
    <x v="2"/>
    <s v="Unknown"/>
    <s v="Pune"/>
    <n v="575000"/>
    <n v="68"/>
    <x v="3"/>
    <n v="3"/>
    <n v="6700"/>
    <n v="45"/>
    <s v="Platinum"/>
    <s v="Mobile App"/>
    <s v="Lower"/>
  </r>
  <r>
    <s v="CUST102704"/>
    <n v="45"/>
    <x v="2"/>
    <m/>
    <s v="Bengaluru"/>
    <n v="700000"/>
    <m/>
    <x v="1"/>
    <n v="69"/>
    <n v="3100"/>
    <n v="92"/>
    <m/>
    <m/>
    <s v="Lower"/>
  </r>
  <r>
    <s v="CUST102705"/>
    <n v="24"/>
    <x v="6"/>
    <s v="Male"/>
    <s v="Chennai"/>
    <n v="1675000"/>
    <n v="24"/>
    <x v="2"/>
    <n v="42"/>
    <n v="11900"/>
    <n v="269"/>
    <s v="Bronze"/>
    <m/>
    <s v="Higher"/>
  </r>
  <r>
    <s v="CUST102706"/>
    <n v="49"/>
    <x v="2"/>
    <s v="Unknown"/>
    <s v="Delhi"/>
    <n v="1275000"/>
    <n v="78"/>
    <x v="3"/>
    <n v="62"/>
    <n v="3200"/>
    <n v="34"/>
    <s v="Platinum"/>
    <s v="Mobile App"/>
    <s v="Lower"/>
  </r>
  <r>
    <s v="CUST102707"/>
    <n v="28"/>
    <x v="3"/>
    <s v="Male"/>
    <s v="Delhi"/>
    <n v="1100000"/>
    <n v="41"/>
    <x v="0"/>
    <n v="58"/>
    <n v="10600"/>
    <n v="166"/>
    <m/>
    <m/>
    <s v="Higher"/>
  </r>
  <r>
    <s v="CUST102708"/>
    <n v="27"/>
    <x v="3"/>
    <s v="Female"/>
    <s v="Kolkata"/>
    <n v="500000"/>
    <n v="65"/>
    <x v="0"/>
    <n v="57"/>
    <n v="11200"/>
    <n v="70"/>
    <s v="Silver"/>
    <s v="Mobile App"/>
    <s v="Higher"/>
  </r>
  <r>
    <s v="CUST102709"/>
    <n v="26"/>
    <x v="3"/>
    <s v="Female"/>
    <s v="Mumbai"/>
    <n v="1450000"/>
    <n v="17"/>
    <x v="2"/>
    <n v="1"/>
    <n v="3400"/>
    <n v="364"/>
    <m/>
    <s v="In-store"/>
    <s v="Higher"/>
  </r>
  <r>
    <s v="CUST102710"/>
    <n v="31"/>
    <x v="3"/>
    <m/>
    <s v="Kolkata"/>
    <n v="1725000"/>
    <n v="24"/>
    <x v="2"/>
    <n v="73"/>
    <n v="1200"/>
    <n v="196"/>
    <m/>
    <m/>
    <s v="Lower"/>
  </r>
  <r>
    <s v="CUST102711"/>
    <n v="30"/>
    <x v="3"/>
    <m/>
    <s v="Mumbai"/>
    <n v="1700000"/>
    <n v="27"/>
    <x v="2"/>
    <n v="60"/>
    <n v="9300"/>
    <n v="133"/>
    <s v="Platinum"/>
    <s v="In-store"/>
    <s v="Lower"/>
  </r>
  <r>
    <s v="CUST102712"/>
    <n v="42"/>
    <x v="4"/>
    <m/>
    <s v="Pune"/>
    <n v="525000"/>
    <n v="7"/>
    <x v="2"/>
    <n v="69"/>
    <n v="5300"/>
    <n v="247"/>
    <s v="Platinum"/>
    <s v="Website"/>
    <s v="Lower"/>
  </r>
  <r>
    <s v="CUST102713"/>
    <n v="19"/>
    <x v="6"/>
    <s v="Female"/>
    <s v="Bengaluru"/>
    <n v="1875000"/>
    <n v="73"/>
    <x v="3"/>
    <n v="59"/>
    <n v="1000"/>
    <n v="168"/>
    <s v="Bronze"/>
    <s v="Website"/>
    <s v="Higher"/>
  </r>
  <r>
    <s v="CUST102714"/>
    <n v="52"/>
    <x v="2"/>
    <s v="Female"/>
    <s v="Ahmedabad"/>
    <n v="1775000"/>
    <n v="99"/>
    <x v="3"/>
    <n v="46"/>
    <n v="5300"/>
    <n v="277"/>
    <s v="Silver"/>
    <s v="Website"/>
    <s v="Higher"/>
  </r>
  <r>
    <s v="CUST102715"/>
    <n v="24"/>
    <x v="6"/>
    <m/>
    <s v="Pune"/>
    <n v="450000"/>
    <n v="12"/>
    <x v="2"/>
    <n v="34"/>
    <n v="3800"/>
    <n v="156"/>
    <s v="Bronze"/>
    <s v="Website"/>
    <s v="Lower"/>
  </r>
  <r>
    <s v="CUST102716"/>
    <n v="38"/>
    <x v="4"/>
    <s v="Male"/>
    <s v="Delhi"/>
    <n v="1300000"/>
    <n v="85"/>
    <x v="3"/>
    <n v="25"/>
    <n v="10800"/>
    <n v="23"/>
    <s v="Platinum"/>
    <m/>
    <s v="Higher"/>
  </r>
  <r>
    <s v="CUST102717"/>
    <n v="35"/>
    <x v="4"/>
    <s v="Unknown"/>
    <s v="Ahmedabad"/>
    <n v="350000"/>
    <n v="3"/>
    <x v="2"/>
    <n v="42"/>
    <n v="5700"/>
    <n v="200"/>
    <s v="Platinum"/>
    <s v="Mobile App"/>
    <s v="Lower"/>
  </r>
  <r>
    <s v="CUST102718"/>
    <n v="20"/>
    <x v="6"/>
    <s v="Male"/>
    <s v="Hyderabad"/>
    <n v="1700000"/>
    <n v="79"/>
    <x v="3"/>
    <n v="29"/>
    <n v="3700"/>
    <n v="275"/>
    <s v="Bronze"/>
    <m/>
    <s v="Higher"/>
  </r>
  <r>
    <s v="CUST102719"/>
    <n v="59"/>
    <x v="0"/>
    <m/>
    <s v="Ahmedabad"/>
    <n v="975000"/>
    <n v="85"/>
    <x v="3"/>
    <n v="25"/>
    <n v="3800"/>
    <n v="50"/>
    <s v="Platinum"/>
    <m/>
    <s v="Lower"/>
  </r>
  <r>
    <s v="CUST102720"/>
    <m/>
    <x v="5"/>
    <m/>
    <s v="Ahmedabad"/>
    <n v="850000"/>
    <n v="10"/>
    <x v="2"/>
    <n v="54"/>
    <n v="11400"/>
    <n v="186"/>
    <s v="Gold"/>
    <m/>
    <s v="Lower"/>
  </r>
  <r>
    <s v="CUST102721"/>
    <n v="56"/>
    <x v="0"/>
    <m/>
    <s v="Pune"/>
    <n v="1050000"/>
    <n v="33"/>
    <x v="2"/>
    <n v="73"/>
    <n v="5800"/>
    <n v="20"/>
    <m/>
    <s v="In-store"/>
    <s v="Lower"/>
  </r>
  <r>
    <s v="CUST102722"/>
    <n v="58"/>
    <x v="0"/>
    <s v="Female"/>
    <s v="Delhi"/>
    <n v="1200000"/>
    <n v="46"/>
    <x v="0"/>
    <n v="67"/>
    <n v="3800"/>
    <n v="116"/>
    <s v="Silver"/>
    <s v="Mobile App"/>
    <s v="Higher"/>
  </r>
  <r>
    <s v="CUST102723"/>
    <n v="66"/>
    <x v="1"/>
    <s v="Unknown"/>
    <s v="Ahmedabad"/>
    <n v="1725000"/>
    <n v="59"/>
    <x v="0"/>
    <n v="15"/>
    <n v="9100"/>
    <n v="92"/>
    <m/>
    <s v="Online"/>
    <s v="Lower"/>
  </r>
  <r>
    <s v="CUST102724"/>
    <n v="28"/>
    <x v="3"/>
    <m/>
    <s v="Pune"/>
    <n v="725000"/>
    <n v="52"/>
    <x v="0"/>
    <n v="4"/>
    <n v="8600"/>
    <n v="349"/>
    <s v="Silver"/>
    <s v="Online"/>
    <s v="Lower"/>
  </r>
  <r>
    <s v="CUST102725"/>
    <n v="56"/>
    <x v="0"/>
    <s v="Male"/>
    <s v="Pune"/>
    <n v="1900000"/>
    <n v="6"/>
    <x v="2"/>
    <n v="38"/>
    <n v="6300"/>
    <n v="339"/>
    <s v="Platinum"/>
    <s v="Mobile App"/>
    <s v="Higher"/>
  </r>
  <r>
    <s v="CUST102726"/>
    <n v="41"/>
    <x v="4"/>
    <s v="Female"/>
    <s v="Ahmedabad"/>
    <n v="975000"/>
    <n v="2"/>
    <x v="2"/>
    <n v="20"/>
    <n v="6400"/>
    <n v="53"/>
    <s v="Bronze"/>
    <s v="Online"/>
    <s v="Higher"/>
  </r>
  <r>
    <s v="CUST102727"/>
    <n v="63"/>
    <x v="0"/>
    <s v="Male"/>
    <s v="Mumbai"/>
    <n v="1325000"/>
    <n v="29"/>
    <x v="2"/>
    <n v="23"/>
    <n v="11800"/>
    <n v="123"/>
    <s v="Bronze"/>
    <s v="Mobile App"/>
    <s v="Higher"/>
  </r>
  <r>
    <s v="CUST102728"/>
    <n v="36"/>
    <x v="4"/>
    <s v="Unknown"/>
    <s v="Delhi"/>
    <n v="425000"/>
    <n v="40"/>
    <x v="0"/>
    <n v="37"/>
    <n v="11100"/>
    <n v="341"/>
    <s v="Platinum"/>
    <s v="In-store"/>
    <s v="Lower"/>
  </r>
  <r>
    <s v="CUST102729"/>
    <n v="21"/>
    <x v="6"/>
    <m/>
    <m/>
    <n v="700000"/>
    <n v="97"/>
    <x v="3"/>
    <n v="62"/>
    <n v="11900"/>
    <n v="338"/>
    <s v="Silver"/>
    <s v="In-store"/>
    <s v="Lower"/>
  </r>
  <r>
    <s v="CUST102730"/>
    <n v="43"/>
    <x v="4"/>
    <s v="Female"/>
    <s v="Ahmedabad"/>
    <n v="450000"/>
    <n v="61"/>
    <x v="0"/>
    <n v="8"/>
    <n v="8300"/>
    <n v="265"/>
    <s v="Platinum"/>
    <m/>
    <s v="Higher"/>
  </r>
  <r>
    <s v="CUST102731"/>
    <n v="55"/>
    <x v="0"/>
    <m/>
    <s v="Kolkata"/>
    <n v="1250000"/>
    <n v="68"/>
    <x v="3"/>
    <n v="37"/>
    <n v="8900"/>
    <n v="4"/>
    <s v="Silver"/>
    <s v="Online"/>
    <s v="Lower"/>
  </r>
  <r>
    <s v="CUST102732"/>
    <n v="59"/>
    <x v="0"/>
    <s v="Unknown"/>
    <s v="Kolkata"/>
    <n v="1750000"/>
    <n v="68"/>
    <x v="3"/>
    <n v="45"/>
    <n v="2700"/>
    <n v="169"/>
    <s v="Platinum"/>
    <s v="Mobile App"/>
    <s v="Lower"/>
  </r>
  <r>
    <s v="CUST102733"/>
    <n v="49"/>
    <x v="2"/>
    <m/>
    <s v="Hyderabad"/>
    <n v="1300000"/>
    <n v="29"/>
    <x v="2"/>
    <n v="33"/>
    <n v="11400"/>
    <n v="281"/>
    <s v="Platinum"/>
    <s v="In-store"/>
    <s v="Lower"/>
  </r>
  <r>
    <s v="CUST102734"/>
    <n v="56"/>
    <x v="0"/>
    <m/>
    <s v="Delhi"/>
    <n v="1575000"/>
    <m/>
    <x v="1"/>
    <n v="7"/>
    <n v="6600"/>
    <n v="290"/>
    <s v="Platinum"/>
    <m/>
    <s v="Lower"/>
  </r>
  <r>
    <s v="CUST102735"/>
    <n v="62"/>
    <x v="0"/>
    <m/>
    <s v="Pune"/>
    <n v="250000"/>
    <n v="62"/>
    <x v="0"/>
    <n v="22"/>
    <n v="6200"/>
    <n v="73"/>
    <s v="Bronze"/>
    <s v="Online"/>
    <s v="Lower"/>
  </r>
  <r>
    <s v="CUST102736"/>
    <n v="63"/>
    <x v="0"/>
    <s v="Male"/>
    <m/>
    <s v="unknown"/>
    <n v="60"/>
    <x v="0"/>
    <n v="5"/>
    <n v="5900"/>
    <n v="137"/>
    <s v="Silver"/>
    <s v="Online"/>
    <s v="Higher"/>
  </r>
  <r>
    <s v="CUST102737"/>
    <n v="53"/>
    <x v="2"/>
    <m/>
    <s v="Bengaluru"/>
    <n v="250000"/>
    <n v="84"/>
    <x v="3"/>
    <n v="15"/>
    <n v="11500"/>
    <n v="338"/>
    <m/>
    <s v="Online"/>
    <s v="Lower"/>
  </r>
  <r>
    <s v="CUST102738"/>
    <n v="57"/>
    <x v="0"/>
    <m/>
    <s v="Chennai"/>
    <n v="1625000"/>
    <n v="41"/>
    <x v="0"/>
    <n v="21"/>
    <n v="9700"/>
    <n v="256"/>
    <s v="Platinum"/>
    <s v="In-store"/>
    <s v="Lower"/>
  </r>
  <r>
    <s v="CUST102739"/>
    <n v="54"/>
    <x v="2"/>
    <s v="Male"/>
    <m/>
    <n v="650000"/>
    <n v="87"/>
    <x v="3"/>
    <n v="17"/>
    <n v="7200"/>
    <n v="141"/>
    <m/>
    <s v="In-store"/>
    <s v="Higher"/>
  </r>
  <r>
    <s v="CUST102740"/>
    <n v="50"/>
    <x v="2"/>
    <s v="Female"/>
    <s v="Delhi"/>
    <n v="725000"/>
    <n v="82"/>
    <x v="3"/>
    <n v="56"/>
    <n v="10100"/>
    <n v="208"/>
    <m/>
    <s v="Online"/>
    <s v="Higher"/>
  </r>
  <r>
    <s v="CUST102741"/>
    <n v="53"/>
    <x v="2"/>
    <s v="Male"/>
    <s v="Delhi"/>
    <n v="575000"/>
    <n v="89"/>
    <x v="3"/>
    <n v="50"/>
    <n v="5400"/>
    <n v="260"/>
    <s v="Bronze"/>
    <s v="In-store"/>
    <s v="Higher"/>
  </r>
  <r>
    <s v="CUST102742"/>
    <n v="20"/>
    <x v="6"/>
    <s v="Male"/>
    <s v="Ahmedabad"/>
    <n v="650000"/>
    <n v="65"/>
    <x v="0"/>
    <n v="7"/>
    <n v="5800"/>
    <n v="263"/>
    <s v="Gold"/>
    <s v="Online"/>
    <s v="Higher"/>
  </r>
  <r>
    <s v="CUST102743"/>
    <n v="26"/>
    <x v="3"/>
    <s v="Female"/>
    <s v="Ahmedabad"/>
    <n v="1475000"/>
    <n v="64"/>
    <x v="0"/>
    <n v="50"/>
    <n v="6500"/>
    <n v="271"/>
    <m/>
    <s v="Website"/>
    <s v="Higher"/>
  </r>
  <r>
    <s v="CUST102744"/>
    <n v="25"/>
    <x v="3"/>
    <s v="Male"/>
    <m/>
    <n v="375000"/>
    <n v="79"/>
    <x v="3"/>
    <n v="60"/>
    <n v="7000"/>
    <n v="38"/>
    <s v="Bronze"/>
    <s v="In-store"/>
    <s v="Higher"/>
  </r>
  <r>
    <s v="CUST102745"/>
    <n v="50"/>
    <x v="2"/>
    <s v="Male"/>
    <s v="Pune"/>
    <n v="725000"/>
    <n v="63"/>
    <x v="0"/>
    <n v="7"/>
    <n v="10600"/>
    <n v="203"/>
    <s v="Gold"/>
    <s v="Mobile App"/>
    <s v="Higher"/>
  </r>
  <r>
    <s v="CUST102746"/>
    <n v="23"/>
    <x v="6"/>
    <m/>
    <s v="Hyderabad"/>
    <n v="1625000"/>
    <n v="98"/>
    <x v="3"/>
    <n v="40"/>
    <n v="2200"/>
    <n v="224"/>
    <s v="Bronze"/>
    <s v="In-store"/>
    <s v="Lower"/>
  </r>
  <r>
    <s v="CUST102747"/>
    <n v="58"/>
    <x v="0"/>
    <s v="Unknown"/>
    <s v="Ahmedabad"/>
    <n v="1550000"/>
    <n v="48"/>
    <x v="0"/>
    <n v="45"/>
    <n v="10700"/>
    <n v="347"/>
    <m/>
    <s v="Online"/>
    <s v="Lower"/>
  </r>
  <r>
    <s v="CUST102748"/>
    <n v="56"/>
    <x v="0"/>
    <m/>
    <s v="Chennai"/>
    <n v="700000"/>
    <n v="20"/>
    <x v="2"/>
    <n v="59"/>
    <n v="5600"/>
    <n v="52"/>
    <s v="Platinum"/>
    <s v="Mobile App"/>
    <s v="Lower"/>
  </r>
  <r>
    <s v="CUST102749"/>
    <n v="21"/>
    <x v="6"/>
    <s v="Unknown"/>
    <s v="Chennai"/>
    <n v="675000"/>
    <n v="37"/>
    <x v="0"/>
    <n v="75"/>
    <n v="300"/>
    <n v="81"/>
    <s v="Silver"/>
    <m/>
    <s v="Lower"/>
  </r>
  <r>
    <s v="CUST102750"/>
    <n v="30"/>
    <x v="3"/>
    <m/>
    <s v="Hyderabad"/>
    <n v="1825000"/>
    <n v="64"/>
    <x v="0"/>
    <n v="55"/>
    <n v="11100"/>
    <n v="356"/>
    <s v="Platinum"/>
    <s v="Mobile App"/>
    <s v="Lower"/>
  </r>
  <r>
    <s v="CUST102751"/>
    <n v="66"/>
    <x v="1"/>
    <s v="Female"/>
    <s v="Mumbai"/>
    <n v="975000"/>
    <n v="91"/>
    <x v="3"/>
    <n v="64"/>
    <n v="9200"/>
    <n v="211"/>
    <m/>
    <s v="Mobile App"/>
    <s v="Higher"/>
  </r>
  <r>
    <s v="CUST102752"/>
    <n v="19"/>
    <x v="6"/>
    <s v="Male"/>
    <s v="Mumbai"/>
    <n v="1875000"/>
    <n v="86"/>
    <x v="3"/>
    <n v="65"/>
    <n v="10000"/>
    <n v="7"/>
    <s v="Silver"/>
    <s v="In-store"/>
    <s v="Higher"/>
  </r>
  <r>
    <s v="CUST102753"/>
    <n v="22"/>
    <x v="6"/>
    <m/>
    <s v="Delhi"/>
    <n v="825000"/>
    <n v="5"/>
    <x v="2"/>
    <n v="54"/>
    <m/>
    <n v="363"/>
    <s v="Gold"/>
    <m/>
    <s v="Lower"/>
  </r>
  <r>
    <s v="CUST102754"/>
    <n v="61"/>
    <x v="0"/>
    <s v="Male"/>
    <s v="Ahmedabad"/>
    <n v="1100000"/>
    <n v="34"/>
    <x v="0"/>
    <n v="40"/>
    <n v="1200"/>
    <n v="45"/>
    <s v="Gold"/>
    <s v="Mobile App"/>
    <s v="Higher"/>
  </r>
  <r>
    <s v="CUST102755"/>
    <n v="44"/>
    <x v="4"/>
    <m/>
    <s v="Kolkata"/>
    <n v="1175000"/>
    <n v="39"/>
    <x v="0"/>
    <n v="53"/>
    <n v="2500"/>
    <n v="315"/>
    <m/>
    <s v="Mobile App"/>
    <s v="Lower"/>
  </r>
  <r>
    <s v="CUST102756"/>
    <n v="49"/>
    <x v="2"/>
    <m/>
    <m/>
    <n v="700000"/>
    <n v="67"/>
    <x v="3"/>
    <n v="44"/>
    <n v="5300"/>
    <n v="277"/>
    <s v="Silver"/>
    <s v="Online"/>
    <s v="Lower"/>
  </r>
  <r>
    <s v="CUST102757"/>
    <n v="38"/>
    <x v="4"/>
    <s v="Unknown"/>
    <m/>
    <n v="1875000"/>
    <n v="81"/>
    <x v="3"/>
    <n v="63"/>
    <n v="11500"/>
    <n v="259"/>
    <s v="Platinum"/>
    <s v="In-store"/>
    <s v="Lower"/>
  </r>
  <r>
    <s v="CUST102758"/>
    <n v="25"/>
    <x v="3"/>
    <s v="Female"/>
    <s v="Hyderabad"/>
    <n v="175000"/>
    <n v="62"/>
    <x v="0"/>
    <n v="2"/>
    <n v="2600"/>
    <n v="142"/>
    <m/>
    <s v="Online"/>
    <s v="Higher"/>
  </r>
  <r>
    <s v="CUST102759"/>
    <n v="55"/>
    <x v="0"/>
    <s v="Female"/>
    <s v="Delhi"/>
    <n v="725000"/>
    <n v="88"/>
    <x v="3"/>
    <n v="79"/>
    <n v="1500"/>
    <n v="258"/>
    <s v="Gold"/>
    <s v="In-store"/>
    <s v="Higher"/>
  </r>
  <r>
    <s v="CUST102760"/>
    <n v="25"/>
    <x v="3"/>
    <m/>
    <s v="Kolkata"/>
    <n v="550000"/>
    <n v="24"/>
    <x v="2"/>
    <n v="21"/>
    <n v="3100"/>
    <n v="285"/>
    <m/>
    <m/>
    <s v="Lower"/>
  </r>
  <r>
    <s v="CUST102761"/>
    <n v="67"/>
    <x v="1"/>
    <m/>
    <s v="Ahmedabad"/>
    <n v="1750000"/>
    <n v="3"/>
    <x v="2"/>
    <n v="50"/>
    <n v="6000"/>
    <n v="37"/>
    <s v="Platinum"/>
    <m/>
    <s v="Lower"/>
  </r>
  <r>
    <s v="CUST102762"/>
    <n v="20"/>
    <x v="6"/>
    <m/>
    <s v="Kolkata"/>
    <n v="1875000"/>
    <n v="71"/>
    <x v="3"/>
    <m/>
    <n v="11200"/>
    <n v="45"/>
    <s v="Bronze"/>
    <s v="Mobile App"/>
    <s v="Lower"/>
  </r>
  <r>
    <s v="CUST102763"/>
    <m/>
    <x v="5"/>
    <s v="Female"/>
    <s v="Kolkata"/>
    <n v="1850000"/>
    <n v="89"/>
    <x v="3"/>
    <n v="52"/>
    <n v="9300"/>
    <n v="120"/>
    <m/>
    <s v="In-store"/>
    <s v="Higher"/>
  </r>
  <r>
    <s v="CUST102764"/>
    <n v="61"/>
    <x v="0"/>
    <s v="Unknown"/>
    <s v="Hyderabad"/>
    <n v="1625000"/>
    <n v="67"/>
    <x v="3"/>
    <n v="9"/>
    <n v="9700"/>
    <n v="46"/>
    <m/>
    <s v="Mobile App"/>
    <s v="Lower"/>
  </r>
  <r>
    <s v="CUST102765"/>
    <n v="20"/>
    <x v="6"/>
    <s v="Unknown"/>
    <s v="Delhi"/>
    <n v="1375000"/>
    <n v="79"/>
    <x v="3"/>
    <n v="20"/>
    <n v="4500"/>
    <n v="140"/>
    <m/>
    <s v="Mobile App"/>
    <s v="Lower"/>
  </r>
  <r>
    <s v="CUST102766"/>
    <n v="39"/>
    <x v="4"/>
    <m/>
    <s v="Pune"/>
    <n v="425000"/>
    <n v="93"/>
    <x v="3"/>
    <n v="18"/>
    <n v="1200"/>
    <n v="53"/>
    <s v="Bronze"/>
    <s v="Website"/>
    <s v="Lower"/>
  </r>
  <r>
    <s v="CUST102767"/>
    <n v="23"/>
    <x v="6"/>
    <s v="Female"/>
    <s v="Chennai"/>
    <n v="1300000"/>
    <n v="50"/>
    <x v="0"/>
    <n v="30"/>
    <n v="3300"/>
    <n v="301"/>
    <s v="Platinum"/>
    <s v="Online"/>
    <s v="Higher"/>
  </r>
  <r>
    <s v="CUST102768"/>
    <n v="19"/>
    <x v="6"/>
    <s v="Female"/>
    <m/>
    <n v="1800000"/>
    <n v="29"/>
    <x v="2"/>
    <n v="65"/>
    <n v="10500"/>
    <n v="288"/>
    <s v="Silver"/>
    <m/>
    <s v="Higher"/>
  </r>
  <r>
    <s v="CUST102769"/>
    <n v="40"/>
    <x v="4"/>
    <s v="Male"/>
    <s v="Delhi"/>
    <n v="1750000"/>
    <n v="74"/>
    <x v="3"/>
    <n v="24"/>
    <n v="7600"/>
    <n v="274"/>
    <m/>
    <s v="In-store"/>
    <s v="Higher"/>
  </r>
  <r>
    <s v="CUST102770"/>
    <n v="61"/>
    <x v="0"/>
    <s v="Female"/>
    <m/>
    <n v="800000"/>
    <n v="32"/>
    <x v="2"/>
    <n v="47"/>
    <n v="9000"/>
    <n v="269"/>
    <s v="Platinum"/>
    <m/>
    <s v="Higher"/>
  </r>
  <r>
    <s v="CUST102771"/>
    <n v="19"/>
    <x v="6"/>
    <s v="Female"/>
    <s v="Kolkata"/>
    <n v="1325000"/>
    <n v="87"/>
    <x v="3"/>
    <n v="44"/>
    <n v="9900"/>
    <n v="279"/>
    <s v="Bronze"/>
    <m/>
    <s v="Higher"/>
  </r>
  <r>
    <s v="CUST102772"/>
    <n v="55"/>
    <x v="0"/>
    <s v="Unknown"/>
    <s v="Pune"/>
    <n v="1675000"/>
    <n v="39"/>
    <x v="0"/>
    <n v="29"/>
    <n v="1600"/>
    <n v="62"/>
    <s v="Gold"/>
    <s v="Website"/>
    <s v="Lower"/>
  </r>
  <r>
    <s v="CUST102773"/>
    <n v="34"/>
    <x v="3"/>
    <s v="Male"/>
    <s v="Hyderabad"/>
    <n v="1225000"/>
    <n v="9"/>
    <x v="2"/>
    <n v="77"/>
    <n v="10100"/>
    <n v="54"/>
    <m/>
    <s v="Online"/>
    <s v="Higher"/>
  </r>
  <r>
    <s v="CUST102774"/>
    <n v="52"/>
    <x v="2"/>
    <m/>
    <s v="Bengaluru"/>
    <n v="600000"/>
    <m/>
    <x v="1"/>
    <n v="68"/>
    <n v="11100"/>
    <n v="69"/>
    <m/>
    <m/>
    <s v="Lower"/>
  </r>
  <r>
    <s v="CUST102775"/>
    <n v="51"/>
    <x v="2"/>
    <s v="Female"/>
    <m/>
    <n v="1600000"/>
    <n v="14"/>
    <x v="2"/>
    <n v="17"/>
    <n v="3600"/>
    <n v="242"/>
    <s v="Platinum"/>
    <m/>
    <s v="Higher"/>
  </r>
  <r>
    <s v="CUST102776"/>
    <n v="40"/>
    <x v="4"/>
    <s v="Male"/>
    <m/>
    <n v="325000"/>
    <n v="68"/>
    <x v="3"/>
    <n v="5"/>
    <n v="1900"/>
    <n v="270"/>
    <m/>
    <s v="Mobile App"/>
    <s v="Higher"/>
  </r>
  <r>
    <s v="CUST102777"/>
    <n v="47"/>
    <x v="2"/>
    <s v="Male"/>
    <s v="Chennai"/>
    <n v="1500000"/>
    <n v="64"/>
    <x v="0"/>
    <m/>
    <n v="2300"/>
    <n v="252"/>
    <m/>
    <s v="Online"/>
    <s v="Higher"/>
  </r>
  <r>
    <s v="CUST102778"/>
    <n v="69"/>
    <x v="1"/>
    <m/>
    <s v="Bengaluru"/>
    <n v="1300000"/>
    <n v="20"/>
    <x v="2"/>
    <n v="50"/>
    <n v="9800"/>
    <n v="354"/>
    <s v="Platinum"/>
    <s v="Website"/>
    <s v="Lower"/>
  </r>
  <r>
    <s v="CUST102779"/>
    <n v="25"/>
    <x v="3"/>
    <s v="Unknown"/>
    <s v="Ahmedabad"/>
    <n v="175000"/>
    <n v="28"/>
    <x v="2"/>
    <n v="40"/>
    <n v="6900"/>
    <n v="284"/>
    <s v="Platinum"/>
    <s v="In-store"/>
    <s v="Lower"/>
  </r>
  <r>
    <s v="CUST102780"/>
    <n v="39"/>
    <x v="4"/>
    <s v="Male"/>
    <s v="Bengaluru"/>
    <n v="1100000"/>
    <n v="14"/>
    <x v="2"/>
    <n v="46"/>
    <n v="6000"/>
    <n v="351"/>
    <s v="Bronze"/>
    <s v="In-store"/>
    <s v="Higher"/>
  </r>
  <r>
    <s v="CUST102781"/>
    <n v="61"/>
    <x v="0"/>
    <s v="Female"/>
    <s v="Kolkata"/>
    <n v="1250000"/>
    <n v="44"/>
    <x v="0"/>
    <n v="51"/>
    <n v="8100"/>
    <n v="71"/>
    <s v="Bronze"/>
    <s v="Website"/>
    <s v="Higher"/>
  </r>
  <r>
    <s v="CUST102782"/>
    <n v="53"/>
    <x v="2"/>
    <s v="Female"/>
    <s v="Kolkata"/>
    <n v="925000"/>
    <n v="98"/>
    <x v="3"/>
    <n v="11"/>
    <n v="1000"/>
    <n v="323"/>
    <m/>
    <s v="Mobile App"/>
    <s v="Higher"/>
  </r>
  <r>
    <s v="CUST102783"/>
    <n v="22"/>
    <x v="6"/>
    <s v="Male"/>
    <s v="Kolkata"/>
    <n v="1750000"/>
    <n v="77"/>
    <x v="3"/>
    <n v="12"/>
    <n v="9800"/>
    <n v="100"/>
    <s v="Platinum"/>
    <s v="Mobile App"/>
    <s v="Higher"/>
  </r>
  <r>
    <s v="CUST102784"/>
    <n v="30"/>
    <x v="3"/>
    <s v="Unknown"/>
    <s v="Kolkata"/>
    <n v="1075000"/>
    <n v="95"/>
    <x v="3"/>
    <n v="13"/>
    <n v="4000"/>
    <n v="61"/>
    <s v="Platinum"/>
    <m/>
    <s v="Lower"/>
  </r>
  <r>
    <s v="CUST102785"/>
    <n v="46"/>
    <x v="2"/>
    <m/>
    <s v="Delhi"/>
    <s v="unknown"/>
    <n v="97"/>
    <x v="3"/>
    <n v="64"/>
    <n v="2800"/>
    <n v="103"/>
    <m/>
    <s v="Online"/>
    <s v="Lower"/>
  </r>
  <r>
    <s v="CUST102786"/>
    <n v="48"/>
    <x v="2"/>
    <m/>
    <m/>
    <n v="400000"/>
    <n v="39"/>
    <x v="0"/>
    <n v="8"/>
    <n v="6600"/>
    <n v="119"/>
    <s v="Silver"/>
    <m/>
    <s v="Lower"/>
  </r>
  <r>
    <s v="CUST102787"/>
    <n v="64"/>
    <x v="0"/>
    <s v="Male"/>
    <s v="Bengaluru"/>
    <n v="375000"/>
    <n v="28"/>
    <x v="2"/>
    <n v="65"/>
    <n v="3200"/>
    <n v="17"/>
    <s v="Gold"/>
    <s v="In-store"/>
    <s v="Higher"/>
  </r>
  <r>
    <s v="CUST102788"/>
    <s v="NA"/>
    <x v="5"/>
    <s v="Female"/>
    <m/>
    <n v="1600000"/>
    <n v="64"/>
    <x v="0"/>
    <n v="9"/>
    <n v="1100"/>
    <n v="305"/>
    <m/>
    <s v="Website"/>
    <s v="Higher"/>
  </r>
  <r>
    <s v="CUST102789"/>
    <n v="33"/>
    <x v="3"/>
    <m/>
    <m/>
    <n v="1500000"/>
    <n v="89"/>
    <x v="3"/>
    <n v="2"/>
    <n v="3400"/>
    <n v="191"/>
    <m/>
    <s v="Online"/>
    <s v="Lower"/>
  </r>
  <r>
    <s v="CUST102790"/>
    <n v="59"/>
    <x v="0"/>
    <s v="Male"/>
    <s v="Bengaluru"/>
    <n v="625000"/>
    <n v="32"/>
    <x v="2"/>
    <n v="78"/>
    <n v="1300"/>
    <n v="212"/>
    <m/>
    <s v="Website"/>
    <s v="Higher"/>
  </r>
  <r>
    <s v="CUST102791"/>
    <n v="47"/>
    <x v="2"/>
    <s v="Unknown"/>
    <s v="Delhi"/>
    <n v="550000"/>
    <n v="9"/>
    <x v="2"/>
    <n v="13"/>
    <n v="8800"/>
    <n v="78"/>
    <m/>
    <s v="Online"/>
    <s v="Lower"/>
  </r>
  <r>
    <s v="CUST102792"/>
    <s v="NA"/>
    <x v="5"/>
    <m/>
    <m/>
    <n v="1825000"/>
    <n v="28"/>
    <x v="2"/>
    <n v="2"/>
    <n v="3600"/>
    <n v="46"/>
    <s v="Bronze"/>
    <m/>
    <s v="Lower"/>
  </r>
  <r>
    <s v="CUST102793"/>
    <n v="33"/>
    <x v="3"/>
    <s v="Unknown"/>
    <m/>
    <n v="250000"/>
    <n v="95"/>
    <x v="3"/>
    <n v="68"/>
    <n v="10700"/>
    <n v="93"/>
    <s v="Bronze"/>
    <s v="In-store"/>
    <s v="Lower"/>
  </r>
  <r>
    <s v="CUST102794"/>
    <n v="29"/>
    <x v="3"/>
    <s v="Male"/>
    <m/>
    <n v="1625000"/>
    <n v="17"/>
    <x v="2"/>
    <n v="76"/>
    <n v="2000"/>
    <n v="13"/>
    <s v="Silver"/>
    <s v="In-store"/>
    <s v="Higher"/>
  </r>
  <r>
    <s v="CUST102795"/>
    <n v="34"/>
    <x v="3"/>
    <s v="Female"/>
    <s v="Chennai"/>
    <n v="700000"/>
    <n v="87"/>
    <x v="3"/>
    <n v="48"/>
    <n v="2100"/>
    <n v="228"/>
    <m/>
    <m/>
    <s v="Higher"/>
  </r>
  <r>
    <s v="CUST102796"/>
    <n v="33"/>
    <x v="3"/>
    <s v="Male"/>
    <m/>
    <n v="1275000"/>
    <n v="77"/>
    <x v="3"/>
    <n v="74"/>
    <n v="5600"/>
    <n v="301"/>
    <s v="Bronze"/>
    <s v="Online"/>
    <s v="Higher"/>
  </r>
  <r>
    <s v="CUST102797"/>
    <n v="29"/>
    <x v="3"/>
    <s v="Unknown"/>
    <s v="Bengaluru"/>
    <n v="1425000"/>
    <n v="55"/>
    <x v="0"/>
    <n v="3"/>
    <n v="8400"/>
    <n v="17"/>
    <m/>
    <s v="Mobile App"/>
    <s v="Lower"/>
  </r>
  <r>
    <s v="CUST102798"/>
    <n v="25"/>
    <x v="3"/>
    <m/>
    <s v="Kolkata"/>
    <n v="375000"/>
    <n v="10"/>
    <x v="2"/>
    <n v="68"/>
    <n v="3900"/>
    <n v="303"/>
    <m/>
    <s v="Online"/>
    <s v="Lower"/>
  </r>
  <r>
    <s v="CUST102799"/>
    <n v="37"/>
    <x v="4"/>
    <s v="Female"/>
    <s v="Kolkata"/>
    <n v="1275000"/>
    <n v="80"/>
    <x v="3"/>
    <n v="6"/>
    <n v="8400"/>
    <n v="62"/>
    <s v="Platinum"/>
    <s v="In-store"/>
    <s v="Higher"/>
  </r>
  <r>
    <s v="CUST102800"/>
    <n v="20"/>
    <x v="6"/>
    <m/>
    <s v="Ahmedabad"/>
    <n v="825000"/>
    <n v="6"/>
    <x v="2"/>
    <n v="5"/>
    <n v="1400"/>
    <n v="43"/>
    <s v="Gold"/>
    <s v="Website"/>
    <s v="Lower"/>
  </r>
  <r>
    <s v="CUST102801"/>
    <n v="33"/>
    <x v="3"/>
    <s v="Female"/>
    <m/>
    <n v="1200000"/>
    <n v="48"/>
    <x v="0"/>
    <n v="3"/>
    <n v="600"/>
    <n v="68"/>
    <s v="Gold"/>
    <m/>
    <s v="Higher"/>
  </r>
  <r>
    <s v="CUST102802"/>
    <n v="47"/>
    <x v="2"/>
    <m/>
    <s v="Chennai"/>
    <n v="775000"/>
    <n v="75"/>
    <x v="3"/>
    <n v="10"/>
    <n v="11300"/>
    <n v="212"/>
    <m/>
    <s v="Website"/>
    <s v="Lower"/>
  </r>
  <r>
    <s v="CUST102803"/>
    <n v="62"/>
    <x v="0"/>
    <s v="Male"/>
    <s v="Bengaluru"/>
    <n v="1500000"/>
    <n v="67"/>
    <x v="3"/>
    <n v="43"/>
    <n v="4500"/>
    <n v="203"/>
    <s v="Gold"/>
    <s v="In-store"/>
    <s v="Higher"/>
  </r>
  <r>
    <s v="CUST102804"/>
    <n v="40"/>
    <x v="4"/>
    <m/>
    <s v="Bengaluru"/>
    <n v="1325000"/>
    <n v="92"/>
    <x v="3"/>
    <n v="19"/>
    <n v="2900"/>
    <n v="214"/>
    <s v="Gold"/>
    <s v="Website"/>
    <s v="Lower"/>
  </r>
  <r>
    <s v="CUST102805"/>
    <n v="45"/>
    <x v="2"/>
    <m/>
    <s v="Hyderabad"/>
    <n v="850000"/>
    <n v="41"/>
    <x v="0"/>
    <n v="14"/>
    <n v="5300"/>
    <n v="109"/>
    <m/>
    <s v="Mobile App"/>
    <s v="Lower"/>
  </r>
  <r>
    <s v="CUST102806"/>
    <n v="68"/>
    <x v="1"/>
    <s v="Unknown"/>
    <s v="Mumbai"/>
    <n v="800000"/>
    <n v="79"/>
    <x v="3"/>
    <n v="21"/>
    <n v="700"/>
    <n v="284"/>
    <m/>
    <s v="Mobile App"/>
    <s v="Lower"/>
  </r>
  <r>
    <s v="CUST102807"/>
    <n v="57"/>
    <x v="0"/>
    <s v="Female"/>
    <m/>
    <n v="575000"/>
    <n v="60"/>
    <x v="0"/>
    <n v="43"/>
    <n v="800"/>
    <n v="94"/>
    <s v="Platinum"/>
    <s v="Online"/>
    <s v="Higher"/>
  </r>
  <r>
    <s v="CUST102808"/>
    <m/>
    <x v="5"/>
    <s v="Unknown"/>
    <s v="Bengaluru"/>
    <n v="1625000"/>
    <n v="77"/>
    <x v="3"/>
    <n v="28"/>
    <n v="7900"/>
    <n v="225"/>
    <s v="Silver"/>
    <s v="Website"/>
    <s v="Lower"/>
  </r>
  <r>
    <s v="CUST102809"/>
    <n v="22"/>
    <x v="6"/>
    <m/>
    <s v="Pune"/>
    <n v="1975000"/>
    <n v="42"/>
    <x v="0"/>
    <n v="21"/>
    <n v="8900"/>
    <n v="225"/>
    <s v="Bronze"/>
    <s v="Website"/>
    <s v="Lower"/>
  </r>
  <r>
    <s v="CUST102810"/>
    <n v="37"/>
    <x v="4"/>
    <m/>
    <s v="Bengaluru"/>
    <n v="1850000"/>
    <n v="81"/>
    <x v="3"/>
    <n v="36"/>
    <n v="10800"/>
    <n v="239"/>
    <s v="Bronze"/>
    <s v="In-store"/>
    <s v="Lower"/>
  </r>
  <r>
    <s v="CUST102811"/>
    <n v="57"/>
    <x v="0"/>
    <s v="Female"/>
    <s v="Hyderabad"/>
    <n v="1975000"/>
    <n v="71"/>
    <x v="3"/>
    <n v="24"/>
    <n v="5800"/>
    <n v="118"/>
    <m/>
    <s v="Online"/>
    <s v="Higher"/>
  </r>
  <r>
    <s v="CUST102812"/>
    <n v="61"/>
    <x v="0"/>
    <s v="Unknown"/>
    <m/>
    <n v="650000"/>
    <n v="28"/>
    <x v="2"/>
    <n v="54"/>
    <n v="9100"/>
    <n v="91"/>
    <m/>
    <s v="Online"/>
    <s v="Lower"/>
  </r>
  <r>
    <s v="CUST102813"/>
    <n v="18"/>
    <x v="6"/>
    <s v="Male"/>
    <s v="Delhi"/>
    <n v="725000"/>
    <m/>
    <x v="1"/>
    <n v="38"/>
    <n v="11200"/>
    <n v="340"/>
    <s v="Gold"/>
    <s v="Website"/>
    <s v="Higher"/>
  </r>
  <r>
    <s v="CUST102814"/>
    <n v="47"/>
    <x v="2"/>
    <s v="Unknown"/>
    <s v="Delhi"/>
    <n v="200000"/>
    <n v="13"/>
    <x v="2"/>
    <n v="17"/>
    <n v="7000"/>
    <n v="289"/>
    <s v="Platinum"/>
    <m/>
    <s v="Lower"/>
  </r>
  <r>
    <s v="CUST102815"/>
    <n v="38"/>
    <x v="4"/>
    <m/>
    <s v="Pune"/>
    <n v="1675000"/>
    <n v="81"/>
    <x v="3"/>
    <n v="22"/>
    <n v="11800"/>
    <n v="281"/>
    <s v="Silver"/>
    <s v="Website"/>
    <s v="Lower"/>
  </r>
  <r>
    <s v="CUST102816"/>
    <n v="37"/>
    <x v="4"/>
    <s v="Unknown"/>
    <s v="Pune"/>
    <n v="175000"/>
    <n v="15"/>
    <x v="2"/>
    <n v="45"/>
    <m/>
    <n v="19"/>
    <m/>
    <s v="Website"/>
    <s v="Lower"/>
  </r>
  <r>
    <s v="CUST102817"/>
    <n v="23"/>
    <x v="6"/>
    <m/>
    <s v="Ahmedabad"/>
    <n v="1775000"/>
    <n v="36"/>
    <x v="0"/>
    <n v="74"/>
    <n v="9800"/>
    <n v="175"/>
    <m/>
    <s v="Website"/>
    <s v="Lower"/>
  </r>
  <r>
    <s v="CUST102818"/>
    <n v="39"/>
    <x v="4"/>
    <s v="Male"/>
    <s v="Delhi"/>
    <n v="1175000"/>
    <n v="92"/>
    <x v="3"/>
    <n v="61"/>
    <n v="4600"/>
    <n v="106"/>
    <s v="Platinum"/>
    <s v="Mobile App"/>
    <s v="Higher"/>
  </r>
  <r>
    <s v="CUST102819"/>
    <n v="35"/>
    <x v="4"/>
    <s v="Male"/>
    <m/>
    <n v="975000"/>
    <n v="15"/>
    <x v="2"/>
    <n v="11"/>
    <n v="1700"/>
    <n v="289"/>
    <m/>
    <m/>
    <s v="Higher"/>
  </r>
  <r>
    <s v="CUST102820"/>
    <n v="25"/>
    <x v="3"/>
    <s v="Female"/>
    <s v="Delhi"/>
    <n v="1175000"/>
    <n v="75"/>
    <x v="3"/>
    <n v="61"/>
    <n v="9200"/>
    <n v="248"/>
    <s v="Platinum"/>
    <s v="Online"/>
    <s v="Higher"/>
  </r>
  <r>
    <s v="CUST102821"/>
    <n v="56"/>
    <x v="0"/>
    <m/>
    <s v="Mumbai"/>
    <n v="625000"/>
    <n v="56"/>
    <x v="0"/>
    <n v="38"/>
    <n v="4400"/>
    <n v="323"/>
    <m/>
    <m/>
    <s v="Lower"/>
  </r>
  <r>
    <s v="CUST102822"/>
    <n v="49"/>
    <x v="2"/>
    <s v="Male"/>
    <m/>
    <n v="1825000"/>
    <n v="95"/>
    <x v="3"/>
    <n v="66"/>
    <n v="1300"/>
    <n v="142"/>
    <s v="Platinum"/>
    <s v="Mobile App"/>
    <s v="Higher"/>
  </r>
  <r>
    <s v="CUST102823"/>
    <n v="50"/>
    <x v="2"/>
    <s v="Female"/>
    <s v="Delhi"/>
    <n v="1250000"/>
    <n v="4"/>
    <x v="2"/>
    <n v="33"/>
    <n v="7500"/>
    <n v="298"/>
    <s v="Gold"/>
    <m/>
    <s v="Higher"/>
  </r>
  <r>
    <s v="CUST102824"/>
    <m/>
    <x v="5"/>
    <s v="Female"/>
    <s v="Kolkata"/>
    <m/>
    <n v="99"/>
    <x v="3"/>
    <n v="43"/>
    <n v="1300"/>
    <n v="193"/>
    <s v="Platinum"/>
    <s v="In-store"/>
    <s v="Higher"/>
  </r>
  <r>
    <s v="CUST102825"/>
    <n v="33"/>
    <x v="3"/>
    <s v="Female"/>
    <s v="Ahmedabad"/>
    <n v="1175000"/>
    <n v="98"/>
    <x v="3"/>
    <n v="31"/>
    <n v="6800"/>
    <n v="351"/>
    <s v="Silver"/>
    <m/>
    <s v="Higher"/>
  </r>
  <r>
    <s v="CUST102826"/>
    <n v="29"/>
    <x v="3"/>
    <m/>
    <s v="Hyderabad"/>
    <n v="1300000"/>
    <n v="52"/>
    <x v="0"/>
    <n v="35"/>
    <n v="11100"/>
    <n v="303"/>
    <s v="Platinum"/>
    <s v="Online"/>
    <s v="Lower"/>
  </r>
  <r>
    <s v="CUST102827"/>
    <n v="55"/>
    <x v="0"/>
    <s v="Unknown"/>
    <s v="Pune"/>
    <n v="250000"/>
    <n v="91"/>
    <x v="3"/>
    <n v="37"/>
    <n v="2900"/>
    <n v="291"/>
    <s v="Bronze"/>
    <s v="In-store"/>
    <s v="Lower"/>
  </r>
  <r>
    <s v="CUST102828"/>
    <n v="69"/>
    <x v="1"/>
    <m/>
    <s v="Mumbai"/>
    <n v="1350000"/>
    <n v="10"/>
    <x v="2"/>
    <n v="47"/>
    <m/>
    <n v="332"/>
    <s v="Platinum"/>
    <m/>
    <s v="Lower"/>
  </r>
  <r>
    <s v="CUST102829"/>
    <n v="51"/>
    <x v="2"/>
    <s v="Female"/>
    <s v="Pune"/>
    <n v="1050000"/>
    <n v="94"/>
    <x v="3"/>
    <n v="23"/>
    <n v="6000"/>
    <n v="208"/>
    <m/>
    <m/>
    <s v="Higher"/>
  </r>
  <r>
    <s v="CUST102830"/>
    <n v="31"/>
    <x v="3"/>
    <m/>
    <s v="Ahmedabad"/>
    <n v="975000"/>
    <n v="45"/>
    <x v="0"/>
    <n v="36"/>
    <n v="9200"/>
    <n v="248"/>
    <m/>
    <s v="Online"/>
    <s v="Lower"/>
  </r>
  <r>
    <s v="CUST102831"/>
    <n v="53"/>
    <x v="2"/>
    <s v="Male"/>
    <s v="Bengaluru"/>
    <n v="1950000"/>
    <n v="84"/>
    <x v="3"/>
    <n v="40"/>
    <n v="7400"/>
    <n v="142"/>
    <s v="Bronze"/>
    <m/>
    <s v="Higher"/>
  </r>
  <r>
    <s v="CUST102832"/>
    <n v="50"/>
    <x v="2"/>
    <s v="Male"/>
    <s v="Mumbai"/>
    <n v="1875000"/>
    <n v="29"/>
    <x v="2"/>
    <m/>
    <n v="2300"/>
    <n v="311"/>
    <m/>
    <s v="In-store"/>
    <s v="Higher"/>
  </r>
  <r>
    <s v="CUST102833"/>
    <n v="40"/>
    <x v="4"/>
    <s v="Female"/>
    <s v="Chennai"/>
    <n v="575000"/>
    <n v="53"/>
    <x v="0"/>
    <n v="15"/>
    <n v="2300"/>
    <n v="222"/>
    <m/>
    <s v="In-store"/>
    <s v="Higher"/>
  </r>
  <r>
    <s v="CUST102834"/>
    <n v="67"/>
    <x v="1"/>
    <s v="Male"/>
    <s v="Mumbai"/>
    <n v="600000"/>
    <n v="29"/>
    <x v="2"/>
    <n v="37"/>
    <n v="7400"/>
    <n v="225"/>
    <s v="Silver"/>
    <m/>
    <s v="Higher"/>
  </r>
  <r>
    <s v="CUST102835"/>
    <n v="62"/>
    <x v="0"/>
    <m/>
    <s v="Ahmedabad"/>
    <n v="1125000"/>
    <n v="23"/>
    <x v="2"/>
    <n v="4"/>
    <n v="300"/>
    <n v="354"/>
    <s v="Gold"/>
    <s v="Mobile App"/>
    <s v="Lower"/>
  </r>
  <r>
    <s v="CUST102836"/>
    <n v="19"/>
    <x v="6"/>
    <m/>
    <s v="Hyderabad"/>
    <n v="550000"/>
    <n v="57"/>
    <x v="0"/>
    <n v="22"/>
    <n v="10400"/>
    <n v="184"/>
    <s v="Silver"/>
    <m/>
    <s v="Lower"/>
  </r>
  <r>
    <s v="CUST102837"/>
    <n v="58"/>
    <x v="0"/>
    <s v="Male"/>
    <s v="Mumbai"/>
    <n v="1625000"/>
    <n v="50"/>
    <x v="0"/>
    <m/>
    <n v="6000"/>
    <n v="364"/>
    <s v="Bronze"/>
    <m/>
    <s v="Higher"/>
  </r>
  <r>
    <s v="CUST102838"/>
    <n v="38"/>
    <x v="4"/>
    <s v="Female"/>
    <s v="Ahmedabad"/>
    <n v="1175000"/>
    <n v="21"/>
    <x v="2"/>
    <n v="22"/>
    <n v="1500"/>
    <n v="305"/>
    <m/>
    <m/>
    <s v="Higher"/>
  </r>
  <r>
    <s v="CUST102839"/>
    <n v="19"/>
    <x v="6"/>
    <s v="Male"/>
    <m/>
    <n v="1925000"/>
    <n v="43"/>
    <x v="0"/>
    <m/>
    <n v="7500"/>
    <n v="188"/>
    <m/>
    <m/>
    <s v="Higher"/>
  </r>
  <r>
    <s v="CUST102840"/>
    <n v="44"/>
    <x v="4"/>
    <s v="Male"/>
    <m/>
    <n v="1750000"/>
    <n v="10"/>
    <x v="2"/>
    <n v="78"/>
    <n v="9400"/>
    <n v="113"/>
    <s v="Gold"/>
    <s v="Mobile App"/>
    <s v="Higher"/>
  </r>
  <r>
    <s v="CUST102841"/>
    <n v="26"/>
    <x v="3"/>
    <s v="Female"/>
    <s v="Delhi"/>
    <n v="1450000"/>
    <n v="76"/>
    <x v="3"/>
    <n v="78"/>
    <n v="800"/>
    <n v="181"/>
    <s v="Platinum"/>
    <s v="Website"/>
    <s v="Higher"/>
  </r>
  <r>
    <s v="CUST102842"/>
    <n v="18"/>
    <x v="6"/>
    <s v="Male"/>
    <m/>
    <n v="300000"/>
    <n v="30"/>
    <x v="2"/>
    <n v="17"/>
    <n v="11300"/>
    <n v="199"/>
    <s v="Bronze"/>
    <s v="In-store"/>
    <s v="Higher"/>
  </r>
  <r>
    <s v="CUST102843"/>
    <n v="28"/>
    <x v="3"/>
    <m/>
    <s v="Ahmedabad"/>
    <n v="250000"/>
    <n v="51"/>
    <x v="0"/>
    <n v="72"/>
    <n v="8900"/>
    <n v="70"/>
    <s v="Gold"/>
    <m/>
    <s v="Lower"/>
  </r>
  <r>
    <s v="CUST102844"/>
    <n v="20"/>
    <x v="6"/>
    <s v="Female"/>
    <s v="Kolkata"/>
    <n v="725000"/>
    <n v="33"/>
    <x v="2"/>
    <m/>
    <n v="11400"/>
    <n v="86"/>
    <m/>
    <s v="Online"/>
    <s v="Higher"/>
  </r>
  <r>
    <s v="CUST102845"/>
    <n v="69"/>
    <x v="1"/>
    <s v="Male"/>
    <s v="Bengaluru"/>
    <n v="825000"/>
    <n v="18"/>
    <x v="2"/>
    <m/>
    <n v="10200"/>
    <n v="39"/>
    <s v="Gold"/>
    <s v="In-store"/>
    <s v="Higher"/>
  </r>
  <r>
    <s v="CUST102846"/>
    <n v="40"/>
    <x v="4"/>
    <s v="Unknown"/>
    <s v="Delhi"/>
    <n v="1675000"/>
    <n v="78"/>
    <x v="3"/>
    <n v="38"/>
    <n v="6000"/>
    <n v="131"/>
    <m/>
    <s v="In-store"/>
    <s v="Lower"/>
  </r>
  <r>
    <s v="CUST102847"/>
    <n v="43"/>
    <x v="4"/>
    <m/>
    <s v="Kolkata"/>
    <n v="550000"/>
    <n v="22"/>
    <x v="2"/>
    <n v="24"/>
    <n v="1900"/>
    <n v="10"/>
    <m/>
    <s v="Website"/>
    <s v="Lower"/>
  </r>
  <r>
    <s v="CUST102848"/>
    <n v="21"/>
    <x v="6"/>
    <s v="Male"/>
    <s v="Hyderabad"/>
    <n v="625000"/>
    <n v="64"/>
    <x v="0"/>
    <n v="6"/>
    <n v="7500"/>
    <n v="3"/>
    <m/>
    <s v="In-store"/>
    <s v="Higher"/>
  </r>
  <r>
    <s v="CUST102849"/>
    <n v="35"/>
    <x v="4"/>
    <s v="Male"/>
    <s v="Pune"/>
    <n v="200000"/>
    <n v="21"/>
    <x v="2"/>
    <n v="68"/>
    <n v="1400"/>
    <n v="302"/>
    <s v="Gold"/>
    <s v="In-store"/>
    <s v="Higher"/>
  </r>
  <r>
    <s v="CUST102850"/>
    <s v="NA"/>
    <x v="5"/>
    <s v="Male"/>
    <s v="Chennai"/>
    <n v="1050000"/>
    <n v="1"/>
    <x v="2"/>
    <n v="6"/>
    <n v="8800"/>
    <n v="150"/>
    <m/>
    <s v="Mobile App"/>
    <s v="Higher"/>
  </r>
  <r>
    <s v="CUST102851"/>
    <n v="23"/>
    <x v="6"/>
    <m/>
    <s v="Delhi"/>
    <n v="500000"/>
    <n v="15"/>
    <x v="2"/>
    <n v="26"/>
    <n v="11700"/>
    <n v="67"/>
    <m/>
    <s v="Mobile App"/>
    <s v="Lower"/>
  </r>
  <r>
    <s v="CUST102852"/>
    <n v="52"/>
    <x v="2"/>
    <s v="Female"/>
    <m/>
    <n v="1400000"/>
    <n v="36"/>
    <x v="0"/>
    <n v="41"/>
    <n v="5400"/>
    <n v="193"/>
    <s v="Silver"/>
    <s v="Mobile App"/>
    <s v="Higher"/>
  </r>
  <r>
    <s v="CUST102853"/>
    <n v="39"/>
    <x v="4"/>
    <s v="Male"/>
    <s v="Bengaluru"/>
    <n v="1325000"/>
    <n v="47"/>
    <x v="0"/>
    <n v="75"/>
    <n v="7800"/>
    <n v="97"/>
    <s v="Silver"/>
    <s v="Mobile App"/>
    <s v="Higher"/>
  </r>
  <r>
    <s v="CUST102854"/>
    <n v="60"/>
    <x v="0"/>
    <s v="Male"/>
    <s v="Kolkata"/>
    <n v="325000"/>
    <n v="54"/>
    <x v="0"/>
    <n v="38"/>
    <m/>
    <n v="19"/>
    <m/>
    <s v="Mobile App"/>
    <s v="Higher"/>
  </r>
  <r>
    <s v="CUST102855"/>
    <n v="32"/>
    <x v="3"/>
    <s v="Female"/>
    <s v="Ahmedabad"/>
    <n v="450000"/>
    <n v="86"/>
    <x v="3"/>
    <m/>
    <n v="7200"/>
    <n v="318"/>
    <m/>
    <m/>
    <s v="Higher"/>
  </r>
  <r>
    <s v="CUST102856"/>
    <n v="39"/>
    <x v="4"/>
    <m/>
    <s v="Delhi"/>
    <n v="1325000"/>
    <n v="32"/>
    <x v="2"/>
    <n v="43"/>
    <n v="11000"/>
    <n v="98"/>
    <m/>
    <s v="Online"/>
    <s v="Lower"/>
  </r>
  <r>
    <s v="CUST102857"/>
    <n v="54"/>
    <x v="2"/>
    <s v="Male"/>
    <s v="Pune"/>
    <n v="200000"/>
    <n v="58"/>
    <x v="0"/>
    <n v="53"/>
    <n v="7500"/>
    <n v="57"/>
    <m/>
    <s v="Website"/>
    <s v="Higher"/>
  </r>
  <r>
    <s v="CUST102858"/>
    <n v="69"/>
    <x v="1"/>
    <s v="Male"/>
    <s v="Ahmedabad"/>
    <n v="1750000"/>
    <n v="46"/>
    <x v="0"/>
    <n v="15"/>
    <n v="5400"/>
    <n v="351"/>
    <s v="Bronze"/>
    <m/>
    <s v="Higher"/>
  </r>
  <r>
    <s v="CUST102859"/>
    <n v="59"/>
    <x v="0"/>
    <m/>
    <s v="Kolkata"/>
    <n v="1950000"/>
    <n v="54"/>
    <x v="0"/>
    <n v="56"/>
    <n v="3900"/>
    <n v="107"/>
    <s v="Gold"/>
    <m/>
    <s v="Lower"/>
  </r>
  <r>
    <s v="CUST102860"/>
    <n v="29"/>
    <x v="3"/>
    <s v="Male"/>
    <s v="Bengaluru"/>
    <n v="900000"/>
    <n v="33"/>
    <x v="2"/>
    <n v="56"/>
    <n v="11900"/>
    <n v="88"/>
    <s v="Bronze"/>
    <s v="Mobile App"/>
    <s v="Higher"/>
  </r>
  <r>
    <s v="CUST102861"/>
    <n v="64"/>
    <x v="0"/>
    <m/>
    <s v="Mumbai"/>
    <n v="775000"/>
    <n v="39"/>
    <x v="0"/>
    <n v="31"/>
    <n v="500"/>
    <n v="141"/>
    <s v="Silver"/>
    <s v="Website"/>
    <s v="Lower"/>
  </r>
  <r>
    <s v="CUST102862"/>
    <n v="66"/>
    <x v="1"/>
    <s v="Male"/>
    <s v="Pune"/>
    <n v="1525000"/>
    <n v="23"/>
    <x v="2"/>
    <n v="57"/>
    <n v="10000"/>
    <n v="144"/>
    <s v="Bronze"/>
    <m/>
    <s v="Higher"/>
  </r>
  <r>
    <s v="CUST102863"/>
    <n v="59"/>
    <x v="0"/>
    <s v="Male"/>
    <s v="Ahmedabad"/>
    <n v="975000"/>
    <n v="43"/>
    <x v="0"/>
    <n v="51"/>
    <n v="1000"/>
    <n v="52"/>
    <s v="Platinum"/>
    <s v="In-store"/>
    <s v="Higher"/>
  </r>
  <r>
    <s v="CUST102864"/>
    <n v="55"/>
    <x v="0"/>
    <s v="Female"/>
    <s v="Pune"/>
    <n v="350000"/>
    <n v="55"/>
    <x v="0"/>
    <n v="24"/>
    <n v="1200"/>
    <n v="212"/>
    <s v="Platinum"/>
    <m/>
    <s v="Higher"/>
  </r>
  <r>
    <s v="CUST102865"/>
    <n v="35"/>
    <x v="4"/>
    <s v="Unknown"/>
    <s v="Hyderabad"/>
    <n v="1675000"/>
    <n v="2"/>
    <x v="2"/>
    <n v="58"/>
    <n v="4900"/>
    <n v="41"/>
    <s v="Silver"/>
    <s v="In-store"/>
    <s v="Lower"/>
  </r>
  <r>
    <s v="CUST102866"/>
    <n v="62"/>
    <x v="0"/>
    <s v="Unknown"/>
    <s v="Ahmedabad"/>
    <n v="450000"/>
    <n v="66"/>
    <x v="0"/>
    <n v="73"/>
    <n v="4300"/>
    <n v="304"/>
    <s v="Bronze"/>
    <s v="Website"/>
    <s v="Lower"/>
  </r>
  <r>
    <s v="CUST102867"/>
    <n v="52"/>
    <x v="2"/>
    <s v="Unknown"/>
    <s v="Delhi"/>
    <n v="1850000"/>
    <n v="38"/>
    <x v="0"/>
    <n v="4"/>
    <n v="6600"/>
    <n v="91"/>
    <s v="Gold"/>
    <s v="Online"/>
    <s v="Lower"/>
  </r>
  <r>
    <s v="CUST102868"/>
    <n v="47"/>
    <x v="2"/>
    <m/>
    <s v="Mumbai"/>
    <n v="1150000"/>
    <n v="29"/>
    <x v="2"/>
    <n v="10"/>
    <n v="4400"/>
    <n v="39"/>
    <s v="Silver"/>
    <s v="Online"/>
    <s v="Lower"/>
  </r>
  <r>
    <s v="CUST102869"/>
    <n v="41"/>
    <x v="4"/>
    <m/>
    <s v="Mumbai"/>
    <s v="unknown"/>
    <n v="67"/>
    <x v="3"/>
    <n v="63"/>
    <n v="4500"/>
    <n v="13"/>
    <s v="Platinum"/>
    <s v="Website"/>
    <s v="Lower"/>
  </r>
  <r>
    <s v="CUST102870"/>
    <n v="59"/>
    <x v="0"/>
    <m/>
    <s v="Chennai"/>
    <n v="150000"/>
    <n v="71"/>
    <x v="3"/>
    <n v="73"/>
    <n v="1100"/>
    <n v="96"/>
    <s v="Silver"/>
    <s v="Online"/>
    <s v="Lower"/>
  </r>
  <r>
    <s v="CUST102871"/>
    <n v="47"/>
    <x v="2"/>
    <s v="Female"/>
    <s v="Pune"/>
    <n v="1300000"/>
    <n v="36"/>
    <x v="0"/>
    <n v="15"/>
    <n v="1600"/>
    <n v="109"/>
    <s v="Bronze"/>
    <s v="Online"/>
    <s v="Higher"/>
  </r>
  <r>
    <s v="CUST102872"/>
    <n v="31"/>
    <x v="3"/>
    <m/>
    <m/>
    <n v="225000"/>
    <n v="29"/>
    <x v="2"/>
    <n v="63"/>
    <n v="10300"/>
    <n v="104"/>
    <s v="Bronze"/>
    <s v="In-store"/>
    <s v="Lower"/>
  </r>
  <r>
    <s v="CUST102873"/>
    <n v="23"/>
    <x v="6"/>
    <s v="Unknown"/>
    <s v="Mumbai"/>
    <n v="1700000"/>
    <n v="37"/>
    <x v="0"/>
    <n v="19"/>
    <n v="9300"/>
    <n v="354"/>
    <s v="Bronze"/>
    <s v="Online"/>
    <s v="Lower"/>
  </r>
  <r>
    <s v="CUST102874"/>
    <n v="20"/>
    <x v="6"/>
    <s v="Unknown"/>
    <s v="Mumbai"/>
    <n v="1425000"/>
    <n v="100"/>
    <x v="3"/>
    <n v="63"/>
    <n v="10700"/>
    <n v="231"/>
    <m/>
    <s v="Online"/>
    <s v="Lower"/>
  </r>
  <r>
    <s v="CUST102875"/>
    <n v="33"/>
    <x v="3"/>
    <s v="Male"/>
    <s v="Hyderabad"/>
    <n v="375000"/>
    <n v="87"/>
    <x v="3"/>
    <n v="56"/>
    <n v="9800"/>
    <n v="43"/>
    <s v="Bronze"/>
    <s v="Website"/>
    <s v="Higher"/>
  </r>
  <r>
    <s v="CUST102876"/>
    <n v="24"/>
    <x v="6"/>
    <m/>
    <m/>
    <n v="825000"/>
    <n v="45"/>
    <x v="0"/>
    <n v="21"/>
    <n v="600"/>
    <n v="209"/>
    <m/>
    <s v="Online"/>
    <s v="Lower"/>
  </r>
  <r>
    <s v="CUST102877"/>
    <n v="69"/>
    <x v="1"/>
    <s v="Male"/>
    <s v="Hyderabad"/>
    <n v="275000"/>
    <n v="16"/>
    <x v="2"/>
    <n v="34"/>
    <n v="400"/>
    <n v="88"/>
    <s v="Platinum"/>
    <m/>
    <s v="Higher"/>
  </r>
  <r>
    <s v="CUST102878"/>
    <n v="31"/>
    <x v="3"/>
    <s v="Male"/>
    <s v="Hyderabad"/>
    <n v="800000"/>
    <n v="31"/>
    <x v="2"/>
    <n v="17"/>
    <n v="11700"/>
    <n v="93"/>
    <s v="Platinum"/>
    <s v="Mobile App"/>
    <s v="Higher"/>
  </r>
  <r>
    <s v="CUST102879"/>
    <n v="26"/>
    <x v="3"/>
    <s v="Male"/>
    <m/>
    <n v="425000"/>
    <n v="34"/>
    <x v="0"/>
    <n v="18"/>
    <n v="9900"/>
    <n v="174"/>
    <m/>
    <s v="Mobile App"/>
    <s v="Higher"/>
  </r>
  <r>
    <s v="CUST102880"/>
    <n v="32"/>
    <x v="3"/>
    <s v="Male"/>
    <s v="Pune"/>
    <n v="1675000"/>
    <n v="50"/>
    <x v="0"/>
    <m/>
    <n v="8700"/>
    <n v="126"/>
    <s v="Platinum"/>
    <s v="Website"/>
    <s v="Higher"/>
  </r>
  <r>
    <s v="CUST102881"/>
    <n v="38"/>
    <x v="4"/>
    <s v="Male"/>
    <s v="Ahmedabad"/>
    <n v="1425000"/>
    <n v="65"/>
    <x v="0"/>
    <n v="66"/>
    <n v="300"/>
    <n v="109"/>
    <s v="Platinum"/>
    <s v="Mobile App"/>
    <s v="Higher"/>
  </r>
  <r>
    <s v="CUST102882"/>
    <n v="52"/>
    <x v="2"/>
    <s v="Male"/>
    <s v="Bengaluru"/>
    <n v="1325000"/>
    <n v="82"/>
    <x v="3"/>
    <n v="51"/>
    <n v="11000"/>
    <n v="47"/>
    <s v="Silver"/>
    <s v="In-store"/>
    <s v="Higher"/>
  </r>
  <r>
    <s v="CUST102883"/>
    <n v="19"/>
    <x v="6"/>
    <s v="Unknown"/>
    <m/>
    <n v="1800000"/>
    <n v="62"/>
    <x v="0"/>
    <n v="65"/>
    <n v="7700"/>
    <n v="214"/>
    <s v="Bronze"/>
    <m/>
    <s v="Lower"/>
  </r>
  <r>
    <s v="CUST102884"/>
    <n v="44"/>
    <x v="4"/>
    <s v="Male"/>
    <s v="Mumbai"/>
    <n v="1275000"/>
    <n v="43"/>
    <x v="0"/>
    <n v="43"/>
    <n v="6700"/>
    <n v="92"/>
    <m/>
    <m/>
    <s v="Higher"/>
  </r>
  <r>
    <s v="CUST102885"/>
    <n v="19"/>
    <x v="6"/>
    <s v="Female"/>
    <s v="Chennai"/>
    <n v="1975000"/>
    <n v="56"/>
    <x v="0"/>
    <n v="57"/>
    <n v="4800"/>
    <n v="181"/>
    <m/>
    <s v="Website"/>
    <s v="Higher"/>
  </r>
  <r>
    <s v="CUST102886"/>
    <n v="52"/>
    <x v="2"/>
    <m/>
    <m/>
    <n v="500000"/>
    <n v="15"/>
    <x v="2"/>
    <n v="10"/>
    <n v="6100"/>
    <n v="41"/>
    <s v="Silver"/>
    <s v="Online"/>
    <s v="Lower"/>
  </r>
  <r>
    <s v="CUST102887"/>
    <n v="35"/>
    <x v="4"/>
    <s v="Male"/>
    <s v="Ahmedabad"/>
    <n v="1900000"/>
    <n v="48"/>
    <x v="0"/>
    <n v="37"/>
    <n v="7700"/>
    <n v="259"/>
    <m/>
    <s v="Mobile App"/>
    <s v="Higher"/>
  </r>
  <r>
    <s v="CUST102888"/>
    <n v="31"/>
    <x v="3"/>
    <m/>
    <m/>
    <n v="1025000"/>
    <n v="49"/>
    <x v="0"/>
    <n v="48"/>
    <n v="900"/>
    <n v="121"/>
    <s v="Silver"/>
    <s v="In-store"/>
    <s v="Lower"/>
  </r>
  <r>
    <s v="CUST102889"/>
    <n v="37"/>
    <x v="4"/>
    <s v="Female"/>
    <m/>
    <n v="475000"/>
    <n v="81"/>
    <x v="3"/>
    <n v="69"/>
    <n v="6800"/>
    <n v="77"/>
    <m/>
    <s v="Website"/>
    <s v="Higher"/>
  </r>
  <r>
    <s v="CUST102890"/>
    <n v="35"/>
    <x v="4"/>
    <s v="Male"/>
    <s v="Mumbai"/>
    <n v="200000"/>
    <n v="44"/>
    <x v="0"/>
    <n v="56"/>
    <n v="1700"/>
    <n v="95"/>
    <s v="Platinum"/>
    <s v="Website"/>
    <s v="Higher"/>
  </r>
  <r>
    <s v="CUST102891"/>
    <n v="27"/>
    <x v="3"/>
    <s v="Male"/>
    <m/>
    <n v="1800000"/>
    <n v="10"/>
    <x v="2"/>
    <n v="76"/>
    <n v="7400"/>
    <n v="269"/>
    <s v="Gold"/>
    <s v="Online"/>
    <s v="Higher"/>
  </r>
  <r>
    <s v="CUST102892"/>
    <n v="42"/>
    <x v="4"/>
    <m/>
    <s v="Bengaluru"/>
    <n v="600000"/>
    <n v="20"/>
    <x v="2"/>
    <n v="36"/>
    <m/>
    <n v="361"/>
    <s v="Bronze"/>
    <m/>
    <s v="Lower"/>
  </r>
  <r>
    <s v="CUST102893"/>
    <n v="19"/>
    <x v="6"/>
    <s v="Male"/>
    <m/>
    <m/>
    <n v="70"/>
    <x v="3"/>
    <n v="31"/>
    <n v="11800"/>
    <n v="18"/>
    <s v="Gold"/>
    <s v="Mobile App"/>
    <s v="Higher"/>
  </r>
  <r>
    <s v="CUST102894"/>
    <n v="42"/>
    <x v="4"/>
    <m/>
    <m/>
    <n v="1475000"/>
    <n v="8"/>
    <x v="2"/>
    <n v="55"/>
    <n v="4900"/>
    <n v="293"/>
    <s v="Platinum"/>
    <s v="In-store"/>
    <s v="Lower"/>
  </r>
  <r>
    <s v="CUST102895"/>
    <m/>
    <x v="5"/>
    <s v="Female"/>
    <s v="Mumbai"/>
    <n v="1850000"/>
    <n v="45"/>
    <x v="0"/>
    <n v="38"/>
    <n v="9200"/>
    <n v="171"/>
    <m/>
    <s v="Website"/>
    <s v="Higher"/>
  </r>
  <r>
    <s v="CUST102896"/>
    <n v="50"/>
    <x v="2"/>
    <s v="Female"/>
    <s v="Mumbai"/>
    <n v="375000"/>
    <n v="34"/>
    <x v="0"/>
    <n v="73"/>
    <n v="4200"/>
    <n v="162"/>
    <s v="Silver"/>
    <s v="Mobile App"/>
    <s v="Higher"/>
  </r>
  <r>
    <s v="CUST102897"/>
    <n v="53"/>
    <x v="2"/>
    <m/>
    <m/>
    <n v="950000"/>
    <n v="96"/>
    <x v="3"/>
    <n v="15"/>
    <n v="4400"/>
    <n v="311"/>
    <m/>
    <s v="In-store"/>
    <s v="Lower"/>
  </r>
  <r>
    <s v="CUST102898"/>
    <n v="48"/>
    <x v="2"/>
    <m/>
    <s v="Pune"/>
    <n v="450000"/>
    <n v="51"/>
    <x v="0"/>
    <n v="16"/>
    <n v="5300"/>
    <n v="52"/>
    <m/>
    <m/>
    <s v="Lower"/>
  </r>
  <r>
    <s v="CUST102899"/>
    <n v="31"/>
    <x v="3"/>
    <s v="Unknown"/>
    <s v="Chennai"/>
    <n v="1400000"/>
    <n v="4"/>
    <x v="2"/>
    <n v="77"/>
    <n v="3700"/>
    <n v="36"/>
    <s v="Platinum"/>
    <m/>
    <s v="Lower"/>
  </r>
  <r>
    <s v="CUST102900"/>
    <n v="18"/>
    <x v="6"/>
    <s v="Male"/>
    <s v="Kolkata"/>
    <n v="925000"/>
    <n v="39"/>
    <x v="0"/>
    <n v="53"/>
    <n v="11800"/>
    <n v="187"/>
    <m/>
    <s v="In-store"/>
    <s v="Higher"/>
  </r>
  <r>
    <s v="CUST102901"/>
    <n v="63"/>
    <x v="0"/>
    <s v="Female"/>
    <s v="Hyderabad"/>
    <m/>
    <n v="84"/>
    <x v="3"/>
    <n v="56"/>
    <n v="11200"/>
    <n v="248"/>
    <s v="Platinum"/>
    <m/>
    <s v="Higher"/>
  </r>
  <r>
    <s v="CUST102902"/>
    <n v="33"/>
    <x v="3"/>
    <s v="Female"/>
    <m/>
    <n v="725000"/>
    <n v="24"/>
    <x v="2"/>
    <n v="7"/>
    <n v="10700"/>
    <n v="52"/>
    <s v="Gold"/>
    <s v="Website"/>
    <s v="Higher"/>
  </r>
  <r>
    <s v="CUST102903"/>
    <m/>
    <x v="5"/>
    <m/>
    <s v="Kolkata"/>
    <n v="1000000"/>
    <n v="88"/>
    <x v="3"/>
    <n v="57"/>
    <n v="4300"/>
    <n v="19"/>
    <m/>
    <s v="Mobile App"/>
    <s v="Lower"/>
  </r>
  <r>
    <s v="CUST102904"/>
    <n v="63"/>
    <x v="0"/>
    <s v="Female"/>
    <s v="Ahmedabad"/>
    <n v="1875000"/>
    <n v="55"/>
    <x v="0"/>
    <n v="55"/>
    <n v="8700"/>
    <n v="92"/>
    <s v="Silver"/>
    <s v="In-store"/>
    <s v="Higher"/>
  </r>
  <r>
    <s v="CUST102905"/>
    <n v="69"/>
    <x v="1"/>
    <s v="Male"/>
    <s v="Ahmedabad"/>
    <n v="1125000"/>
    <n v="26"/>
    <x v="2"/>
    <n v="52"/>
    <n v="5900"/>
    <n v="139"/>
    <m/>
    <s v="Website"/>
    <s v="Higher"/>
  </r>
  <r>
    <s v="CUST102906"/>
    <n v="20"/>
    <x v="6"/>
    <s v="Male"/>
    <s v="Mumbai"/>
    <n v="1475000"/>
    <n v="25"/>
    <x v="2"/>
    <n v="4"/>
    <n v="4000"/>
    <n v="304"/>
    <m/>
    <s v="Mobile App"/>
    <s v="Higher"/>
  </r>
  <r>
    <s v="CUST102907"/>
    <n v="52"/>
    <x v="2"/>
    <s v="Female"/>
    <s v="Ahmedabad"/>
    <n v="1225000"/>
    <n v="36"/>
    <x v="0"/>
    <n v="43"/>
    <n v="7400"/>
    <n v="357"/>
    <m/>
    <s v="Mobile App"/>
    <s v="Higher"/>
  </r>
  <r>
    <s v="CUST102908"/>
    <n v="58"/>
    <x v="0"/>
    <s v="Female"/>
    <s v="Pune"/>
    <n v="1675000"/>
    <n v="71"/>
    <x v="3"/>
    <n v="40"/>
    <n v="10900"/>
    <n v="220"/>
    <m/>
    <s v="Website"/>
    <s v="Higher"/>
  </r>
  <r>
    <s v="CUST102909"/>
    <n v="23"/>
    <x v="6"/>
    <s v="Unknown"/>
    <s v="Chennai"/>
    <n v="1825000"/>
    <n v="74"/>
    <x v="3"/>
    <n v="30"/>
    <n v="9800"/>
    <n v="99"/>
    <s v="Bronze"/>
    <s v="Mobile App"/>
    <s v="Lower"/>
  </r>
  <r>
    <s v="CUST102910"/>
    <n v="42"/>
    <x v="4"/>
    <s v="Female"/>
    <s v="Ahmedabad"/>
    <n v="950000"/>
    <n v="58"/>
    <x v="0"/>
    <n v="10"/>
    <n v="1000"/>
    <n v="236"/>
    <m/>
    <m/>
    <s v="Higher"/>
  </r>
  <r>
    <s v="CUST102911"/>
    <n v="30"/>
    <x v="3"/>
    <s v="Female"/>
    <s v="Bengaluru"/>
    <s v="unknown"/>
    <n v="12"/>
    <x v="2"/>
    <n v="7"/>
    <n v="11000"/>
    <n v="207"/>
    <s v="Platinum"/>
    <s v="In-store"/>
    <s v="Higher"/>
  </r>
  <r>
    <s v="CUST102912"/>
    <m/>
    <x v="5"/>
    <s v="Male"/>
    <s v="Chennai"/>
    <n v="1525000"/>
    <n v="1"/>
    <x v="2"/>
    <n v="36"/>
    <n v="7600"/>
    <n v="144"/>
    <s v="Bronze"/>
    <s v="In-store"/>
    <s v="Higher"/>
  </r>
  <r>
    <s v="CUST102913"/>
    <n v="51"/>
    <x v="2"/>
    <s v="Male"/>
    <s v="Pune"/>
    <n v="1025000"/>
    <n v="50"/>
    <x v="0"/>
    <n v="35"/>
    <n v="6500"/>
    <n v="199"/>
    <s v="Bronze"/>
    <s v="Mobile App"/>
    <s v="Higher"/>
  </r>
  <r>
    <s v="CUST102914"/>
    <n v="25"/>
    <x v="3"/>
    <s v="Female"/>
    <s v="Kolkata"/>
    <n v="1475000"/>
    <n v="25"/>
    <x v="2"/>
    <n v="39"/>
    <n v="8900"/>
    <n v="303"/>
    <m/>
    <s v="Website"/>
    <s v="Higher"/>
  </r>
  <r>
    <s v="CUST102915"/>
    <n v="38"/>
    <x v="4"/>
    <m/>
    <s v="Chennai"/>
    <n v="600000"/>
    <n v="80"/>
    <x v="3"/>
    <n v="36"/>
    <n v="600"/>
    <n v="323"/>
    <m/>
    <s v="Online"/>
    <s v="Lower"/>
  </r>
  <r>
    <s v="CUST102916"/>
    <n v="51"/>
    <x v="2"/>
    <s v="Female"/>
    <s v="Chennai"/>
    <n v="1200000"/>
    <n v="5"/>
    <x v="2"/>
    <n v="20"/>
    <n v="5000"/>
    <n v="287"/>
    <m/>
    <m/>
    <s v="Higher"/>
  </r>
  <r>
    <s v="CUST102917"/>
    <n v="21"/>
    <x v="6"/>
    <m/>
    <s v="Kolkata"/>
    <n v="425000"/>
    <n v="83"/>
    <x v="3"/>
    <n v="49"/>
    <n v="5400"/>
    <n v="332"/>
    <m/>
    <s v="Mobile App"/>
    <s v="Lower"/>
  </r>
  <r>
    <s v="CUST102918"/>
    <n v="42"/>
    <x v="4"/>
    <s v="Male"/>
    <s v="Pune"/>
    <n v="400000"/>
    <n v="68"/>
    <x v="3"/>
    <n v="59"/>
    <n v="4000"/>
    <n v="264"/>
    <m/>
    <s v="Online"/>
    <s v="Higher"/>
  </r>
  <r>
    <s v="CUST102919"/>
    <n v="32"/>
    <x v="3"/>
    <s v="Female"/>
    <s v="Ahmedabad"/>
    <n v="1875000"/>
    <n v="6"/>
    <x v="2"/>
    <n v="49"/>
    <n v="9600"/>
    <n v="217"/>
    <s v="Platinum"/>
    <s v="Mobile App"/>
    <s v="Higher"/>
  </r>
  <r>
    <s v="CUST102920"/>
    <n v="21"/>
    <x v="6"/>
    <s v="Female"/>
    <s v="Mumbai"/>
    <n v="425000"/>
    <n v="26"/>
    <x v="2"/>
    <n v="26"/>
    <n v="10700"/>
    <n v="189"/>
    <m/>
    <s v="Online"/>
    <s v="Higher"/>
  </r>
  <r>
    <s v="CUST102921"/>
    <n v="62"/>
    <x v="0"/>
    <s v="Male"/>
    <m/>
    <n v="1150000"/>
    <n v="55"/>
    <x v="0"/>
    <n v="36"/>
    <n v="8900"/>
    <n v="44"/>
    <s v="Silver"/>
    <s v="Mobile App"/>
    <s v="Higher"/>
  </r>
  <r>
    <s v="CUST102922"/>
    <n v="29"/>
    <x v="3"/>
    <m/>
    <s v="Kolkata"/>
    <n v="750000"/>
    <n v="39"/>
    <x v="0"/>
    <n v="43"/>
    <n v="700"/>
    <n v="291"/>
    <m/>
    <s v="Website"/>
    <s v="Lower"/>
  </r>
  <r>
    <s v="CUST102923"/>
    <n v="49"/>
    <x v="2"/>
    <s v="Male"/>
    <s v="Kolkata"/>
    <n v="200000"/>
    <n v="9"/>
    <x v="2"/>
    <n v="43"/>
    <n v="8700"/>
    <n v="189"/>
    <s v="Bronze"/>
    <m/>
    <s v="Higher"/>
  </r>
  <r>
    <s v="CUST102924"/>
    <n v="49"/>
    <x v="2"/>
    <s v="Female"/>
    <s v="Kolkata"/>
    <n v="200000"/>
    <n v="45"/>
    <x v="0"/>
    <n v="76"/>
    <n v="7200"/>
    <n v="194"/>
    <s v="Silver"/>
    <s v="Online"/>
    <s v="Higher"/>
  </r>
  <r>
    <s v="CUST102925"/>
    <n v="45"/>
    <x v="2"/>
    <s v="Male"/>
    <s v="Kolkata"/>
    <n v="825000"/>
    <n v="14"/>
    <x v="2"/>
    <n v="33"/>
    <n v="11500"/>
    <n v="270"/>
    <m/>
    <m/>
    <s v="Higher"/>
  </r>
  <r>
    <s v="CUST102926"/>
    <n v="30"/>
    <x v="3"/>
    <s v="Female"/>
    <m/>
    <n v="700000"/>
    <n v="55"/>
    <x v="0"/>
    <n v="78"/>
    <n v="8300"/>
    <m/>
    <s v="Silver"/>
    <s v="Website"/>
    <s v="Higher"/>
  </r>
  <r>
    <s v="CUST102927"/>
    <n v="48"/>
    <x v="2"/>
    <s v="Female"/>
    <m/>
    <n v="1325000"/>
    <n v="9"/>
    <x v="2"/>
    <n v="45"/>
    <n v="9100"/>
    <n v="260"/>
    <s v="Bronze"/>
    <m/>
    <s v="Higher"/>
  </r>
  <r>
    <s v="CUST102928"/>
    <n v="31"/>
    <x v="3"/>
    <s v="Male"/>
    <s v="Ahmedabad"/>
    <n v="1800000"/>
    <n v="15"/>
    <x v="2"/>
    <n v="45"/>
    <n v="2600"/>
    <n v="239"/>
    <m/>
    <s v="Mobile App"/>
    <s v="Higher"/>
  </r>
  <r>
    <s v="CUST102929"/>
    <n v="37"/>
    <x v="4"/>
    <m/>
    <m/>
    <n v="1175000"/>
    <n v="37"/>
    <x v="0"/>
    <n v="15"/>
    <n v="8800"/>
    <n v="112"/>
    <s v="Silver"/>
    <s v="Online"/>
    <s v="Lower"/>
  </r>
  <r>
    <s v="CUST102930"/>
    <n v="35"/>
    <x v="4"/>
    <s v="Female"/>
    <m/>
    <n v="1125000"/>
    <n v="50"/>
    <x v="0"/>
    <n v="17"/>
    <n v="7900"/>
    <n v="69"/>
    <s v="Platinum"/>
    <m/>
    <s v="Higher"/>
  </r>
  <r>
    <s v="CUST102931"/>
    <n v="46"/>
    <x v="2"/>
    <s v="Female"/>
    <s v="Delhi"/>
    <n v="275000"/>
    <n v="84"/>
    <x v="3"/>
    <n v="12"/>
    <n v="1900"/>
    <n v="49"/>
    <s v="Platinum"/>
    <s v="In-store"/>
    <s v="Higher"/>
  </r>
  <r>
    <s v="CUST102932"/>
    <n v="23"/>
    <x v="6"/>
    <s v="Female"/>
    <s v="Kolkata"/>
    <n v="625000"/>
    <n v="72"/>
    <x v="3"/>
    <n v="22"/>
    <n v="8000"/>
    <n v="311"/>
    <m/>
    <s v="Website"/>
    <s v="Higher"/>
  </r>
  <r>
    <s v="CUST102933"/>
    <n v="49"/>
    <x v="2"/>
    <m/>
    <s v="Kolkata"/>
    <n v="400000"/>
    <n v="96"/>
    <x v="3"/>
    <n v="23"/>
    <n v="10000"/>
    <n v="151"/>
    <m/>
    <s v="Online"/>
    <s v="Lower"/>
  </r>
  <r>
    <s v="CUST102934"/>
    <n v="46"/>
    <x v="2"/>
    <s v="Female"/>
    <s v="Chennai"/>
    <n v="800000"/>
    <n v="21"/>
    <x v="2"/>
    <n v="78"/>
    <n v="9200"/>
    <n v="239"/>
    <s v="Silver"/>
    <s v="Website"/>
    <s v="Higher"/>
  </r>
  <r>
    <s v="CUST102935"/>
    <n v="60"/>
    <x v="0"/>
    <s v="Male"/>
    <m/>
    <n v="650000"/>
    <n v="57"/>
    <x v="0"/>
    <n v="12"/>
    <n v="8500"/>
    <n v="337"/>
    <s v="Bronze"/>
    <s v="Online"/>
    <s v="Higher"/>
  </r>
  <r>
    <s v="CUST102936"/>
    <n v="19"/>
    <x v="6"/>
    <s v="Male"/>
    <s v="Ahmedabad"/>
    <n v="450000"/>
    <n v="19"/>
    <x v="2"/>
    <n v="68"/>
    <n v="2800"/>
    <n v="115"/>
    <s v="Platinum"/>
    <s v="In-store"/>
    <s v="Higher"/>
  </r>
  <r>
    <s v="CUST102937"/>
    <n v="40"/>
    <x v="4"/>
    <m/>
    <s v="Mumbai"/>
    <n v="1000000"/>
    <n v="93"/>
    <x v="3"/>
    <n v="51"/>
    <n v="500"/>
    <n v="75"/>
    <s v="Gold"/>
    <m/>
    <s v="Lower"/>
  </r>
  <r>
    <s v="CUST102938"/>
    <n v="36"/>
    <x v="4"/>
    <s v="Female"/>
    <s v="Delhi"/>
    <n v="1300000"/>
    <n v="58"/>
    <x v="0"/>
    <n v="13"/>
    <n v="400"/>
    <n v="98"/>
    <m/>
    <s v="In-store"/>
    <s v="Higher"/>
  </r>
  <r>
    <s v="CUST102939"/>
    <n v="48"/>
    <x v="2"/>
    <m/>
    <s v="Delhi"/>
    <n v="825000"/>
    <n v="95"/>
    <x v="3"/>
    <n v="57"/>
    <n v="9400"/>
    <n v="111"/>
    <s v="Platinum"/>
    <s v="Mobile App"/>
    <s v="Lower"/>
  </r>
  <r>
    <s v="CUST102940"/>
    <n v="68"/>
    <x v="1"/>
    <m/>
    <s v="Ahmedabad"/>
    <n v="650000"/>
    <n v="6"/>
    <x v="2"/>
    <n v="55"/>
    <n v="400"/>
    <n v="357"/>
    <m/>
    <s v="Website"/>
    <s v="Lower"/>
  </r>
  <r>
    <s v="CUST102941"/>
    <n v="22"/>
    <x v="6"/>
    <m/>
    <s v="Mumbai"/>
    <n v="575000"/>
    <n v="4"/>
    <x v="2"/>
    <n v="28"/>
    <n v="2400"/>
    <n v="285"/>
    <s v="Silver"/>
    <m/>
    <s v="Lower"/>
  </r>
  <r>
    <s v="CUST102942"/>
    <n v="36"/>
    <x v="4"/>
    <s v="Unknown"/>
    <s v="Chennai"/>
    <n v="900000"/>
    <n v="43"/>
    <x v="0"/>
    <n v="44"/>
    <n v="7300"/>
    <n v="256"/>
    <s v="Platinum"/>
    <s v="Website"/>
    <s v="Lower"/>
  </r>
  <r>
    <s v="CUST102943"/>
    <n v="51"/>
    <x v="2"/>
    <s v="Male"/>
    <m/>
    <n v="1625000"/>
    <n v="93"/>
    <x v="3"/>
    <n v="19"/>
    <n v="600"/>
    <n v="318"/>
    <s v="Platinum"/>
    <m/>
    <s v="Higher"/>
  </r>
  <r>
    <s v="CUST102944"/>
    <n v="27"/>
    <x v="3"/>
    <m/>
    <s v="Hyderabad"/>
    <n v="1050000"/>
    <n v="42"/>
    <x v="0"/>
    <n v="46"/>
    <n v="11500"/>
    <n v="309"/>
    <s v="Silver"/>
    <s v="Online"/>
    <s v="Lower"/>
  </r>
  <r>
    <s v="CUST102945"/>
    <n v="42"/>
    <x v="4"/>
    <s v="Female"/>
    <m/>
    <n v="650000"/>
    <n v="3"/>
    <x v="2"/>
    <n v="3"/>
    <n v="4000"/>
    <n v="117"/>
    <m/>
    <s v="Mobile App"/>
    <s v="Higher"/>
  </r>
  <r>
    <s v="CUST102946"/>
    <n v="19"/>
    <x v="6"/>
    <s v="Male"/>
    <s v="Kolkata"/>
    <n v="475000"/>
    <n v="1"/>
    <x v="2"/>
    <n v="20"/>
    <n v="10500"/>
    <n v="176"/>
    <m/>
    <s v="Mobile App"/>
    <s v="Higher"/>
  </r>
  <r>
    <s v="CUST102947"/>
    <n v="28"/>
    <x v="3"/>
    <s v="Female"/>
    <s v="Ahmedabad"/>
    <n v="1625000"/>
    <n v="55"/>
    <x v="0"/>
    <n v="25"/>
    <n v="8600"/>
    <n v="228"/>
    <s v="Gold"/>
    <s v="Website"/>
    <s v="Higher"/>
  </r>
  <r>
    <s v="CUST102948"/>
    <n v="67"/>
    <x v="1"/>
    <m/>
    <m/>
    <n v="700000"/>
    <n v="15"/>
    <x v="2"/>
    <n v="75"/>
    <n v="7200"/>
    <n v="347"/>
    <s v="Gold"/>
    <s v="Mobile App"/>
    <s v="Lower"/>
  </r>
  <r>
    <s v="CUST102949"/>
    <n v="48"/>
    <x v="2"/>
    <m/>
    <s v="Kolkata"/>
    <n v="850000"/>
    <n v="47"/>
    <x v="0"/>
    <n v="56"/>
    <n v="7500"/>
    <n v="106"/>
    <m/>
    <s v="Website"/>
    <s v="Lower"/>
  </r>
  <r>
    <s v="CUST102950"/>
    <n v="32"/>
    <x v="3"/>
    <s v="Female"/>
    <s v="Hyderabad"/>
    <n v="1300000"/>
    <n v="85"/>
    <x v="3"/>
    <m/>
    <n v="5400"/>
    <n v="342"/>
    <m/>
    <s v="Online"/>
    <s v="Higher"/>
  </r>
  <r>
    <s v="CUST102951"/>
    <n v="26"/>
    <x v="3"/>
    <s v="Male"/>
    <s v="Hyderabad"/>
    <n v="875000"/>
    <n v="46"/>
    <x v="0"/>
    <n v="61"/>
    <n v="3300"/>
    <n v="239"/>
    <m/>
    <s v="Online"/>
    <s v="Higher"/>
  </r>
  <r>
    <s v="CUST102952"/>
    <n v="40"/>
    <x v="4"/>
    <s v="Female"/>
    <m/>
    <n v="1075000"/>
    <n v="58"/>
    <x v="0"/>
    <n v="55"/>
    <n v="2800"/>
    <n v="100"/>
    <m/>
    <s v="Website"/>
    <s v="Higher"/>
  </r>
  <r>
    <s v="CUST102953"/>
    <n v="36"/>
    <x v="4"/>
    <s v="Female"/>
    <s v="Pune"/>
    <n v="800000"/>
    <n v="95"/>
    <x v="3"/>
    <n v="35"/>
    <n v="3800"/>
    <n v="176"/>
    <s v="Platinum"/>
    <s v="In-store"/>
    <s v="Higher"/>
  </r>
  <r>
    <s v="CUST102954"/>
    <n v="26"/>
    <x v="3"/>
    <s v="Female"/>
    <s v="Hyderabad"/>
    <n v="500000"/>
    <n v="71"/>
    <x v="3"/>
    <n v="78"/>
    <n v="2800"/>
    <n v="350"/>
    <s v="Gold"/>
    <s v="In-store"/>
    <s v="Higher"/>
  </r>
  <r>
    <s v="CUST102955"/>
    <n v="52"/>
    <x v="2"/>
    <s v="Male"/>
    <m/>
    <n v="1600000"/>
    <n v="81"/>
    <x v="3"/>
    <n v="59"/>
    <n v="3000"/>
    <n v="249"/>
    <s v="Silver"/>
    <s v="Online"/>
    <s v="Higher"/>
  </r>
  <r>
    <s v="CUST102956"/>
    <n v="38"/>
    <x v="4"/>
    <s v="Male"/>
    <s v="Bengaluru"/>
    <n v="200000"/>
    <n v="83"/>
    <x v="3"/>
    <n v="39"/>
    <n v="700"/>
    <n v="76"/>
    <s v="Bronze"/>
    <m/>
    <s v="Higher"/>
  </r>
  <r>
    <s v="CUST102957"/>
    <n v="26"/>
    <x v="3"/>
    <s v="Unknown"/>
    <s v="Bengaluru"/>
    <n v="375000"/>
    <n v="39"/>
    <x v="0"/>
    <n v="57"/>
    <n v="11700"/>
    <n v="3"/>
    <s v="Silver"/>
    <s v="In-store"/>
    <s v="Lower"/>
  </r>
  <r>
    <s v="CUST102958"/>
    <n v="45"/>
    <x v="2"/>
    <s v="Male"/>
    <s v="Kolkata"/>
    <n v="550000"/>
    <n v="3"/>
    <x v="2"/>
    <n v="67"/>
    <n v="7600"/>
    <n v="81"/>
    <m/>
    <s v="Website"/>
    <s v="Higher"/>
  </r>
  <r>
    <s v="CUST102959"/>
    <n v="63"/>
    <x v="0"/>
    <s v="Female"/>
    <s v="Kolkata"/>
    <n v="400000"/>
    <n v="30"/>
    <x v="2"/>
    <n v="34"/>
    <n v="2000"/>
    <n v="361"/>
    <s v="Bronze"/>
    <s v="Online"/>
    <s v="Higher"/>
  </r>
  <r>
    <s v="CUST102960"/>
    <n v="68"/>
    <x v="1"/>
    <s v="Male"/>
    <s v="Pune"/>
    <n v="1325000"/>
    <n v="35"/>
    <x v="0"/>
    <n v="41"/>
    <n v="1700"/>
    <n v="288"/>
    <s v="Platinum"/>
    <s v="Mobile App"/>
    <s v="Higher"/>
  </r>
  <r>
    <s v="CUST102961"/>
    <n v="24"/>
    <x v="6"/>
    <s v="Male"/>
    <s v="Bengaluru"/>
    <n v="250000"/>
    <n v="57"/>
    <x v="0"/>
    <n v="22"/>
    <n v="5900"/>
    <n v="8"/>
    <m/>
    <s v="Mobile App"/>
    <s v="Higher"/>
  </r>
  <r>
    <s v="CUST102962"/>
    <n v="33"/>
    <x v="3"/>
    <m/>
    <s v="Kolkata"/>
    <n v="1850000"/>
    <n v="29"/>
    <x v="2"/>
    <n v="27"/>
    <n v="9900"/>
    <n v="87"/>
    <s v="Gold"/>
    <s v="In-store"/>
    <s v="Lower"/>
  </r>
  <r>
    <s v="CUST102963"/>
    <n v="33"/>
    <x v="3"/>
    <s v="Male"/>
    <s v="Hyderabad"/>
    <n v="1725000"/>
    <n v="50"/>
    <x v="0"/>
    <n v="21"/>
    <n v="700"/>
    <n v="286"/>
    <s v="Bronze"/>
    <m/>
    <s v="Higher"/>
  </r>
  <r>
    <s v="CUST102964"/>
    <n v="50"/>
    <x v="2"/>
    <s v="Female"/>
    <s v="Kolkata"/>
    <n v="475000"/>
    <n v="62"/>
    <x v="0"/>
    <n v="41"/>
    <n v="3900"/>
    <n v="74"/>
    <m/>
    <m/>
    <s v="Higher"/>
  </r>
  <r>
    <s v="CUST102965"/>
    <n v="21"/>
    <x v="6"/>
    <s v="Male"/>
    <s v="Delhi"/>
    <n v="1375000"/>
    <n v="52"/>
    <x v="0"/>
    <n v="31"/>
    <n v="10600"/>
    <n v="123"/>
    <m/>
    <s v="In-store"/>
    <s v="Higher"/>
  </r>
  <r>
    <s v="CUST102966"/>
    <n v="21"/>
    <x v="6"/>
    <s v="Unknown"/>
    <s v="Pune"/>
    <n v="775000"/>
    <n v="14"/>
    <x v="2"/>
    <n v="27"/>
    <n v="8800"/>
    <n v="294"/>
    <s v="Platinum"/>
    <m/>
    <s v="Lower"/>
  </r>
  <r>
    <s v="CUST102967"/>
    <n v="56"/>
    <x v="0"/>
    <s v="Female"/>
    <s v="Ahmedabad"/>
    <n v="1925000"/>
    <n v="35"/>
    <x v="0"/>
    <n v="37"/>
    <n v="8800"/>
    <n v="143"/>
    <s v="Bronze"/>
    <s v="In-store"/>
    <s v="Higher"/>
  </r>
  <r>
    <s v="CUST102968"/>
    <n v="57"/>
    <x v="0"/>
    <s v="Female"/>
    <s v="Mumbai"/>
    <n v="1850000"/>
    <n v="28"/>
    <x v="2"/>
    <n v="66"/>
    <n v="2400"/>
    <n v="158"/>
    <m/>
    <s v="Mobile App"/>
    <s v="Higher"/>
  </r>
  <r>
    <s v="CUST102969"/>
    <n v="34"/>
    <x v="3"/>
    <m/>
    <s v="Chennai"/>
    <n v="300000"/>
    <n v="58"/>
    <x v="0"/>
    <n v="54"/>
    <n v="5400"/>
    <n v="109"/>
    <m/>
    <m/>
    <s v="Lower"/>
  </r>
  <r>
    <s v="CUST102970"/>
    <n v="54"/>
    <x v="2"/>
    <s v="Female"/>
    <s v="Mumbai"/>
    <n v="525000"/>
    <n v="30"/>
    <x v="2"/>
    <n v="9"/>
    <n v="1700"/>
    <n v="334"/>
    <s v="Platinum"/>
    <s v="Mobile App"/>
    <s v="Higher"/>
  </r>
  <r>
    <s v="CUST102971"/>
    <n v="56"/>
    <x v="0"/>
    <m/>
    <s v="Mumbai"/>
    <n v="1500000"/>
    <n v="90"/>
    <x v="3"/>
    <n v="42"/>
    <n v="1900"/>
    <n v="195"/>
    <m/>
    <s v="Website"/>
    <s v="Lower"/>
  </r>
  <r>
    <s v="CUST102972"/>
    <n v="69"/>
    <x v="1"/>
    <m/>
    <m/>
    <n v="1525000"/>
    <n v="7"/>
    <x v="2"/>
    <n v="36"/>
    <n v="5300"/>
    <n v="36"/>
    <s v="Bronze"/>
    <s v="Website"/>
    <s v="Lower"/>
  </r>
  <r>
    <s v="CUST102973"/>
    <n v="46"/>
    <x v="2"/>
    <s v="Female"/>
    <s v="Ahmedabad"/>
    <n v="225000"/>
    <n v="39"/>
    <x v="0"/>
    <n v="10"/>
    <n v="4700"/>
    <n v="90"/>
    <m/>
    <s v="Online"/>
    <s v="Higher"/>
  </r>
  <r>
    <s v="CUST102974"/>
    <n v="69"/>
    <x v="1"/>
    <s v="Female"/>
    <s v="Kolkata"/>
    <n v="1325000"/>
    <n v="95"/>
    <x v="3"/>
    <n v="59"/>
    <n v="6500"/>
    <n v="296"/>
    <s v="Gold"/>
    <s v="Mobile App"/>
    <s v="Higher"/>
  </r>
  <r>
    <s v="CUST102975"/>
    <n v="53"/>
    <x v="2"/>
    <s v="Female"/>
    <m/>
    <n v="550000"/>
    <n v="69"/>
    <x v="3"/>
    <n v="40"/>
    <n v="3000"/>
    <n v="330"/>
    <s v="Platinum"/>
    <s v="Mobile App"/>
    <s v="Higher"/>
  </r>
  <r>
    <s v="CUST102976"/>
    <n v="55"/>
    <x v="0"/>
    <m/>
    <s v="Mumbai"/>
    <n v="1025000"/>
    <n v="35"/>
    <x v="0"/>
    <n v="54"/>
    <n v="6100"/>
    <n v="201"/>
    <s v="Bronze"/>
    <s v="Online"/>
    <s v="Lower"/>
  </r>
  <r>
    <s v="CUST102977"/>
    <n v="56"/>
    <x v="0"/>
    <s v="Female"/>
    <s v="Delhi"/>
    <n v="1875000"/>
    <n v="52"/>
    <x v="0"/>
    <n v="39"/>
    <n v="8800"/>
    <n v="46"/>
    <m/>
    <s v="Website"/>
    <s v="Higher"/>
  </r>
  <r>
    <s v="CUST102978"/>
    <n v="67"/>
    <x v="1"/>
    <m/>
    <s v="Chennai"/>
    <n v="1075000"/>
    <n v="14"/>
    <x v="2"/>
    <n v="7"/>
    <n v="2300"/>
    <n v="107"/>
    <s v="Gold"/>
    <s v="Website"/>
    <s v="Lower"/>
  </r>
  <r>
    <s v="CUST102979"/>
    <n v="54"/>
    <x v="2"/>
    <m/>
    <s v="Mumbai"/>
    <n v="1675000"/>
    <n v="63"/>
    <x v="0"/>
    <n v="4"/>
    <n v="4400"/>
    <n v="170"/>
    <m/>
    <m/>
    <s v="Lower"/>
  </r>
  <r>
    <s v="CUST102980"/>
    <n v="69"/>
    <x v="1"/>
    <s v="Male"/>
    <s v="Bengaluru"/>
    <n v="1325000"/>
    <n v="36"/>
    <x v="0"/>
    <n v="15"/>
    <n v="8300"/>
    <n v="146"/>
    <m/>
    <m/>
    <s v="Higher"/>
  </r>
  <r>
    <s v="CUST102981"/>
    <n v="52"/>
    <x v="2"/>
    <m/>
    <s v="Ahmedabad"/>
    <n v="375000"/>
    <n v="91"/>
    <x v="3"/>
    <n v="76"/>
    <n v="7100"/>
    <n v="356"/>
    <s v="Gold"/>
    <m/>
    <s v="Lower"/>
  </r>
  <r>
    <s v="CUST102982"/>
    <n v="24"/>
    <x v="6"/>
    <s v="Male"/>
    <s v="Ahmedabad"/>
    <n v="1025000"/>
    <n v="24"/>
    <x v="2"/>
    <n v="48"/>
    <n v="8400"/>
    <n v="178"/>
    <s v="Bronze"/>
    <s v="Website"/>
    <s v="Higher"/>
  </r>
  <r>
    <s v="CUST102983"/>
    <n v="44"/>
    <x v="4"/>
    <s v="Female"/>
    <s v="Ahmedabad"/>
    <n v="850000"/>
    <n v="40"/>
    <x v="0"/>
    <n v="6"/>
    <n v="1900"/>
    <n v="61"/>
    <m/>
    <m/>
    <s v="Higher"/>
  </r>
  <r>
    <s v="CUST102984"/>
    <n v="45"/>
    <x v="2"/>
    <m/>
    <s v="Pune"/>
    <n v="225000"/>
    <n v="29"/>
    <x v="2"/>
    <n v="73"/>
    <n v="7000"/>
    <n v="3"/>
    <m/>
    <s v="In-store"/>
    <s v="Lower"/>
  </r>
  <r>
    <s v="CUST102985"/>
    <n v="39"/>
    <x v="4"/>
    <s v="Male"/>
    <s v="Pune"/>
    <n v="1225000"/>
    <n v="53"/>
    <x v="0"/>
    <n v="35"/>
    <m/>
    <n v="82"/>
    <s v="Silver"/>
    <s v="Mobile App"/>
    <s v="Higher"/>
  </r>
  <r>
    <s v="CUST102986"/>
    <n v="31"/>
    <x v="3"/>
    <s v="Female"/>
    <s v="Hyderabad"/>
    <n v="1525000"/>
    <n v="22"/>
    <x v="2"/>
    <n v="72"/>
    <n v="900"/>
    <n v="263"/>
    <s v="Platinum"/>
    <m/>
    <s v="Higher"/>
  </r>
  <r>
    <s v="CUST102987"/>
    <n v="24"/>
    <x v="6"/>
    <s v="Unknown"/>
    <m/>
    <n v="1175000"/>
    <n v="72"/>
    <x v="3"/>
    <n v="71"/>
    <n v="9100"/>
    <n v="287"/>
    <m/>
    <s v="In-store"/>
    <s v="Lower"/>
  </r>
  <r>
    <s v="CUST102988"/>
    <n v="54"/>
    <x v="2"/>
    <s v="Male"/>
    <s v="Chennai"/>
    <n v="450000"/>
    <n v="15"/>
    <x v="2"/>
    <n v="68"/>
    <n v="10300"/>
    <n v="321"/>
    <s v="Gold"/>
    <m/>
    <s v="Higher"/>
  </r>
  <r>
    <s v="CUST102989"/>
    <n v="39"/>
    <x v="4"/>
    <s v="Female"/>
    <m/>
    <n v="1275000"/>
    <n v="69"/>
    <x v="3"/>
    <n v="58"/>
    <n v="4200"/>
    <n v="95"/>
    <s v="Platinum"/>
    <s v="Online"/>
    <s v="Higher"/>
  </r>
  <r>
    <s v="CUST102990"/>
    <n v="22"/>
    <x v="6"/>
    <s v="Male"/>
    <s v="Kolkata"/>
    <n v="950000"/>
    <n v="64"/>
    <x v="0"/>
    <n v="77"/>
    <n v="4200"/>
    <n v="64"/>
    <s v="Bronze"/>
    <s v="Mobile App"/>
    <s v="Higher"/>
  </r>
  <r>
    <s v="CUST102991"/>
    <s v="NA"/>
    <x v="5"/>
    <s v="Female"/>
    <s v="Mumbai"/>
    <n v="650000"/>
    <n v="4"/>
    <x v="2"/>
    <n v="19"/>
    <n v="4500"/>
    <n v="246"/>
    <s v="Platinum"/>
    <m/>
    <s v="Higher"/>
  </r>
  <r>
    <s v="CUST102992"/>
    <n v="19"/>
    <x v="6"/>
    <m/>
    <m/>
    <n v="1550000"/>
    <n v="75"/>
    <x v="3"/>
    <n v="62"/>
    <n v="7500"/>
    <n v="77"/>
    <s v="Silver"/>
    <m/>
    <s v="Lower"/>
  </r>
  <r>
    <s v="CUST102993"/>
    <n v="44"/>
    <x v="4"/>
    <s v="Unknown"/>
    <s v="Kolkata"/>
    <n v="1850000"/>
    <n v="18"/>
    <x v="2"/>
    <n v="71"/>
    <n v="8500"/>
    <n v="259"/>
    <s v="Bronze"/>
    <m/>
    <s v="Lower"/>
  </r>
  <r>
    <s v="CUST102994"/>
    <n v="38"/>
    <x v="4"/>
    <m/>
    <m/>
    <n v="1875000"/>
    <n v="42"/>
    <x v="0"/>
    <n v="10"/>
    <n v="5300"/>
    <n v="93"/>
    <m/>
    <s v="Website"/>
    <s v="Lower"/>
  </r>
  <r>
    <s v="CUST102995"/>
    <m/>
    <x v="5"/>
    <s v="Unknown"/>
    <m/>
    <n v="1800000"/>
    <n v="30"/>
    <x v="2"/>
    <n v="25"/>
    <n v="7500"/>
    <n v="291"/>
    <m/>
    <m/>
    <s v="Lower"/>
  </r>
  <r>
    <s v="CUST102996"/>
    <n v="55"/>
    <x v="0"/>
    <s v="Male"/>
    <s v="Kolkata"/>
    <n v="1325000"/>
    <n v="15"/>
    <x v="2"/>
    <n v="44"/>
    <n v="2500"/>
    <n v="271"/>
    <s v="Bronze"/>
    <s v="Online"/>
    <s v="Higher"/>
  </r>
  <r>
    <s v="CUST102997"/>
    <n v="32"/>
    <x v="3"/>
    <s v="Female"/>
    <s v="Delhi"/>
    <m/>
    <n v="70"/>
    <x v="3"/>
    <n v="58"/>
    <n v="9700"/>
    <n v="21"/>
    <s v="Bronze"/>
    <s v="Online"/>
    <s v="Higher"/>
  </r>
  <r>
    <s v="CUST102998"/>
    <n v="38"/>
    <x v="4"/>
    <m/>
    <s v="Pune"/>
    <n v="950000"/>
    <n v="55"/>
    <x v="0"/>
    <n v="25"/>
    <n v="3400"/>
    <n v="62"/>
    <s v="Silver"/>
    <s v="Website"/>
    <s v="Lower"/>
  </r>
  <r>
    <s v="CUST102999"/>
    <n v="27"/>
    <x v="3"/>
    <s v="Unknown"/>
    <m/>
    <n v="1025000"/>
    <n v="53"/>
    <x v="0"/>
    <n v="76"/>
    <n v="11800"/>
    <n v="339"/>
    <s v="Gold"/>
    <s v="Online"/>
    <s v="Lower"/>
  </r>
  <r>
    <s v="CUST103000"/>
    <n v="40"/>
    <x v="4"/>
    <m/>
    <s v="Chennai"/>
    <n v="950000"/>
    <n v="16"/>
    <x v="2"/>
    <n v="40"/>
    <n v="3300"/>
    <n v="260"/>
    <s v="Bronze"/>
    <s v="Mobile App"/>
    <s v="Lower"/>
  </r>
  <r>
    <s v="CUST103001"/>
    <n v="56"/>
    <x v="0"/>
    <s v="Female"/>
    <s v="Bengaluru"/>
    <n v="900000"/>
    <n v="73"/>
    <x v="3"/>
    <n v="76"/>
    <n v="1900"/>
    <n v="237"/>
    <s v="Gold"/>
    <m/>
    <s v="Higher"/>
  </r>
  <r>
    <s v="CUST103002"/>
    <n v="22"/>
    <x v="6"/>
    <s v="Female"/>
    <s v="Delhi"/>
    <n v="650000"/>
    <n v="34"/>
    <x v="0"/>
    <n v="70"/>
    <n v="11400"/>
    <n v="141"/>
    <s v="Platinum"/>
    <s v="Online"/>
    <s v="Higher"/>
  </r>
  <r>
    <s v="CUST103003"/>
    <n v="18"/>
    <x v="6"/>
    <m/>
    <s v="Pune"/>
    <n v="800000"/>
    <n v="27"/>
    <x v="2"/>
    <n v="10"/>
    <n v="10500"/>
    <n v="167"/>
    <m/>
    <s v="Mobile App"/>
    <s v="Lower"/>
  </r>
  <r>
    <s v="CUST103004"/>
    <n v="30"/>
    <x v="3"/>
    <s v="Female"/>
    <s v="Ahmedabad"/>
    <n v="1925000"/>
    <n v="13"/>
    <x v="2"/>
    <n v="66"/>
    <n v="6000"/>
    <n v="67"/>
    <s v="Silver"/>
    <s v="Website"/>
    <s v="Higher"/>
  </r>
  <r>
    <s v="CUST103005"/>
    <n v="38"/>
    <x v="4"/>
    <m/>
    <s v="Pune"/>
    <n v="1675000"/>
    <n v="100"/>
    <x v="3"/>
    <n v="25"/>
    <n v="8800"/>
    <n v="350"/>
    <m/>
    <m/>
    <s v="Lower"/>
  </r>
  <r>
    <s v="CUST103006"/>
    <n v="43"/>
    <x v="4"/>
    <m/>
    <m/>
    <n v="775000"/>
    <n v="27"/>
    <x v="2"/>
    <n v="71"/>
    <n v="3700"/>
    <n v="58"/>
    <s v="Bronze"/>
    <s v="Website"/>
    <s v="Lower"/>
  </r>
  <r>
    <s v="CUST103007"/>
    <n v="67"/>
    <x v="1"/>
    <s v="Male"/>
    <s v="Hyderabad"/>
    <n v="1775000"/>
    <n v="73"/>
    <x v="3"/>
    <n v="11"/>
    <n v="3200"/>
    <n v="212"/>
    <m/>
    <m/>
    <s v="Higher"/>
  </r>
  <r>
    <s v="CUST103008"/>
    <n v="62"/>
    <x v="0"/>
    <s v="Unknown"/>
    <s v="Delhi"/>
    <n v="425000"/>
    <n v="69"/>
    <x v="3"/>
    <n v="36"/>
    <n v="6600"/>
    <n v="130"/>
    <m/>
    <s v="Online"/>
    <s v="Lower"/>
  </r>
  <r>
    <s v="CUST103009"/>
    <n v="38"/>
    <x v="4"/>
    <s v="Male"/>
    <s v="Ahmedabad"/>
    <n v="675000"/>
    <n v="86"/>
    <x v="3"/>
    <n v="49"/>
    <n v="5500"/>
    <n v="25"/>
    <s v="Gold"/>
    <s v="Online"/>
    <s v="Higher"/>
  </r>
  <r>
    <s v="CUST103010"/>
    <m/>
    <x v="5"/>
    <s v="Female"/>
    <m/>
    <n v="550000"/>
    <n v="31"/>
    <x v="2"/>
    <n v="48"/>
    <n v="5300"/>
    <n v="11"/>
    <s v="Bronze"/>
    <m/>
    <s v="Higher"/>
  </r>
  <r>
    <s v="CUST103011"/>
    <n v="35"/>
    <x v="4"/>
    <s v="Unknown"/>
    <m/>
    <n v="300000"/>
    <n v="3"/>
    <x v="2"/>
    <n v="7"/>
    <n v="10600"/>
    <n v="257"/>
    <m/>
    <s v="Mobile App"/>
    <s v="Lower"/>
  </r>
  <r>
    <s v="CUST103012"/>
    <n v="54"/>
    <x v="2"/>
    <m/>
    <s v="Chennai"/>
    <n v="1825000"/>
    <n v="30"/>
    <x v="2"/>
    <n v="77"/>
    <n v="3900"/>
    <n v="304"/>
    <s v="Silver"/>
    <s v="Mobile App"/>
    <s v="Lower"/>
  </r>
  <r>
    <s v="CUST103013"/>
    <n v="62"/>
    <x v="0"/>
    <s v="Male"/>
    <s v="Pune"/>
    <n v="1050000"/>
    <n v="21"/>
    <x v="2"/>
    <n v="51"/>
    <n v="9200"/>
    <n v="81"/>
    <m/>
    <s v="Mobile App"/>
    <s v="Higher"/>
  </r>
  <r>
    <s v="CUST103014"/>
    <n v="49"/>
    <x v="2"/>
    <s v="Male"/>
    <m/>
    <n v="1075000"/>
    <n v="99"/>
    <x v="3"/>
    <n v="17"/>
    <n v="800"/>
    <n v="286"/>
    <s v="Platinum"/>
    <s v="In-store"/>
    <s v="Higher"/>
  </r>
  <r>
    <s v="CUST103015"/>
    <n v="53"/>
    <x v="2"/>
    <s v="Female"/>
    <s v="Ahmedabad"/>
    <n v="400000"/>
    <n v="6"/>
    <x v="2"/>
    <n v="32"/>
    <n v="3600"/>
    <n v="19"/>
    <s v="Platinum"/>
    <m/>
    <s v="Higher"/>
  </r>
  <r>
    <s v="CUST103016"/>
    <n v="34"/>
    <x v="3"/>
    <m/>
    <m/>
    <n v="150000"/>
    <n v="92"/>
    <x v="3"/>
    <n v="26"/>
    <n v="5800"/>
    <n v="110"/>
    <s v="Gold"/>
    <m/>
    <s v="Lower"/>
  </r>
  <r>
    <s v="CUST103017"/>
    <n v="52"/>
    <x v="2"/>
    <m/>
    <s v="Hyderabad"/>
    <n v="750000"/>
    <n v="32"/>
    <x v="2"/>
    <n v="22"/>
    <n v="9800"/>
    <n v="34"/>
    <m/>
    <m/>
    <s v="Lower"/>
  </r>
  <r>
    <s v="CUST103018"/>
    <n v="66"/>
    <x v="1"/>
    <s v="Female"/>
    <s v="Pune"/>
    <n v="1175000"/>
    <n v="42"/>
    <x v="0"/>
    <n v="13"/>
    <n v="2700"/>
    <n v="288"/>
    <s v="Platinum"/>
    <s v="Mobile App"/>
    <s v="Higher"/>
  </r>
  <r>
    <s v="CUST103019"/>
    <n v="28"/>
    <x v="3"/>
    <s v="Male"/>
    <s v="Chennai"/>
    <n v="1425000"/>
    <m/>
    <x v="1"/>
    <n v="12"/>
    <n v="11700"/>
    <n v="332"/>
    <s v="Gold"/>
    <s v="Online"/>
    <s v="Higher"/>
  </r>
  <r>
    <s v="CUST103020"/>
    <n v="38"/>
    <x v="4"/>
    <s v="Female"/>
    <s v="Hyderabad"/>
    <n v="725000"/>
    <n v="62"/>
    <x v="0"/>
    <n v="71"/>
    <n v="1500"/>
    <n v="255"/>
    <m/>
    <s v="In-store"/>
    <s v="Higher"/>
  </r>
  <r>
    <s v="CUST103021"/>
    <n v="69"/>
    <x v="1"/>
    <s v="Unknown"/>
    <s v="Kolkata"/>
    <n v="1450000"/>
    <n v="89"/>
    <x v="3"/>
    <n v="1"/>
    <n v="6500"/>
    <n v="126"/>
    <s v="Bronze"/>
    <s v="Mobile App"/>
    <s v="Lower"/>
  </r>
  <r>
    <s v="CUST103022"/>
    <s v="NA"/>
    <x v="5"/>
    <s v="Female"/>
    <m/>
    <n v="1525000"/>
    <n v="32"/>
    <x v="2"/>
    <n v="33"/>
    <n v="10400"/>
    <n v="209"/>
    <s v="Silver"/>
    <s v="Online"/>
    <s v="Higher"/>
  </r>
  <r>
    <s v="CUST103023"/>
    <m/>
    <x v="5"/>
    <s v="Male"/>
    <m/>
    <n v="1700000"/>
    <n v="99"/>
    <x v="3"/>
    <n v="14"/>
    <n v="10400"/>
    <n v="134"/>
    <m/>
    <s v="In-store"/>
    <s v="Higher"/>
  </r>
  <r>
    <s v="CUST103024"/>
    <n v="43"/>
    <x v="4"/>
    <m/>
    <s v="Pune"/>
    <n v="325000"/>
    <n v="86"/>
    <x v="3"/>
    <n v="64"/>
    <n v="6800"/>
    <n v="86"/>
    <m/>
    <s v="Online"/>
    <s v="Lower"/>
  </r>
  <r>
    <s v="CUST103025"/>
    <n v="21"/>
    <x v="6"/>
    <m/>
    <s v="Pune"/>
    <n v="1600000"/>
    <n v="88"/>
    <x v="3"/>
    <n v="43"/>
    <n v="700"/>
    <n v="75"/>
    <s v="Platinum"/>
    <m/>
    <s v="Lower"/>
  </r>
  <r>
    <s v="CUST103026"/>
    <n v="51"/>
    <x v="2"/>
    <s v="Male"/>
    <s v="Ahmedabad"/>
    <n v="1250000"/>
    <n v="39"/>
    <x v="0"/>
    <n v="58"/>
    <n v="7700"/>
    <n v="135"/>
    <s v="Platinum"/>
    <s v="Online"/>
    <s v="Higher"/>
  </r>
  <r>
    <s v="CUST103027"/>
    <n v="69"/>
    <x v="1"/>
    <s v="Female"/>
    <s v="Chennai"/>
    <n v="800000"/>
    <n v="64"/>
    <x v="0"/>
    <n v="41"/>
    <n v="1300"/>
    <n v="301"/>
    <s v="Silver"/>
    <s v="In-store"/>
    <s v="Higher"/>
  </r>
  <r>
    <s v="CUST103028"/>
    <n v="65"/>
    <x v="0"/>
    <s v="Female"/>
    <s v="Bengaluru"/>
    <n v="1425000"/>
    <n v="30"/>
    <x v="2"/>
    <m/>
    <n v="9000"/>
    <n v="173"/>
    <s v="Bronze"/>
    <s v="Mobile App"/>
    <s v="Higher"/>
  </r>
  <r>
    <s v="CUST103029"/>
    <n v="35"/>
    <x v="4"/>
    <s v="Male"/>
    <s v="Kolkata"/>
    <n v="575000"/>
    <n v="63"/>
    <x v="0"/>
    <n v="68"/>
    <n v="8000"/>
    <n v="213"/>
    <m/>
    <m/>
    <s v="Higher"/>
  </r>
  <r>
    <s v="CUST103030"/>
    <n v="57"/>
    <x v="0"/>
    <s v="Female"/>
    <s v="Hyderabad"/>
    <n v="525000"/>
    <n v="96"/>
    <x v="3"/>
    <n v="39"/>
    <n v="11100"/>
    <n v="321"/>
    <m/>
    <s v="In-store"/>
    <s v="Higher"/>
  </r>
  <r>
    <s v="CUST103031"/>
    <n v="52"/>
    <x v="2"/>
    <s v="Male"/>
    <s v="Delhi"/>
    <n v="1775000"/>
    <n v="31"/>
    <x v="2"/>
    <n v="1"/>
    <n v="9600"/>
    <n v="350"/>
    <s v="Platinum"/>
    <s v="Mobile App"/>
    <s v="Higher"/>
  </r>
  <r>
    <s v="CUST103032"/>
    <n v="58"/>
    <x v="0"/>
    <m/>
    <s v="Delhi"/>
    <n v="250000"/>
    <n v="87"/>
    <x v="3"/>
    <n v="41"/>
    <n v="10600"/>
    <n v="19"/>
    <m/>
    <s v="Mobile App"/>
    <s v="Lower"/>
  </r>
  <r>
    <s v="CUST103033"/>
    <n v="46"/>
    <x v="2"/>
    <s v="Male"/>
    <s v="Pune"/>
    <n v="200000"/>
    <n v="40"/>
    <x v="0"/>
    <n v="45"/>
    <n v="11300"/>
    <n v="119"/>
    <s v="Bronze"/>
    <s v="Website"/>
    <s v="Higher"/>
  </r>
  <r>
    <s v="CUST103034"/>
    <n v="69"/>
    <x v="1"/>
    <s v="Unknown"/>
    <s v="Ahmedabad"/>
    <n v="1875000"/>
    <n v="33"/>
    <x v="2"/>
    <n v="79"/>
    <n v="4600"/>
    <n v="303"/>
    <s v="Gold"/>
    <m/>
    <s v="Lower"/>
  </r>
  <r>
    <s v="CUST103035"/>
    <n v="46"/>
    <x v="2"/>
    <s v="Unknown"/>
    <s v="Mumbai"/>
    <n v="300000"/>
    <n v="63"/>
    <x v="0"/>
    <m/>
    <n v="10100"/>
    <n v="302"/>
    <s v="Bronze"/>
    <s v="Website"/>
    <s v="Lower"/>
  </r>
  <r>
    <s v="CUST103036"/>
    <n v="55"/>
    <x v="0"/>
    <s v="Female"/>
    <s v="Pune"/>
    <n v="1375000"/>
    <n v="25"/>
    <x v="2"/>
    <n v="13"/>
    <n v="8700"/>
    <n v="285"/>
    <m/>
    <m/>
    <s v="Higher"/>
  </r>
  <r>
    <s v="CUST103037"/>
    <n v="59"/>
    <x v="0"/>
    <s v="Unknown"/>
    <s v="Delhi"/>
    <n v="475000"/>
    <n v="36"/>
    <x v="0"/>
    <n v="71"/>
    <m/>
    <n v="227"/>
    <m/>
    <s v="In-store"/>
    <s v="Lower"/>
  </r>
  <r>
    <s v="CUST103038"/>
    <n v="38"/>
    <x v="4"/>
    <s v="Unknown"/>
    <s v="Delhi"/>
    <n v="1075000"/>
    <n v="24"/>
    <x v="2"/>
    <n v="9"/>
    <n v="7100"/>
    <n v="212"/>
    <s v="Silver"/>
    <s v="Website"/>
    <s v="Lower"/>
  </r>
  <r>
    <s v="CUST103039"/>
    <n v="59"/>
    <x v="0"/>
    <m/>
    <s v="Kolkata"/>
    <n v="1300000"/>
    <n v="95"/>
    <x v="3"/>
    <n v="63"/>
    <n v="10400"/>
    <n v="356"/>
    <m/>
    <m/>
    <s v="Lower"/>
  </r>
  <r>
    <s v="CUST103040"/>
    <n v="30"/>
    <x v="3"/>
    <s v="Unknown"/>
    <m/>
    <n v="950000"/>
    <n v="58"/>
    <x v="0"/>
    <n v="23"/>
    <n v="400"/>
    <n v="189"/>
    <s v="Platinum"/>
    <s v="Mobile App"/>
    <s v="Lower"/>
  </r>
  <r>
    <s v="CUST103041"/>
    <n v="66"/>
    <x v="1"/>
    <s v="Male"/>
    <s v="Mumbai"/>
    <n v="1200000"/>
    <n v="39"/>
    <x v="0"/>
    <n v="54"/>
    <n v="4200"/>
    <n v="321"/>
    <m/>
    <s v="In-store"/>
    <s v="Higher"/>
  </r>
  <r>
    <s v="CUST103042"/>
    <n v="58"/>
    <x v="0"/>
    <s v="Unknown"/>
    <s v="Pune"/>
    <n v="850000"/>
    <n v="46"/>
    <x v="0"/>
    <n v="47"/>
    <n v="3900"/>
    <n v="151"/>
    <s v="Silver"/>
    <s v="Website"/>
    <s v="Lower"/>
  </r>
  <r>
    <s v="CUST103043"/>
    <n v="34"/>
    <x v="3"/>
    <m/>
    <s v="Kolkata"/>
    <n v="1550000"/>
    <n v="77"/>
    <x v="3"/>
    <n v="39"/>
    <m/>
    <n v="223"/>
    <m/>
    <s v="Online"/>
    <s v="Lower"/>
  </r>
  <r>
    <s v="CUST103044"/>
    <n v="26"/>
    <x v="3"/>
    <s v="Unknown"/>
    <s v="Ahmedabad"/>
    <n v="250000"/>
    <n v="10"/>
    <x v="2"/>
    <n v="26"/>
    <n v="5100"/>
    <n v="128"/>
    <s v="Bronze"/>
    <m/>
    <s v="Lower"/>
  </r>
  <r>
    <s v="CUST103045"/>
    <n v="58"/>
    <x v="0"/>
    <s v="Unknown"/>
    <s v="Kolkata"/>
    <n v="1625000"/>
    <n v="87"/>
    <x v="3"/>
    <n v="1"/>
    <n v="10000"/>
    <n v="248"/>
    <m/>
    <m/>
    <s v="Lower"/>
  </r>
  <r>
    <s v="CUST103046"/>
    <n v="18"/>
    <x v="6"/>
    <s v="Male"/>
    <s v="Pune"/>
    <n v="1875000"/>
    <n v="82"/>
    <x v="3"/>
    <n v="14"/>
    <n v="7700"/>
    <n v="51"/>
    <s v="Bronze"/>
    <m/>
    <s v="Higher"/>
  </r>
  <r>
    <s v="CUST103047"/>
    <n v="19"/>
    <x v="6"/>
    <s v="Male"/>
    <m/>
    <n v="175000"/>
    <n v="32"/>
    <x v="2"/>
    <n v="74"/>
    <n v="3800"/>
    <n v="191"/>
    <s v="Bronze"/>
    <s v="Online"/>
    <s v="Higher"/>
  </r>
  <r>
    <s v="CUST103048"/>
    <n v="65"/>
    <x v="0"/>
    <s v="Female"/>
    <s v="Bengaluru"/>
    <n v="1875000"/>
    <n v="97"/>
    <x v="3"/>
    <n v="65"/>
    <n v="7700"/>
    <n v="237"/>
    <m/>
    <s v="In-store"/>
    <s v="Higher"/>
  </r>
  <r>
    <s v="CUST103049"/>
    <n v="46"/>
    <x v="2"/>
    <s v="Male"/>
    <s v="Pune"/>
    <n v="1200000"/>
    <n v="36"/>
    <x v="0"/>
    <n v="69"/>
    <n v="7500"/>
    <n v="22"/>
    <s v="Bronze"/>
    <s v="Website"/>
    <s v="Higher"/>
  </r>
  <r>
    <s v="CUST103050"/>
    <n v="50"/>
    <x v="2"/>
    <s v="Female"/>
    <s v="Chennai"/>
    <n v="225000"/>
    <n v="28"/>
    <x v="2"/>
    <n v="67"/>
    <n v="7200"/>
    <n v="110"/>
    <m/>
    <s v="Mobile App"/>
    <s v="Higher"/>
  </r>
  <r>
    <s v="CUST103051"/>
    <n v="27"/>
    <x v="3"/>
    <s v="Male"/>
    <s v="Delhi"/>
    <n v="1525000"/>
    <n v="16"/>
    <x v="2"/>
    <n v="49"/>
    <n v="3600"/>
    <n v="327"/>
    <s v="Gold"/>
    <s v="Website"/>
    <s v="Higher"/>
  </r>
  <r>
    <s v="CUST103052"/>
    <n v="67"/>
    <x v="1"/>
    <m/>
    <s v="Mumbai"/>
    <n v="1600000"/>
    <n v="16"/>
    <x v="2"/>
    <n v="50"/>
    <n v="6000"/>
    <n v="33"/>
    <s v="Silver"/>
    <s v="In-store"/>
    <s v="Lower"/>
  </r>
  <r>
    <s v="CUST103053"/>
    <n v="57"/>
    <x v="0"/>
    <s v="Male"/>
    <s v="Mumbai"/>
    <n v="350000"/>
    <n v="18"/>
    <x v="2"/>
    <n v="58"/>
    <n v="11300"/>
    <n v="127"/>
    <m/>
    <s v="In-store"/>
    <s v="Higher"/>
  </r>
  <r>
    <s v="CUST103054"/>
    <n v="38"/>
    <x v="4"/>
    <s v="Female"/>
    <m/>
    <n v="200000"/>
    <n v="8"/>
    <x v="2"/>
    <n v="53"/>
    <n v="3900"/>
    <m/>
    <s v="Gold"/>
    <s v="In-store"/>
    <s v="Higher"/>
  </r>
  <r>
    <s v="CUST103055"/>
    <n v="45"/>
    <x v="2"/>
    <s v="Female"/>
    <s v="Bengaluru"/>
    <n v="1325000"/>
    <n v="80"/>
    <x v="3"/>
    <n v="57"/>
    <n v="9800"/>
    <n v="356"/>
    <s v="Bronze"/>
    <s v="In-store"/>
    <s v="Higher"/>
  </r>
  <r>
    <s v="CUST103056"/>
    <n v="28"/>
    <x v="3"/>
    <s v="Female"/>
    <s v="Chennai"/>
    <n v="1200000"/>
    <n v="75"/>
    <x v="3"/>
    <n v="18"/>
    <n v="6200"/>
    <n v="44"/>
    <s v="Bronze"/>
    <m/>
    <s v="Higher"/>
  </r>
  <r>
    <s v="CUST103057"/>
    <s v="NA"/>
    <x v="5"/>
    <m/>
    <s v="Delhi"/>
    <n v="150000"/>
    <n v="70"/>
    <x v="3"/>
    <n v="16"/>
    <n v="1400"/>
    <n v="7"/>
    <s v="Silver"/>
    <s v="Website"/>
    <s v="Lower"/>
  </r>
  <r>
    <s v="CUST103058"/>
    <n v="51"/>
    <x v="2"/>
    <s v="Female"/>
    <s v="Mumbai"/>
    <n v="1550000"/>
    <n v="1"/>
    <x v="2"/>
    <n v="2"/>
    <n v="11100"/>
    <n v="128"/>
    <s v="Gold"/>
    <s v="Online"/>
    <s v="Higher"/>
  </r>
  <r>
    <s v="CUST103059"/>
    <n v="25"/>
    <x v="3"/>
    <s v="Unknown"/>
    <s v="Chennai"/>
    <n v="1450000"/>
    <n v="62"/>
    <x v="0"/>
    <n v="13"/>
    <n v="3400"/>
    <n v="91"/>
    <s v="Gold"/>
    <s v="Mobile App"/>
    <s v="Lower"/>
  </r>
  <r>
    <s v="CUST103060"/>
    <n v="39"/>
    <x v="4"/>
    <s v="Male"/>
    <s v="Kolkata"/>
    <n v="525000"/>
    <n v="76"/>
    <x v="3"/>
    <n v="45"/>
    <n v="8300"/>
    <n v="130"/>
    <m/>
    <s v="Mobile App"/>
    <s v="Higher"/>
  </r>
  <r>
    <s v="CUST103061"/>
    <n v="25"/>
    <x v="3"/>
    <m/>
    <m/>
    <n v="1400000"/>
    <n v="38"/>
    <x v="0"/>
    <m/>
    <n v="600"/>
    <n v="17"/>
    <s v="Bronze"/>
    <m/>
    <s v="Lower"/>
  </r>
  <r>
    <s v="CUST103062"/>
    <n v="66"/>
    <x v="1"/>
    <s v="Unknown"/>
    <s v="Pune"/>
    <m/>
    <n v="92"/>
    <x v="3"/>
    <n v="72"/>
    <n v="10800"/>
    <n v="321"/>
    <s v="Platinum"/>
    <m/>
    <s v="Lower"/>
  </r>
  <r>
    <s v="CUST103063"/>
    <n v="32"/>
    <x v="3"/>
    <s v="Unknown"/>
    <s v="Pune"/>
    <n v="1500000"/>
    <n v="45"/>
    <x v="0"/>
    <n v="43"/>
    <n v="3500"/>
    <n v="186"/>
    <m/>
    <s v="In-store"/>
    <s v="Lower"/>
  </r>
  <r>
    <s v="CUST103064"/>
    <n v="34"/>
    <x v="3"/>
    <m/>
    <m/>
    <n v="150000"/>
    <n v="58"/>
    <x v="0"/>
    <n v="72"/>
    <n v="4500"/>
    <n v="110"/>
    <m/>
    <s v="In-store"/>
    <s v="Lower"/>
  </r>
  <r>
    <s v="CUST103065"/>
    <n v="40"/>
    <x v="4"/>
    <s v="Female"/>
    <s v="Delhi"/>
    <n v="825000"/>
    <n v="81"/>
    <x v="3"/>
    <n v="54"/>
    <n v="11400"/>
    <n v="286"/>
    <m/>
    <s v="In-store"/>
    <s v="Higher"/>
  </r>
  <r>
    <s v="CUST103066"/>
    <n v="41"/>
    <x v="4"/>
    <s v="Female"/>
    <s v="Chennai"/>
    <n v="1450000"/>
    <n v="1"/>
    <x v="2"/>
    <n v="74"/>
    <n v="10900"/>
    <n v="348"/>
    <s v="Silver"/>
    <m/>
    <s v="Higher"/>
  </r>
  <r>
    <s v="CUST103067"/>
    <n v="62"/>
    <x v="0"/>
    <m/>
    <s v="Hyderabad"/>
    <n v="1575000"/>
    <n v="32"/>
    <x v="2"/>
    <n v="31"/>
    <n v="1100"/>
    <n v="163"/>
    <s v="Silver"/>
    <s v="Online"/>
    <s v="Lower"/>
  </r>
  <r>
    <s v="CUST103068"/>
    <n v="36"/>
    <x v="4"/>
    <s v="Male"/>
    <s v="Mumbai"/>
    <n v="1950000"/>
    <n v="8"/>
    <x v="2"/>
    <n v="76"/>
    <n v="10000"/>
    <n v="75"/>
    <m/>
    <s v="In-store"/>
    <s v="Higher"/>
  </r>
  <r>
    <s v="CUST103069"/>
    <n v="22"/>
    <x v="6"/>
    <m/>
    <s v="Ahmedabad"/>
    <n v="1625000"/>
    <n v="40"/>
    <x v="0"/>
    <n v="9"/>
    <n v="10500"/>
    <n v="199"/>
    <m/>
    <m/>
    <s v="Lower"/>
  </r>
  <r>
    <s v="CUST103070"/>
    <n v="49"/>
    <x v="2"/>
    <m/>
    <s v="Ahmedabad"/>
    <n v="1600000"/>
    <n v="56"/>
    <x v="0"/>
    <n v="73"/>
    <n v="5300"/>
    <n v="361"/>
    <s v="Platinum"/>
    <m/>
    <s v="Lower"/>
  </r>
  <r>
    <s v="CUST103071"/>
    <n v="61"/>
    <x v="0"/>
    <s v="Female"/>
    <s v="Pune"/>
    <n v="675000"/>
    <n v="63"/>
    <x v="0"/>
    <n v="48"/>
    <n v="9600"/>
    <n v="287"/>
    <s v="Gold"/>
    <s v="Online"/>
    <s v="Higher"/>
  </r>
  <r>
    <s v="CUST103072"/>
    <n v="18"/>
    <x v="6"/>
    <s v="Unknown"/>
    <s v="Hyderabad"/>
    <n v="325000"/>
    <n v="88"/>
    <x v="3"/>
    <n v="18"/>
    <n v="11600"/>
    <n v="182"/>
    <s v="Gold"/>
    <m/>
    <s v="Lower"/>
  </r>
  <r>
    <s v="CUST103073"/>
    <n v="40"/>
    <x v="4"/>
    <m/>
    <s v="Ahmedabad"/>
    <n v="1350000"/>
    <n v="74"/>
    <x v="3"/>
    <n v="11"/>
    <n v="2200"/>
    <n v="97"/>
    <s v="Bronze"/>
    <s v="In-store"/>
    <s v="Lower"/>
  </r>
  <r>
    <s v="CUST103074"/>
    <n v="54"/>
    <x v="2"/>
    <s v="Female"/>
    <s v="Bengaluru"/>
    <n v="1175000"/>
    <n v="74"/>
    <x v="3"/>
    <n v="62"/>
    <n v="4100"/>
    <n v="51"/>
    <s v="Gold"/>
    <s v="Website"/>
    <s v="Higher"/>
  </r>
  <r>
    <s v="CUST103075"/>
    <n v="25"/>
    <x v="3"/>
    <m/>
    <s v="Bengaluru"/>
    <n v="800000"/>
    <n v="36"/>
    <x v="0"/>
    <n v="19"/>
    <n v="2500"/>
    <n v="314"/>
    <s v="Gold"/>
    <s v="Website"/>
    <s v="Lower"/>
  </r>
  <r>
    <s v="CUST103076"/>
    <n v="30"/>
    <x v="3"/>
    <m/>
    <s v="Delhi"/>
    <n v="1100000"/>
    <n v="89"/>
    <x v="3"/>
    <n v="74"/>
    <n v="4300"/>
    <n v="34"/>
    <s v="Platinum"/>
    <s v="Mobile App"/>
    <s v="Lower"/>
  </r>
  <r>
    <s v="CUST103077"/>
    <n v="25"/>
    <x v="3"/>
    <s v="Female"/>
    <s v="Hyderabad"/>
    <n v="750000"/>
    <n v="57"/>
    <x v="0"/>
    <n v="24"/>
    <n v="4600"/>
    <n v="21"/>
    <s v="Gold"/>
    <s v="Online"/>
    <s v="Higher"/>
  </r>
  <r>
    <s v="CUST103078"/>
    <n v="40"/>
    <x v="4"/>
    <s v="Male"/>
    <s v="Bengaluru"/>
    <n v="1075000"/>
    <n v="74"/>
    <x v="3"/>
    <n v="13"/>
    <n v="3700"/>
    <n v="184"/>
    <s v="Platinum"/>
    <s v="Website"/>
    <s v="Higher"/>
  </r>
  <r>
    <s v="CUST103079"/>
    <n v="60"/>
    <x v="0"/>
    <s v="Female"/>
    <s v="Bengaluru"/>
    <n v="725000"/>
    <n v="83"/>
    <x v="3"/>
    <n v="46"/>
    <n v="2500"/>
    <n v="293"/>
    <s v="Silver"/>
    <s v="Mobile App"/>
    <s v="Higher"/>
  </r>
  <r>
    <s v="CUST103080"/>
    <n v="18"/>
    <x v="6"/>
    <s v="Male"/>
    <s v="Pune"/>
    <n v="725000"/>
    <n v="45"/>
    <x v="0"/>
    <n v="53"/>
    <m/>
    <n v="64"/>
    <s v="Platinum"/>
    <m/>
    <s v="Higher"/>
  </r>
  <r>
    <s v="CUST103081"/>
    <n v="62"/>
    <x v="0"/>
    <m/>
    <s v="Ahmedabad"/>
    <n v="1625000"/>
    <n v="79"/>
    <x v="3"/>
    <n v="29"/>
    <n v="6000"/>
    <n v="124"/>
    <s v="Silver"/>
    <s v="Mobile App"/>
    <s v="Lower"/>
  </r>
  <r>
    <s v="CUST103082"/>
    <n v="68"/>
    <x v="1"/>
    <m/>
    <s v="Delhi"/>
    <n v="1375000"/>
    <n v="80"/>
    <x v="3"/>
    <n v="36"/>
    <n v="5000"/>
    <n v="101"/>
    <s v="Platinum"/>
    <s v="In-store"/>
    <s v="Lower"/>
  </r>
  <r>
    <s v="CUST103083"/>
    <n v="41"/>
    <x v="4"/>
    <s v="Unknown"/>
    <s v="Chennai"/>
    <n v="1775000"/>
    <n v="2"/>
    <x v="2"/>
    <n v="71"/>
    <n v="10500"/>
    <n v="119"/>
    <m/>
    <s v="In-store"/>
    <s v="Lower"/>
  </r>
  <r>
    <s v="CUST103084"/>
    <n v="52"/>
    <x v="2"/>
    <m/>
    <s v="Kolkata"/>
    <n v="475000"/>
    <n v="93"/>
    <x v="3"/>
    <n v="17"/>
    <n v="8900"/>
    <n v="341"/>
    <m/>
    <m/>
    <s v="Lower"/>
  </r>
  <r>
    <s v="CUST103085"/>
    <n v="41"/>
    <x v="4"/>
    <s v="Male"/>
    <s v="Mumbai"/>
    <n v="1450000"/>
    <n v="68"/>
    <x v="3"/>
    <n v="48"/>
    <n v="6000"/>
    <n v="78"/>
    <s v="Silver"/>
    <s v="Online"/>
    <s v="Higher"/>
  </r>
  <r>
    <s v="CUST103086"/>
    <n v="34"/>
    <x v="3"/>
    <s v="Male"/>
    <s v="Mumbai"/>
    <n v="925000"/>
    <n v="50"/>
    <x v="0"/>
    <n v="77"/>
    <n v="10300"/>
    <n v="181"/>
    <s v="Silver"/>
    <m/>
    <s v="Higher"/>
  </r>
  <r>
    <s v="CUST103087"/>
    <n v="22"/>
    <x v="6"/>
    <s v="Male"/>
    <m/>
    <n v="1325000"/>
    <n v="29"/>
    <x v="2"/>
    <n v="24"/>
    <n v="5900"/>
    <n v="199"/>
    <s v="Gold"/>
    <s v="In-store"/>
    <s v="Higher"/>
  </r>
  <r>
    <s v="CUST103088"/>
    <n v="37"/>
    <x v="4"/>
    <m/>
    <s v="Kolkata"/>
    <n v="1100000"/>
    <n v="95"/>
    <x v="3"/>
    <n v="54"/>
    <n v="8900"/>
    <n v="360"/>
    <s v="Silver"/>
    <s v="In-store"/>
    <s v="Lower"/>
  </r>
  <r>
    <s v="CUST103089"/>
    <n v="38"/>
    <x v="4"/>
    <s v="Female"/>
    <s v="Kolkata"/>
    <n v="1125000"/>
    <n v="81"/>
    <x v="3"/>
    <n v="1"/>
    <n v="4100"/>
    <n v="190"/>
    <s v="Platinum"/>
    <s v="Mobile App"/>
    <s v="Higher"/>
  </r>
  <r>
    <s v="CUST103090"/>
    <n v="57"/>
    <x v="0"/>
    <m/>
    <s v="Mumbai"/>
    <n v="1175000"/>
    <n v="10"/>
    <x v="2"/>
    <n v="79"/>
    <n v="3000"/>
    <n v="328"/>
    <m/>
    <s v="Mobile App"/>
    <s v="Lower"/>
  </r>
  <r>
    <s v="CUST103091"/>
    <n v="48"/>
    <x v="2"/>
    <s v="Female"/>
    <s v="Mumbai"/>
    <s v="unknown"/>
    <n v="27"/>
    <x v="2"/>
    <n v="67"/>
    <n v="6600"/>
    <n v="103"/>
    <m/>
    <s v="Mobile App"/>
    <s v="Higher"/>
  </r>
  <r>
    <s v="CUST103092"/>
    <n v="63"/>
    <x v="0"/>
    <s v="Unknown"/>
    <s v="Chennai"/>
    <m/>
    <n v="15"/>
    <x v="2"/>
    <n v="6"/>
    <n v="6400"/>
    <n v="333"/>
    <s v="Gold"/>
    <s v="Website"/>
    <s v="Lower"/>
  </r>
  <r>
    <s v="CUST103093"/>
    <n v="53"/>
    <x v="2"/>
    <m/>
    <s v="Hyderabad"/>
    <n v="325000"/>
    <n v="60"/>
    <x v="0"/>
    <n v="78"/>
    <n v="8500"/>
    <m/>
    <s v="Platinum"/>
    <m/>
    <s v="Lower"/>
  </r>
  <r>
    <s v="CUST103094"/>
    <n v="28"/>
    <x v="3"/>
    <s v="Male"/>
    <s v="Hyderabad"/>
    <n v="775000"/>
    <n v="31"/>
    <x v="2"/>
    <n v="55"/>
    <n v="11500"/>
    <n v="275"/>
    <s v="Platinum"/>
    <s v="Online"/>
    <s v="Higher"/>
  </r>
  <r>
    <s v="CUST103095"/>
    <n v="69"/>
    <x v="1"/>
    <m/>
    <s v="Chennai"/>
    <n v="425000"/>
    <n v="21"/>
    <x v="2"/>
    <n v="38"/>
    <n v="11400"/>
    <n v="130"/>
    <s v="Bronze"/>
    <s v="Mobile App"/>
    <s v="Lower"/>
  </r>
  <r>
    <s v="CUST103096"/>
    <n v="32"/>
    <x v="3"/>
    <m/>
    <s v="Ahmedabad"/>
    <n v="1200000"/>
    <n v="60"/>
    <x v="0"/>
    <n v="33"/>
    <n v="6400"/>
    <n v="241"/>
    <s v="Silver"/>
    <s v="Online"/>
    <s v="Lower"/>
  </r>
  <r>
    <s v="CUST103097"/>
    <n v="36"/>
    <x v="4"/>
    <s v="Male"/>
    <s v="Kolkata"/>
    <n v="1400000"/>
    <n v="58"/>
    <x v="0"/>
    <n v="8"/>
    <n v="9600"/>
    <n v="134"/>
    <s v="Gold"/>
    <s v="Mobile App"/>
    <s v="Higher"/>
  </r>
  <r>
    <s v="CUST103098"/>
    <n v="24"/>
    <x v="6"/>
    <s v="Unknown"/>
    <m/>
    <n v="1700000"/>
    <n v="41"/>
    <x v="0"/>
    <n v="79"/>
    <n v="8700"/>
    <n v="157"/>
    <m/>
    <s v="In-store"/>
    <s v="Lower"/>
  </r>
  <r>
    <s v="CUST103099"/>
    <n v="68"/>
    <x v="1"/>
    <m/>
    <s v="Kolkata"/>
    <n v="1350000"/>
    <n v="46"/>
    <x v="0"/>
    <n v="78"/>
    <n v="9000"/>
    <n v="318"/>
    <m/>
    <s v="Online"/>
    <s v="Lower"/>
  </r>
  <r>
    <s v="CUST103100"/>
    <n v="45"/>
    <x v="2"/>
    <m/>
    <m/>
    <n v="800000"/>
    <n v="45"/>
    <x v="0"/>
    <n v="20"/>
    <n v="8700"/>
    <n v="158"/>
    <s v="Bronze"/>
    <s v="Website"/>
    <s v="Lower"/>
  </r>
  <r>
    <s v="CUST103101"/>
    <n v="68"/>
    <x v="1"/>
    <s v="Male"/>
    <s v="Mumbai"/>
    <n v="350000"/>
    <n v="26"/>
    <x v="2"/>
    <n v="55"/>
    <n v="2800"/>
    <n v="359"/>
    <s v="Platinum"/>
    <s v="Mobile App"/>
    <s v="Higher"/>
  </r>
  <r>
    <s v="CUST103102"/>
    <n v="60"/>
    <x v="0"/>
    <s v="Male"/>
    <s v="Kolkata"/>
    <n v="1100000"/>
    <m/>
    <x v="1"/>
    <n v="48"/>
    <n v="5300"/>
    <n v="190"/>
    <s v="Silver"/>
    <m/>
    <s v="Higher"/>
  </r>
  <r>
    <s v="CUST103103"/>
    <n v="22"/>
    <x v="6"/>
    <m/>
    <s v="Mumbai"/>
    <n v="1750000"/>
    <n v="51"/>
    <x v="0"/>
    <n v="56"/>
    <n v="5200"/>
    <n v="100"/>
    <m/>
    <m/>
    <s v="Lower"/>
  </r>
  <r>
    <s v="CUST103104"/>
    <n v="22"/>
    <x v="6"/>
    <s v="Female"/>
    <s v="Kolkata"/>
    <n v="1900000"/>
    <n v="36"/>
    <x v="0"/>
    <n v="10"/>
    <n v="11700"/>
    <n v="52"/>
    <s v="Bronze"/>
    <s v="In-store"/>
    <s v="Higher"/>
  </r>
  <r>
    <s v="CUST103105"/>
    <n v="47"/>
    <x v="2"/>
    <s v="Unknown"/>
    <m/>
    <n v="1900000"/>
    <n v="52"/>
    <x v="0"/>
    <n v="52"/>
    <n v="3800"/>
    <n v="49"/>
    <s v="Platinum"/>
    <s v="Mobile App"/>
    <s v="Lower"/>
  </r>
  <r>
    <s v="CUST103106"/>
    <m/>
    <x v="5"/>
    <s v="Male"/>
    <s v="Ahmedabad"/>
    <n v="300000"/>
    <n v="81"/>
    <x v="3"/>
    <n v="50"/>
    <n v="2800"/>
    <n v="100"/>
    <m/>
    <s v="Online"/>
    <s v="Higher"/>
  </r>
  <r>
    <s v="CUST103107"/>
    <n v="49"/>
    <x v="2"/>
    <m/>
    <m/>
    <n v="1925000"/>
    <n v="51"/>
    <x v="0"/>
    <n v="34"/>
    <n v="3500"/>
    <n v="251"/>
    <m/>
    <s v="Mobile App"/>
    <s v="Lower"/>
  </r>
  <r>
    <s v="CUST103108"/>
    <n v="25"/>
    <x v="3"/>
    <s v="Male"/>
    <s v="Bengaluru"/>
    <n v="1800000"/>
    <n v="3"/>
    <x v="2"/>
    <n v="36"/>
    <n v="10200"/>
    <n v="54"/>
    <s v="Platinum"/>
    <s v="In-store"/>
    <s v="Higher"/>
  </r>
  <r>
    <s v="CUST103109"/>
    <n v="27"/>
    <x v="3"/>
    <m/>
    <s v="Chennai"/>
    <n v="375000"/>
    <n v="14"/>
    <x v="2"/>
    <n v="61"/>
    <n v="7000"/>
    <n v="137"/>
    <s v="Platinum"/>
    <m/>
    <s v="Lower"/>
  </r>
  <r>
    <s v="CUST103110"/>
    <n v="55"/>
    <x v="0"/>
    <s v="Unknown"/>
    <s v="Chennai"/>
    <n v="1900000"/>
    <n v="49"/>
    <x v="0"/>
    <n v="16"/>
    <n v="7500"/>
    <n v="162"/>
    <s v="Gold"/>
    <m/>
    <s v="Lower"/>
  </r>
  <r>
    <s v="CUST103111"/>
    <n v="64"/>
    <x v="0"/>
    <m/>
    <m/>
    <n v="1450000"/>
    <n v="77"/>
    <x v="3"/>
    <n v="79"/>
    <n v="1000"/>
    <n v="354"/>
    <m/>
    <m/>
    <s v="Lower"/>
  </r>
  <r>
    <s v="CUST103112"/>
    <n v="49"/>
    <x v="2"/>
    <s v="Male"/>
    <s v="Kolkata"/>
    <n v="1550000"/>
    <n v="91"/>
    <x v="3"/>
    <n v="18"/>
    <n v="6800"/>
    <n v="292"/>
    <s v="Platinum"/>
    <m/>
    <s v="Higher"/>
  </r>
  <r>
    <s v="CUST103113"/>
    <n v="65"/>
    <x v="0"/>
    <m/>
    <s v="Bengaluru"/>
    <n v="800000"/>
    <n v="1"/>
    <x v="2"/>
    <n v="71"/>
    <n v="9500"/>
    <n v="81"/>
    <m/>
    <s v="In-store"/>
    <s v="Lower"/>
  </r>
  <r>
    <s v="CUST103114"/>
    <n v="45"/>
    <x v="2"/>
    <m/>
    <m/>
    <n v="1475000"/>
    <n v="57"/>
    <x v="0"/>
    <n v="47"/>
    <n v="2500"/>
    <n v="220"/>
    <m/>
    <m/>
    <s v="Lower"/>
  </r>
  <r>
    <s v="CUST103115"/>
    <n v="34"/>
    <x v="3"/>
    <m/>
    <s v="Hyderabad"/>
    <n v="225000"/>
    <n v="17"/>
    <x v="2"/>
    <n v="32"/>
    <n v="7200"/>
    <n v="85"/>
    <s v="Bronze"/>
    <m/>
    <s v="Lower"/>
  </r>
  <r>
    <s v="CUST103116"/>
    <n v="48"/>
    <x v="2"/>
    <s v="Unknown"/>
    <s v="Kolkata"/>
    <n v="700000"/>
    <n v="50"/>
    <x v="0"/>
    <n v="43"/>
    <n v="5700"/>
    <n v="83"/>
    <s v="Silver"/>
    <s v="Mobile App"/>
    <s v="Lower"/>
  </r>
  <r>
    <s v="CUST103117"/>
    <n v="25"/>
    <x v="3"/>
    <m/>
    <s v="Ahmedabad"/>
    <n v="1325000"/>
    <n v="98"/>
    <x v="3"/>
    <n v="40"/>
    <n v="4500"/>
    <n v="319"/>
    <m/>
    <s v="In-store"/>
    <s v="Lower"/>
  </r>
  <r>
    <s v="CUST103118"/>
    <n v="57"/>
    <x v="0"/>
    <m/>
    <s v="Mumbai"/>
    <n v="1175000"/>
    <n v="14"/>
    <x v="2"/>
    <n v="65"/>
    <n v="10200"/>
    <n v="67"/>
    <s v="Gold"/>
    <s v="In-store"/>
    <s v="Lower"/>
  </r>
  <r>
    <s v="CUST103119"/>
    <n v="42"/>
    <x v="4"/>
    <s v="Unknown"/>
    <s v="Delhi"/>
    <n v="200000"/>
    <n v="59"/>
    <x v="0"/>
    <n v="35"/>
    <n v="11200"/>
    <n v="234"/>
    <s v="Platinum"/>
    <s v="Mobile App"/>
    <s v="Lower"/>
  </r>
  <r>
    <s v="CUST103120"/>
    <n v="26"/>
    <x v="3"/>
    <s v="Male"/>
    <s v="Kolkata"/>
    <n v="200000"/>
    <n v="81"/>
    <x v="3"/>
    <n v="69"/>
    <n v="2300"/>
    <n v="198"/>
    <s v="Silver"/>
    <s v="Website"/>
    <s v="Higher"/>
  </r>
  <r>
    <s v="CUST103121"/>
    <n v="19"/>
    <x v="6"/>
    <s v="Unknown"/>
    <s v="Delhi"/>
    <n v="825000"/>
    <n v="3"/>
    <x v="2"/>
    <n v="50"/>
    <n v="2400"/>
    <n v="259"/>
    <s v="Gold"/>
    <m/>
    <s v="Lower"/>
  </r>
  <r>
    <s v="CUST103122"/>
    <n v="32"/>
    <x v="3"/>
    <s v="Male"/>
    <s v="Kolkata"/>
    <n v="1700000"/>
    <n v="98"/>
    <x v="3"/>
    <n v="12"/>
    <n v="1100"/>
    <n v="177"/>
    <m/>
    <m/>
    <s v="Higher"/>
  </r>
  <r>
    <s v="CUST103123"/>
    <n v="67"/>
    <x v="1"/>
    <m/>
    <m/>
    <n v="900000"/>
    <n v="40"/>
    <x v="0"/>
    <n v="76"/>
    <n v="3600"/>
    <n v="298"/>
    <s v="Silver"/>
    <s v="Online"/>
    <s v="Lower"/>
  </r>
  <r>
    <s v="CUST103124"/>
    <n v="20"/>
    <x v="6"/>
    <s v="Unknown"/>
    <s v="Delhi"/>
    <n v="375000"/>
    <n v="89"/>
    <x v="3"/>
    <n v="58"/>
    <n v="6100"/>
    <n v="280"/>
    <m/>
    <m/>
    <s v="Lower"/>
  </r>
  <r>
    <s v="CUST103125"/>
    <n v="66"/>
    <x v="1"/>
    <s v="Male"/>
    <s v="Kolkata"/>
    <n v="1350000"/>
    <n v="66"/>
    <x v="0"/>
    <n v="63"/>
    <n v="2800"/>
    <n v="300"/>
    <s v="Gold"/>
    <s v="Online"/>
    <s v="Higher"/>
  </r>
  <r>
    <s v="CUST103126"/>
    <n v="53"/>
    <x v="2"/>
    <s v="Female"/>
    <s v="Chennai"/>
    <n v="650000"/>
    <n v="34"/>
    <x v="0"/>
    <n v="73"/>
    <n v="300"/>
    <n v="129"/>
    <s v="Platinum"/>
    <s v="Mobile App"/>
    <s v="Higher"/>
  </r>
  <r>
    <s v="CUST103127"/>
    <n v="21"/>
    <x v="6"/>
    <m/>
    <s v="Delhi"/>
    <n v="1450000"/>
    <n v="90"/>
    <x v="3"/>
    <n v="49"/>
    <n v="10200"/>
    <n v="180"/>
    <s v="Platinum"/>
    <s v="Online"/>
    <s v="Lower"/>
  </r>
  <r>
    <s v="CUST103128"/>
    <n v="31"/>
    <x v="3"/>
    <s v="Unknown"/>
    <s v="Kolkata"/>
    <m/>
    <n v="95"/>
    <x v="3"/>
    <n v="36"/>
    <n v="11000"/>
    <n v="292"/>
    <s v="Gold"/>
    <s v="Website"/>
    <s v="Lower"/>
  </r>
  <r>
    <s v="CUST103129"/>
    <n v="58"/>
    <x v="0"/>
    <m/>
    <s v="Hyderabad"/>
    <n v="1475000"/>
    <n v="9"/>
    <x v="2"/>
    <n v="54"/>
    <n v="700"/>
    <n v="207"/>
    <m/>
    <s v="In-store"/>
    <s v="Lower"/>
  </r>
  <r>
    <s v="CUST103130"/>
    <n v="58"/>
    <x v="0"/>
    <s v="Female"/>
    <s v="Mumbai"/>
    <n v="1550000"/>
    <n v="94"/>
    <x v="3"/>
    <n v="47"/>
    <n v="4300"/>
    <n v="294"/>
    <m/>
    <m/>
    <s v="Higher"/>
  </r>
  <r>
    <s v="CUST103131"/>
    <n v="42"/>
    <x v="4"/>
    <s v="Male"/>
    <s v="Hyderabad"/>
    <n v="625000"/>
    <n v="84"/>
    <x v="3"/>
    <n v="32"/>
    <n v="6500"/>
    <n v="338"/>
    <s v="Gold"/>
    <s v="Online"/>
    <s v="Higher"/>
  </r>
  <r>
    <s v="CUST103132"/>
    <s v="NA"/>
    <x v="5"/>
    <m/>
    <s v="Bengaluru"/>
    <n v="1350000"/>
    <n v="21"/>
    <x v="2"/>
    <n v="53"/>
    <n v="2400"/>
    <n v="175"/>
    <s v="Bronze"/>
    <s v="Online"/>
    <s v="Lower"/>
  </r>
  <r>
    <s v="CUST103133"/>
    <n v="67"/>
    <x v="1"/>
    <s v="Male"/>
    <s v="Kolkata"/>
    <n v="300000"/>
    <n v="93"/>
    <x v="3"/>
    <n v="32"/>
    <n v="7000"/>
    <n v="29"/>
    <s v="Gold"/>
    <s v="Mobile App"/>
    <s v="Higher"/>
  </r>
  <r>
    <s v="CUST103134"/>
    <n v="27"/>
    <x v="3"/>
    <s v="Female"/>
    <s v="Pune"/>
    <n v="850000"/>
    <n v="25"/>
    <x v="2"/>
    <n v="62"/>
    <n v="5000"/>
    <n v="179"/>
    <s v="Gold"/>
    <s v="Mobile App"/>
    <s v="Higher"/>
  </r>
  <r>
    <s v="CUST103135"/>
    <n v="38"/>
    <x v="4"/>
    <s v="Female"/>
    <s v="Ahmedabad"/>
    <n v="1325000"/>
    <m/>
    <x v="1"/>
    <n v="37"/>
    <n v="6800"/>
    <n v="41"/>
    <m/>
    <s v="In-store"/>
    <s v="Higher"/>
  </r>
  <r>
    <s v="CUST103136"/>
    <n v="53"/>
    <x v="2"/>
    <m/>
    <s v="Hyderabad"/>
    <n v="450000"/>
    <n v="44"/>
    <x v="0"/>
    <n v="38"/>
    <n v="1800"/>
    <n v="192"/>
    <s v="Platinum"/>
    <m/>
    <s v="Lower"/>
  </r>
  <r>
    <s v="CUST103137"/>
    <n v="29"/>
    <x v="3"/>
    <s v="Unknown"/>
    <s v="Delhi"/>
    <n v="200000"/>
    <n v="25"/>
    <x v="2"/>
    <n v="30"/>
    <n v="8200"/>
    <n v="344"/>
    <m/>
    <s v="Online"/>
    <s v="Lower"/>
  </r>
  <r>
    <s v="CUST103138"/>
    <n v="44"/>
    <x v="4"/>
    <s v="Female"/>
    <m/>
    <n v="175000"/>
    <n v="9"/>
    <x v="2"/>
    <n v="58"/>
    <n v="5500"/>
    <n v="237"/>
    <s v="Gold"/>
    <s v="In-store"/>
    <s v="Higher"/>
  </r>
  <r>
    <s v="CUST103139"/>
    <n v="57"/>
    <x v="0"/>
    <s v="Female"/>
    <s v="Ahmedabad"/>
    <n v="525000"/>
    <n v="62"/>
    <x v="0"/>
    <n v="32"/>
    <n v="8800"/>
    <n v="304"/>
    <s v="Silver"/>
    <m/>
    <s v="Higher"/>
  </r>
  <r>
    <s v="CUST103140"/>
    <n v="19"/>
    <x v="6"/>
    <m/>
    <s v="Pune"/>
    <n v="275000"/>
    <n v="26"/>
    <x v="2"/>
    <n v="66"/>
    <n v="10900"/>
    <n v="225"/>
    <s v="Platinum"/>
    <s v="In-store"/>
    <s v="Lower"/>
  </r>
  <r>
    <s v="CUST103141"/>
    <m/>
    <x v="5"/>
    <m/>
    <m/>
    <n v="1250000"/>
    <n v="57"/>
    <x v="0"/>
    <n v="51"/>
    <n v="6700"/>
    <n v="114"/>
    <s v="Platinum"/>
    <s v="Online"/>
    <s v="Lower"/>
  </r>
  <r>
    <s v="CUST103142"/>
    <n v="30"/>
    <x v="3"/>
    <s v="Male"/>
    <s v="Kolkata"/>
    <n v="1900000"/>
    <n v="37"/>
    <x v="0"/>
    <n v="11"/>
    <n v="8100"/>
    <n v="278"/>
    <s v="Gold"/>
    <s v="Mobile App"/>
    <s v="Higher"/>
  </r>
  <r>
    <s v="CUST103143"/>
    <m/>
    <x v="5"/>
    <s v="Female"/>
    <m/>
    <n v="250000"/>
    <n v="16"/>
    <x v="2"/>
    <n v="59"/>
    <n v="6600"/>
    <n v="355"/>
    <m/>
    <s v="Mobile App"/>
    <s v="Higher"/>
  </r>
  <r>
    <s v="CUST103144"/>
    <n v="49"/>
    <x v="2"/>
    <s v="Female"/>
    <s v="Kolkata"/>
    <n v="1525000"/>
    <n v="37"/>
    <x v="0"/>
    <n v="20"/>
    <n v="9000"/>
    <n v="17"/>
    <s v="Silver"/>
    <s v="Mobile App"/>
    <s v="Higher"/>
  </r>
  <r>
    <s v="CUST103145"/>
    <n v="48"/>
    <x v="2"/>
    <s v="Female"/>
    <s v="Bengaluru"/>
    <n v="1900000"/>
    <n v="76"/>
    <x v="3"/>
    <n v="37"/>
    <n v="7000"/>
    <n v="86"/>
    <s v="Gold"/>
    <s v="Website"/>
    <s v="Higher"/>
  </r>
  <r>
    <s v="CUST103146"/>
    <n v="33"/>
    <x v="3"/>
    <s v="Male"/>
    <s v="Pune"/>
    <n v="925000"/>
    <n v="24"/>
    <x v="2"/>
    <n v="73"/>
    <n v="6500"/>
    <n v="317"/>
    <s v="Silver"/>
    <s v="In-store"/>
    <s v="Higher"/>
  </r>
  <r>
    <s v="CUST103147"/>
    <n v="49"/>
    <x v="2"/>
    <s v="Male"/>
    <s v="Kolkata"/>
    <n v="1350000"/>
    <n v="26"/>
    <x v="2"/>
    <n v="49"/>
    <n v="6400"/>
    <n v="345"/>
    <s v="Platinum"/>
    <s v="Online"/>
    <s v="Higher"/>
  </r>
  <r>
    <s v="CUST103148"/>
    <n v="49"/>
    <x v="2"/>
    <m/>
    <s v="Delhi"/>
    <n v="450000"/>
    <n v="20"/>
    <x v="2"/>
    <n v="19"/>
    <n v="8400"/>
    <n v="181"/>
    <s v="Silver"/>
    <s v="In-store"/>
    <s v="Lower"/>
  </r>
  <r>
    <s v="CUST103149"/>
    <n v="51"/>
    <x v="2"/>
    <m/>
    <s v="Bengaluru"/>
    <n v="875000"/>
    <n v="9"/>
    <x v="2"/>
    <n v="55"/>
    <n v="8300"/>
    <n v="337"/>
    <s v="Gold"/>
    <s v="Mobile App"/>
    <s v="Lower"/>
  </r>
  <r>
    <s v="CUST103150"/>
    <n v="28"/>
    <x v="3"/>
    <s v="Unknown"/>
    <s v="Chennai"/>
    <n v="750000"/>
    <n v="87"/>
    <x v="3"/>
    <n v="40"/>
    <n v="7300"/>
    <n v="351"/>
    <s v="Bronze"/>
    <m/>
    <s v="Lower"/>
  </r>
  <r>
    <s v="CUST103151"/>
    <n v="27"/>
    <x v="3"/>
    <m/>
    <m/>
    <n v="1625000"/>
    <n v="29"/>
    <x v="2"/>
    <n v="7"/>
    <n v="11600"/>
    <n v="145"/>
    <s v="Bronze"/>
    <m/>
    <s v="Lower"/>
  </r>
  <r>
    <s v="CUST103152"/>
    <n v="32"/>
    <x v="3"/>
    <s v="Female"/>
    <s v="Pune"/>
    <n v="1600000"/>
    <n v="31"/>
    <x v="2"/>
    <n v="5"/>
    <n v="4700"/>
    <n v="315"/>
    <s v="Silver"/>
    <s v="In-store"/>
    <s v="Higher"/>
  </r>
  <r>
    <s v="CUST103153"/>
    <n v="34"/>
    <x v="3"/>
    <m/>
    <s v="Mumbai"/>
    <n v="825000"/>
    <n v="19"/>
    <x v="2"/>
    <n v="42"/>
    <n v="5400"/>
    <n v="225"/>
    <m/>
    <m/>
    <s v="Lower"/>
  </r>
  <r>
    <s v="CUST103154"/>
    <n v="57"/>
    <x v="0"/>
    <m/>
    <m/>
    <n v="1575000"/>
    <n v="20"/>
    <x v="2"/>
    <n v="48"/>
    <n v="11800"/>
    <n v="54"/>
    <s v="Gold"/>
    <m/>
    <s v="Lower"/>
  </r>
  <r>
    <s v="CUST103155"/>
    <n v="35"/>
    <x v="4"/>
    <s v="Male"/>
    <s v="Hyderabad"/>
    <n v="625000"/>
    <n v="87"/>
    <x v="3"/>
    <n v="7"/>
    <n v="7600"/>
    <n v="304"/>
    <m/>
    <m/>
    <s v="Higher"/>
  </r>
  <r>
    <s v="CUST103156"/>
    <s v="NA"/>
    <x v="5"/>
    <m/>
    <s v="Kolkata"/>
    <n v="975000"/>
    <n v="27"/>
    <x v="2"/>
    <n v="11"/>
    <n v="6700"/>
    <n v="68"/>
    <s v="Bronze"/>
    <s v="In-store"/>
    <s v="Lower"/>
  </r>
  <r>
    <s v="CUST103157"/>
    <n v="26"/>
    <x v="3"/>
    <s v="Male"/>
    <m/>
    <n v="250000"/>
    <n v="94"/>
    <x v="3"/>
    <n v="73"/>
    <n v="400"/>
    <n v="107"/>
    <s v="Platinum"/>
    <s v="Website"/>
    <s v="Higher"/>
  </r>
  <r>
    <s v="CUST103158"/>
    <n v="42"/>
    <x v="4"/>
    <m/>
    <m/>
    <n v="1625000"/>
    <n v="85"/>
    <x v="3"/>
    <n v="49"/>
    <n v="5100"/>
    <n v="334"/>
    <s v="Gold"/>
    <s v="Website"/>
    <s v="Lower"/>
  </r>
  <r>
    <s v="CUST103159"/>
    <n v="57"/>
    <x v="0"/>
    <s v="Female"/>
    <s v="Mumbai"/>
    <n v="1200000"/>
    <n v="44"/>
    <x v="0"/>
    <n v="30"/>
    <n v="2400"/>
    <n v="77"/>
    <s v="Gold"/>
    <s v="Mobile App"/>
    <s v="Higher"/>
  </r>
  <r>
    <s v="CUST103160"/>
    <n v="31"/>
    <x v="3"/>
    <s v="Male"/>
    <s v="Mumbai"/>
    <n v="1550000"/>
    <n v="35"/>
    <x v="0"/>
    <n v="41"/>
    <n v="9800"/>
    <n v="27"/>
    <s v="Bronze"/>
    <s v="Online"/>
    <s v="Higher"/>
  </r>
  <r>
    <s v="CUST103161"/>
    <n v="42"/>
    <x v="4"/>
    <s v="Male"/>
    <s v="Bengaluru"/>
    <n v="1550000"/>
    <n v="71"/>
    <x v="3"/>
    <n v="3"/>
    <n v="3100"/>
    <n v="344"/>
    <m/>
    <m/>
    <s v="Higher"/>
  </r>
  <r>
    <s v="CUST103162"/>
    <n v="67"/>
    <x v="1"/>
    <s v="Male"/>
    <s v="Pune"/>
    <m/>
    <n v="22"/>
    <x v="2"/>
    <n v="40"/>
    <n v="3700"/>
    <n v="155"/>
    <s v="Platinum"/>
    <s v="Online"/>
    <s v="Higher"/>
  </r>
  <r>
    <s v="CUST103163"/>
    <n v="39"/>
    <x v="4"/>
    <s v="Male"/>
    <s v="Delhi"/>
    <n v="1475000"/>
    <n v="74"/>
    <x v="3"/>
    <n v="51"/>
    <n v="8300"/>
    <n v="72"/>
    <m/>
    <s v="Online"/>
    <s v="Higher"/>
  </r>
  <r>
    <s v="CUST103164"/>
    <n v="69"/>
    <x v="1"/>
    <s v="Female"/>
    <m/>
    <n v="1250000"/>
    <n v="87"/>
    <x v="3"/>
    <n v="32"/>
    <n v="7800"/>
    <n v="180"/>
    <s v="Platinum"/>
    <m/>
    <s v="Higher"/>
  </r>
  <r>
    <s v="CUST103165"/>
    <n v="47"/>
    <x v="2"/>
    <s v="Female"/>
    <s v="Mumbai"/>
    <n v="1050000"/>
    <n v="15"/>
    <x v="2"/>
    <n v="48"/>
    <n v="2600"/>
    <n v="47"/>
    <s v="Bronze"/>
    <s v="Website"/>
    <s v="Higher"/>
  </r>
  <r>
    <s v="CUST103166"/>
    <n v="37"/>
    <x v="4"/>
    <s v="Male"/>
    <s v="Mumbai"/>
    <n v="1325000"/>
    <n v="94"/>
    <x v="3"/>
    <n v="71"/>
    <n v="9600"/>
    <n v="242"/>
    <s v="Gold"/>
    <m/>
    <s v="Higher"/>
  </r>
  <r>
    <s v="CUST103167"/>
    <n v="38"/>
    <x v="4"/>
    <s v="Female"/>
    <s v="Hyderabad"/>
    <n v="1475000"/>
    <n v="98"/>
    <x v="3"/>
    <n v="71"/>
    <n v="11000"/>
    <n v="359"/>
    <s v="Platinum"/>
    <s v="Mobile App"/>
    <s v="Higher"/>
  </r>
  <r>
    <s v="CUST103168"/>
    <n v="61"/>
    <x v="0"/>
    <s v="Female"/>
    <s v="Chennai"/>
    <n v="1325000"/>
    <n v="13"/>
    <x v="2"/>
    <n v="20"/>
    <n v="3200"/>
    <n v="277"/>
    <s v="Gold"/>
    <s v="In-store"/>
    <s v="Higher"/>
  </r>
  <r>
    <s v="CUST103169"/>
    <n v="49"/>
    <x v="2"/>
    <s v="Unknown"/>
    <s v="Mumbai"/>
    <n v="275000"/>
    <n v="4"/>
    <x v="2"/>
    <n v="35"/>
    <n v="8600"/>
    <n v="313"/>
    <s v="Silver"/>
    <s v="Website"/>
    <s v="Lower"/>
  </r>
  <r>
    <s v="CUST103170"/>
    <n v="68"/>
    <x v="1"/>
    <s v="Unknown"/>
    <s v="Chennai"/>
    <n v="975000"/>
    <n v="82"/>
    <x v="3"/>
    <n v="24"/>
    <n v="4400"/>
    <n v="105"/>
    <s v="Silver"/>
    <s v="Mobile App"/>
    <s v="Lower"/>
  </r>
  <r>
    <s v="CUST103171"/>
    <n v="63"/>
    <x v="0"/>
    <s v="Male"/>
    <s v="Bengaluru"/>
    <n v="1700000"/>
    <n v="56"/>
    <x v="0"/>
    <n v="40"/>
    <n v="7300"/>
    <n v="95"/>
    <s v="Bronze"/>
    <m/>
    <s v="Higher"/>
  </r>
  <r>
    <s v="CUST103172"/>
    <n v="66"/>
    <x v="1"/>
    <m/>
    <s v="Delhi"/>
    <n v="1325000"/>
    <n v="23"/>
    <x v="2"/>
    <n v="77"/>
    <n v="10800"/>
    <n v="219"/>
    <s v="Bronze"/>
    <s v="Website"/>
    <s v="Lower"/>
  </r>
  <r>
    <s v="CUST103173"/>
    <n v="38"/>
    <x v="4"/>
    <s v="Male"/>
    <m/>
    <n v="700000"/>
    <n v="97"/>
    <x v="3"/>
    <n v="52"/>
    <n v="5200"/>
    <n v="170"/>
    <m/>
    <m/>
    <s v="Higher"/>
  </r>
  <r>
    <s v="CUST103174"/>
    <n v="52"/>
    <x v="2"/>
    <s v="Female"/>
    <s v="Mumbai"/>
    <n v="450000"/>
    <n v="98"/>
    <x v="3"/>
    <n v="39"/>
    <m/>
    <m/>
    <s v="Bronze"/>
    <s v="Online"/>
    <s v="Higher"/>
  </r>
  <r>
    <s v="CUST103175"/>
    <n v="49"/>
    <x v="2"/>
    <s v="Male"/>
    <s v="Kolkata"/>
    <n v="1300000"/>
    <n v="34"/>
    <x v="0"/>
    <n v="68"/>
    <n v="10400"/>
    <n v="283"/>
    <s v="Silver"/>
    <m/>
    <s v="Higher"/>
  </r>
  <r>
    <s v="CUST103176"/>
    <n v="47"/>
    <x v="2"/>
    <s v="Male"/>
    <s v="Chennai"/>
    <n v="1225000"/>
    <n v="100"/>
    <x v="3"/>
    <n v="61"/>
    <n v="7300"/>
    <n v="128"/>
    <s v="Platinum"/>
    <m/>
    <s v="Higher"/>
  </r>
  <r>
    <s v="CUST103177"/>
    <s v="NA"/>
    <x v="5"/>
    <s v="Female"/>
    <s v="Hyderabad"/>
    <n v="925000"/>
    <n v="99"/>
    <x v="3"/>
    <n v="76"/>
    <n v="6200"/>
    <n v="200"/>
    <m/>
    <s v="In-store"/>
    <s v="Higher"/>
  </r>
  <r>
    <s v="CUST103178"/>
    <n v="56"/>
    <x v="0"/>
    <s v="Unknown"/>
    <m/>
    <n v="775000"/>
    <n v="17"/>
    <x v="2"/>
    <m/>
    <n v="11500"/>
    <n v="332"/>
    <s v="Bronze"/>
    <m/>
    <s v="Lower"/>
  </r>
  <r>
    <s v="CUST103179"/>
    <n v="66"/>
    <x v="1"/>
    <m/>
    <s v="Hyderabad"/>
    <n v="1450000"/>
    <n v="28"/>
    <x v="2"/>
    <n v="65"/>
    <n v="3200"/>
    <n v="35"/>
    <m/>
    <m/>
    <s v="Lower"/>
  </r>
  <r>
    <s v="CUST103180"/>
    <n v="29"/>
    <x v="3"/>
    <s v="Female"/>
    <s v="Mumbai"/>
    <n v="475000"/>
    <n v="14"/>
    <x v="2"/>
    <n v="62"/>
    <n v="1400"/>
    <n v="354"/>
    <m/>
    <s v="Online"/>
    <s v="Higher"/>
  </r>
  <r>
    <s v="CUST103181"/>
    <n v="58"/>
    <x v="0"/>
    <m/>
    <s v="Pune"/>
    <n v="1425000"/>
    <n v="34"/>
    <x v="0"/>
    <m/>
    <n v="5100"/>
    <n v="144"/>
    <s v="Silver"/>
    <s v="Website"/>
    <s v="Lower"/>
  </r>
  <r>
    <s v="CUST103182"/>
    <n v="64"/>
    <x v="0"/>
    <s v="Unknown"/>
    <m/>
    <n v="1025000"/>
    <n v="75"/>
    <x v="3"/>
    <n v="2"/>
    <n v="9700"/>
    <n v="292"/>
    <m/>
    <s v="Mobile App"/>
    <s v="Lower"/>
  </r>
  <r>
    <s v="CUST103183"/>
    <n v="35"/>
    <x v="4"/>
    <m/>
    <s v="Delhi"/>
    <n v="325000"/>
    <n v="57"/>
    <x v="0"/>
    <n v="6"/>
    <n v="8400"/>
    <n v="66"/>
    <s v="Platinum"/>
    <m/>
    <s v="Lower"/>
  </r>
  <r>
    <s v="CUST103184"/>
    <n v="38"/>
    <x v="4"/>
    <m/>
    <s v="Kolkata"/>
    <n v="1125000"/>
    <n v="77"/>
    <x v="3"/>
    <n v="75"/>
    <n v="4800"/>
    <n v="219"/>
    <s v="Silver"/>
    <m/>
    <s v="Lower"/>
  </r>
  <r>
    <s v="CUST103185"/>
    <n v="30"/>
    <x v="3"/>
    <m/>
    <s v="Pune"/>
    <n v="675000"/>
    <n v="97"/>
    <x v="3"/>
    <n v="43"/>
    <n v="4500"/>
    <n v="56"/>
    <s v="Bronze"/>
    <s v="In-store"/>
    <s v="Lower"/>
  </r>
  <r>
    <s v="CUST103186"/>
    <n v="38"/>
    <x v="4"/>
    <s v="Female"/>
    <s v="Hyderabad"/>
    <n v="525000"/>
    <n v="55"/>
    <x v="0"/>
    <n v="40"/>
    <n v="400"/>
    <n v="145"/>
    <s v="Silver"/>
    <s v="Website"/>
    <s v="Higher"/>
  </r>
  <r>
    <s v="CUST103187"/>
    <n v="25"/>
    <x v="3"/>
    <s v="Male"/>
    <s v="Chennai"/>
    <n v="1625000"/>
    <n v="66"/>
    <x v="0"/>
    <n v="39"/>
    <n v="11900"/>
    <n v="213"/>
    <s v="Silver"/>
    <m/>
    <s v="Higher"/>
  </r>
  <r>
    <s v="CUST103188"/>
    <n v="63"/>
    <x v="0"/>
    <s v="Female"/>
    <s v="Chennai"/>
    <n v="1625000"/>
    <n v="98"/>
    <x v="3"/>
    <n v="28"/>
    <n v="9900"/>
    <n v="94"/>
    <s v="Silver"/>
    <m/>
    <s v="Higher"/>
  </r>
  <r>
    <s v="CUST103189"/>
    <n v="57"/>
    <x v="0"/>
    <m/>
    <s v="Pune"/>
    <n v="375000"/>
    <n v="93"/>
    <x v="3"/>
    <m/>
    <n v="7700"/>
    <n v="106"/>
    <s v="Bronze"/>
    <s v="Mobile App"/>
    <s v="Lower"/>
  </r>
  <r>
    <s v="CUST103190"/>
    <n v="63"/>
    <x v="0"/>
    <s v="Female"/>
    <s v="Chennai"/>
    <n v="750000"/>
    <n v="37"/>
    <x v="0"/>
    <n v="63"/>
    <n v="10000"/>
    <n v="84"/>
    <s v="Bronze"/>
    <s v="Online"/>
    <s v="Higher"/>
  </r>
  <r>
    <s v="CUST103191"/>
    <n v="24"/>
    <x v="6"/>
    <s v="Unknown"/>
    <s v="Hyderabad"/>
    <n v="900000"/>
    <n v="68"/>
    <x v="3"/>
    <n v="64"/>
    <n v="8200"/>
    <n v="136"/>
    <s v="Silver"/>
    <m/>
    <s v="Lower"/>
  </r>
  <r>
    <s v="CUST103192"/>
    <n v="40"/>
    <x v="4"/>
    <s v="Female"/>
    <s v="Pune"/>
    <n v="650000"/>
    <n v="76"/>
    <x v="3"/>
    <n v="12"/>
    <n v="5600"/>
    <n v="146"/>
    <s v="Silver"/>
    <s v="Website"/>
    <s v="Higher"/>
  </r>
  <r>
    <s v="CUST103193"/>
    <n v="61"/>
    <x v="0"/>
    <s v="Female"/>
    <s v="Hyderabad"/>
    <n v="950000"/>
    <n v="26"/>
    <x v="2"/>
    <n v="41"/>
    <n v="3700"/>
    <n v="249"/>
    <m/>
    <s v="Mobile App"/>
    <s v="Higher"/>
  </r>
  <r>
    <s v="CUST103194"/>
    <n v="49"/>
    <x v="2"/>
    <s v="Unknown"/>
    <s v="Kolkata"/>
    <n v="900000"/>
    <n v="61"/>
    <x v="0"/>
    <n v="29"/>
    <n v="5400"/>
    <n v="18"/>
    <s v="Platinum"/>
    <s v="Mobile App"/>
    <s v="Lower"/>
  </r>
  <r>
    <s v="CUST103195"/>
    <n v="28"/>
    <x v="3"/>
    <s v="Female"/>
    <m/>
    <n v="650000"/>
    <n v="92"/>
    <x v="3"/>
    <n v="23"/>
    <n v="3500"/>
    <n v="125"/>
    <m/>
    <m/>
    <s v="Higher"/>
  </r>
  <r>
    <s v="CUST103196"/>
    <n v="39"/>
    <x v="4"/>
    <m/>
    <m/>
    <n v="1025000"/>
    <n v="67"/>
    <x v="3"/>
    <m/>
    <n v="8700"/>
    <n v="2"/>
    <m/>
    <s v="Website"/>
    <s v="Lower"/>
  </r>
  <r>
    <s v="CUST103197"/>
    <n v="39"/>
    <x v="4"/>
    <s v="Male"/>
    <s v="Kolkata"/>
    <n v="1750000"/>
    <n v="84"/>
    <x v="3"/>
    <n v="51"/>
    <n v="8600"/>
    <n v="332"/>
    <s v="Platinum"/>
    <s v="Website"/>
    <s v="Higher"/>
  </r>
  <r>
    <s v="CUST103198"/>
    <n v="60"/>
    <x v="0"/>
    <m/>
    <s v="Kolkata"/>
    <n v="225000"/>
    <n v="74"/>
    <x v="3"/>
    <n v="45"/>
    <n v="7400"/>
    <n v="200"/>
    <m/>
    <s v="Online"/>
    <s v="Lower"/>
  </r>
  <r>
    <s v="CUST103199"/>
    <n v="42"/>
    <x v="4"/>
    <m/>
    <s v="Chennai"/>
    <n v="1825000"/>
    <n v="52"/>
    <x v="0"/>
    <n v="22"/>
    <n v="5300"/>
    <n v="138"/>
    <s v="Platinum"/>
    <s v="Website"/>
    <s v="Lower"/>
  </r>
  <r>
    <s v="CUST103200"/>
    <n v="39"/>
    <x v="4"/>
    <s v="Male"/>
    <s v="Mumbai"/>
    <n v="225000"/>
    <n v="18"/>
    <x v="2"/>
    <n v="10"/>
    <n v="2800"/>
    <n v="203"/>
    <s v="Silver"/>
    <m/>
    <s v="Higher"/>
  </r>
  <r>
    <s v="CUST103201"/>
    <n v="45"/>
    <x v="2"/>
    <m/>
    <s v="Ahmedabad"/>
    <n v="350000"/>
    <n v="53"/>
    <x v="0"/>
    <n v="7"/>
    <n v="9900"/>
    <n v="282"/>
    <m/>
    <m/>
    <s v="Lower"/>
  </r>
  <r>
    <s v="CUST103202"/>
    <n v="46"/>
    <x v="2"/>
    <s v="Male"/>
    <s v="Chennai"/>
    <n v="875000"/>
    <n v="63"/>
    <x v="0"/>
    <n v="73"/>
    <n v="6400"/>
    <n v="303"/>
    <s v="Platinum"/>
    <s v="Website"/>
    <s v="Higher"/>
  </r>
  <r>
    <s v="CUST103203"/>
    <n v="30"/>
    <x v="3"/>
    <m/>
    <s v="Mumbai"/>
    <n v="1250000"/>
    <n v="53"/>
    <x v="0"/>
    <n v="15"/>
    <n v="6300"/>
    <n v="30"/>
    <m/>
    <s v="Online"/>
    <s v="Lower"/>
  </r>
  <r>
    <s v="CUST103204"/>
    <n v="35"/>
    <x v="4"/>
    <s v="Unknown"/>
    <s v="Hyderabad"/>
    <n v="225000"/>
    <n v="27"/>
    <x v="2"/>
    <n v="77"/>
    <n v="2800"/>
    <n v="56"/>
    <s v="Platinum"/>
    <s v="Mobile App"/>
    <s v="Lower"/>
  </r>
  <r>
    <s v="CUST103205"/>
    <n v="19"/>
    <x v="6"/>
    <s v="Female"/>
    <s v="Ahmedabad"/>
    <n v="1850000"/>
    <n v="31"/>
    <x v="2"/>
    <n v="46"/>
    <n v="3900"/>
    <n v="119"/>
    <s v="Bronze"/>
    <m/>
    <s v="Higher"/>
  </r>
  <r>
    <s v="CUST103206"/>
    <n v="46"/>
    <x v="2"/>
    <m/>
    <s v="Chennai"/>
    <n v="700000"/>
    <n v="91"/>
    <x v="3"/>
    <n v="61"/>
    <n v="3200"/>
    <n v="132"/>
    <s v="Platinum"/>
    <s v="Website"/>
    <s v="Lower"/>
  </r>
  <r>
    <s v="CUST103207"/>
    <n v="38"/>
    <x v="4"/>
    <s v="Female"/>
    <s v="Ahmedabad"/>
    <n v="525000"/>
    <n v="1"/>
    <x v="2"/>
    <n v="61"/>
    <n v="9700"/>
    <n v="231"/>
    <s v="Silver"/>
    <m/>
    <s v="Higher"/>
  </r>
  <r>
    <s v="CUST103208"/>
    <n v="32"/>
    <x v="3"/>
    <s v="Male"/>
    <s v="Ahmedabad"/>
    <n v="675000"/>
    <n v="6"/>
    <x v="2"/>
    <n v="51"/>
    <n v="9900"/>
    <n v="152"/>
    <s v="Gold"/>
    <s v="Website"/>
    <s v="Higher"/>
  </r>
  <r>
    <s v="CUST103209"/>
    <n v="69"/>
    <x v="1"/>
    <m/>
    <s v="Bengaluru"/>
    <n v="1925000"/>
    <n v="11"/>
    <x v="2"/>
    <n v="38"/>
    <n v="1300"/>
    <n v="21"/>
    <s v="Bronze"/>
    <s v="In-store"/>
    <s v="Lower"/>
  </r>
  <r>
    <s v="CUST103210"/>
    <n v="44"/>
    <x v="4"/>
    <s v="Female"/>
    <m/>
    <n v="1325000"/>
    <n v="34"/>
    <x v="0"/>
    <n v="12"/>
    <n v="5500"/>
    <n v="68"/>
    <s v="Gold"/>
    <s v="Online"/>
    <s v="Higher"/>
  </r>
  <r>
    <s v="CUST103211"/>
    <n v="67"/>
    <x v="1"/>
    <s v="Unknown"/>
    <s v="Bengaluru"/>
    <n v="1675000"/>
    <n v="84"/>
    <x v="3"/>
    <n v="77"/>
    <n v="4300"/>
    <n v="126"/>
    <s v="Silver"/>
    <s v="Mobile App"/>
    <s v="Lower"/>
  </r>
  <r>
    <s v="CUST103212"/>
    <n v="48"/>
    <x v="2"/>
    <s v="Male"/>
    <s v="Mumbai"/>
    <n v="1625000"/>
    <n v="63"/>
    <x v="0"/>
    <n v="66"/>
    <n v="700"/>
    <n v="43"/>
    <s v="Gold"/>
    <s v="In-store"/>
    <s v="Higher"/>
  </r>
  <r>
    <s v="CUST103213"/>
    <n v="32"/>
    <x v="3"/>
    <s v="Male"/>
    <s v="Delhi"/>
    <n v="250000"/>
    <n v="53"/>
    <x v="0"/>
    <n v="54"/>
    <n v="6800"/>
    <n v="182"/>
    <s v="Platinum"/>
    <m/>
    <s v="Higher"/>
  </r>
  <r>
    <s v="CUST103214"/>
    <n v="68"/>
    <x v="1"/>
    <m/>
    <s v="Pune"/>
    <n v="300000"/>
    <n v="85"/>
    <x v="3"/>
    <n v="39"/>
    <n v="1500"/>
    <n v="100"/>
    <s v="Gold"/>
    <s v="Website"/>
    <s v="Lower"/>
  </r>
  <r>
    <s v="CUST103215"/>
    <n v="40"/>
    <x v="4"/>
    <s v="Female"/>
    <m/>
    <n v="1400000"/>
    <n v="85"/>
    <x v="3"/>
    <n v="76"/>
    <n v="6500"/>
    <n v="349"/>
    <m/>
    <s v="Online"/>
    <s v="Higher"/>
  </r>
  <r>
    <s v="CUST103216"/>
    <n v="41"/>
    <x v="4"/>
    <m/>
    <s v="Delhi"/>
    <n v="1750000"/>
    <n v="18"/>
    <x v="2"/>
    <n v="39"/>
    <n v="8400"/>
    <n v="240"/>
    <s v="Silver"/>
    <m/>
    <s v="Lower"/>
  </r>
  <r>
    <s v="CUST103217"/>
    <n v="61"/>
    <x v="0"/>
    <s v="Female"/>
    <s v="Pune"/>
    <n v="350000"/>
    <n v="21"/>
    <x v="2"/>
    <n v="78"/>
    <n v="9200"/>
    <n v="200"/>
    <m/>
    <s v="Website"/>
    <s v="Higher"/>
  </r>
  <r>
    <s v="CUST103218"/>
    <n v="30"/>
    <x v="3"/>
    <s v="Female"/>
    <s v="Mumbai"/>
    <n v="1250000"/>
    <n v="19"/>
    <x v="2"/>
    <n v="30"/>
    <n v="2700"/>
    <n v="116"/>
    <s v="Gold"/>
    <s v="Website"/>
    <s v="Higher"/>
  </r>
  <r>
    <s v="CUST103219"/>
    <n v="39"/>
    <x v="4"/>
    <s v="Unknown"/>
    <s v="Mumbai"/>
    <n v="1300000"/>
    <n v="4"/>
    <x v="2"/>
    <n v="48"/>
    <n v="4600"/>
    <n v="115"/>
    <m/>
    <s v="Website"/>
    <s v="Lower"/>
  </r>
  <r>
    <s v="CUST103220"/>
    <n v="60"/>
    <x v="0"/>
    <s v="Unknown"/>
    <s v="Hyderabad"/>
    <n v="1800000"/>
    <n v="77"/>
    <x v="3"/>
    <n v="31"/>
    <n v="1600"/>
    <n v="142"/>
    <s v="Bronze"/>
    <m/>
    <s v="Lower"/>
  </r>
  <r>
    <s v="CUST103221"/>
    <n v="54"/>
    <x v="2"/>
    <s v="Unknown"/>
    <m/>
    <n v="725000"/>
    <n v="82"/>
    <x v="3"/>
    <n v="25"/>
    <n v="7100"/>
    <n v="119"/>
    <s v="Gold"/>
    <s v="Website"/>
    <s v="Lower"/>
  </r>
  <r>
    <s v="CUST103222"/>
    <n v="50"/>
    <x v="2"/>
    <m/>
    <m/>
    <n v="375000"/>
    <n v="29"/>
    <x v="2"/>
    <n v="68"/>
    <n v="6100"/>
    <n v="93"/>
    <m/>
    <s v="Online"/>
    <s v="Lower"/>
  </r>
  <r>
    <s v="CUST103223"/>
    <n v="20"/>
    <x v="6"/>
    <s v="Female"/>
    <s v="Ahmedabad"/>
    <n v="1950000"/>
    <n v="25"/>
    <x v="2"/>
    <n v="51"/>
    <n v="5800"/>
    <n v="9"/>
    <m/>
    <m/>
    <s v="Higher"/>
  </r>
  <r>
    <s v="CUST103224"/>
    <m/>
    <x v="5"/>
    <s v="Female"/>
    <s v="Bengaluru"/>
    <s v="unknown"/>
    <n v="56"/>
    <x v="0"/>
    <n v="13"/>
    <n v="10800"/>
    <n v="73"/>
    <s v="Platinum"/>
    <m/>
    <s v="Higher"/>
  </r>
  <r>
    <s v="CUST103225"/>
    <n v="36"/>
    <x v="4"/>
    <s v="Male"/>
    <s v="Bengaluru"/>
    <n v="1325000"/>
    <n v="77"/>
    <x v="3"/>
    <n v="63"/>
    <n v="5400"/>
    <n v="26"/>
    <s v="Gold"/>
    <s v="In-store"/>
    <s v="Higher"/>
  </r>
  <r>
    <s v="CUST103226"/>
    <n v="40"/>
    <x v="4"/>
    <m/>
    <s v="Mumbai"/>
    <n v="1000000"/>
    <n v="63"/>
    <x v="0"/>
    <n v="42"/>
    <n v="6800"/>
    <n v="239"/>
    <m/>
    <m/>
    <s v="Lower"/>
  </r>
  <r>
    <s v="CUST103227"/>
    <n v="46"/>
    <x v="2"/>
    <s v="Unknown"/>
    <s v="Bengaluru"/>
    <n v="1475000"/>
    <n v="27"/>
    <x v="2"/>
    <n v="54"/>
    <n v="7000"/>
    <n v="362"/>
    <s v="Bronze"/>
    <m/>
    <s v="Lower"/>
  </r>
  <r>
    <s v="CUST103228"/>
    <n v="47"/>
    <x v="2"/>
    <m/>
    <s v="Mumbai"/>
    <n v="1900000"/>
    <n v="60"/>
    <x v="0"/>
    <n v="67"/>
    <n v="1400"/>
    <n v="145"/>
    <s v="Platinum"/>
    <s v="In-store"/>
    <s v="Lower"/>
  </r>
  <r>
    <s v="CUST103229"/>
    <n v="56"/>
    <x v="0"/>
    <s v="Unknown"/>
    <s v="Ahmedabad"/>
    <n v="525000"/>
    <n v="83"/>
    <x v="3"/>
    <m/>
    <n v="7700"/>
    <n v="68"/>
    <s v="Gold"/>
    <s v="Online"/>
    <s v="Lower"/>
  </r>
  <r>
    <s v="CUST103230"/>
    <n v="61"/>
    <x v="0"/>
    <m/>
    <s v="Mumbai"/>
    <n v="1450000"/>
    <n v="49"/>
    <x v="0"/>
    <n v="56"/>
    <n v="7000"/>
    <n v="188"/>
    <s v="Platinum"/>
    <m/>
    <s v="Lower"/>
  </r>
  <r>
    <s v="CUST103231"/>
    <n v="64"/>
    <x v="0"/>
    <m/>
    <s v="Hyderabad"/>
    <n v="1125000"/>
    <n v="65"/>
    <x v="0"/>
    <n v="19"/>
    <n v="4500"/>
    <m/>
    <s v="Gold"/>
    <m/>
    <s v="Lower"/>
  </r>
  <r>
    <s v="CUST103232"/>
    <n v="42"/>
    <x v="4"/>
    <s v="Female"/>
    <m/>
    <n v="625000"/>
    <n v="38"/>
    <x v="0"/>
    <n v="46"/>
    <n v="7500"/>
    <n v="131"/>
    <s v="Gold"/>
    <s v="Mobile App"/>
    <s v="Higher"/>
  </r>
  <r>
    <s v="CUST103233"/>
    <n v="54"/>
    <x v="2"/>
    <s v="Unknown"/>
    <s v="Kolkata"/>
    <n v="1850000"/>
    <n v="83"/>
    <x v="3"/>
    <n v="15"/>
    <n v="7600"/>
    <n v="221"/>
    <s v="Silver"/>
    <s v="In-store"/>
    <s v="Lower"/>
  </r>
  <r>
    <s v="CUST103234"/>
    <n v="64"/>
    <x v="0"/>
    <m/>
    <s v="Chennai"/>
    <n v="1250000"/>
    <n v="52"/>
    <x v="0"/>
    <n v="32"/>
    <n v="9300"/>
    <n v="281"/>
    <m/>
    <s v="Online"/>
    <s v="Lower"/>
  </r>
  <r>
    <s v="CUST103235"/>
    <n v="25"/>
    <x v="3"/>
    <s v="Female"/>
    <m/>
    <n v="275000"/>
    <n v="1"/>
    <x v="2"/>
    <n v="49"/>
    <n v="800"/>
    <n v="277"/>
    <s v="Gold"/>
    <s v="Online"/>
    <s v="Higher"/>
  </r>
  <r>
    <s v="CUST103236"/>
    <n v="59"/>
    <x v="0"/>
    <s v="Female"/>
    <m/>
    <n v="1850000"/>
    <n v="40"/>
    <x v="0"/>
    <n v="21"/>
    <n v="1700"/>
    <n v="140"/>
    <s v="Bronze"/>
    <s v="Online"/>
    <s v="Higher"/>
  </r>
  <r>
    <s v="CUST103237"/>
    <n v="33"/>
    <x v="3"/>
    <s v="Unknown"/>
    <s v="Delhi"/>
    <n v="1350000"/>
    <n v="81"/>
    <x v="3"/>
    <n v="65"/>
    <n v="4400"/>
    <n v="54"/>
    <m/>
    <m/>
    <s v="Lower"/>
  </r>
  <r>
    <s v="CUST103238"/>
    <n v="25"/>
    <x v="3"/>
    <m/>
    <m/>
    <n v="1100000"/>
    <n v="21"/>
    <x v="2"/>
    <n v="70"/>
    <n v="3300"/>
    <n v="1"/>
    <m/>
    <s v="Website"/>
    <s v="Lower"/>
  </r>
  <r>
    <s v="CUST103239"/>
    <n v="18"/>
    <x v="6"/>
    <m/>
    <m/>
    <n v="175000"/>
    <n v="86"/>
    <x v="3"/>
    <n v="27"/>
    <n v="8800"/>
    <n v="128"/>
    <s v="Silver"/>
    <s v="Mobile App"/>
    <s v="Lower"/>
  </r>
  <r>
    <s v="CUST103240"/>
    <n v="61"/>
    <x v="0"/>
    <s v="Female"/>
    <s v="Pune"/>
    <n v="1100000"/>
    <n v="15"/>
    <x v="2"/>
    <n v="23"/>
    <n v="5500"/>
    <n v="1"/>
    <m/>
    <m/>
    <s v="Higher"/>
  </r>
  <r>
    <s v="CUST103241"/>
    <n v="22"/>
    <x v="6"/>
    <s v="Female"/>
    <s v="Chennai"/>
    <n v="650000"/>
    <n v="50"/>
    <x v="0"/>
    <n v="47"/>
    <n v="800"/>
    <n v="173"/>
    <m/>
    <m/>
    <s v="Higher"/>
  </r>
  <r>
    <s v="CUST103242"/>
    <n v="20"/>
    <x v="6"/>
    <m/>
    <s v="Ahmedabad"/>
    <n v="1125000"/>
    <n v="48"/>
    <x v="0"/>
    <n v="12"/>
    <n v="3500"/>
    <n v="266"/>
    <s v="Gold"/>
    <m/>
    <s v="Lower"/>
  </r>
  <r>
    <s v="CUST103243"/>
    <n v="18"/>
    <x v="6"/>
    <s v="Female"/>
    <s v="Kolkata"/>
    <n v="1475000"/>
    <n v="32"/>
    <x v="2"/>
    <n v="66"/>
    <n v="3100"/>
    <n v="296"/>
    <s v="Bronze"/>
    <s v="In-store"/>
    <s v="Higher"/>
  </r>
  <r>
    <s v="CUST103244"/>
    <n v="21"/>
    <x v="6"/>
    <s v="Male"/>
    <s v="Kolkata"/>
    <n v="425000"/>
    <n v="49"/>
    <x v="0"/>
    <n v="5"/>
    <n v="2300"/>
    <n v="256"/>
    <s v="Gold"/>
    <s v="Mobile App"/>
    <s v="Higher"/>
  </r>
  <r>
    <s v="CUST103245"/>
    <n v="57"/>
    <x v="0"/>
    <s v="Unknown"/>
    <m/>
    <n v="1050000"/>
    <n v="68"/>
    <x v="3"/>
    <n v="9"/>
    <n v="5600"/>
    <n v="174"/>
    <s v="Bronze"/>
    <s v="Online"/>
    <s v="Lower"/>
  </r>
  <r>
    <s v="CUST103246"/>
    <n v="52"/>
    <x v="2"/>
    <s v="Female"/>
    <m/>
    <n v="1075000"/>
    <n v="45"/>
    <x v="0"/>
    <n v="20"/>
    <n v="5800"/>
    <n v="45"/>
    <s v="Bronze"/>
    <m/>
    <s v="Higher"/>
  </r>
  <r>
    <s v="CUST103247"/>
    <n v="49"/>
    <x v="2"/>
    <s v="Female"/>
    <s v="Hyderabad"/>
    <n v="500000"/>
    <n v="32"/>
    <x v="2"/>
    <n v="63"/>
    <n v="11800"/>
    <n v="343"/>
    <s v="Platinum"/>
    <s v="Mobile App"/>
    <s v="Higher"/>
  </r>
  <r>
    <s v="CUST103248"/>
    <n v="59"/>
    <x v="0"/>
    <m/>
    <s v="Pune"/>
    <n v="300000"/>
    <n v="4"/>
    <x v="2"/>
    <n v="72"/>
    <n v="9600"/>
    <n v="141"/>
    <s v="Gold"/>
    <s v="In-store"/>
    <s v="Lower"/>
  </r>
  <r>
    <s v="CUST103249"/>
    <n v="51"/>
    <x v="2"/>
    <s v="Male"/>
    <s v="Mumbai"/>
    <n v="1375000"/>
    <n v="65"/>
    <x v="0"/>
    <n v="73"/>
    <n v="2300"/>
    <n v="27"/>
    <s v="Silver"/>
    <s v="Website"/>
    <s v="Higher"/>
  </r>
  <r>
    <s v="CUST103250"/>
    <n v="60"/>
    <x v="0"/>
    <m/>
    <s v="Pune"/>
    <n v="1750000"/>
    <n v="97"/>
    <x v="3"/>
    <n v="71"/>
    <n v="10200"/>
    <n v="233"/>
    <m/>
    <s v="Mobile App"/>
    <s v="Lower"/>
  </r>
  <r>
    <s v="CUST103251"/>
    <n v="42"/>
    <x v="4"/>
    <s v="Male"/>
    <s v="Delhi"/>
    <n v="1800000"/>
    <n v="71"/>
    <x v="3"/>
    <n v="30"/>
    <n v="5700"/>
    <n v="209"/>
    <m/>
    <s v="Online"/>
    <s v="Higher"/>
  </r>
  <r>
    <s v="CUST103252"/>
    <n v="27"/>
    <x v="3"/>
    <s v="Female"/>
    <s v="Pune"/>
    <n v="1225000"/>
    <n v="73"/>
    <x v="3"/>
    <n v="16"/>
    <n v="6000"/>
    <n v="50"/>
    <s v="Platinum"/>
    <m/>
    <s v="Higher"/>
  </r>
  <r>
    <s v="CUST103253"/>
    <n v="38"/>
    <x v="4"/>
    <s v="Male"/>
    <m/>
    <n v="900000"/>
    <n v="65"/>
    <x v="0"/>
    <n v="5"/>
    <n v="6600"/>
    <n v="61"/>
    <s v="Silver"/>
    <s v="Website"/>
    <s v="Higher"/>
  </r>
  <r>
    <s v="CUST103254"/>
    <n v="63"/>
    <x v="0"/>
    <s v="Male"/>
    <s v="Ahmedabad"/>
    <n v="1200000"/>
    <n v="80"/>
    <x v="3"/>
    <n v="29"/>
    <n v="8800"/>
    <n v="243"/>
    <m/>
    <s v="In-store"/>
    <s v="Higher"/>
  </r>
  <r>
    <s v="CUST103255"/>
    <n v="56"/>
    <x v="0"/>
    <s v="Male"/>
    <m/>
    <s v="unknown"/>
    <n v="18"/>
    <x v="2"/>
    <n v="47"/>
    <n v="4800"/>
    <n v="269"/>
    <m/>
    <s v="Online"/>
    <s v="Higher"/>
  </r>
  <r>
    <s v="CUST103256"/>
    <n v="44"/>
    <x v="4"/>
    <s v="Female"/>
    <m/>
    <n v="1325000"/>
    <n v="54"/>
    <x v="0"/>
    <n v="22"/>
    <n v="8600"/>
    <n v="140"/>
    <s v="Gold"/>
    <s v="Website"/>
    <s v="Higher"/>
  </r>
  <r>
    <s v="CUST103257"/>
    <n v="44"/>
    <x v="4"/>
    <m/>
    <s v="Ahmedabad"/>
    <n v="1650000"/>
    <n v="47"/>
    <x v="0"/>
    <n v="78"/>
    <n v="2400"/>
    <n v="157"/>
    <s v="Bronze"/>
    <m/>
    <s v="Lower"/>
  </r>
  <r>
    <s v="CUST103258"/>
    <n v="19"/>
    <x v="6"/>
    <s v="Female"/>
    <s v="Bengaluru"/>
    <m/>
    <n v="6"/>
    <x v="2"/>
    <n v="57"/>
    <n v="11800"/>
    <n v="85"/>
    <s v="Gold"/>
    <m/>
    <s v="Higher"/>
  </r>
  <r>
    <s v="CUST103259"/>
    <n v="58"/>
    <x v="0"/>
    <s v="Male"/>
    <s v="Ahmedabad"/>
    <n v="375000"/>
    <n v="66"/>
    <x v="0"/>
    <n v="35"/>
    <n v="6200"/>
    <n v="84"/>
    <m/>
    <s v="In-store"/>
    <s v="Higher"/>
  </r>
  <r>
    <s v="CUST103260"/>
    <n v="65"/>
    <x v="0"/>
    <s v="Male"/>
    <s v="Pune"/>
    <n v="850000"/>
    <n v="9"/>
    <x v="2"/>
    <n v="60"/>
    <n v="10600"/>
    <n v="276"/>
    <s v="Gold"/>
    <s v="Online"/>
    <s v="Higher"/>
  </r>
  <r>
    <s v="CUST103261"/>
    <n v="30"/>
    <x v="3"/>
    <s v="Male"/>
    <s v="Pune"/>
    <n v="1325000"/>
    <n v="68"/>
    <x v="3"/>
    <n v="70"/>
    <n v="1300"/>
    <n v="31"/>
    <s v="Platinum"/>
    <m/>
    <s v="Higher"/>
  </r>
  <r>
    <s v="CUST103262"/>
    <n v="26"/>
    <x v="3"/>
    <s v="Unknown"/>
    <s v="Pune"/>
    <n v="1675000"/>
    <n v="23"/>
    <x v="2"/>
    <n v="60"/>
    <n v="4900"/>
    <n v="8"/>
    <s v="Silver"/>
    <s v="In-store"/>
    <s v="Lower"/>
  </r>
  <r>
    <s v="CUST103263"/>
    <n v="69"/>
    <x v="1"/>
    <m/>
    <s v="Bengaluru"/>
    <n v="450000"/>
    <n v="43"/>
    <x v="0"/>
    <n v="58"/>
    <n v="3300"/>
    <n v="280"/>
    <m/>
    <s v="Website"/>
    <s v="Lower"/>
  </r>
  <r>
    <s v="CUST103264"/>
    <n v="53"/>
    <x v="2"/>
    <m/>
    <m/>
    <n v="1225000"/>
    <n v="51"/>
    <x v="0"/>
    <n v="3"/>
    <n v="11700"/>
    <n v="203"/>
    <s v="Platinum"/>
    <s v="Online"/>
    <s v="Lower"/>
  </r>
  <r>
    <s v="CUST103265"/>
    <n v="39"/>
    <x v="4"/>
    <s v="Male"/>
    <s v="Mumbai"/>
    <n v="1300000"/>
    <n v="72"/>
    <x v="3"/>
    <n v="34"/>
    <n v="10600"/>
    <n v="33"/>
    <s v="Silver"/>
    <m/>
    <s v="Higher"/>
  </r>
  <r>
    <s v="CUST103266"/>
    <n v="59"/>
    <x v="0"/>
    <m/>
    <s v="Chennai"/>
    <n v="1725000"/>
    <n v="25"/>
    <x v="2"/>
    <n v="45"/>
    <n v="7900"/>
    <n v="298"/>
    <s v="Platinum"/>
    <m/>
    <s v="Lower"/>
  </r>
  <r>
    <s v="CUST103267"/>
    <n v="43"/>
    <x v="4"/>
    <s v="Male"/>
    <m/>
    <n v="1450000"/>
    <n v="80"/>
    <x v="3"/>
    <n v="50"/>
    <n v="2000"/>
    <n v="143"/>
    <m/>
    <s v="Mobile App"/>
    <s v="Higher"/>
  </r>
  <r>
    <s v="CUST103268"/>
    <m/>
    <x v="5"/>
    <s v="Female"/>
    <s v="Pune"/>
    <s v="unknown"/>
    <n v="35"/>
    <x v="0"/>
    <n v="2"/>
    <n v="2400"/>
    <n v="350"/>
    <s v="Bronze"/>
    <s v="Online"/>
    <s v="Higher"/>
  </r>
  <r>
    <s v="CUST103269"/>
    <n v="29"/>
    <x v="3"/>
    <m/>
    <m/>
    <m/>
    <n v="17"/>
    <x v="2"/>
    <n v="15"/>
    <n v="5800"/>
    <n v="37"/>
    <s v="Bronze"/>
    <s v="Website"/>
    <s v="Lower"/>
  </r>
  <r>
    <s v="CUST103270"/>
    <n v="34"/>
    <x v="3"/>
    <m/>
    <s v="Delhi"/>
    <n v="1225000"/>
    <n v="18"/>
    <x v="2"/>
    <n v="37"/>
    <n v="1900"/>
    <n v="147"/>
    <s v="Bronze"/>
    <s v="Website"/>
    <s v="Lower"/>
  </r>
  <r>
    <s v="CUST103271"/>
    <n v="31"/>
    <x v="3"/>
    <s v="Male"/>
    <s v="Kolkata"/>
    <n v="825000"/>
    <n v="27"/>
    <x v="2"/>
    <n v="15"/>
    <n v="4000"/>
    <n v="228"/>
    <m/>
    <s v="Mobile App"/>
    <s v="Higher"/>
  </r>
  <r>
    <s v="CUST103272"/>
    <n v="31"/>
    <x v="3"/>
    <s v="Unknown"/>
    <s v="Kolkata"/>
    <n v="175000"/>
    <n v="15"/>
    <x v="2"/>
    <n v="60"/>
    <n v="2700"/>
    <n v="34"/>
    <m/>
    <s v="Website"/>
    <s v="Lower"/>
  </r>
  <r>
    <s v="CUST103273"/>
    <n v="51"/>
    <x v="2"/>
    <s v="Male"/>
    <s v="Chennai"/>
    <n v="1550000"/>
    <n v="81"/>
    <x v="3"/>
    <n v="64"/>
    <n v="3400"/>
    <n v="237"/>
    <m/>
    <s v="Online"/>
    <s v="Higher"/>
  </r>
  <r>
    <s v="CUST103274"/>
    <m/>
    <x v="5"/>
    <s v="Female"/>
    <s v="Chennai"/>
    <n v="1550000"/>
    <n v="69"/>
    <x v="3"/>
    <m/>
    <n v="1700"/>
    <n v="212"/>
    <m/>
    <m/>
    <s v="Higher"/>
  </r>
  <r>
    <s v="CUST103275"/>
    <n v="37"/>
    <x v="4"/>
    <s v="Male"/>
    <s v="Mumbai"/>
    <n v="975000"/>
    <n v="80"/>
    <x v="3"/>
    <n v="52"/>
    <n v="1500"/>
    <n v="309"/>
    <s v="Bronze"/>
    <s v="In-store"/>
    <s v="Higher"/>
  </r>
  <r>
    <s v="CUST103276"/>
    <n v="28"/>
    <x v="3"/>
    <s v="Male"/>
    <s v="Delhi"/>
    <n v="1575000"/>
    <n v="15"/>
    <x v="2"/>
    <n v="23"/>
    <n v="6000"/>
    <n v="140"/>
    <s v="Bronze"/>
    <m/>
    <s v="Higher"/>
  </r>
  <r>
    <s v="CUST103277"/>
    <n v="33"/>
    <x v="3"/>
    <s v="Female"/>
    <m/>
    <n v="1425000"/>
    <n v="42"/>
    <x v="0"/>
    <n v="37"/>
    <n v="9200"/>
    <n v="190"/>
    <s v="Silver"/>
    <m/>
    <s v="Higher"/>
  </r>
  <r>
    <s v="CUST103278"/>
    <n v="68"/>
    <x v="1"/>
    <s v="Female"/>
    <m/>
    <n v="850000"/>
    <n v="34"/>
    <x v="0"/>
    <n v="41"/>
    <n v="5200"/>
    <n v="96"/>
    <s v="Silver"/>
    <s v="Online"/>
    <s v="Higher"/>
  </r>
  <r>
    <s v="CUST103279"/>
    <n v="48"/>
    <x v="2"/>
    <m/>
    <s v="Ahmedabad"/>
    <n v="1000000"/>
    <n v="48"/>
    <x v="0"/>
    <n v="57"/>
    <n v="1300"/>
    <n v="194"/>
    <s v="Gold"/>
    <s v="Website"/>
    <s v="Lower"/>
  </r>
  <r>
    <s v="CUST103280"/>
    <s v="NA"/>
    <x v="5"/>
    <m/>
    <s v="Ahmedabad"/>
    <m/>
    <n v="83"/>
    <x v="3"/>
    <n v="25"/>
    <n v="1500"/>
    <n v="361"/>
    <s v="Platinum"/>
    <s v="Mobile App"/>
    <s v="Lower"/>
  </r>
  <r>
    <s v="CUST103281"/>
    <n v="23"/>
    <x v="6"/>
    <s v="Male"/>
    <m/>
    <n v="1325000"/>
    <n v="8"/>
    <x v="2"/>
    <n v="37"/>
    <n v="9900"/>
    <n v="304"/>
    <s v="Silver"/>
    <s v="Mobile App"/>
    <s v="Higher"/>
  </r>
  <r>
    <s v="CUST103282"/>
    <n v="36"/>
    <x v="4"/>
    <s v="Female"/>
    <s v="Kolkata"/>
    <n v="950000"/>
    <n v="10"/>
    <x v="2"/>
    <n v="40"/>
    <n v="5200"/>
    <n v="296"/>
    <s v="Silver"/>
    <m/>
    <s v="Higher"/>
  </r>
  <r>
    <s v="CUST103283"/>
    <n v="54"/>
    <x v="2"/>
    <s v="Male"/>
    <m/>
    <m/>
    <n v="5"/>
    <x v="2"/>
    <n v="46"/>
    <n v="10300"/>
    <n v="152"/>
    <s v="Silver"/>
    <s v="Mobile App"/>
    <s v="Higher"/>
  </r>
  <r>
    <s v="CUST103284"/>
    <n v="21"/>
    <x v="6"/>
    <s v="Male"/>
    <m/>
    <n v="1950000"/>
    <n v="48"/>
    <x v="0"/>
    <n v="60"/>
    <n v="4000"/>
    <n v="223"/>
    <s v="Silver"/>
    <s v="Mobile App"/>
    <s v="Higher"/>
  </r>
  <r>
    <s v="CUST103285"/>
    <n v="64"/>
    <x v="0"/>
    <s v="Male"/>
    <s v="Delhi"/>
    <n v="350000"/>
    <n v="26"/>
    <x v="2"/>
    <n v="19"/>
    <n v="300"/>
    <n v="196"/>
    <m/>
    <s v="Website"/>
    <s v="Higher"/>
  </r>
  <r>
    <s v="CUST103286"/>
    <n v="21"/>
    <x v="6"/>
    <s v="Male"/>
    <s v="Pune"/>
    <n v="1325000"/>
    <n v="86"/>
    <x v="3"/>
    <n v="9"/>
    <n v="4100"/>
    <n v="88"/>
    <s v="Gold"/>
    <s v="In-store"/>
    <s v="Higher"/>
  </r>
  <r>
    <s v="CUST103287"/>
    <n v="37"/>
    <x v="4"/>
    <m/>
    <s v="Bengaluru"/>
    <n v="1800000"/>
    <n v="23"/>
    <x v="2"/>
    <n v="69"/>
    <n v="2900"/>
    <n v="299"/>
    <s v="Silver"/>
    <s v="In-store"/>
    <s v="Lower"/>
  </r>
  <r>
    <s v="CUST103288"/>
    <n v="27"/>
    <x v="3"/>
    <s v="Female"/>
    <s v="Pune"/>
    <n v="1025000"/>
    <n v="62"/>
    <x v="0"/>
    <n v="5"/>
    <n v="3800"/>
    <n v="17"/>
    <m/>
    <s v="Website"/>
    <s v="Higher"/>
  </r>
  <r>
    <s v="CUST103289"/>
    <n v="41"/>
    <x v="4"/>
    <s v="Male"/>
    <s v="Bengaluru"/>
    <n v="1900000"/>
    <n v="13"/>
    <x v="2"/>
    <n v="26"/>
    <n v="3400"/>
    <n v="211"/>
    <s v="Platinum"/>
    <s v="Mobile App"/>
    <s v="Higher"/>
  </r>
  <r>
    <s v="CUST103290"/>
    <m/>
    <x v="5"/>
    <s v="Unknown"/>
    <s v="Ahmedabad"/>
    <n v="1225000"/>
    <n v="9"/>
    <x v="2"/>
    <n v="19"/>
    <n v="4300"/>
    <n v="232"/>
    <s v="Silver"/>
    <s v="Online"/>
    <s v="Lower"/>
  </r>
  <r>
    <s v="CUST103291"/>
    <n v="52"/>
    <x v="2"/>
    <m/>
    <s v="Chennai"/>
    <n v="1625000"/>
    <n v="20"/>
    <x v="2"/>
    <n v="30"/>
    <n v="1700"/>
    <n v="358"/>
    <m/>
    <m/>
    <s v="Lower"/>
  </r>
  <r>
    <s v="CUST103292"/>
    <n v="43"/>
    <x v="4"/>
    <s v="Unknown"/>
    <m/>
    <n v="1700000"/>
    <n v="92"/>
    <x v="3"/>
    <n v="48"/>
    <n v="3300"/>
    <n v="183"/>
    <m/>
    <m/>
    <s v="Lower"/>
  </r>
  <r>
    <s v="CUST103293"/>
    <n v="54"/>
    <x v="2"/>
    <m/>
    <s v="Pune"/>
    <n v="250000"/>
    <n v="57"/>
    <x v="0"/>
    <n v="16"/>
    <n v="800"/>
    <n v="162"/>
    <s v="Bronze"/>
    <s v="In-store"/>
    <s v="Lower"/>
  </r>
  <r>
    <s v="CUST103294"/>
    <n v="55"/>
    <x v="0"/>
    <s v="Female"/>
    <m/>
    <m/>
    <m/>
    <x v="1"/>
    <n v="71"/>
    <n v="9100"/>
    <n v="70"/>
    <s v="Bronze"/>
    <s v="Website"/>
    <s v="Higher"/>
  </r>
  <r>
    <s v="CUST103295"/>
    <n v="38"/>
    <x v="4"/>
    <m/>
    <s v="Delhi"/>
    <n v="1125000"/>
    <n v="24"/>
    <x v="2"/>
    <n v="18"/>
    <n v="11500"/>
    <n v="60"/>
    <s v="Gold"/>
    <s v="Online"/>
    <s v="Lower"/>
  </r>
  <r>
    <s v="CUST103296"/>
    <m/>
    <x v="5"/>
    <m/>
    <s v="Delhi"/>
    <n v="600000"/>
    <n v="33"/>
    <x v="2"/>
    <n v="56"/>
    <n v="5400"/>
    <n v="179"/>
    <s v="Bronze"/>
    <s v="Mobile App"/>
    <s v="Lower"/>
  </r>
  <r>
    <s v="CUST103297"/>
    <n v="57"/>
    <x v="0"/>
    <s v="Male"/>
    <s v="Kolkata"/>
    <n v="1300000"/>
    <n v="20"/>
    <x v="2"/>
    <n v="21"/>
    <n v="8400"/>
    <n v="77"/>
    <s v="Silver"/>
    <s v="Website"/>
    <s v="Higher"/>
  </r>
  <r>
    <s v="CUST103298"/>
    <n v="56"/>
    <x v="0"/>
    <s v="Female"/>
    <s v="Delhi"/>
    <n v="1750000"/>
    <n v="60"/>
    <x v="0"/>
    <n v="31"/>
    <n v="2400"/>
    <n v="35"/>
    <m/>
    <s v="In-store"/>
    <s v="Higher"/>
  </r>
  <r>
    <s v="CUST103299"/>
    <n v="38"/>
    <x v="4"/>
    <s v="Female"/>
    <s v="Delhi"/>
    <n v="1800000"/>
    <n v="48"/>
    <x v="0"/>
    <n v="1"/>
    <n v="3300"/>
    <n v="16"/>
    <s v="Gold"/>
    <s v="Online"/>
    <s v="Higher"/>
  </r>
  <r>
    <s v="CUST103300"/>
    <n v="27"/>
    <x v="3"/>
    <s v="Unknown"/>
    <s v="Chennai"/>
    <n v="575000"/>
    <n v="64"/>
    <x v="0"/>
    <n v="3"/>
    <n v="10200"/>
    <n v="294"/>
    <m/>
    <s v="Online"/>
    <s v="Lower"/>
  </r>
  <r>
    <s v="CUST103301"/>
    <n v="55"/>
    <x v="0"/>
    <m/>
    <m/>
    <n v="1375000"/>
    <n v="30"/>
    <x v="2"/>
    <n v="25"/>
    <n v="7500"/>
    <n v="171"/>
    <s v="Silver"/>
    <s v="In-store"/>
    <s v="Lower"/>
  </r>
  <r>
    <s v="CUST103302"/>
    <n v="63"/>
    <x v="0"/>
    <s v="Male"/>
    <s v="Ahmedabad"/>
    <n v="875000"/>
    <n v="73"/>
    <x v="3"/>
    <n v="8"/>
    <n v="4800"/>
    <n v="32"/>
    <s v="Bronze"/>
    <s v="Online"/>
    <s v="Higher"/>
  </r>
  <r>
    <s v="CUST103303"/>
    <n v="21"/>
    <x v="6"/>
    <s v="Female"/>
    <s v="Delhi"/>
    <n v="1775000"/>
    <n v="17"/>
    <x v="2"/>
    <n v="65"/>
    <n v="6900"/>
    <n v="263"/>
    <s v="Platinum"/>
    <m/>
    <s v="Higher"/>
  </r>
  <r>
    <s v="CUST103304"/>
    <n v="62"/>
    <x v="0"/>
    <m/>
    <s v="Ahmedabad"/>
    <n v="250000"/>
    <n v="100"/>
    <x v="3"/>
    <n v="62"/>
    <n v="9900"/>
    <n v="215"/>
    <s v="Silver"/>
    <s v="In-store"/>
    <s v="Lower"/>
  </r>
  <r>
    <s v="CUST103305"/>
    <n v="37"/>
    <x v="4"/>
    <s v="Female"/>
    <s v="Chennai"/>
    <n v="1175000"/>
    <n v="14"/>
    <x v="2"/>
    <n v="7"/>
    <n v="9300"/>
    <n v="46"/>
    <s v="Platinum"/>
    <m/>
    <s v="Higher"/>
  </r>
  <r>
    <s v="CUST103306"/>
    <n v="34"/>
    <x v="3"/>
    <s v="Male"/>
    <s v="Delhi"/>
    <n v="250000"/>
    <n v="19"/>
    <x v="2"/>
    <n v="7"/>
    <n v="4500"/>
    <n v="189"/>
    <m/>
    <s v="Website"/>
    <s v="Higher"/>
  </r>
  <r>
    <s v="CUST103307"/>
    <s v="NA"/>
    <x v="5"/>
    <m/>
    <m/>
    <n v="1375000"/>
    <n v="71"/>
    <x v="3"/>
    <n v="8"/>
    <n v="300"/>
    <n v="274"/>
    <s v="Platinum"/>
    <m/>
    <s v="Lower"/>
  </r>
  <r>
    <s v="CUST103308"/>
    <n v="24"/>
    <x v="6"/>
    <s v="Female"/>
    <s v="Kolkata"/>
    <n v="1575000"/>
    <n v="59"/>
    <x v="0"/>
    <n v="19"/>
    <n v="4600"/>
    <n v="71"/>
    <m/>
    <s v="Mobile App"/>
    <s v="Higher"/>
  </r>
  <r>
    <s v="CUST103309"/>
    <n v="21"/>
    <x v="6"/>
    <m/>
    <s v="Pune"/>
    <n v="325000"/>
    <n v="67"/>
    <x v="3"/>
    <n v="17"/>
    <n v="5900"/>
    <n v="296"/>
    <s v="Gold"/>
    <s v="Website"/>
    <s v="Lower"/>
  </r>
  <r>
    <s v="CUST103310"/>
    <n v="46"/>
    <x v="2"/>
    <m/>
    <m/>
    <n v="900000"/>
    <n v="97"/>
    <x v="3"/>
    <n v="11"/>
    <n v="1100"/>
    <n v="88"/>
    <m/>
    <m/>
    <s v="Lower"/>
  </r>
  <r>
    <s v="CUST103311"/>
    <n v="31"/>
    <x v="3"/>
    <m/>
    <s v="Hyderabad"/>
    <n v="425000"/>
    <n v="44"/>
    <x v="0"/>
    <n v="49"/>
    <n v="700"/>
    <n v="334"/>
    <s v="Bronze"/>
    <s v="Mobile App"/>
    <s v="Lower"/>
  </r>
  <r>
    <s v="CUST103312"/>
    <n v="20"/>
    <x v="6"/>
    <s v="Male"/>
    <s v="Mumbai"/>
    <n v="650000"/>
    <n v="32"/>
    <x v="2"/>
    <n v="11"/>
    <n v="8100"/>
    <n v="261"/>
    <s v="Bronze"/>
    <s v="Mobile App"/>
    <s v="Higher"/>
  </r>
  <r>
    <s v="CUST103313"/>
    <n v="41"/>
    <x v="4"/>
    <s v="Male"/>
    <s v="Delhi"/>
    <n v="1675000"/>
    <n v="11"/>
    <x v="2"/>
    <n v="41"/>
    <n v="11600"/>
    <n v="182"/>
    <s v="Silver"/>
    <m/>
    <s v="Higher"/>
  </r>
  <r>
    <s v="CUST103314"/>
    <n v="54"/>
    <x v="2"/>
    <m/>
    <s v="Ahmedabad"/>
    <n v="950000"/>
    <n v="2"/>
    <x v="2"/>
    <n v="62"/>
    <n v="1100"/>
    <n v="342"/>
    <s v="Bronze"/>
    <m/>
    <s v="Lower"/>
  </r>
  <r>
    <s v="CUST103315"/>
    <n v="33"/>
    <x v="3"/>
    <s v="Male"/>
    <s v="Mumbai"/>
    <n v="775000"/>
    <n v="90"/>
    <x v="3"/>
    <n v="52"/>
    <n v="4700"/>
    <n v="22"/>
    <s v="Gold"/>
    <s v="In-store"/>
    <s v="Higher"/>
  </r>
  <r>
    <s v="CUST103316"/>
    <s v="NA"/>
    <x v="5"/>
    <s v="Female"/>
    <s v="Bengaluru"/>
    <n v="1125000"/>
    <n v="68"/>
    <x v="3"/>
    <n v="66"/>
    <n v="9400"/>
    <n v="74"/>
    <s v="Bronze"/>
    <m/>
    <s v="Higher"/>
  </r>
  <r>
    <s v="CUST103317"/>
    <n v="69"/>
    <x v="1"/>
    <s v="Female"/>
    <s v="Delhi"/>
    <n v="1750000"/>
    <n v="17"/>
    <x v="2"/>
    <n v="68"/>
    <n v="7900"/>
    <n v="90"/>
    <s v="Silver"/>
    <m/>
    <s v="Higher"/>
  </r>
  <r>
    <s v="CUST103318"/>
    <n v="21"/>
    <x v="6"/>
    <s v="Female"/>
    <s v="Hyderabad"/>
    <n v="1600000"/>
    <n v="81"/>
    <x v="3"/>
    <n v="75"/>
    <n v="2600"/>
    <n v="335"/>
    <s v="Bronze"/>
    <s v="Mobile App"/>
    <s v="Higher"/>
  </r>
  <r>
    <s v="CUST103319"/>
    <n v="41"/>
    <x v="4"/>
    <s v="Male"/>
    <s v="Chennai"/>
    <n v="500000"/>
    <n v="92"/>
    <x v="3"/>
    <n v="67"/>
    <n v="11100"/>
    <n v="166"/>
    <m/>
    <s v="Mobile App"/>
    <s v="Higher"/>
  </r>
  <r>
    <s v="CUST103320"/>
    <n v="51"/>
    <x v="2"/>
    <s v="Male"/>
    <s v="Kolkata"/>
    <n v="150000"/>
    <n v="94"/>
    <x v="3"/>
    <n v="40"/>
    <n v="7600"/>
    <n v="234"/>
    <m/>
    <s v="Website"/>
    <s v="Higher"/>
  </r>
  <r>
    <s v="CUST103321"/>
    <n v="47"/>
    <x v="2"/>
    <s v="Male"/>
    <s v="Hyderabad"/>
    <n v="400000"/>
    <n v="40"/>
    <x v="0"/>
    <n v="5"/>
    <n v="4400"/>
    <n v="129"/>
    <s v="Platinum"/>
    <m/>
    <s v="Higher"/>
  </r>
  <r>
    <s v="CUST103322"/>
    <n v="35"/>
    <x v="4"/>
    <s v="Unknown"/>
    <s v="Ahmedabad"/>
    <n v="1500000"/>
    <n v="87"/>
    <x v="3"/>
    <n v="22"/>
    <n v="2400"/>
    <n v="334"/>
    <s v="Platinum"/>
    <m/>
    <s v="Lower"/>
  </r>
  <r>
    <s v="CUST103323"/>
    <n v="36"/>
    <x v="4"/>
    <s v="Unknown"/>
    <s v="Chennai"/>
    <n v="175000"/>
    <n v="46"/>
    <x v="0"/>
    <n v="37"/>
    <n v="10500"/>
    <n v="292"/>
    <m/>
    <s v="Mobile App"/>
    <s v="Lower"/>
  </r>
  <r>
    <s v="CUST103324"/>
    <n v="48"/>
    <x v="2"/>
    <m/>
    <s v="Pune"/>
    <n v="1750000"/>
    <n v="88"/>
    <x v="3"/>
    <n v="11"/>
    <n v="6200"/>
    <n v="95"/>
    <s v="Platinum"/>
    <m/>
    <s v="Lower"/>
  </r>
  <r>
    <s v="CUST103325"/>
    <n v="36"/>
    <x v="4"/>
    <s v="Unknown"/>
    <s v="Chennai"/>
    <n v="1225000"/>
    <n v="93"/>
    <x v="3"/>
    <n v="44"/>
    <n v="8800"/>
    <n v="28"/>
    <m/>
    <s v="Website"/>
    <s v="Lower"/>
  </r>
  <r>
    <s v="CUST103326"/>
    <n v="66"/>
    <x v="1"/>
    <m/>
    <s v="Delhi"/>
    <n v="525000"/>
    <n v="4"/>
    <x v="2"/>
    <n v="53"/>
    <n v="3900"/>
    <n v="354"/>
    <s v="Gold"/>
    <s v="In-store"/>
    <s v="Lower"/>
  </r>
  <r>
    <s v="CUST103327"/>
    <n v="63"/>
    <x v="0"/>
    <m/>
    <s v="Mumbai"/>
    <n v="675000"/>
    <n v="38"/>
    <x v="0"/>
    <n v="77"/>
    <n v="11800"/>
    <n v="35"/>
    <s v="Silver"/>
    <s v="Mobile App"/>
    <s v="Lower"/>
  </r>
  <r>
    <s v="CUST103328"/>
    <n v="36"/>
    <x v="4"/>
    <s v="Male"/>
    <s v="Mumbai"/>
    <n v="575000"/>
    <n v="63"/>
    <x v="0"/>
    <n v="61"/>
    <n v="4100"/>
    <n v="231"/>
    <m/>
    <s v="Online"/>
    <s v="Higher"/>
  </r>
  <r>
    <s v="CUST103329"/>
    <n v="39"/>
    <x v="4"/>
    <m/>
    <s v="Ahmedabad"/>
    <n v="1300000"/>
    <n v="29"/>
    <x v="2"/>
    <n v="67"/>
    <n v="8600"/>
    <n v="318"/>
    <s v="Silver"/>
    <s v="Mobile App"/>
    <s v="Lower"/>
  </r>
  <r>
    <s v="CUST103330"/>
    <n v="41"/>
    <x v="4"/>
    <s v="Female"/>
    <s v="Chennai"/>
    <n v="875000"/>
    <n v="19"/>
    <x v="2"/>
    <n v="13"/>
    <n v="7600"/>
    <n v="343"/>
    <s v="Gold"/>
    <s v="Mobile App"/>
    <s v="Higher"/>
  </r>
  <r>
    <s v="CUST103331"/>
    <n v="62"/>
    <x v="0"/>
    <s v="Female"/>
    <s v="Hyderabad"/>
    <n v="375000"/>
    <n v="91"/>
    <x v="3"/>
    <n v="11"/>
    <n v="7600"/>
    <n v="364"/>
    <m/>
    <s v="In-store"/>
    <s v="Higher"/>
  </r>
  <r>
    <s v="CUST103332"/>
    <n v="29"/>
    <x v="3"/>
    <s v="Male"/>
    <s v="Ahmedabad"/>
    <n v="1575000"/>
    <n v="29"/>
    <x v="2"/>
    <n v="11"/>
    <n v="9200"/>
    <n v="125"/>
    <s v="Bronze"/>
    <m/>
    <s v="Higher"/>
  </r>
  <r>
    <s v="CUST103333"/>
    <n v="47"/>
    <x v="2"/>
    <s v="Female"/>
    <s v="Kolkata"/>
    <n v="1675000"/>
    <n v="100"/>
    <x v="3"/>
    <n v="7"/>
    <n v="9100"/>
    <n v="79"/>
    <s v="Gold"/>
    <m/>
    <s v="Higher"/>
  </r>
  <r>
    <s v="CUST103334"/>
    <n v="55"/>
    <x v="0"/>
    <s v="Female"/>
    <s v="Ahmedabad"/>
    <n v="275000"/>
    <n v="35"/>
    <x v="0"/>
    <n v="17"/>
    <n v="5500"/>
    <n v="61"/>
    <s v="Platinum"/>
    <s v="Online"/>
    <s v="Higher"/>
  </r>
  <r>
    <s v="CUST103335"/>
    <m/>
    <x v="5"/>
    <m/>
    <s v="Ahmedabad"/>
    <n v="1800000"/>
    <n v="70"/>
    <x v="3"/>
    <n v="48"/>
    <n v="3000"/>
    <n v="217"/>
    <m/>
    <s v="Online"/>
    <s v="Lower"/>
  </r>
  <r>
    <s v="CUST103336"/>
    <n v="48"/>
    <x v="2"/>
    <s v="Male"/>
    <s v="Pune"/>
    <n v="1150000"/>
    <n v="23"/>
    <x v="2"/>
    <n v="14"/>
    <n v="7900"/>
    <n v="282"/>
    <s v="Gold"/>
    <s v="Online"/>
    <s v="Higher"/>
  </r>
  <r>
    <s v="CUST103337"/>
    <n v="53"/>
    <x v="2"/>
    <s v="Male"/>
    <m/>
    <n v="1200000"/>
    <n v="46"/>
    <x v="0"/>
    <n v="63"/>
    <n v="1700"/>
    <n v="163"/>
    <s v="Gold"/>
    <m/>
    <s v="Higher"/>
  </r>
  <r>
    <s v="CUST103338"/>
    <n v="36"/>
    <x v="4"/>
    <s v="Male"/>
    <s v="Delhi"/>
    <s v="unknown"/>
    <n v="44"/>
    <x v="0"/>
    <n v="64"/>
    <n v="6200"/>
    <n v="57"/>
    <m/>
    <s v="In-store"/>
    <s v="Higher"/>
  </r>
  <r>
    <s v="CUST103339"/>
    <n v="65"/>
    <x v="0"/>
    <s v="Male"/>
    <s v="Pune"/>
    <n v="575000"/>
    <n v="48"/>
    <x v="0"/>
    <n v="75"/>
    <n v="6200"/>
    <n v="191"/>
    <s v="Platinum"/>
    <m/>
    <s v="Higher"/>
  </r>
  <r>
    <s v="CUST103340"/>
    <n v="62"/>
    <x v="0"/>
    <s v="Female"/>
    <s v="Mumbai"/>
    <n v="1575000"/>
    <n v="52"/>
    <x v="0"/>
    <n v="77"/>
    <n v="800"/>
    <n v="132"/>
    <m/>
    <s v="Online"/>
    <s v="Higher"/>
  </r>
  <r>
    <s v="CUST103341"/>
    <n v="53"/>
    <x v="2"/>
    <s v="Male"/>
    <s v="Mumbai"/>
    <n v="1625000"/>
    <n v="8"/>
    <x v="2"/>
    <n v="65"/>
    <n v="5400"/>
    <n v="42"/>
    <s v="Platinum"/>
    <m/>
    <s v="Higher"/>
  </r>
  <r>
    <s v="CUST103342"/>
    <n v="47"/>
    <x v="2"/>
    <s v="Unknown"/>
    <s v="Bengaluru"/>
    <n v="800000"/>
    <n v="55"/>
    <x v="0"/>
    <n v="34"/>
    <n v="1400"/>
    <n v="173"/>
    <s v="Gold"/>
    <s v="Website"/>
    <s v="Lower"/>
  </r>
  <r>
    <s v="CUST103343"/>
    <s v="NA"/>
    <x v="5"/>
    <s v="Male"/>
    <s v="Bengaluru"/>
    <n v="1825000"/>
    <n v="66"/>
    <x v="0"/>
    <n v="9"/>
    <n v="2100"/>
    <n v="167"/>
    <s v="Silver"/>
    <s v="In-store"/>
    <s v="Higher"/>
  </r>
  <r>
    <s v="CUST103344"/>
    <n v="66"/>
    <x v="1"/>
    <s v="Female"/>
    <s v="Hyderabad"/>
    <n v="675000"/>
    <n v="77"/>
    <x v="3"/>
    <n v="77"/>
    <n v="9800"/>
    <n v="250"/>
    <m/>
    <m/>
    <s v="Higher"/>
  </r>
  <r>
    <s v="CUST103345"/>
    <s v="NA"/>
    <x v="5"/>
    <m/>
    <s v="Mumbai"/>
    <n v="725000"/>
    <n v="40"/>
    <x v="0"/>
    <n v="37"/>
    <n v="7700"/>
    <n v="193"/>
    <m/>
    <m/>
    <s v="Lower"/>
  </r>
  <r>
    <s v="CUST103346"/>
    <n v="50"/>
    <x v="2"/>
    <s v="Male"/>
    <m/>
    <n v="1125000"/>
    <n v="85"/>
    <x v="3"/>
    <n v="30"/>
    <n v="10400"/>
    <n v="278"/>
    <s v="Gold"/>
    <m/>
    <s v="Higher"/>
  </r>
  <r>
    <s v="CUST103347"/>
    <n v="35"/>
    <x v="4"/>
    <s v="Female"/>
    <s v="Pune"/>
    <n v="1975000"/>
    <n v="31"/>
    <x v="2"/>
    <n v="41"/>
    <n v="9900"/>
    <n v="238"/>
    <m/>
    <s v="Online"/>
    <s v="Higher"/>
  </r>
  <r>
    <s v="CUST103348"/>
    <n v="69"/>
    <x v="1"/>
    <s v="Male"/>
    <s v="Kolkata"/>
    <n v="1775000"/>
    <n v="48"/>
    <x v="0"/>
    <n v="45"/>
    <n v="400"/>
    <n v="230"/>
    <m/>
    <s v="Online"/>
    <s v="Higher"/>
  </r>
  <r>
    <s v="CUST103349"/>
    <n v="66"/>
    <x v="1"/>
    <m/>
    <m/>
    <n v="1125000"/>
    <n v="100"/>
    <x v="3"/>
    <n v="47"/>
    <n v="5700"/>
    <n v="165"/>
    <m/>
    <m/>
    <s v="Lower"/>
  </r>
  <r>
    <s v="CUST103350"/>
    <n v="45"/>
    <x v="2"/>
    <m/>
    <s v="Bengaluru"/>
    <n v="275000"/>
    <n v="61"/>
    <x v="0"/>
    <n v="7"/>
    <n v="1700"/>
    <n v="243"/>
    <s v="Platinum"/>
    <m/>
    <s v="Lower"/>
  </r>
  <r>
    <s v="CUST103351"/>
    <n v="64"/>
    <x v="0"/>
    <s v="Female"/>
    <s v="Chennai"/>
    <n v="575000"/>
    <n v="52"/>
    <x v="0"/>
    <n v="14"/>
    <n v="6600"/>
    <n v="90"/>
    <s v="Bronze"/>
    <m/>
    <s v="Higher"/>
  </r>
  <r>
    <s v="CUST103352"/>
    <n v="28"/>
    <x v="3"/>
    <s v="Female"/>
    <m/>
    <n v="875000"/>
    <n v="38"/>
    <x v="0"/>
    <n v="48"/>
    <n v="10200"/>
    <n v="179"/>
    <m/>
    <s v="Website"/>
    <s v="Higher"/>
  </r>
  <r>
    <s v="CUST103353"/>
    <m/>
    <x v="5"/>
    <s v="Female"/>
    <m/>
    <n v="650000"/>
    <n v="91"/>
    <x v="3"/>
    <n v="6"/>
    <n v="7100"/>
    <n v="58"/>
    <m/>
    <s v="In-store"/>
    <s v="Higher"/>
  </r>
  <r>
    <s v="CUST103354"/>
    <n v="62"/>
    <x v="0"/>
    <s v="Unknown"/>
    <m/>
    <n v="1675000"/>
    <n v="36"/>
    <x v="0"/>
    <n v="34"/>
    <n v="1700"/>
    <n v="263"/>
    <m/>
    <m/>
    <s v="Lower"/>
  </r>
  <r>
    <s v="CUST103355"/>
    <n v="50"/>
    <x v="2"/>
    <s v="Female"/>
    <m/>
    <n v="375000"/>
    <n v="87"/>
    <x v="3"/>
    <m/>
    <n v="4500"/>
    <n v="136"/>
    <s v="Silver"/>
    <s v="Mobile App"/>
    <s v="Higher"/>
  </r>
  <r>
    <s v="CUST103356"/>
    <n v="34"/>
    <x v="3"/>
    <m/>
    <m/>
    <n v="450000"/>
    <n v="55"/>
    <x v="0"/>
    <n v="46"/>
    <n v="7600"/>
    <n v="238"/>
    <s v="Silver"/>
    <m/>
    <s v="Lower"/>
  </r>
  <r>
    <s v="CUST103357"/>
    <n v="23"/>
    <x v="6"/>
    <m/>
    <s v="Bengaluru"/>
    <m/>
    <n v="85"/>
    <x v="3"/>
    <n v="59"/>
    <n v="1900"/>
    <n v="307"/>
    <s v="Gold"/>
    <s v="Website"/>
    <s v="Lower"/>
  </r>
  <r>
    <s v="CUST103358"/>
    <n v="21"/>
    <x v="6"/>
    <s v="Female"/>
    <s v="Mumbai"/>
    <n v="350000"/>
    <n v="13"/>
    <x v="2"/>
    <n v="70"/>
    <n v="10000"/>
    <n v="243"/>
    <s v="Gold"/>
    <m/>
    <s v="Higher"/>
  </r>
  <r>
    <s v="CUST103359"/>
    <n v="37"/>
    <x v="4"/>
    <s v="Female"/>
    <s v="Ahmedabad"/>
    <n v="1825000"/>
    <n v="37"/>
    <x v="0"/>
    <n v="8"/>
    <n v="11800"/>
    <n v="151"/>
    <s v="Gold"/>
    <s v="Website"/>
    <s v="Higher"/>
  </r>
  <r>
    <s v="CUST103360"/>
    <n v="65"/>
    <x v="0"/>
    <s v="Male"/>
    <m/>
    <n v="1100000"/>
    <n v="47"/>
    <x v="0"/>
    <n v="24"/>
    <n v="2600"/>
    <n v="346"/>
    <m/>
    <m/>
    <s v="Higher"/>
  </r>
  <r>
    <s v="CUST103361"/>
    <n v="64"/>
    <x v="0"/>
    <s v="Male"/>
    <m/>
    <n v="725000"/>
    <n v="90"/>
    <x v="3"/>
    <n v="67"/>
    <n v="7600"/>
    <n v="364"/>
    <s v="Silver"/>
    <s v="Website"/>
    <s v="Higher"/>
  </r>
  <r>
    <s v="CUST103362"/>
    <n v="44"/>
    <x v="4"/>
    <s v="Male"/>
    <s v="Delhi"/>
    <n v="975000"/>
    <n v="71"/>
    <x v="3"/>
    <n v="4"/>
    <n v="11800"/>
    <n v="247"/>
    <s v="Gold"/>
    <s v="Online"/>
    <s v="Higher"/>
  </r>
  <r>
    <s v="CUST103363"/>
    <n v="32"/>
    <x v="3"/>
    <m/>
    <s v="Mumbai"/>
    <n v="1650000"/>
    <n v="22"/>
    <x v="2"/>
    <n v="1"/>
    <n v="3200"/>
    <n v="219"/>
    <s v="Silver"/>
    <m/>
    <s v="Lower"/>
  </r>
  <r>
    <s v="CUST103364"/>
    <n v="23"/>
    <x v="6"/>
    <m/>
    <s v="Ahmedabad"/>
    <n v="1150000"/>
    <n v="39"/>
    <x v="0"/>
    <n v="34"/>
    <n v="6900"/>
    <n v="9"/>
    <m/>
    <m/>
    <s v="Lower"/>
  </r>
  <r>
    <s v="CUST103365"/>
    <n v="64"/>
    <x v="0"/>
    <m/>
    <s v="Kolkata"/>
    <n v="250000"/>
    <n v="87"/>
    <x v="3"/>
    <n v="9"/>
    <n v="5300"/>
    <n v="294"/>
    <m/>
    <s v="In-store"/>
    <s v="Lower"/>
  </r>
  <r>
    <s v="CUST103366"/>
    <n v="31"/>
    <x v="3"/>
    <m/>
    <s v="Kolkata"/>
    <n v="1375000"/>
    <n v="58"/>
    <x v="0"/>
    <n v="63"/>
    <n v="6200"/>
    <n v="13"/>
    <m/>
    <s v="Online"/>
    <s v="Lower"/>
  </r>
  <r>
    <s v="CUST103367"/>
    <n v="28"/>
    <x v="3"/>
    <m/>
    <s v="Chennai"/>
    <n v="225000"/>
    <n v="30"/>
    <x v="2"/>
    <n v="76"/>
    <n v="10300"/>
    <n v="263"/>
    <s v="Gold"/>
    <s v="Website"/>
    <s v="Lower"/>
  </r>
  <r>
    <s v="CUST103368"/>
    <n v="56"/>
    <x v="0"/>
    <m/>
    <m/>
    <n v="1400000"/>
    <n v="18"/>
    <x v="2"/>
    <n v="10"/>
    <n v="500"/>
    <n v="225"/>
    <m/>
    <s v="In-store"/>
    <s v="Lower"/>
  </r>
  <r>
    <s v="CUST103369"/>
    <n v="26"/>
    <x v="3"/>
    <m/>
    <s v="Pune"/>
    <n v="1425000"/>
    <n v="18"/>
    <x v="2"/>
    <n v="10"/>
    <n v="10600"/>
    <n v="231"/>
    <m/>
    <s v="Online"/>
    <s v="Lower"/>
  </r>
  <r>
    <s v="CUST103370"/>
    <n v="43"/>
    <x v="4"/>
    <m/>
    <s v="Delhi"/>
    <n v="1100000"/>
    <n v="74"/>
    <x v="3"/>
    <n v="50"/>
    <n v="700"/>
    <n v="178"/>
    <s v="Silver"/>
    <s v="Mobile App"/>
    <s v="Lower"/>
  </r>
  <r>
    <s v="CUST103371"/>
    <n v="33"/>
    <x v="3"/>
    <s v="Female"/>
    <s v="Mumbai"/>
    <n v="325000"/>
    <n v="39"/>
    <x v="0"/>
    <n v="44"/>
    <n v="3000"/>
    <n v="247"/>
    <s v="Bronze"/>
    <m/>
    <s v="Higher"/>
  </r>
  <r>
    <s v="CUST103372"/>
    <n v="22"/>
    <x v="6"/>
    <s v="Female"/>
    <s v="Mumbai"/>
    <n v="1250000"/>
    <n v="94"/>
    <x v="3"/>
    <n v="48"/>
    <n v="11000"/>
    <n v="67"/>
    <s v="Platinum"/>
    <m/>
    <s v="Higher"/>
  </r>
  <r>
    <s v="CUST103373"/>
    <n v="69"/>
    <x v="1"/>
    <s v="Unknown"/>
    <m/>
    <n v="825000"/>
    <n v="26"/>
    <x v="2"/>
    <n v="6"/>
    <n v="8000"/>
    <n v="297"/>
    <s v="Gold"/>
    <s v="Website"/>
    <s v="Lower"/>
  </r>
  <r>
    <s v="CUST103374"/>
    <n v="27"/>
    <x v="3"/>
    <m/>
    <s v="Chennai"/>
    <n v="800000"/>
    <n v="71"/>
    <x v="3"/>
    <n v="24"/>
    <n v="10500"/>
    <n v="157"/>
    <s v="Bronze"/>
    <s v="Online"/>
    <s v="Lower"/>
  </r>
  <r>
    <s v="CUST103375"/>
    <n v="67"/>
    <x v="1"/>
    <s v="Male"/>
    <s v="Hyderabad"/>
    <n v="1750000"/>
    <n v="7"/>
    <x v="2"/>
    <n v="58"/>
    <n v="1300"/>
    <n v="165"/>
    <m/>
    <s v="Online"/>
    <s v="Higher"/>
  </r>
  <r>
    <s v="CUST103376"/>
    <n v="20"/>
    <x v="6"/>
    <s v="Male"/>
    <s v="Bengaluru"/>
    <n v="975000"/>
    <n v="69"/>
    <x v="3"/>
    <n v="64"/>
    <n v="7400"/>
    <n v="184"/>
    <s v="Gold"/>
    <s v="Website"/>
    <s v="Higher"/>
  </r>
  <r>
    <s v="CUST103377"/>
    <n v="30"/>
    <x v="3"/>
    <m/>
    <s v="Chennai"/>
    <n v="1675000"/>
    <n v="65"/>
    <x v="0"/>
    <n v="56"/>
    <n v="10300"/>
    <n v="208"/>
    <s v="Bronze"/>
    <s v="Mobile App"/>
    <s v="Lower"/>
  </r>
  <r>
    <s v="CUST103378"/>
    <n v="60"/>
    <x v="0"/>
    <s v="Unknown"/>
    <s v="Ahmedabad"/>
    <n v="1675000"/>
    <n v="46"/>
    <x v="0"/>
    <n v="12"/>
    <n v="7400"/>
    <n v="16"/>
    <m/>
    <m/>
    <s v="Lower"/>
  </r>
  <r>
    <s v="CUST103379"/>
    <n v="66"/>
    <x v="1"/>
    <s v="Male"/>
    <s v="Chennai"/>
    <n v="1075000"/>
    <n v="18"/>
    <x v="2"/>
    <n v="35"/>
    <n v="7800"/>
    <n v="300"/>
    <s v="Gold"/>
    <m/>
    <s v="Higher"/>
  </r>
  <r>
    <s v="CUST103380"/>
    <n v="47"/>
    <x v="2"/>
    <s v="Female"/>
    <m/>
    <n v="775000"/>
    <n v="13"/>
    <x v="2"/>
    <n v="71"/>
    <n v="1700"/>
    <n v="306"/>
    <s v="Bronze"/>
    <s v="Mobile App"/>
    <s v="Higher"/>
  </r>
  <r>
    <s v="CUST103381"/>
    <m/>
    <x v="5"/>
    <s v="Unknown"/>
    <m/>
    <n v="725000"/>
    <n v="25"/>
    <x v="2"/>
    <n v="6"/>
    <n v="8500"/>
    <n v="241"/>
    <s v="Platinum"/>
    <s v="Website"/>
    <s v="Lower"/>
  </r>
  <r>
    <s v="CUST103382"/>
    <n v="62"/>
    <x v="0"/>
    <s v="Unknown"/>
    <s v="Pune"/>
    <n v="1100000"/>
    <n v="8"/>
    <x v="2"/>
    <n v="65"/>
    <n v="5000"/>
    <n v="230"/>
    <m/>
    <m/>
    <s v="Lower"/>
  </r>
  <r>
    <s v="CUST103383"/>
    <n v="23"/>
    <x v="6"/>
    <s v="Female"/>
    <s v="Delhi"/>
    <n v="650000"/>
    <n v="74"/>
    <x v="3"/>
    <m/>
    <n v="4800"/>
    <n v="18"/>
    <s v="Gold"/>
    <s v="Online"/>
    <s v="Higher"/>
  </r>
  <r>
    <s v="CUST103384"/>
    <n v="34"/>
    <x v="3"/>
    <s v="Female"/>
    <m/>
    <n v="1300000"/>
    <n v="32"/>
    <x v="2"/>
    <n v="60"/>
    <n v="3000"/>
    <n v="147"/>
    <m/>
    <s v="Mobile App"/>
    <s v="Higher"/>
  </r>
  <r>
    <s v="CUST103385"/>
    <n v="62"/>
    <x v="0"/>
    <s v="Female"/>
    <s v="Kolkata"/>
    <n v="1325000"/>
    <n v="17"/>
    <x v="2"/>
    <n v="68"/>
    <n v="900"/>
    <n v="244"/>
    <m/>
    <s v="Mobile App"/>
    <s v="Higher"/>
  </r>
  <r>
    <s v="CUST103386"/>
    <n v="68"/>
    <x v="1"/>
    <m/>
    <m/>
    <n v="450000"/>
    <m/>
    <x v="1"/>
    <n v="29"/>
    <n v="10600"/>
    <n v="51"/>
    <s v="Gold"/>
    <m/>
    <s v="Lower"/>
  </r>
  <r>
    <s v="CUST103387"/>
    <m/>
    <x v="5"/>
    <s v="Unknown"/>
    <s v="Pune"/>
    <n v="200000"/>
    <n v="79"/>
    <x v="3"/>
    <n v="38"/>
    <n v="7300"/>
    <n v="259"/>
    <s v="Bronze"/>
    <m/>
    <s v="Lower"/>
  </r>
  <r>
    <s v="CUST103388"/>
    <n v="36"/>
    <x v="4"/>
    <m/>
    <s v="Bengaluru"/>
    <n v="925000"/>
    <n v="79"/>
    <x v="3"/>
    <n v="22"/>
    <n v="9600"/>
    <n v="238"/>
    <s v="Gold"/>
    <m/>
    <s v="Lower"/>
  </r>
  <r>
    <s v="CUST103389"/>
    <n v="59"/>
    <x v="0"/>
    <s v="Female"/>
    <s v="Kolkata"/>
    <n v="1000000"/>
    <n v="48"/>
    <x v="0"/>
    <n v="8"/>
    <n v="8400"/>
    <n v="246"/>
    <m/>
    <s v="Online"/>
    <s v="Higher"/>
  </r>
  <r>
    <s v="CUST103390"/>
    <n v="52"/>
    <x v="2"/>
    <s v="Unknown"/>
    <s v="Hyderabad"/>
    <n v="600000"/>
    <n v="63"/>
    <x v="0"/>
    <n v="63"/>
    <n v="9000"/>
    <n v="345"/>
    <s v="Silver"/>
    <s v="Mobile App"/>
    <s v="Lower"/>
  </r>
  <r>
    <s v="CUST103391"/>
    <n v="63"/>
    <x v="0"/>
    <m/>
    <s v="Mumbai"/>
    <n v="475000"/>
    <n v="40"/>
    <x v="0"/>
    <n v="13"/>
    <n v="800"/>
    <n v="310"/>
    <m/>
    <m/>
    <s v="Lower"/>
  </r>
  <r>
    <s v="CUST103392"/>
    <n v="43"/>
    <x v="4"/>
    <m/>
    <s v="Bengaluru"/>
    <n v="1325000"/>
    <n v="84"/>
    <x v="3"/>
    <n v="27"/>
    <n v="6000"/>
    <n v="49"/>
    <s v="Bronze"/>
    <s v="Mobile App"/>
    <s v="Lower"/>
  </r>
  <r>
    <s v="CUST103393"/>
    <n v="68"/>
    <x v="1"/>
    <m/>
    <s v="Hyderabad"/>
    <n v="1825000"/>
    <n v="15"/>
    <x v="2"/>
    <n v="18"/>
    <n v="11700"/>
    <n v="284"/>
    <s v="Platinum"/>
    <m/>
    <s v="Lower"/>
  </r>
  <r>
    <s v="CUST103394"/>
    <n v="22"/>
    <x v="6"/>
    <s v="Female"/>
    <s v="Kolkata"/>
    <n v="1250000"/>
    <n v="99"/>
    <x v="3"/>
    <n v="18"/>
    <n v="7000"/>
    <n v="38"/>
    <s v="Gold"/>
    <s v="Online"/>
    <s v="Higher"/>
  </r>
  <r>
    <s v="CUST103395"/>
    <n v="46"/>
    <x v="2"/>
    <m/>
    <s v="Bengaluru"/>
    <n v="600000"/>
    <n v="6"/>
    <x v="2"/>
    <n v="77"/>
    <n v="5700"/>
    <n v="284"/>
    <m/>
    <s v="Online"/>
    <s v="Lower"/>
  </r>
  <r>
    <s v="CUST103396"/>
    <n v="54"/>
    <x v="2"/>
    <s v="Unknown"/>
    <s v="Pune"/>
    <n v="1725000"/>
    <n v="94"/>
    <x v="3"/>
    <n v="62"/>
    <n v="6900"/>
    <n v="32"/>
    <s v="Gold"/>
    <s v="In-store"/>
    <s v="Lower"/>
  </r>
  <r>
    <s v="CUST103397"/>
    <n v="37"/>
    <x v="4"/>
    <s v="Female"/>
    <s v="Hyderabad"/>
    <n v="1775000"/>
    <n v="63"/>
    <x v="0"/>
    <n v="14"/>
    <n v="5100"/>
    <n v="243"/>
    <s v="Platinum"/>
    <m/>
    <s v="Higher"/>
  </r>
  <r>
    <s v="CUST103398"/>
    <n v="66"/>
    <x v="1"/>
    <s v="Female"/>
    <s v="Mumbai"/>
    <n v="1775000"/>
    <n v="8"/>
    <x v="2"/>
    <n v="11"/>
    <m/>
    <n v="41"/>
    <m/>
    <m/>
    <s v="Higher"/>
  </r>
  <r>
    <s v="CUST103399"/>
    <n v="38"/>
    <x v="4"/>
    <s v="Unknown"/>
    <m/>
    <m/>
    <n v="95"/>
    <x v="3"/>
    <n v="17"/>
    <n v="5300"/>
    <n v="292"/>
    <s v="Platinum"/>
    <m/>
    <s v="Lower"/>
  </r>
  <r>
    <s v="CUST103400"/>
    <n v="27"/>
    <x v="3"/>
    <s v="Unknown"/>
    <s v="Pune"/>
    <n v="1250000"/>
    <n v="32"/>
    <x v="2"/>
    <n v="51"/>
    <n v="6100"/>
    <n v="103"/>
    <m/>
    <m/>
    <s v="Lower"/>
  </r>
  <r>
    <s v="CUST103401"/>
    <n v="22"/>
    <x v="6"/>
    <s v="Unknown"/>
    <s v="Ahmedabad"/>
    <n v="1975000"/>
    <n v="45"/>
    <x v="0"/>
    <n v="14"/>
    <n v="11300"/>
    <n v="292"/>
    <s v="Silver"/>
    <s v="Website"/>
    <s v="Lower"/>
  </r>
  <r>
    <s v="CUST103402"/>
    <n v="53"/>
    <x v="2"/>
    <s v="Male"/>
    <s v="Mumbai"/>
    <n v="1800000"/>
    <n v="52"/>
    <x v="0"/>
    <n v="57"/>
    <n v="800"/>
    <n v="107"/>
    <m/>
    <s v="Mobile App"/>
    <s v="Higher"/>
  </r>
  <r>
    <s v="CUST103403"/>
    <n v="23"/>
    <x v="6"/>
    <m/>
    <s v="Delhi"/>
    <n v="1850000"/>
    <n v="79"/>
    <x v="3"/>
    <n v="6"/>
    <n v="9200"/>
    <n v="246"/>
    <m/>
    <s v="Online"/>
    <s v="Lower"/>
  </r>
  <r>
    <s v="CUST103404"/>
    <n v="43"/>
    <x v="4"/>
    <s v="Female"/>
    <s v="Chennai"/>
    <n v="200000"/>
    <n v="82"/>
    <x v="3"/>
    <n v="57"/>
    <n v="11000"/>
    <n v="87"/>
    <s v="Platinum"/>
    <s v="Mobile App"/>
    <s v="Higher"/>
  </r>
  <r>
    <s v="CUST103405"/>
    <n v="21"/>
    <x v="6"/>
    <m/>
    <s v="Delhi"/>
    <n v="1075000"/>
    <n v="13"/>
    <x v="2"/>
    <n v="4"/>
    <n v="5300"/>
    <n v="66"/>
    <s v="Bronze"/>
    <s v="Mobile App"/>
    <s v="Lower"/>
  </r>
  <r>
    <s v="CUST103406"/>
    <n v="56"/>
    <x v="0"/>
    <m/>
    <m/>
    <s v="unknown"/>
    <n v="24"/>
    <x v="2"/>
    <n v="11"/>
    <n v="4000"/>
    <n v="138"/>
    <m/>
    <s v="Website"/>
    <s v="Lower"/>
  </r>
  <r>
    <s v="CUST103407"/>
    <n v="56"/>
    <x v="0"/>
    <s v="Female"/>
    <m/>
    <n v="1175000"/>
    <n v="40"/>
    <x v="0"/>
    <n v="74"/>
    <n v="1300"/>
    <n v="326"/>
    <s v="Silver"/>
    <s v="Online"/>
    <s v="Higher"/>
  </r>
  <r>
    <s v="CUST103408"/>
    <n v="67"/>
    <x v="1"/>
    <s v="Male"/>
    <s v="Ahmedabad"/>
    <n v="1125000"/>
    <n v="14"/>
    <x v="2"/>
    <n v="11"/>
    <n v="5400"/>
    <n v="200"/>
    <s v="Gold"/>
    <s v="In-store"/>
    <s v="Higher"/>
  </r>
  <r>
    <s v="CUST103409"/>
    <n v="52"/>
    <x v="2"/>
    <s v="Unknown"/>
    <s v="Ahmedabad"/>
    <n v="1375000"/>
    <n v="92"/>
    <x v="3"/>
    <n v="79"/>
    <n v="9500"/>
    <n v="335"/>
    <s v="Silver"/>
    <m/>
    <s v="Lower"/>
  </r>
  <r>
    <s v="CUST103410"/>
    <n v="18"/>
    <x v="6"/>
    <s v="Female"/>
    <s v="Chennai"/>
    <n v="1000000"/>
    <n v="75"/>
    <x v="3"/>
    <n v="8"/>
    <n v="2200"/>
    <n v="93"/>
    <s v="Silver"/>
    <m/>
    <s v="Higher"/>
  </r>
  <r>
    <s v="CUST103411"/>
    <n v="41"/>
    <x v="4"/>
    <s v="Unknown"/>
    <s v="Hyderabad"/>
    <n v="725000"/>
    <n v="70"/>
    <x v="3"/>
    <n v="59"/>
    <n v="1200"/>
    <n v="348"/>
    <s v="Gold"/>
    <s v="Mobile App"/>
    <s v="Lower"/>
  </r>
  <r>
    <s v="CUST103412"/>
    <n v="53"/>
    <x v="2"/>
    <s v="Unknown"/>
    <s v="Chennai"/>
    <n v="550000"/>
    <n v="62"/>
    <x v="0"/>
    <n v="21"/>
    <n v="2800"/>
    <n v="278"/>
    <m/>
    <s v="Website"/>
    <s v="Lower"/>
  </r>
  <r>
    <s v="CUST103413"/>
    <n v="23"/>
    <x v="6"/>
    <s v="Male"/>
    <m/>
    <n v="1125000"/>
    <n v="89"/>
    <x v="3"/>
    <n v="65"/>
    <n v="5000"/>
    <n v="20"/>
    <s v="Silver"/>
    <s v="Website"/>
    <s v="Higher"/>
  </r>
  <r>
    <s v="CUST103414"/>
    <n v="58"/>
    <x v="0"/>
    <m/>
    <s v="Delhi"/>
    <n v="1975000"/>
    <n v="61"/>
    <x v="0"/>
    <n v="24"/>
    <n v="9300"/>
    <n v="289"/>
    <m/>
    <m/>
    <s v="Lower"/>
  </r>
  <r>
    <s v="CUST103415"/>
    <m/>
    <x v="5"/>
    <s v="Female"/>
    <s v="Ahmedabad"/>
    <n v="1775000"/>
    <n v="1"/>
    <x v="2"/>
    <n v="30"/>
    <n v="11600"/>
    <n v="90"/>
    <s v="Silver"/>
    <m/>
    <s v="Higher"/>
  </r>
  <r>
    <s v="CUST103416"/>
    <n v="63"/>
    <x v="0"/>
    <s v="Unknown"/>
    <s v="Delhi"/>
    <n v="1225000"/>
    <n v="89"/>
    <x v="3"/>
    <n v="57"/>
    <n v="1600"/>
    <n v="50"/>
    <s v="Bronze"/>
    <s v="Online"/>
    <s v="Lower"/>
  </r>
  <r>
    <s v="CUST103417"/>
    <n v="61"/>
    <x v="0"/>
    <s v="Female"/>
    <s v="Mumbai"/>
    <n v="700000"/>
    <n v="66"/>
    <x v="0"/>
    <m/>
    <n v="10200"/>
    <n v="10"/>
    <m/>
    <s v="Mobile App"/>
    <s v="Higher"/>
  </r>
  <r>
    <s v="CUST103418"/>
    <n v="48"/>
    <x v="2"/>
    <s v="Male"/>
    <m/>
    <n v="275000"/>
    <n v="32"/>
    <x v="2"/>
    <n v="73"/>
    <n v="6100"/>
    <n v="79"/>
    <s v="Bronze"/>
    <s v="Mobile App"/>
    <s v="Higher"/>
  </r>
  <r>
    <s v="CUST103419"/>
    <n v="37"/>
    <x v="4"/>
    <m/>
    <s v="Bengaluru"/>
    <n v="1775000"/>
    <n v="13"/>
    <x v="2"/>
    <n v="17"/>
    <n v="1400"/>
    <n v="37"/>
    <m/>
    <m/>
    <s v="Lower"/>
  </r>
  <r>
    <s v="CUST103420"/>
    <n v="41"/>
    <x v="4"/>
    <m/>
    <m/>
    <n v="650000"/>
    <n v="33"/>
    <x v="2"/>
    <n v="59"/>
    <n v="11800"/>
    <n v="59"/>
    <s v="Platinum"/>
    <m/>
    <s v="Lower"/>
  </r>
  <r>
    <s v="CUST103421"/>
    <n v="42"/>
    <x v="4"/>
    <s v="Female"/>
    <s v="Bengaluru"/>
    <n v="1000000"/>
    <n v="32"/>
    <x v="2"/>
    <n v="31"/>
    <n v="2500"/>
    <n v="88"/>
    <s v="Gold"/>
    <s v="In-store"/>
    <s v="Higher"/>
  </r>
  <r>
    <s v="CUST103422"/>
    <n v="53"/>
    <x v="2"/>
    <s v="Female"/>
    <m/>
    <n v="850000"/>
    <n v="56"/>
    <x v="0"/>
    <n v="64"/>
    <n v="8700"/>
    <n v="104"/>
    <m/>
    <s v="Mobile App"/>
    <s v="Higher"/>
  </r>
  <r>
    <s v="CUST103423"/>
    <n v="38"/>
    <x v="4"/>
    <m/>
    <s v="Kolkata"/>
    <n v="300000"/>
    <n v="24"/>
    <x v="2"/>
    <n v="48"/>
    <n v="7400"/>
    <n v="319"/>
    <m/>
    <s v="Website"/>
    <s v="Lower"/>
  </r>
  <r>
    <s v="CUST103424"/>
    <n v="47"/>
    <x v="2"/>
    <s v="Female"/>
    <m/>
    <n v="1450000"/>
    <n v="91"/>
    <x v="3"/>
    <n v="23"/>
    <n v="4100"/>
    <n v="277"/>
    <m/>
    <m/>
    <s v="Higher"/>
  </r>
  <r>
    <s v="CUST103425"/>
    <n v="41"/>
    <x v="4"/>
    <s v="Unknown"/>
    <s v="Mumbai"/>
    <n v="1050000"/>
    <n v="4"/>
    <x v="2"/>
    <n v="70"/>
    <n v="1100"/>
    <n v="104"/>
    <m/>
    <m/>
    <s v="Lower"/>
  </r>
  <r>
    <s v="CUST103426"/>
    <n v="61"/>
    <x v="0"/>
    <m/>
    <m/>
    <n v="700000"/>
    <n v="88"/>
    <x v="3"/>
    <n v="30"/>
    <n v="9000"/>
    <n v="254"/>
    <s v="Platinum"/>
    <s v="Mobile App"/>
    <s v="Lower"/>
  </r>
  <r>
    <s v="CUST103427"/>
    <n v="59"/>
    <x v="0"/>
    <s v="Female"/>
    <s v="Hyderabad"/>
    <n v="325000"/>
    <n v="23"/>
    <x v="2"/>
    <n v="55"/>
    <n v="9700"/>
    <n v="230"/>
    <m/>
    <s v="Online"/>
    <s v="Higher"/>
  </r>
  <r>
    <s v="CUST103428"/>
    <n v="47"/>
    <x v="2"/>
    <m/>
    <m/>
    <m/>
    <n v="29"/>
    <x v="2"/>
    <n v="7"/>
    <n v="2700"/>
    <n v="335"/>
    <m/>
    <m/>
    <s v="Lower"/>
  </r>
  <r>
    <s v="CUST103429"/>
    <n v="39"/>
    <x v="4"/>
    <s v="Unknown"/>
    <s v="Bengaluru"/>
    <n v="1325000"/>
    <n v="98"/>
    <x v="3"/>
    <n v="75"/>
    <n v="1900"/>
    <n v="37"/>
    <s v="Bronze"/>
    <s v="Website"/>
    <s v="Lower"/>
  </r>
  <r>
    <s v="CUST103430"/>
    <n v="45"/>
    <x v="2"/>
    <s v="Male"/>
    <m/>
    <n v="375000"/>
    <n v="21"/>
    <x v="2"/>
    <n v="12"/>
    <n v="4400"/>
    <n v="301"/>
    <m/>
    <s v="Online"/>
    <s v="Higher"/>
  </r>
  <r>
    <s v="CUST103431"/>
    <n v="24"/>
    <x v="6"/>
    <m/>
    <s v="Hyderabad"/>
    <n v="725000"/>
    <n v="30"/>
    <x v="2"/>
    <n v="60"/>
    <n v="3100"/>
    <n v="142"/>
    <m/>
    <m/>
    <s v="Lower"/>
  </r>
  <r>
    <s v="CUST103432"/>
    <n v="52"/>
    <x v="2"/>
    <s v="Female"/>
    <m/>
    <n v="1300000"/>
    <n v="90"/>
    <x v="3"/>
    <n v="52"/>
    <n v="6200"/>
    <n v="43"/>
    <s v="Platinum"/>
    <m/>
    <s v="Higher"/>
  </r>
  <r>
    <s v="CUST103433"/>
    <s v="NA"/>
    <x v="5"/>
    <s v="Unknown"/>
    <m/>
    <n v="1450000"/>
    <n v="20"/>
    <x v="2"/>
    <n v="27"/>
    <n v="6900"/>
    <n v="116"/>
    <s v="Platinum"/>
    <s v="Mobile App"/>
    <s v="Lower"/>
  </r>
  <r>
    <s v="CUST103434"/>
    <n v="45"/>
    <x v="2"/>
    <s v="Male"/>
    <s v="Pune"/>
    <n v="1100000"/>
    <n v="16"/>
    <x v="2"/>
    <n v="12"/>
    <n v="8700"/>
    <n v="341"/>
    <s v="Silver"/>
    <s v="Online"/>
    <s v="Higher"/>
  </r>
  <r>
    <s v="CUST103435"/>
    <n v="31"/>
    <x v="3"/>
    <m/>
    <m/>
    <n v="1800000"/>
    <n v="67"/>
    <x v="3"/>
    <n v="13"/>
    <n v="5900"/>
    <n v="84"/>
    <m/>
    <m/>
    <s v="Lower"/>
  </r>
  <r>
    <s v="CUST103436"/>
    <n v="27"/>
    <x v="3"/>
    <m/>
    <s v="Kolkata"/>
    <n v="1775000"/>
    <n v="49"/>
    <x v="0"/>
    <n v="72"/>
    <n v="7400"/>
    <n v="259"/>
    <m/>
    <m/>
    <s v="Lower"/>
  </r>
  <r>
    <s v="CUST103437"/>
    <n v="33"/>
    <x v="3"/>
    <s v="Unknown"/>
    <s v="Kolkata"/>
    <n v="275000"/>
    <m/>
    <x v="1"/>
    <m/>
    <n v="1600"/>
    <n v="360"/>
    <m/>
    <s v="Website"/>
    <s v="Lower"/>
  </r>
  <r>
    <s v="CUST103438"/>
    <n v="33"/>
    <x v="3"/>
    <s v="Female"/>
    <s v="Ahmedabad"/>
    <n v="650000"/>
    <n v="58"/>
    <x v="0"/>
    <n v="62"/>
    <n v="4100"/>
    <n v="87"/>
    <m/>
    <s v="Online"/>
    <s v="Higher"/>
  </r>
  <r>
    <s v="CUST103439"/>
    <m/>
    <x v="5"/>
    <m/>
    <s v="Kolkata"/>
    <n v="1950000"/>
    <n v="44"/>
    <x v="0"/>
    <n v="29"/>
    <n v="1800"/>
    <n v="343"/>
    <s v="Bronze"/>
    <m/>
    <s v="Lower"/>
  </r>
  <r>
    <s v="CUST103440"/>
    <n v="48"/>
    <x v="2"/>
    <s v="Female"/>
    <m/>
    <n v="1975000"/>
    <n v="25"/>
    <x v="2"/>
    <n v="35"/>
    <n v="2000"/>
    <n v="347"/>
    <m/>
    <s v="Mobile App"/>
    <s v="Higher"/>
  </r>
  <r>
    <s v="CUST103441"/>
    <n v="59"/>
    <x v="0"/>
    <s v="Female"/>
    <m/>
    <n v="1025000"/>
    <n v="23"/>
    <x v="2"/>
    <n v="60"/>
    <n v="9700"/>
    <n v="291"/>
    <m/>
    <s v="In-store"/>
    <s v="Higher"/>
  </r>
  <r>
    <s v="CUST103442"/>
    <n v="42"/>
    <x v="4"/>
    <m/>
    <s v="Pune"/>
    <n v="200000"/>
    <n v="59"/>
    <x v="0"/>
    <n v="29"/>
    <n v="7700"/>
    <n v="96"/>
    <s v="Bronze"/>
    <m/>
    <s v="Lower"/>
  </r>
  <r>
    <s v="CUST103443"/>
    <n v="30"/>
    <x v="3"/>
    <s v="Female"/>
    <s v="Kolkata"/>
    <n v="1175000"/>
    <n v="1"/>
    <x v="2"/>
    <n v="31"/>
    <n v="10400"/>
    <n v="255"/>
    <s v="Silver"/>
    <s v="In-store"/>
    <s v="Higher"/>
  </r>
  <r>
    <s v="CUST103444"/>
    <n v="23"/>
    <x v="6"/>
    <s v="Male"/>
    <s v="Delhi"/>
    <n v="1250000"/>
    <n v="97"/>
    <x v="3"/>
    <n v="77"/>
    <n v="2200"/>
    <n v="342"/>
    <m/>
    <m/>
    <s v="Higher"/>
  </r>
  <r>
    <s v="CUST103445"/>
    <n v="61"/>
    <x v="0"/>
    <m/>
    <m/>
    <n v="1225000"/>
    <n v="15"/>
    <x v="2"/>
    <n v="76"/>
    <n v="11900"/>
    <n v="136"/>
    <s v="Gold"/>
    <m/>
    <s v="Lower"/>
  </r>
  <r>
    <s v="CUST103446"/>
    <n v="26"/>
    <x v="3"/>
    <s v="Male"/>
    <s v="Mumbai"/>
    <n v="950000"/>
    <n v="81"/>
    <x v="3"/>
    <n v="61"/>
    <n v="4800"/>
    <n v="248"/>
    <m/>
    <s v="Mobile App"/>
    <s v="Higher"/>
  </r>
  <r>
    <s v="CUST103447"/>
    <n v="62"/>
    <x v="0"/>
    <s v="Male"/>
    <s v="Mumbai"/>
    <n v="1625000"/>
    <n v="98"/>
    <x v="3"/>
    <n v="2"/>
    <n v="11900"/>
    <n v="92"/>
    <m/>
    <s v="Mobile App"/>
    <s v="Higher"/>
  </r>
  <r>
    <s v="CUST103448"/>
    <n v="53"/>
    <x v="2"/>
    <m/>
    <s v="Bengaluru"/>
    <n v="1875000"/>
    <n v="81"/>
    <x v="3"/>
    <n v="33"/>
    <n v="4700"/>
    <n v="247"/>
    <s v="Platinum"/>
    <s v="Mobile App"/>
    <s v="Lower"/>
  </r>
  <r>
    <s v="CUST103449"/>
    <n v="60"/>
    <x v="0"/>
    <m/>
    <s v="Pune"/>
    <s v="unknown"/>
    <n v="52"/>
    <x v="0"/>
    <n v="72"/>
    <n v="600"/>
    <n v="258"/>
    <m/>
    <s v="Mobile App"/>
    <s v="Lower"/>
  </r>
  <r>
    <s v="CUST103450"/>
    <n v="37"/>
    <x v="4"/>
    <s v="Female"/>
    <s v="Hyderabad"/>
    <n v="775000"/>
    <n v="58"/>
    <x v="0"/>
    <n v="62"/>
    <n v="8600"/>
    <n v="187"/>
    <s v="Platinum"/>
    <s v="Online"/>
    <s v="Higher"/>
  </r>
  <r>
    <s v="CUST103451"/>
    <n v="35"/>
    <x v="4"/>
    <m/>
    <s v="Delhi"/>
    <n v="650000"/>
    <n v="41"/>
    <x v="0"/>
    <n v="59"/>
    <n v="9700"/>
    <n v="124"/>
    <m/>
    <s v="Online"/>
    <s v="Lower"/>
  </r>
  <r>
    <s v="CUST103452"/>
    <n v="60"/>
    <x v="0"/>
    <m/>
    <m/>
    <n v="175000"/>
    <n v="44"/>
    <x v="0"/>
    <n v="40"/>
    <n v="2200"/>
    <n v="260"/>
    <s v="Bronze"/>
    <m/>
    <s v="Lower"/>
  </r>
  <r>
    <s v="CUST103453"/>
    <n v="38"/>
    <x v="4"/>
    <s v="Male"/>
    <m/>
    <n v="1300000"/>
    <n v="4"/>
    <x v="2"/>
    <n v="49"/>
    <n v="1300"/>
    <n v="169"/>
    <s v="Platinum"/>
    <s v="Online"/>
    <s v="Higher"/>
  </r>
  <r>
    <s v="CUST103454"/>
    <n v="21"/>
    <x v="6"/>
    <s v="Female"/>
    <s v="Chennai"/>
    <n v="875000"/>
    <n v="77"/>
    <x v="3"/>
    <n v="32"/>
    <n v="11600"/>
    <m/>
    <m/>
    <m/>
    <s v="Higher"/>
  </r>
  <r>
    <s v="CUST103455"/>
    <n v="67"/>
    <x v="1"/>
    <s v="Male"/>
    <s v="Chennai"/>
    <n v="800000"/>
    <n v="68"/>
    <x v="3"/>
    <n v="38"/>
    <n v="6700"/>
    <n v="111"/>
    <m/>
    <s v="Online"/>
    <s v="Higher"/>
  </r>
  <r>
    <s v="CUST103456"/>
    <n v="50"/>
    <x v="2"/>
    <s v="Female"/>
    <s v="Hyderabad"/>
    <n v="1900000"/>
    <n v="7"/>
    <x v="2"/>
    <n v="79"/>
    <n v="11000"/>
    <n v="290"/>
    <s v="Platinum"/>
    <s v="Online"/>
    <s v="Higher"/>
  </r>
  <r>
    <s v="CUST103457"/>
    <n v="44"/>
    <x v="4"/>
    <s v="Female"/>
    <s v="Ahmedabad"/>
    <n v="625000"/>
    <n v="46"/>
    <x v="0"/>
    <n v="13"/>
    <n v="2000"/>
    <n v="87"/>
    <s v="Silver"/>
    <s v="Online"/>
    <s v="Higher"/>
  </r>
  <r>
    <s v="CUST103458"/>
    <n v="24"/>
    <x v="6"/>
    <s v="Female"/>
    <m/>
    <n v="1375000"/>
    <n v="9"/>
    <x v="2"/>
    <n v="54"/>
    <n v="4100"/>
    <n v="13"/>
    <s v="Silver"/>
    <s v="Website"/>
    <s v="Higher"/>
  </r>
  <r>
    <s v="CUST103459"/>
    <n v="23"/>
    <x v="6"/>
    <s v="Unknown"/>
    <s v="Chennai"/>
    <n v="700000"/>
    <n v="87"/>
    <x v="3"/>
    <n v="76"/>
    <n v="4600"/>
    <n v="263"/>
    <s v="Silver"/>
    <s v="Mobile App"/>
    <s v="Lower"/>
  </r>
  <r>
    <s v="CUST103460"/>
    <n v="32"/>
    <x v="3"/>
    <s v="Female"/>
    <s v="Hyderabad"/>
    <n v="450000"/>
    <n v="33"/>
    <x v="2"/>
    <n v="13"/>
    <n v="9900"/>
    <n v="288"/>
    <s v="Platinum"/>
    <s v="Website"/>
    <s v="Higher"/>
  </r>
  <r>
    <s v="CUST103461"/>
    <n v="35"/>
    <x v="4"/>
    <m/>
    <s v="Chennai"/>
    <n v="225000"/>
    <n v="33"/>
    <x v="2"/>
    <n v="39"/>
    <m/>
    <n v="23"/>
    <s v="Platinum"/>
    <s v="Online"/>
    <s v="Lower"/>
  </r>
  <r>
    <s v="CUST103462"/>
    <n v="49"/>
    <x v="2"/>
    <m/>
    <s v="Pune"/>
    <n v="475000"/>
    <n v="84"/>
    <x v="3"/>
    <n v="23"/>
    <n v="10200"/>
    <n v="200"/>
    <m/>
    <s v="Online"/>
    <s v="Lower"/>
  </r>
  <r>
    <s v="CUST103463"/>
    <n v="28"/>
    <x v="3"/>
    <s v="Male"/>
    <s v="Bengaluru"/>
    <n v="625000"/>
    <n v="4"/>
    <x v="2"/>
    <n v="14"/>
    <n v="2000"/>
    <n v="242"/>
    <m/>
    <s v="Website"/>
    <s v="Higher"/>
  </r>
  <r>
    <s v="CUST103464"/>
    <n v="37"/>
    <x v="4"/>
    <s v="Unknown"/>
    <s v="Ahmedabad"/>
    <n v="450000"/>
    <n v="65"/>
    <x v="0"/>
    <n v="17"/>
    <n v="4900"/>
    <n v="239"/>
    <m/>
    <m/>
    <s v="Lower"/>
  </r>
  <r>
    <s v="CUST103465"/>
    <n v="41"/>
    <x v="4"/>
    <m/>
    <s v="Pune"/>
    <n v="200000"/>
    <n v="34"/>
    <x v="0"/>
    <n v="24"/>
    <n v="3300"/>
    <n v="303"/>
    <s v="Bronze"/>
    <m/>
    <s v="Lower"/>
  </r>
  <r>
    <s v="CUST103466"/>
    <n v="32"/>
    <x v="3"/>
    <s v="Female"/>
    <m/>
    <n v="1300000"/>
    <n v="91"/>
    <x v="3"/>
    <n v="58"/>
    <n v="10100"/>
    <n v="165"/>
    <s v="Platinum"/>
    <s v="Mobile App"/>
    <s v="Higher"/>
  </r>
  <r>
    <s v="CUST103467"/>
    <n v="65"/>
    <x v="0"/>
    <s v="Female"/>
    <s v="Hyderabad"/>
    <n v="200000"/>
    <n v="85"/>
    <x v="3"/>
    <n v="63"/>
    <n v="4100"/>
    <n v="226"/>
    <m/>
    <m/>
    <s v="Higher"/>
  </r>
  <r>
    <s v="CUST103468"/>
    <n v="24"/>
    <x v="6"/>
    <s v="Unknown"/>
    <s v="Delhi"/>
    <n v="150000"/>
    <n v="88"/>
    <x v="3"/>
    <n v="34"/>
    <n v="4000"/>
    <n v="176"/>
    <m/>
    <m/>
    <s v="Lower"/>
  </r>
  <r>
    <s v="CUST103469"/>
    <n v="38"/>
    <x v="4"/>
    <s v="Female"/>
    <m/>
    <n v="725000"/>
    <n v="79"/>
    <x v="3"/>
    <n v="51"/>
    <n v="8100"/>
    <n v="29"/>
    <s v="Silver"/>
    <s v="Mobile App"/>
    <s v="Higher"/>
  </r>
  <r>
    <s v="CUST103470"/>
    <n v="59"/>
    <x v="0"/>
    <s v="Female"/>
    <m/>
    <n v="1000000"/>
    <n v="99"/>
    <x v="3"/>
    <n v="10"/>
    <n v="4900"/>
    <n v="165"/>
    <s v="Silver"/>
    <s v="In-store"/>
    <s v="Higher"/>
  </r>
  <r>
    <s v="CUST103471"/>
    <n v="43"/>
    <x v="4"/>
    <s v="Unknown"/>
    <s v="Kolkata"/>
    <n v="475000"/>
    <n v="64"/>
    <x v="0"/>
    <n v="72"/>
    <n v="7200"/>
    <n v="23"/>
    <s v="Silver"/>
    <s v="Mobile App"/>
    <s v="Lower"/>
  </r>
  <r>
    <s v="CUST103472"/>
    <n v="61"/>
    <x v="0"/>
    <s v="Female"/>
    <s v="Delhi"/>
    <n v="1800000"/>
    <n v="25"/>
    <x v="2"/>
    <n v="21"/>
    <n v="1000"/>
    <n v="294"/>
    <s v="Gold"/>
    <m/>
    <s v="Higher"/>
  </r>
  <r>
    <s v="CUST103473"/>
    <n v="31"/>
    <x v="3"/>
    <s v="Male"/>
    <s v="Mumbai"/>
    <n v="450000"/>
    <n v="55"/>
    <x v="0"/>
    <n v="37"/>
    <n v="10600"/>
    <n v="44"/>
    <m/>
    <s v="Mobile App"/>
    <s v="Higher"/>
  </r>
  <r>
    <s v="CUST103474"/>
    <n v="54"/>
    <x v="2"/>
    <s v="Female"/>
    <s v="Kolkata"/>
    <n v="1300000"/>
    <n v="9"/>
    <x v="2"/>
    <n v="7"/>
    <n v="8800"/>
    <n v="261"/>
    <s v="Silver"/>
    <s v="In-store"/>
    <s v="Higher"/>
  </r>
  <r>
    <s v="CUST103475"/>
    <n v="38"/>
    <x v="4"/>
    <m/>
    <s v="Hyderabad"/>
    <n v="1375000"/>
    <n v="17"/>
    <x v="2"/>
    <n v="13"/>
    <n v="6700"/>
    <n v="180"/>
    <s v="Silver"/>
    <s v="In-store"/>
    <s v="Lower"/>
  </r>
  <r>
    <s v="CUST103476"/>
    <n v="35"/>
    <x v="4"/>
    <m/>
    <s v="Mumbai"/>
    <n v="775000"/>
    <n v="21"/>
    <x v="2"/>
    <m/>
    <n v="1500"/>
    <n v="296"/>
    <s v="Platinum"/>
    <s v="Online"/>
    <s v="Lower"/>
  </r>
  <r>
    <s v="CUST103477"/>
    <n v="22"/>
    <x v="6"/>
    <s v="Female"/>
    <s v="Chennai"/>
    <n v="200000"/>
    <n v="60"/>
    <x v="0"/>
    <n v="30"/>
    <n v="5700"/>
    <n v="139"/>
    <m/>
    <s v="In-store"/>
    <s v="Higher"/>
  </r>
  <r>
    <s v="CUST103478"/>
    <n v="20"/>
    <x v="6"/>
    <s v="Male"/>
    <s v="Chennai"/>
    <n v="1400000"/>
    <n v="13"/>
    <x v="2"/>
    <n v="31"/>
    <n v="9000"/>
    <n v="334"/>
    <s v="Silver"/>
    <s v="Website"/>
    <s v="Higher"/>
  </r>
  <r>
    <s v="CUST103479"/>
    <n v="40"/>
    <x v="4"/>
    <s v="Female"/>
    <m/>
    <n v="1125000"/>
    <n v="3"/>
    <x v="2"/>
    <n v="5"/>
    <n v="8700"/>
    <n v="248"/>
    <s v="Platinum"/>
    <m/>
    <s v="Higher"/>
  </r>
  <r>
    <s v="CUST103480"/>
    <n v="43"/>
    <x v="4"/>
    <m/>
    <s v="Kolkata"/>
    <n v="1825000"/>
    <n v="68"/>
    <x v="3"/>
    <n v="32"/>
    <n v="11100"/>
    <n v="241"/>
    <s v="Bronze"/>
    <s v="Website"/>
    <s v="Lower"/>
  </r>
  <r>
    <s v="CUST103481"/>
    <n v="54"/>
    <x v="2"/>
    <m/>
    <m/>
    <n v="1025000"/>
    <n v="4"/>
    <x v="2"/>
    <n v="16"/>
    <n v="4500"/>
    <n v="106"/>
    <s v="Silver"/>
    <m/>
    <s v="Lower"/>
  </r>
  <r>
    <s v="CUST103482"/>
    <n v="41"/>
    <x v="4"/>
    <s v="Male"/>
    <s v="Delhi"/>
    <n v="1400000"/>
    <n v="92"/>
    <x v="3"/>
    <n v="73"/>
    <n v="600"/>
    <n v="173"/>
    <m/>
    <s v="Website"/>
    <s v="Higher"/>
  </r>
  <r>
    <s v="CUST103483"/>
    <n v="66"/>
    <x v="1"/>
    <s v="Male"/>
    <s v="Mumbai"/>
    <n v="150000"/>
    <n v="7"/>
    <x v="2"/>
    <n v="22"/>
    <n v="7300"/>
    <n v="49"/>
    <s v="Platinum"/>
    <m/>
    <s v="Higher"/>
  </r>
  <r>
    <s v="CUST103484"/>
    <n v="36"/>
    <x v="4"/>
    <s v="Unknown"/>
    <s v="Delhi"/>
    <n v="950000"/>
    <n v="26"/>
    <x v="2"/>
    <n v="64"/>
    <n v="6200"/>
    <n v="123"/>
    <m/>
    <m/>
    <s v="Lower"/>
  </r>
  <r>
    <s v="CUST103485"/>
    <n v="68"/>
    <x v="1"/>
    <s v="Unknown"/>
    <s v="Kolkata"/>
    <n v="300000"/>
    <n v="75"/>
    <x v="3"/>
    <n v="44"/>
    <n v="1400"/>
    <n v="35"/>
    <s v="Silver"/>
    <s v="Website"/>
    <s v="Lower"/>
  </r>
  <r>
    <s v="CUST103486"/>
    <n v="42"/>
    <x v="4"/>
    <m/>
    <m/>
    <n v="1425000"/>
    <n v="24"/>
    <x v="2"/>
    <n v="40"/>
    <n v="6100"/>
    <n v="106"/>
    <s v="Bronze"/>
    <s v="Website"/>
    <s v="Lower"/>
  </r>
  <r>
    <s v="CUST103487"/>
    <n v="38"/>
    <x v="4"/>
    <s v="Male"/>
    <s v="Pune"/>
    <n v="400000"/>
    <n v="10"/>
    <x v="2"/>
    <n v="37"/>
    <n v="7900"/>
    <n v="328"/>
    <s v="Silver"/>
    <m/>
    <s v="Higher"/>
  </r>
  <r>
    <s v="CUST103488"/>
    <n v="29"/>
    <x v="3"/>
    <m/>
    <s v="Chennai"/>
    <n v="800000"/>
    <m/>
    <x v="1"/>
    <n v="78"/>
    <n v="5600"/>
    <n v="196"/>
    <s v="Platinum"/>
    <s v="Website"/>
    <s v="Lower"/>
  </r>
  <r>
    <s v="CUST103489"/>
    <n v="58"/>
    <x v="0"/>
    <s v="Unknown"/>
    <s v="Mumbai"/>
    <n v="475000"/>
    <n v="13"/>
    <x v="2"/>
    <n v="16"/>
    <n v="4600"/>
    <n v="109"/>
    <s v="Bronze"/>
    <s v="In-store"/>
    <s v="Lower"/>
  </r>
  <r>
    <s v="CUST103490"/>
    <n v="50"/>
    <x v="2"/>
    <s v="Female"/>
    <s v="Mumbai"/>
    <n v="1275000"/>
    <n v="44"/>
    <x v="0"/>
    <n v="43"/>
    <n v="1800"/>
    <n v="125"/>
    <s v="Bronze"/>
    <m/>
    <s v="Higher"/>
  </r>
  <r>
    <s v="CUST103491"/>
    <n v="67"/>
    <x v="1"/>
    <s v="Male"/>
    <s v="Hyderabad"/>
    <m/>
    <n v="39"/>
    <x v="0"/>
    <n v="63"/>
    <n v="800"/>
    <n v="327"/>
    <s v="Bronze"/>
    <m/>
    <s v="Higher"/>
  </r>
  <r>
    <s v="CUST103492"/>
    <m/>
    <x v="5"/>
    <s v="Female"/>
    <s v="Mumbai"/>
    <n v="375000"/>
    <n v="19"/>
    <x v="2"/>
    <n v="15"/>
    <n v="1600"/>
    <n v="295"/>
    <s v="Gold"/>
    <m/>
    <s v="Higher"/>
  </r>
  <r>
    <s v="CUST103493"/>
    <n v="21"/>
    <x v="6"/>
    <s v="Female"/>
    <s v="Kolkata"/>
    <n v="725000"/>
    <n v="51"/>
    <x v="0"/>
    <n v="44"/>
    <n v="11700"/>
    <n v="347"/>
    <s v="Platinum"/>
    <s v="Website"/>
    <s v="Higher"/>
  </r>
  <r>
    <s v="CUST103494"/>
    <n v="59"/>
    <x v="0"/>
    <s v="Female"/>
    <s v="Mumbai"/>
    <n v="1650000"/>
    <n v="19"/>
    <x v="2"/>
    <n v="9"/>
    <n v="11400"/>
    <n v="37"/>
    <s v="Gold"/>
    <s v="In-store"/>
    <s v="Higher"/>
  </r>
  <r>
    <s v="CUST103495"/>
    <n v="24"/>
    <x v="6"/>
    <s v="Female"/>
    <s v="Mumbai"/>
    <n v="575000"/>
    <n v="76"/>
    <x v="3"/>
    <n v="65"/>
    <n v="6000"/>
    <n v="188"/>
    <m/>
    <m/>
    <s v="Higher"/>
  </r>
  <r>
    <s v="CUST103496"/>
    <n v="39"/>
    <x v="4"/>
    <s v="Female"/>
    <s v="Delhi"/>
    <n v="350000"/>
    <n v="52"/>
    <x v="0"/>
    <n v="44"/>
    <n v="3300"/>
    <n v="337"/>
    <s v="Bronze"/>
    <s v="Mobile App"/>
    <s v="Higher"/>
  </r>
  <r>
    <s v="CUST103497"/>
    <s v="NA"/>
    <x v="5"/>
    <s v="Male"/>
    <m/>
    <n v="550000"/>
    <n v="86"/>
    <x v="3"/>
    <n v="20"/>
    <n v="10200"/>
    <n v="23"/>
    <s v="Gold"/>
    <m/>
    <s v="Higher"/>
  </r>
  <r>
    <s v="CUST103498"/>
    <n v="50"/>
    <x v="2"/>
    <m/>
    <s v="Bengaluru"/>
    <n v="1575000"/>
    <n v="47"/>
    <x v="0"/>
    <n v="70"/>
    <n v="10300"/>
    <n v="261"/>
    <s v="Silver"/>
    <s v="Online"/>
    <s v="Lower"/>
  </r>
  <r>
    <s v="CUST103499"/>
    <n v="34"/>
    <x v="3"/>
    <m/>
    <s v="Mumbai"/>
    <n v="450000"/>
    <m/>
    <x v="1"/>
    <n v="74"/>
    <n v="4300"/>
    <n v="194"/>
    <s v="Gold"/>
    <s v="Mobile App"/>
    <s v="Low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88756-6C70-48E0-801B-1CB10BB27E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G12" firstHeaderRow="1" firstDataRow="2" firstDataCol="1"/>
  <pivotFields count="14">
    <pivotField dataField="1" showAll="0"/>
    <pivotField showAll="0"/>
    <pivotField axis="axisRow" showAll="0">
      <items count="8">
        <item x="3"/>
        <item x="2"/>
        <item x="4"/>
        <item x="0"/>
        <item x="1"/>
        <item x="5"/>
        <item x="6"/>
        <item t="default"/>
      </items>
    </pivotField>
    <pivotField showAll="0"/>
    <pivotField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2A71B-F509-41F9-A228-7E882283AFA0}" name="Table1" displayName="Table1" ref="A1:O3501" totalsRowShown="0" headerRowDxfId="16" dataDxfId="15">
  <autoFilter ref="A1:O3501" xr:uid="{4452A71B-F509-41F9-A228-7E882283AFA0}"/>
  <tableColumns count="15">
    <tableColumn id="1" xr3:uid="{538205F1-1B37-4B6A-83A5-9A3EE31FDF02}" name="customer_id" dataDxfId="14"/>
    <tableColumn id="2" xr3:uid="{B6A36BAA-FB79-4458-A2F1-C7E8DB12B63F}" name="age" dataDxfId="13"/>
    <tableColumn id="13" xr3:uid="{9DB2ECF5-7D77-456C-ABF8-2A19CDF5AD70}" name="Age_groups" dataDxfId="12">
      <calculatedColumnFormula array="1">_xlfn.IFS(OR(B2=" ", B2="NA",NOT(ISNUMBER(B2))), "Unknown",B2&lt;18,"Underage",B2&lt;=24,"Young Adult",B2&lt;=34,"Early Career",B2&lt;=44,"Mid Career",B2&lt;=54,"Mature",B2&lt;=65,"Pre-Senior",B2&gt;65,"Senior")</calculatedColumnFormula>
    </tableColumn>
    <tableColumn id="3" xr3:uid="{5C99A2BC-18A4-4560-B65B-A0D180275417}" name="gender" dataDxfId="11"/>
    <tableColumn id="4" xr3:uid="{696EDAC8-0C7A-4BAD-A370-C7CD6DD975F4}" name="city" dataDxfId="10"/>
    <tableColumn id="5" xr3:uid="{5E70F714-C23A-4372-A25E-39CB5AACCF98}" name="annual_income" dataDxfId="9"/>
    <tableColumn id="6" xr3:uid="{8BB2540C-DFED-49AE-B106-AAABE06C80CE}" name="spend_score" dataDxfId="8"/>
    <tableColumn id="14" xr3:uid="{B2838A04-E583-4FE4-A32D-FB98E7FD8884}" name="spend_behavior" dataDxfId="7">
      <calculatedColumnFormula array="1">_xlfn.IFS( OR(G2=" ",NOT(ISNUMBER(G2))),"Unknown",G2&lt;=33,"Low Spender",G2&lt;=66,"Medium Spender",TRUE, "High Spender")</calculatedColumnFormula>
    </tableColumn>
    <tableColumn id="7" xr3:uid="{57609771-5347-47B2-95BB-956CE1592011}" name="total_orders" dataDxfId="6"/>
    <tableColumn id="8" xr3:uid="{DEECFA48-9F80-4BB6-8B25-10D85F233B02}" name="avg_order_value" dataDxfId="5"/>
    <tableColumn id="9" xr3:uid="{8C291AFE-0445-4355-919D-5AEFBA014182}" name="last_purchase_days_ago" dataDxfId="4"/>
    <tableColumn id="10" xr3:uid="{A72CDA6A-F1A6-4E24-ACAE-210D743ACD54}" name="loyalty_status" dataDxfId="3"/>
    <tableColumn id="11" xr3:uid="{EE0B2B31-74E9-4DBF-934B-2B8F975A0C06}" name="preferred_channel" dataDxfId="2"/>
    <tableColumn id="12" xr3:uid="{1F950A98-6F11-437A-987B-C54460ABEF4A}" name="profile_richness" dataDxfId="1">
      <calculatedColumnFormula>IF(OR(UPPER(TRIM(D2))="Male",UPPER(TRIM(D2))="Female"),"Higher","Lower")</calculatedColumnFormula>
    </tableColumn>
    <tableColumn id="15" xr3:uid="{CB8020CA-A13A-48DD-8D2A-7FF406FA31A6}" name="final_segment" dataDxfId="0">
      <calculatedColumnFormula>_xlfn.TEXTJOIN(" | ", TRUE, C2, H2, 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7C3A-68EB-48AF-984B-CA720FA80ABC}">
  <dimension ref="A1:Q3501"/>
  <sheetViews>
    <sheetView tabSelected="1" topLeftCell="G1" zoomScale="85" zoomScaleNormal="85" workbookViewId="0">
      <pane ySplit="1" topLeftCell="A2" activePane="bottomLeft" state="frozen"/>
      <selection activeCell="B1" sqref="B1"/>
      <selection pane="bottomLeft" activeCell="O3" sqref="O3"/>
    </sheetView>
  </sheetViews>
  <sheetFormatPr defaultRowHeight="15" x14ac:dyDescent="0.25"/>
  <cols>
    <col min="1" max="1" width="16.7109375" style="1" bestFit="1" customWidth="1"/>
    <col min="2" max="2" width="9.5703125" style="1" bestFit="1" customWidth="1"/>
    <col min="3" max="3" width="16.28515625" style="1" bestFit="1" customWidth="1"/>
    <col min="4" max="5" width="12.28515625" style="1" bestFit="1" customWidth="1"/>
    <col min="6" max="6" width="19.28515625" style="1" bestFit="1" customWidth="1"/>
    <col min="7" max="7" width="16.7109375" style="1" bestFit="1" customWidth="1"/>
    <col min="8" max="8" width="20" style="1" bestFit="1" customWidth="1"/>
    <col min="9" max="9" width="16.5703125" style="1" bestFit="1" customWidth="1"/>
    <col min="10" max="10" width="20.7109375" style="1" bestFit="1" customWidth="1"/>
    <col min="11" max="11" width="27.42578125" style="1" bestFit="1" customWidth="1"/>
    <col min="12" max="12" width="18.28515625" style="1" bestFit="1" customWidth="1"/>
    <col min="13" max="13" width="22.42578125" style="1" bestFit="1" customWidth="1"/>
    <col min="14" max="14" width="20" style="1" bestFit="1" customWidth="1"/>
    <col min="15" max="15" width="39" style="1" bestFit="1" customWidth="1"/>
    <col min="16" max="16" width="4.5703125" style="1" customWidth="1"/>
    <col min="17" max="17" width="54.7109375" style="1" bestFit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3534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3548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3549</v>
      </c>
      <c r="O1" s="1" t="s">
        <v>3550</v>
      </c>
      <c r="Q1" s="1" t="s">
        <v>3532</v>
      </c>
    </row>
    <row r="2" spans="1:17" x14ac:dyDescent="0.25">
      <c r="A2" s="1" t="s">
        <v>11</v>
      </c>
      <c r="B2" s="1">
        <v>56</v>
      </c>
      <c r="C2" s="1" t="str" cm="1">
        <f t="array" ref="C2">_xlfn.IFS(OR(B2=" ", B2="NA",NOT(ISNUMBER(B2))), "Unknown",B2&lt;18,"Underage",B2&lt;=24,"Young Adult",B2&lt;=34,"Early Career",B2&lt;=44,"Mid Career",B2&lt;=54,"Mature",B2&lt;=65,"Pre-Senior",B2&gt;65,"Senior")</f>
        <v>Pre-Senior</v>
      </c>
      <c r="D2" s="1" t="s">
        <v>12</v>
      </c>
      <c r="E2" s="1" t="s">
        <v>13</v>
      </c>
      <c r="F2" s="1">
        <v>1950000</v>
      </c>
      <c r="G2" s="1">
        <v>50</v>
      </c>
      <c r="H2" s="1" t="str" cm="1">
        <f t="array" ref="H2">_xlfn.IFS( OR(G2=" ",NOT(ISNUMBER(G2))),"Unknown",G2&lt;=33,"Low Spender",G2&lt;=66,"Medium Spender",TRUE, "High Spender")</f>
        <v>Medium Spender</v>
      </c>
      <c r="I2" s="1">
        <v>30</v>
      </c>
      <c r="J2" s="1">
        <v>11400</v>
      </c>
      <c r="K2" s="1">
        <v>291</v>
      </c>
      <c r="N2" s="1" t="str">
        <f t="shared" ref="N2:N65" si="0">IF(OR(UPPER(TRIM(D2))="Male",UPPER(TRIM(D2))="Female"),"Higher","Lower")</f>
        <v>Lower</v>
      </c>
      <c r="O2" s="1" t="str">
        <f t="shared" ref="O2:O65" si="1">_xlfn.TEXTJOIN(" | ", TRUE, C2, H2, N2)</f>
        <v>Pre-Senior | Medium Spender | Lower</v>
      </c>
      <c r="Q2" s="1">
        <f>54/3500*100</f>
        <v>1.5428571428571429</v>
      </c>
    </row>
    <row r="3" spans="1:17" x14ac:dyDescent="0.25">
      <c r="A3" s="1" t="s">
        <v>14</v>
      </c>
      <c r="B3" s="1">
        <v>69</v>
      </c>
      <c r="C3" s="1" t="str" cm="1">
        <f t="array" ref="C3">_xlfn.IFS(OR(B3=" ", B3="NA",NOT(ISNUMBER(B3))), "Unknown",B3&lt;18,"Underage",B3&lt;=24,"Young Adult",B3&lt;=34,"Early Career",B3&lt;=44,"Mid Career",B3&lt;=54,"Mature",B3&lt;=65,"Pre-Senior",B3&gt;65,"Senior")</f>
        <v>Senior</v>
      </c>
      <c r="D3" s="1" t="s">
        <v>12</v>
      </c>
      <c r="E3" s="1" t="s">
        <v>15</v>
      </c>
      <c r="F3" s="1">
        <v>375000</v>
      </c>
      <c r="H3" s="1" t="str" cm="1">
        <f t="array" ref="H3">_xlfn.IFS( OR(G3=" ",NOT(ISNUMBER(G3))),"Unknown",G3&lt;=33,"Low Spender",G3&lt;=66,"Medium Spender",TRUE, "High Spender")</f>
        <v>Unknown</v>
      </c>
      <c r="I3" s="1">
        <v>46</v>
      </c>
      <c r="J3" s="1">
        <v>3500</v>
      </c>
      <c r="K3" s="1">
        <v>246</v>
      </c>
      <c r="L3" s="1" t="s">
        <v>16</v>
      </c>
      <c r="N3" s="1" t="str">
        <f t="shared" si="0"/>
        <v>Lower</v>
      </c>
      <c r="O3" s="1" t="str">
        <f t="shared" si="1"/>
        <v>Senior | Unknown | Lower</v>
      </c>
    </row>
    <row r="4" spans="1:17" x14ac:dyDescent="0.25">
      <c r="A4" s="1" t="s">
        <v>17</v>
      </c>
      <c r="B4" s="1">
        <v>46</v>
      </c>
      <c r="C4" s="1" t="str" cm="1">
        <f t="array" ref="C4">_xlfn.IFS(OR(B4=" ", B4="NA",NOT(ISNUMBER(B4))), "Unknown",B4&lt;18,"Underage",B4&lt;=24,"Young Adult",B4&lt;=34,"Early Career",B4&lt;=44,"Mid Career",B4&lt;=54,"Mature",B4&lt;=65,"Pre-Senior",B4&gt;65,"Senior")</f>
        <v>Mature</v>
      </c>
      <c r="D4" s="1" t="s">
        <v>18</v>
      </c>
      <c r="E4" s="1" t="s">
        <v>19</v>
      </c>
      <c r="F4" s="1">
        <v>325000</v>
      </c>
      <c r="G4" s="1">
        <v>6</v>
      </c>
      <c r="H4" s="1" t="str" cm="1">
        <f t="array" ref="H4">_xlfn.IFS( OR(G4=" ",NOT(ISNUMBER(G4))),"Unknown",G4&lt;=33,"Low Spender",G4&lt;=66,"Medium Spender",TRUE, "High Spender")</f>
        <v>Low Spender</v>
      </c>
      <c r="I4" s="1">
        <v>76</v>
      </c>
      <c r="J4" s="1">
        <v>8200</v>
      </c>
      <c r="K4" s="1">
        <v>266</v>
      </c>
      <c r="L4" s="1" t="s">
        <v>20</v>
      </c>
      <c r="M4" s="1" t="s">
        <v>21</v>
      </c>
      <c r="N4" s="1" t="str">
        <f t="shared" si="0"/>
        <v>Higher</v>
      </c>
      <c r="O4" s="1" t="str">
        <f t="shared" si="1"/>
        <v>Mature | Low Spender | Higher</v>
      </c>
      <c r="Q4" s="1" t="s">
        <v>3533</v>
      </c>
    </row>
    <row r="5" spans="1:17" x14ac:dyDescent="0.25">
      <c r="A5" s="1" t="s">
        <v>22</v>
      </c>
      <c r="B5" s="1">
        <v>32</v>
      </c>
      <c r="C5" s="1" t="str" cm="1">
        <f t="array" ref="C5">_xlfn.IFS(OR(B5=" ", B5="NA",NOT(ISNUMBER(B5))), "Unknown",B5&lt;18,"Underage",B5&lt;=24,"Young Adult",B5&lt;=34,"Early Career",B5&lt;=44,"Mid Career",B5&lt;=54,"Mature",B5&lt;=65,"Pre-Senior",B5&gt;65,"Senior")</f>
        <v>Early Career</v>
      </c>
      <c r="D5" s="1" t="s">
        <v>18</v>
      </c>
      <c r="E5" s="1" t="s">
        <v>23</v>
      </c>
      <c r="F5" s="1">
        <v>650000</v>
      </c>
      <c r="G5" s="1">
        <v>85</v>
      </c>
      <c r="H5" s="1" t="str" cm="1">
        <f t="array" ref="H5">_xlfn.IFS( OR(G5=" ",NOT(ISNUMBER(G5))),"Unknown",G5&lt;=33,"Low Spender",G5&lt;=66,"Medium Spender",TRUE, "High Spender")</f>
        <v>High Spender</v>
      </c>
      <c r="I5" s="1">
        <v>21</v>
      </c>
      <c r="J5" s="1">
        <v>10200</v>
      </c>
      <c r="K5" s="1">
        <v>337</v>
      </c>
      <c r="M5" s="1" t="s">
        <v>21</v>
      </c>
      <c r="N5" s="1" t="str">
        <f t="shared" si="0"/>
        <v>Higher</v>
      </c>
      <c r="O5" s="1" t="str">
        <f t="shared" si="1"/>
        <v>Early Career | High Spender | Higher</v>
      </c>
    </row>
    <row r="6" spans="1:17" x14ac:dyDescent="0.25">
      <c r="A6" s="1" t="s">
        <v>24</v>
      </c>
      <c r="B6" s="1">
        <v>60</v>
      </c>
      <c r="C6" s="1" t="str" cm="1">
        <f t="array" ref="C6">_xlfn.IFS(OR(B6=" ", B6="NA",NOT(ISNUMBER(B6))), "Unknown",B6&lt;18,"Underage",B6&lt;=24,"Young Adult",B6&lt;=34,"Early Career",B6&lt;=44,"Mid Career",B6&lt;=54,"Mature",B6&lt;=65,"Pre-Senior",B6&gt;65,"Senior")</f>
        <v>Pre-Senior</v>
      </c>
      <c r="D6" s="1" t="s">
        <v>18</v>
      </c>
      <c r="E6" s="1" t="s">
        <v>13</v>
      </c>
      <c r="F6" s="1" t="s">
        <v>25</v>
      </c>
      <c r="G6" s="1">
        <v>51</v>
      </c>
      <c r="H6" s="1" t="str" cm="1">
        <f t="array" ref="H6">_xlfn.IFS( OR(G6=" ",NOT(ISNUMBER(G6))),"Unknown",G6&lt;=33,"Low Spender",G6&lt;=66,"Medium Spender",TRUE, "High Spender")</f>
        <v>Medium Spender</v>
      </c>
      <c r="I6" s="1">
        <v>75</v>
      </c>
      <c r="J6" s="1">
        <v>800</v>
      </c>
      <c r="K6" s="1">
        <v>243</v>
      </c>
      <c r="L6" s="1" t="s">
        <v>20</v>
      </c>
      <c r="N6" s="1" t="str">
        <f t="shared" si="0"/>
        <v>Higher</v>
      </c>
      <c r="O6" s="1" t="str">
        <f t="shared" si="1"/>
        <v>Pre-Senior | Medium Spender | Higher</v>
      </c>
      <c r="Q6" s="1">
        <f>COUNTBLANK(Table1[preferred_channel])</f>
        <v>1202</v>
      </c>
    </row>
    <row r="7" spans="1:17" x14ac:dyDescent="0.25">
      <c r="A7" s="1" t="s">
        <v>26</v>
      </c>
      <c r="B7" s="1">
        <v>25</v>
      </c>
      <c r="C7" s="1" t="str" cm="1">
        <f t="array" ref="C7">_xlfn.IFS(OR(B7=" ", B7="NA",NOT(ISNUMBER(B7))), "Unknown",B7&lt;18,"Underage",B7&lt;=24,"Young Adult",B7&lt;=34,"Early Career",B7&lt;=44,"Mid Career",B7&lt;=54,"Mature",B7&lt;=65,"Pre-Senior",B7&gt;65,"Senior")</f>
        <v>Early Career</v>
      </c>
      <c r="D7" s="1" t="s">
        <v>29</v>
      </c>
      <c r="E7" s="1" t="s">
        <v>27</v>
      </c>
      <c r="F7" s="1">
        <v>1600000</v>
      </c>
      <c r="G7" s="1">
        <v>36</v>
      </c>
      <c r="H7" s="1" t="str" cm="1">
        <f t="array" ref="H7">_xlfn.IFS( OR(G7=" ",NOT(ISNUMBER(G7))),"Unknown",G7&lt;=33,"Low Spender",G7&lt;=66,"Medium Spender",TRUE, "High Spender")</f>
        <v>Medium Spender</v>
      </c>
      <c r="I7" s="1">
        <v>48</v>
      </c>
      <c r="J7" s="1">
        <v>8500</v>
      </c>
      <c r="K7" s="1">
        <v>158</v>
      </c>
      <c r="L7" s="1" t="s">
        <v>16</v>
      </c>
      <c r="N7" s="1" t="str">
        <f t="shared" si="0"/>
        <v>Higher</v>
      </c>
      <c r="O7" s="1" t="str">
        <f t="shared" si="1"/>
        <v>Early Career | Medium Spender | Higher</v>
      </c>
    </row>
    <row r="8" spans="1:17" x14ac:dyDescent="0.25">
      <c r="A8" s="1" t="s">
        <v>28</v>
      </c>
      <c r="B8" s="1">
        <v>38</v>
      </c>
      <c r="C8" s="1" t="str" cm="1">
        <f t="array" ref="C8">_xlfn.IFS(OR(B8=" ", B8="NA",NOT(ISNUMBER(B8))), "Unknown",B8&lt;18,"Underage",B8&lt;=24,"Young Adult",B8&lt;=34,"Early Career",B8&lt;=44,"Mid Career",B8&lt;=54,"Mature",B8&lt;=65,"Pre-Senior",B8&gt;65,"Senior")</f>
        <v>Mid Career</v>
      </c>
      <c r="D8" s="1" t="s">
        <v>29</v>
      </c>
      <c r="E8" s="1" t="s">
        <v>23</v>
      </c>
      <c r="F8" s="1">
        <v>1375000</v>
      </c>
      <c r="G8" s="1">
        <v>71</v>
      </c>
      <c r="H8" s="1" t="str" cm="1">
        <f t="array" ref="H8">_xlfn.IFS( OR(G8=" ",NOT(ISNUMBER(G8))),"Unknown",G8&lt;=33,"Low Spender",G8&lt;=66,"Medium Spender",TRUE, "High Spender")</f>
        <v>High Spender</v>
      </c>
      <c r="I8" s="1">
        <v>62</v>
      </c>
      <c r="J8" s="1">
        <v>3300</v>
      </c>
      <c r="K8" s="1">
        <v>300</v>
      </c>
      <c r="L8" s="1" t="s">
        <v>20</v>
      </c>
      <c r="M8" s="1" t="s">
        <v>30</v>
      </c>
      <c r="N8" s="1" t="str">
        <f t="shared" si="0"/>
        <v>Higher</v>
      </c>
      <c r="O8" s="1" t="str">
        <f t="shared" si="1"/>
        <v>Mid Career | High Spender | Higher</v>
      </c>
      <c r="Q8" s="1">
        <f>_xlfn.PERCENTILE.INC(G2:G3501,0.33)</f>
        <v>33</v>
      </c>
    </row>
    <row r="9" spans="1:17" x14ac:dyDescent="0.25">
      <c r="A9" s="1" t="s">
        <v>31</v>
      </c>
      <c r="B9" s="1">
        <v>56</v>
      </c>
      <c r="C9" s="1" t="str" cm="1">
        <f t="array" ref="C9">_xlfn.IFS(OR(B9=" ", B9="NA",NOT(ISNUMBER(B9))), "Unknown",B9&lt;18,"Underage",B9&lt;=24,"Young Adult",B9&lt;=34,"Early Career",B9&lt;=44,"Mid Career",B9&lt;=54,"Mature",B9&lt;=65,"Pre-Senior",B9&gt;65,"Senior")</f>
        <v>Pre-Senior</v>
      </c>
      <c r="F9" s="1">
        <v>1850000</v>
      </c>
      <c r="G9" s="1">
        <v>100</v>
      </c>
      <c r="H9" s="1" t="str" cm="1">
        <f t="array" ref="H9">_xlfn.IFS( OR(G9=" ",NOT(ISNUMBER(G9))),"Unknown",G9&lt;=33,"Low Spender",G9&lt;=66,"Medium Spender",TRUE, "High Spender")</f>
        <v>High Spender</v>
      </c>
      <c r="I9" s="1">
        <v>58</v>
      </c>
      <c r="J9" s="1">
        <v>6800</v>
      </c>
      <c r="K9" s="1">
        <v>327</v>
      </c>
      <c r="M9" s="1" t="s">
        <v>32</v>
      </c>
      <c r="N9" s="1" t="str">
        <f t="shared" si="0"/>
        <v>Lower</v>
      </c>
      <c r="O9" s="1" t="str">
        <f t="shared" si="1"/>
        <v>Pre-Senior | High Spender | Lower</v>
      </c>
      <c r="Q9" s="1">
        <f>_xlfn.PERCENTILE.INC(G2:G3501,0.66)</f>
        <v>66</v>
      </c>
    </row>
    <row r="10" spans="1:17" x14ac:dyDescent="0.25">
      <c r="A10" s="1" t="s">
        <v>33</v>
      </c>
      <c r="B10" s="1">
        <v>36</v>
      </c>
      <c r="C10" s="1" t="str" cm="1">
        <f t="array" ref="C10">_xlfn.IFS(OR(B10=" ", B10="NA",NOT(ISNUMBER(B10))), "Unknown",B10&lt;18,"Underage",B10&lt;=24,"Young Adult",B10&lt;=34,"Early Career",B10&lt;=44,"Mid Career",B10&lt;=54,"Mature",B10&lt;=65,"Pre-Senior",B10&gt;65,"Senior")</f>
        <v>Mid Career</v>
      </c>
      <c r="E10" s="1" t="s">
        <v>34</v>
      </c>
      <c r="F10" s="1">
        <v>1875000</v>
      </c>
      <c r="G10" s="1">
        <v>25</v>
      </c>
      <c r="H10" s="1" t="str" cm="1">
        <f t="array" ref="H10">_xlfn.IFS( OR(G10=" ",NOT(ISNUMBER(G10))),"Unknown",G10&lt;=33,"Low Spender",G10&lt;=66,"Medium Spender",TRUE, "High Spender")</f>
        <v>Low Spender</v>
      </c>
      <c r="I10" s="1">
        <v>18</v>
      </c>
      <c r="J10" s="1">
        <v>2000</v>
      </c>
      <c r="K10" s="1">
        <v>18</v>
      </c>
      <c r="L10" s="1" t="s">
        <v>35</v>
      </c>
      <c r="N10" s="1" t="str">
        <f t="shared" si="0"/>
        <v>Lower</v>
      </c>
      <c r="O10" s="1" t="str">
        <f t="shared" si="1"/>
        <v>Mid Career | Low Spender | Lower</v>
      </c>
    </row>
    <row r="11" spans="1:17" x14ac:dyDescent="0.25">
      <c r="A11" s="1" t="s">
        <v>36</v>
      </c>
      <c r="B11" s="1">
        <v>40</v>
      </c>
      <c r="C11" s="1" t="str" cm="1">
        <f t="array" ref="C11">_xlfn.IFS(OR(B11=" ", B11="NA",NOT(ISNUMBER(B11))), "Unknown",B11&lt;18,"Underage",B11&lt;=24,"Young Adult",B11&lt;=34,"Early Career",B11&lt;=44,"Mid Career",B11&lt;=54,"Mature",B11&lt;=65,"Pre-Senior",B11&gt;65,"Senior")</f>
        <v>Mid Career</v>
      </c>
      <c r="D11" s="1" t="s">
        <v>29</v>
      </c>
      <c r="E11" s="1" t="s">
        <v>19</v>
      </c>
      <c r="F11" s="1">
        <v>875000</v>
      </c>
      <c r="G11" s="1">
        <v>11</v>
      </c>
      <c r="H11" s="1" t="str" cm="1">
        <f t="array" ref="H11">_xlfn.IFS( OR(G11=" ",NOT(ISNUMBER(G11))),"Unknown",G11&lt;=33,"Low Spender",G11&lt;=66,"Medium Spender",TRUE, "High Spender")</f>
        <v>Low Spender</v>
      </c>
      <c r="I11" s="1">
        <v>59</v>
      </c>
      <c r="J11" s="1">
        <v>10800</v>
      </c>
      <c r="K11" s="1">
        <v>83</v>
      </c>
      <c r="L11" s="1" t="s">
        <v>37</v>
      </c>
      <c r="N11" s="1" t="str">
        <f t="shared" si="0"/>
        <v>Higher</v>
      </c>
      <c r="O11" s="1" t="str">
        <f t="shared" si="1"/>
        <v>Mid Career | Low Spender | Higher</v>
      </c>
      <c r="Q11" s="1">
        <f>COUNTIFS(C2:C3501,"Young Adult")</f>
        <v>433</v>
      </c>
    </row>
    <row r="12" spans="1:17" x14ac:dyDescent="0.25">
      <c r="A12" s="1" t="s">
        <v>38</v>
      </c>
      <c r="B12" s="1">
        <v>28</v>
      </c>
      <c r="C12" s="1" t="str" cm="1">
        <f t="array" ref="C12">_xlfn.IFS(OR(B12=" ", B12="NA",NOT(ISNUMBER(B12))), "Unknown",B12&lt;18,"Underage",B12&lt;=24,"Young Adult",B12&lt;=34,"Early Career",B12&lt;=44,"Mid Career",B12&lt;=54,"Mature",B12&lt;=65,"Pre-Senior",B12&gt;65,"Senior")</f>
        <v>Early Career</v>
      </c>
      <c r="D12" s="1" t="s">
        <v>29</v>
      </c>
      <c r="E12" s="1" t="s">
        <v>19</v>
      </c>
      <c r="F12" s="1">
        <v>550000</v>
      </c>
      <c r="G12" s="1">
        <v>44</v>
      </c>
      <c r="H12" s="1" t="str" cm="1">
        <f t="array" ref="H12">_xlfn.IFS( OR(G12=" ",NOT(ISNUMBER(G12))),"Unknown",G12&lt;=33,"Low Spender",G12&lt;=66,"Medium Spender",TRUE, "High Spender")</f>
        <v>Medium Spender</v>
      </c>
      <c r="I12" s="1">
        <v>48</v>
      </c>
      <c r="J12" s="1">
        <v>3000</v>
      </c>
      <c r="K12" s="1">
        <v>335</v>
      </c>
      <c r="M12" s="1" t="s">
        <v>30</v>
      </c>
      <c r="N12" s="1" t="str">
        <f t="shared" si="0"/>
        <v>Higher</v>
      </c>
      <c r="O12" s="1" t="str">
        <f t="shared" si="1"/>
        <v>Early Career | Medium Spender | Higher</v>
      </c>
      <c r="Q12" s="1">
        <f>COUNTIFS(C2:C3501,"Early Career")</f>
        <v>622</v>
      </c>
    </row>
    <row r="13" spans="1:17" x14ac:dyDescent="0.25">
      <c r="A13" s="1" t="s">
        <v>39</v>
      </c>
      <c r="B13" s="1">
        <v>28</v>
      </c>
      <c r="C13" s="1" t="str" cm="1">
        <f t="array" ref="C13">_xlfn.IFS(OR(B13=" ", B13="NA",NOT(ISNUMBER(B13))), "Unknown",B13&lt;18,"Underage",B13&lt;=24,"Young Adult",B13&lt;=34,"Early Career",B13&lt;=44,"Mid Career",B13&lt;=54,"Mature",B13&lt;=65,"Pre-Senior",B13&gt;65,"Senior")</f>
        <v>Early Career</v>
      </c>
      <c r="D13" s="1" t="s">
        <v>18</v>
      </c>
      <c r="E13" s="1" t="s">
        <v>19</v>
      </c>
      <c r="G13" s="1">
        <v>14</v>
      </c>
      <c r="H13" s="1" t="str" cm="1">
        <f t="array" ref="H13">_xlfn.IFS( OR(G13=" ",NOT(ISNUMBER(G13))),"Unknown",G13&lt;=33,"Low Spender",G13&lt;=66,"Medium Spender",TRUE, "High Spender")</f>
        <v>Low Spender</v>
      </c>
      <c r="I13" s="1">
        <v>63</v>
      </c>
      <c r="J13" s="1">
        <v>7000</v>
      </c>
      <c r="K13" s="1">
        <v>231</v>
      </c>
      <c r="L13" s="1" t="s">
        <v>35</v>
      </c>
      <c r="N13" s="1" t="str">
        <f t="shared" si="0"/>
        <v>Higher</v>
      </c>
      <c r="O13" s="1" t="str">
        <f t="shared" si="1"/>
        <v>Early Career | Low Spender | Higher</v>
      </c>
      <c r="Q13" s="1">
        <f>COUNTIFS(C2:C3501,"Mid Career")</f>
        <v>647</v>
      </c>
    </row>
    <row r="14" spans="1:17" x14ac:dyDescent="0.25">
      <c r="A14" s="1" t="s">
        <v>40</v>
      </c>
      <c r="B14" s="1">
        <v>41</v>
      </c>
      <c r="C14" s="1" t="str" cm="1">
        <f t="array" ref="C14">_xlfn.IFS(OR(B14=" ", B14="NA",NOT(ISNUMBER(B14))), "Unknown",B14&lt;18,"Underage",B14&lt;=24,"Young Adult",B14&lt;=34,"Early Career",B14&lt;=44,"Mid Career",B14&lt;=54,"Mature",B14&lt;=65,"Pre-Senior",B14&gt;65,"Senior")</f>
        <v>Mid Career</v>
      </c>
      <c r="E14" s="1" t="s">
        <v>13</v>
      </c>
      <c r="F14" s="1">
        <v>625000</v>
      </c>
      <c r="G14" s="1">
        <v>29</v>
      </c>
      <c r="H14" s="1" t="str" cm="1">
        <f t="array" ref="H14">_xlfn.IFS( OR(G14=" ",NOT(ISNUMBER(G14))),"Unknown",G14&lt;=33,"Low Spender",G14&lt;=66,"Medium Spender",TRUE, "High Spender")</f>
        <v>Low Spender</v>
      </c>
      <c r="I14" s="1">
        <v>12</v>
      </c>
      <c r="J14" s="1">
        <v>6700</v>
      </c>
      <c r="K14" s="1">
        <v>342</v>
      </c>
      <c r="L14" s="1" t="s">
        <v>16</v>
      </c>
      <c r="M14" s="1" t="s">
        <v>41</v>
      </c>
      <c r="N14" s="1" t="str">
        <f t="shared" si="0"/>
        <v>Lower</v>
      </c>
      <c r="O14" s="1" t="str">
        <f t="shared" si="1"/>
        <v>Mid Career | Low Spender | Lower</v>
      </c>
      <c r="Q14" s="1">
        <f>COUNTIFS(C2:C3501,"Mature")</f>
        <v>680</v>
      </c>
    </row>
    <row r="15" spans="1:17" x14ac:dyDescent="0.25">
      <c r="A15" s="1" t="s">
        <v>42</v>
      </c>
      <c r="C15" s="1" t="str" cm="1">
        <f t="array" ref="C15">_xlfn.IFS(OR(B15=" ", B15="NA",NOT(ISNUMBER(B15))), "Unknown",B15&lt;18,"Underage",B15&lt;=24,"Young Adult",B15&lt;=34,"Early Career",B15&lt;=44,"Mid Career",B15&lt;=54,"Mature",B15&lt;=65,"Pre-Senior",B15&gt;65,"Senior")</f>
        <v>Unknown</v>
      </c>
      <c r="F15" s="1">
        <v>1325000</v>
      </c>
      <c r="G15" s="1">
        <v>74</v>
      </c>
      <c r="H15" s="1" t="str" cm="1">
        <f t="array" ref="H15">_xlfn.IFS( OR(G15=" ",NOT(ISNUMBER(G15))),"Unknown",G15&lt;=33,"Low Spender",G15&lt;=66,"Medium Spender",TRUE, "High Spender")</f>
        <v>High Spender</v>
      </c>
      <c r="I15" s="1">
        <v>34</v>
      </c>
      <c r="J15" s="1">
        <v>11300</v>
      </c>
      <c r="K15" s="1">
        <v>253</v>
      </c>
      <c r="L15" s="1" t="s">
        <v>35</v>
      </c>
      <c r="N15" s="1" t="str">
        <f t="shared" si="0"/>
        <v>Lower</v>
      </c>
      <c r="O15" s="1" t="str">
        <f t="shared" si="1"/>
        <v>Unknown | High Spender | Lower</v>
      </c>
      <c r="Q15" s="1">
        <f>COUNTIFS(C2:C3501,"Pre-Senior")</f>
        <v>654</v>
      </c>
    </row>
    <row r="16" spans="1:17" x14ac:dyDescent="0.25">
      <c r="A16" s="1" t="s">
        <v>43</v>
      </c>
      <c r="B16" s="1">
        <v>53</v>
      </c>
      <c r="C16" s="1" t="str" cm="1">
        <f t="array" ref="C16">_xlfn.IFS(OR(B16=" ", B16="NA",NOT(ISNUMBER(B16))), "Unknown",B16&lt;18,"Underage",B16&lt;=24,"Young Adult",B16&lt;=34,"Early Career",B16&lt;=44,"Mid Career",B16&lt;=54,"Mature",B16&lt;=65,"Pre-Senior",B16&gt;65,"Senior")</f>
        <v>Mature</v>
      </c>
      <c r="E16" s="1" t="s">
        <v>23</v>
      </c>
      <c r="F16" s="1">
        <v>1950000</v>
      </c>
      <c r="G16" s="1">
        <v>50</v>
      </c>
      <c r="H16" s="1" t="str" cm="1">
        <f t="array" ref="H16">_xlfn.IFS( OR(G16=" ",NOT(ISNUMBER(G16))),"Unknown",G16&lt;=33,"Low Spender",G16&lt;=66,"Medium Spender",TRUE, "High Spender")</f>
        <v>Medium Spender</v>
      </c>
      <c r="I16" s="1">
        <v>61</v>
      </c>
      <c r="J16" s="1">
        <v>10800</v>
      </c>
      <c r="K16" s="1">
        <v>167</v>
      </c>
      <c r="L16" s="1" t="s">
        <v>20</v>
      </c>
      <c r="N16" s="1" t="str">
        <f t="shared" si="0"/>
        <v>Lower</v>
      </c>
      <c r="O16" s="1" t="str">
        <f t="shared" si="1"/>
        <v>Mature | Medium Spender | Lower</v>
      </c>
      <c r="Q16" s="1">
        <f>COUNTIFS(C2:C3501,"Senior")</f>
        <v>266</v>
      </c>
    </row>
    <row r="17" spans="1:15" x14ac:dyDescent="0.25">
      <c r="A17" s="1" t="s">
        <v>44</v>
      </c>
      <c r="B17" s="1">
        <v>57</v>
      </c>
      <c r="C17" s="1" t="str" cm="1">
        <f t="array" ref="C17">_xlfn.IFS(OR(B17=" ", B17="NA",NOT(ISNUMBER(B17))), "Unknown",B17&lt;18,"Underage",B17&lt;=24,"Young Adult",B17&lt;=34,"Early Career",B17&lt;=44,"Mid Career",B17&lt;=54,"Mature",B17&lt;=65,"Pre-Senior",B17&gt;65,"Senior")</f>
        <v>Pre-Senior</v>
      </c>
      <c r="D17" s="1" t="s">
        <v>18</v>
      </c>
      <c r="E17" s="1" t="s">
        <v>34</v>
      </c>
      <c r="F17" s="1">
        <v>175000</v>
      </c>
      <c r="G17" s="1">
        <v>5</v>
      </c>
      <c r="H17" s="1" t="str" cm="1">
        <f t="array" ref="H17">_xlfn.IFS( OR(G17=" ",NOT(ISNUMBER(G17))),"Unknown",G17&lt;=33,"Low Spender",G17&lt;=66,"Medium Spender",TRUE, "High Spender")</f>
        <v>Low Spender</v>
      </c>
      <c r="I17" s="1">
        <v>53</v>
      </c>
      <c r="J17" s="1">
        <v>11600</v>
      </c>
      <c r="K17" s="1">
        <v>42</v>
      </c>
      <c r="N17" s="1" t="str">
        <f t="shared" si="0"/>
        <v>Higher</v>
      </c>
      <c r="O17" s="1" t="str">
        <f t="shared" si="1"/>
        <v>Pre-Senior | Low Spender | Higher</v>
      </c>
    </row>
    <row r="18" spans="1:15" x14ac:dyDescent="0.25">
      <c r="A18" s="1" t="s">
        <v>45</v>
      </c>
      <c r="B18" s="1">
        <v>41</v>
      </c>
      <c r="C18" s="1" t="str" cm="1">
        <f t="array" ref="C18">_xlfn.IFS(OR(B18=" ", B18="NA",NOT(ISNUMBER(B18))), "Unknown",B18&lt;18,"Underage",B18&lt;=24,"Young Adult",B18&lt;=34,"Early Career",B18&lt;=44,"Mid Career",B18&lt;=54,"Mature",B18&lt;=65,"Pre-Senior",B18&gt;65,"Senior")</f>
        <v>Mid Career</v>
      </c>
      <c r="D18" s="1" t="s">
        <v>29</v>
      </c>
      <c r="F18" s="1">
        <v>1050000</v>
      </c>
      <c r="G18" s="1">
        <v>72</v>
      </c>
      <c r="H18" s="1" t="str" cm="1">
        <f t="array" ref="H18">_xlfn.IFS( OR(G18=" ",NOT(ISNUMBER(G18))),"Unknown",G18&lt;=33,"Low Spender",G18&lt;=66,"Medium Spender",TRUE, "High Spender")</f>
        <v>High Spender</v>
      </c>
      <c r="I18" s="1">
        <v>25</v>
      </c>
      <c r="J18" s="1">
        <v>8200</v>
      </c>
      <c r="K18" s="1">
        <v>249</v>
      </c>
      <c r="L18" s="1" t="s">
        <v>35</v>
      </c>
      <c r="N18" s="1" t="str">
        <f t="shared" si="0"/>
        <v>Higher</v>
      </c>
      <c r="O18" s="1" t="str">
        <f t="shared" si="1"/>
        <v>Mid Career | High Spender | Higher</v>
      </c>
    </row>
    <row r="19" spans="1:15" x14ac:dyDescent="0.25">
      <c r="A19" s="1" t="s">
        <v>46</v>
      </c>
      <c r="B19" s="1">
        <v>20</v>
      </c>
      <c r="C19" s="1" t="str" cm="1">
        <f t="array" ref="C19">_xlfn.IFS(OR(B19=" ", B19="NA",NOT(ISNUMBER(B19))), "Unknown",B19&lt;18,"Underage",B19&lt;=24,"Young Adult",B19&lt;=34,"Early Career",B19&lt;=44,"Mid Career",B19&lt;=54,"Mature",B19&lt;=65,"Pre-Senior",B19&gt;65,"Senior")</f>
        <v>Young Adult</v>
      </c>
      <c r="D19" s="1" t="s">
        <v>18</v>
      </c>
      <c r="E19" s="1" t="s">
        <v>15</v>
      </c>
      <c r="F19" s="1">
        <v>150000</v>
      </c>
      <c r="G19" s="1">
        <v>69</v>
      </c>
      <c r="H19" s="1" t="str" cm="1">
        <f t="array" ref="H19">_xlfn.IFS( OR(G19=" ",NOT(ISNUMBER(G19))),"Unknown",G19&lt;=33,"Low Spender",G19&lt;=66,"Medium Spender",TRUE, "High Spender")</f>
        <v>High Spender</v>
      </c>
      <c r="I19" s="1">
        <v>62</v>
      </c>
      <c r="J19" s="1">
        <v>4700</v>
      </c>
      <c r="K19" s="1">
        <v>248</v>
      </c>
      <c r="L19" s="1" t="s">
        <v>35</v>
      </c>
      <c r="N19" s="1" t="str">
        <f t="shared" si="0"/>
        <v>Higher</v>
      </c>
      <c r="O19" s="1" t="str">
        <f t="shared" si="1"/>
        <v>Young Adult | High Spender | Higher</v>
      </c>
    </row>
    <row r="20" spans="1:15" x14ac:dyDescent="0.25">
      <c r="A20" s="1" t="s">
        <v>47</v>
      </c>
      <c r="B20" s="1">
        <v>39</v>
      </c>
      <c r="C20" s="1" t="str" cm="1">
        <f t="array" ref="C20">_xlfn.IFS(OR(B20=" ", B20="NA",NOT(ISNUMBER(B20))), "Unknown",B20&lt;18,"Underage",B20&lt;=24,"Young Adult",B20&lt;=34,"Early Career",B20&lt;=44,"Mid Career",B20&lt;=54,"Mature",B20&lt;=65,"Pre-Senior",B20&gt;65,"Senior")</f>
        <v>Mid Career</v>
      </c>
      <c r="D20" s="1" t="s">
        <v>12</v>
      </c>
      <c r="E20" s="1" t="s">
        <v>27</v>
      </c>
      <c r="F20" s="1">
        <v>225000</v>
      </c>
      <c r="G20" s="1">
        <v>88</v>
      </c>
      <c r="H20" s="1" t="str" cm="1">
        <f t="array" ref="H20">_xlfn.IFS( OR(G20=" ",NOT(ISNUMBER(G20))),"Unknown",G20&lt;=33,"Low Spender",G20&lt;=66,"Medium Spender",TRUE, "High Spender")</f>
        <v>High Spender</v>
      </c>
      <c r="I20" s="1">
        <v>4</v>
      </c>
      <c r="J20" s="1">
        <v>6000</v>
      </c>
      <c r="K20" s="1">
        <v>286</v>
      </c>
      <c r="M20" s="1" t="s">
        <v>32</v>
      </c>
      <c r="N20" s="1" t="str">
        <f t="shared" si="0"/>
        <v>Lower</v>
      </c>
      <c r="O20" s="1" t="str">
        <f t="shared" si="1"/>
        <v>Mid Career | High Spender | Lower</v>
      </c>
    </row>
    <row r="21" spans="1:15" x14ac:dyDescent="0.25">
      <c r="A21" s="1" t="s">
        <v>48</v>
      </c>
      <c r="C21" s="1" t="str" cm="1">
        <f t="array" ref="C21">_xlfn.IFS(OR(B21=" ", B21="NA",NOT(ISNUMBER(B21))), "Unknown",B21&lt;18,"Underage",B21&lt;=24,"Young Adult",B21&lt;=34,"Early Career",B21&lt;=44,"Mid Career",B21&lt;=54,"Mature",B21&lt;=65,"Pre-Senior",B21&gt;65,"Senior")</f>
        <v>Unknown</v>
      </c>
      <c r="D21" s="1" t="s">
        <v>12</v>
      </c>
      <c r="E21" s="1" t="s">
        <v>49</v>
      </c>
      <c r="F21" s="1">
        <v>1475000</v>
      </c>
      <c r="G21" s="1">
        <v>57</v>
      </c>
      <c r="H21" s="1" t="str" cm="1">
        <f t="array" ref="H21">_xlfn.IFS( OR(G21=" ",NOT(ISNUMBER(G21))),"Unknown",G21&lt;=33,"Low Spender",G21&lt;=66,"Medium Spender",TRUE, "High Spender")</f>
        <v>Medium Spender</v>
      </c>
      <c r="I21" s="1">
        <v>13</v>
      </c>
      <c r="J21" s="1">
        <v>4900</v>
      </c>
      <c r="K21" s="1">
        <v>20</v>
      </c>
      <c r="L21" s="1" t="s">
        <v>20</v>
      </c>
      <c r="M21" s="1" t="s">
        <v>41</v>
      </c>
      <c r="N21" s="1" t="str">
        <f t="shared" si="0"/>
        <v>Lower</v>
      </c>
      <c r="O21" s="1" t="str">
        <f t="shared" si="1"/>
        <v>Unknown | Medium Spender | Lower</v>
      </c>
    </row>
    <row r="22" spans="1:15" x14ac:dyDescent="0.25">
      <c r="A22" s="1" t="s">
        <v>50</v>
      </c>
      <c r="B22" s="1">
        <v>19</v>
      </c>
      <c r="C22" s="1" t="str" cm="1">
        <f t="array" ref="C22">_xlfn.IFS(OR(B22=" ", B22="NA",NOT(ISNUMBER(B22))), "Unknown",B22&lt;18,"Underage",B22&lt;=24,"Young Adult",B22&lt;=34,"Early Career",B22&lt;=44,"Mid Career",B22&lt;=54,"Mature",B22&lt;=65,"Pre-Senior",B22&gt;65,"Senior")</f>
        <v>Young Adult</v>
      </c>
      <c r="D22" s="1" t="s">
        <v>18</v>
      </c>
      <c r="F22" s="1">
        <v>750000</v>
      </c>
      <c r="G22" s="1">
        <v>26</v>
      </c>
      <c r="H22" s="1" t="str" cm="1">
        <f t="array" ref="H22">_xlfn.IFS( OR(G22=" ",NOT(ISNUMBER(G22))),"Unknown",G22&lt;=33,"Low Spender",G22&lt;=66,"Medium Spender",TRUE, "High Spender")</f>
        <v>Low Spender</v>
      </c>
      <c r="I22" s="1">
        <v>42</v>
      </c>
      <c r="J22" s="1">
        <v>6800</v>
      </c>
      <c r="K22" s="1">
        <v>352</v>
      </c>
      <c r="L22" s="1" t="s">
        <v>37</v>
      </c>
      <c r="N22" s="1" t="str">
        <f t="shared" si="0"/>
        <v>Higher</v>
      </c>
      <c r="O22" s="1" t="str">
        <f t="shared" si="1"/>
        <v>Young Adult | Low Spender | Higher</v>
      </c>
    </row>
    <row r="23" spans="1:15" x14ac:dyDescent="0.25">
      <c r="A23" s="1" t="s">
        <v>51</v>
      </c>
      <c r="B23" s="1">
        <v>41</v>
      </c>
      <c r="C23" s="1" t="str" cm="1">
        <f t="array" ref="C23">_xlfn.IFS(OR(B23=" ", B23="NA",NOT(ISNUMBER(B23))), "Unknown",B23&lt;18,"Underage",B23&lt;=24,"Young Adult",B23&lt;=34,"Early Career",B23&lt;=44,"Mid Career",B23&lt;=54,"Mature",B23&lt;=65,"Pre-Senior",B23&gt;65,"Senior")</f>
        <v>Mid Career</v>
      </c>
      <c r="E23" s="1" t="s">
        <v>15</v>
      </c>
      <c r="F23" s="1">
        <v>200000</v>
      </c>
      <c r="G23" s="1">
        <v>6</v>
      </c>
      <c r="H23" s="1" t="str" cm="1">
        <f t="array" ref="H23">_xlfn.IFS( OR(G23=" ",NOT(ISNUMBER(G23))),"Unknown",G23&lt;=33,"Low Spender",G23&lt;=66,"Medium Spender",TRUE, "High Spender")</f>
        <v>Low Spender</v>
      </c>
      <c r="I23" s="1">
        <v>49</v>
      </c>
      <c r="J23" s="1">
        <v>5400</v>
      </c>
      <c r="K23" s="1">
        <v>42</v>
      </c>
      <c r="L23" s="1" t="s">
        <v>35</v>
      </c>
      <c r="M23" s="1" t="s">
        <v>21</v>
      </c>
      <c r="N23" s="1" t="str">
        <f t="shared" si="0"/>
        <v>Lower</v>
      </c>
      <c r="O23" s="1" t="str">
        <f t="shared" si="1"/>
        <v>Mid Career | Low Spender | Lower</v>
      </c>
    </row>
    <row r="24" spans="1:15" x14ac:dyDescent="0.25">
      <c r="A24" s="1" t="s">
        <v>52</v>
      </c>
      <c r="B24" s="1">
        <v>61</v>
      </c>
      <c r="C24" s="1" t="str" cm="1">
        <f t="array" ref="C24">_xlfn.IFS(OR(B24=" ", B24="NA",NOT(ISNUMBER(B24))), "Unknown",B24&lt;18,"Underage",B24&lt;=24,"Young Adult",B24&lt;=34,"Early Career",B24&lt;=44,"Mid Career",B24&lt;=54,"Mature",B24&lt;=65,"Pre-Senior",B24&gt;65,"Senior")</f>
        <v>Pre-Senior</v>
      </c>
      <c r="D24" s="1" t="s">
        <v>29</v>
      </c>
      <c r="E24" s="1" t="s">
        <v>34</v>
      </c>
      <c r="F24" s="1">
        <v>350000</v>
      </c>
      <c r="G24" s="1">
        <v>16</v>
      </c>
      <c r="H24" s="1" t="str" cm="1">
        <f t="array" ref="H24">_xlfn.IFS( OR(G24=" ",NOT(ISNUMBER(G24))),"Unknown",G24&lt;=33,"Low Spender",G24&lt;=66,"Medium Spender",TRUE, "High Spender")</f>
        <v>Low Spender</v>
      </c>
      <c r="I24" s="1">
        <v>78</v>
      </c>
      <c r="J24" s="1">
        <v>3800</v>
      </c>
      <c r="K24" s="1">
        <v>345</v>
      </c>
      <c r="N24" s="1" t="str">
        <f t="shared" si="0"/>
        <v>Higher</v>
      </c>
      <c r="O24" s="1" t="str">
        <f t="shared" si="1"/>
        <v>Pre-Senior | Low Spender | Higher</v>
      </c>
    </row>
    <row r="25" spans="1:15" x14ac:dyDescent="0.25">
      <c r="A25" s="1" t="s">
        <v>53</v>
      </c>
      <c r="B25" s="1">
        <v>47</v>
      </c>
      <c r="C25" s="1" t="str" cm="1">
        <f t="array" ref="C25">_xlfn.IFS(OR(B25=" ", B25="NA",NOT(ISNUMBER(B25))), "Unknown",B25&lt;18,"Underage",B25&lt;=24,"Young Adult",B25&lt;=34,"Early Career",B25&lt;=44,"Mid Career",B25&lt;=54,"Mature",B25&lt;=65,"Pre-Senior",B25&gt;65,"Senior")</f>
        <v>Mature</v>
      </c>
      <c r="D25" s="1" t="s">
        <v>18</v>
      </c>
      <c r="E25" s="1" t="s">
        <v>49</v>
      </c>
      <c r="G25" s="1">
        <v>60</v>
      </c>
      <c r="H25" s="1" t="str" cm="1">
        <f t="array" ref="H25">_xlfn.IFS( OR(G25=" ",NOT(ISNUMBER(G25))),"Unknown",G25&lt;=33,"Low Spender",G25&lt;=66,"Medium Spender",TRUE, "High Spender")</f>
        <v>Medium Spender</v>
      </c>
      <c r="I25" s="1">
        <v>56</v>
      </c>
      <c r="J25" s="1">
        <v>300</v>
      </c>
      <c r="K25" s="1">
        <v>87</v>
      </c>
      <c r="L25" s="1" t="s">
        <v>16</v>
      </c>
      <c r="M25" s="1" t="s">
        <v>41</v>
      </c>
      <c r="N25" s="1" t="str">
        <f t="shared" si="0"/>
        <v>Higher</v>
      </c>
      <c r="O25" s="1" t="str">
        <f t="shared" si="1"/>
        <v>Mature | Medium Spender | Higher</v>
      </c>
    </row>
    <row r="26" spans="1:15" x14ac:dyDescent="0.25">
      <c r="A26" s="1" t="s">
        <v>54</v>
      </c>
      <c r="B26" s="1">
        <v>55</v>
      </c>
      <c r="C26" s="1" t="str" cm="1">
        <f t="array" ref="C26">_xlfn.IFS(OR(B26=" ", B26="NA",NOT(ISNUMBER(B26))), "Unknown",B26&lt;18,"Underage",B26&lt;=24,"Young Adult",B26&lt;=34,"Early Career",B26&lt;=44,"Mid Career",B26&lt;=54,"Mature",B26&lt;=65,"Pre-Senior",B26&gt;65,"Senior")</f>
        <v>Pre-Senior</v>
      </c>
      <c r="D26" s="1" t="s">
        <v>18</v>
      </c>
      <c r="E26" s="1" t="s">
        <v>49</v>
      </c>
      <c r="F26" s="1">
        <v>1975000</v>
      </c>
      <c r="G26" s="1">
        <v>100</v>
      </c>
      <c r="H26" s="1" t="str" cm="1">
        <f t="array" ref="H26">_xlfn.IFS( OR(G26=" ",NOT(ISNUMBER(G26))),"Unknown",G26&lt;=33,"Low Spender",G26&lt;=66,"Medium Spender",TRUE, "High Spender")</f>
        <v>High Spender</v>
      </c>
      <c r="I26" s="1">
        <v>47</v>
      </c>
      <c r="J26" s="1">
        <v>4100</v>
      </c>
      <c r="K26" s="1">
        <v>261</v>
      </c>
      <c r="L26" s="1" t="s">
        <v>20</v>
      </c>
      <c r="M26" s="1" t="s">
        <v>32</v>
      </c>
      <c r="N26" s="1" t="str">
        <f t="shared" si="0"/>
        <v>Higher</v>
      </c>
      <c r="O26" s="1" t="str">
        <f t="shared" si="1"/>
        <v>Pre-Senior | High Spender | Higher</v>
      </c>
    </row>
    <row r="27" spans="1:15" x14ac:dyDescent="0.25">
      <c r="A27" s="1" t="s">
        <v>55</v>
      </c>
      <c r="B27" s="1">
        <v>19</v>
      </c>
      <c r="C27" s="1" t="str" cm="1">
        <f t="array" ref="C27">_xlfn.IFS(OR(B27=" ", B27="NA",NOT(ISNUMBER(B27))), "Unknown",B27&lt;18,"Underage",B27&lt;=24,"Young Adult",B27&lt;=34,"Early Career",B27&lt;=44,"Mid Career",B27&lt;=54,"Mature",B27&lt;=65,"Pre-Senior",B27&gt;65,"Senior")</f>
        <v>Young Adult</v>
      </c>
      <c r="D27" s="1" t="s">
        <v>18</v>
      </c>
      <c r="F27" s="1">
        <v>975000</v>
      </c>
      <c r="G27" s="1">
        <v>12</v>
      </c>
      <c r="H27" s="1" t="str" cm="1">
        <f t="array" ref="H27">_xlfn.IFS( OR(G27=" ",NOT(ISNUMBER(G27))),"Unknown",G27&lt;=33,"Low Spender",G27&lt;=66,"Medium Spender",TRUE, "High Spender")</f>
        <v>Low Spender</v>
      </c>
      <c r="I27" s="1">
        <v>8</v>
      </c>
      <c r="J27" s="1">
        <v>8900</v>
      </c>
      <c r="K27" s="1">
        <v>306</v>
      </c>
      <c r="L27" s="1" t="s">
        <v>20</v>
      </c>
      <c r="N27" s="1" t="str">
        <f t="shared" si="0"/>
        <v>Higher</v>
      </c>
      <c r="O27" s="1" t="str">
        <f t="shared" si="1"/>
        <v>Young Adult | Low Spender | Higher</v>
      </c>
    </row>
    <row r="28" spans="1:15" x14ac:dyDescent="0.25">
      <c r="A28" s="1" t="s">
        <v>56</v>
      </c>
      <c r="B28" s="1">
        <v>38</v>
      </c>
      <c r="C28" s="1" t="str" cm="1">
        <f t="array" ref="C28">_xlfn.IFS(OR(B28=" ", B28="NA",NOT(ISNUMBER(B28))), "Unknown",B28&lt;18,"Underage",B28&lt;=24,"Young Adult",B28&lt;=34,"Early Career",B28&lt;=44,"Mid Career",B28&lt;=54,"Mature",B28&lt;=65,"Pre-Senior",B28&gt;65,"Senior")</f>
        <v>Mid Career</v>
      </c>
      <c r="D28" s="1" t="s">
        <v>29</v>
      </c>
      <c r="E28" s="1" t="s">
        <v>19</v>
      </c>
      <c r="F28" s="1">
        <v>1200000</v>
      </c>
      <c r="G28" s="1">
        <v>75</v>
      </c>
      <c r="H28" s="1" t="str" cm="1">
        <f t="array" ref="H28">_xlfn.IFS( OR(G28=" ",NOT(ISNUMBER(G28))),"Unknown",G28&lt;=33,"Low Spender",G28&lt;=66,"Medium Spender",TRUE, "High Spender")</f>
        <v>High Spender</v>
      </c>
      <c r="I28" s="1">
        <v>55</v>
      </c>
      <c r="J28" s="1">
        <v>9200</v>
      </c>
      <c r="K28" s="1">
        <v>297</v>
      </c>
      <c r="L28" s="1" t="s">
        <v>35</v>
      </c>
      <c r="M28" s="1" t="s">
        <v>32</v>
      </c>
      <c r="N28" s="1" t="str">
        <f t="shared" si="0"/>
        <v>Higher</v>
      </c>
      <c r="O28" s="1" t="str">
        <f t="shared" si="1"/>
        <v>Mid Career | High Spender | Higher</v>
      </c>
    </row>
    <row r="29" spans="1:15" x14ac:dyDescent="0.25">
      <c r="A29" s="1" t="s">
        <v>57</v>
      </c>
      <c r="B29" s="1">
        <v>50</v>
      </c>
      <c r="C29" s="1" t="str" cm="1">
        <f t="array" ref="C29">_xlfn.IFS(OR(B29=" ", B29="NA",NOT(ISNUMBER(B29))), "Unknown",B29&lt;18,"Underage",B29&lt;=24,"Young Adult",B29&lt;=34,"Early Career",B29&lt;=44,"Mid Career",B29&lt;=54,"Mature",B29&lt;=65,"Pre-Senior",B29&gt;65,"Senior")</f>
        <v>Mature</v>
      </c>
      <c r="D29" s="1" t="s">
        <v>12</v>
      </c>
      <c r="E29" s="1" t="s">
        <v>58</v>
      </c>
      <c r="F29" s="1">
        <v>1975000</v>
      </c>
      <c r="G29" s="1">
        <v>3</v>
      </c>
      <c r="H29" s="1" t="str" cm="1">
        <f t="array" ref="H29">_xlfn.IFS( OR(G29=" ",NOT(ISNUMBER(G29))),"Unknown",G29&lt;=33,"Low Spender",G29&lt;=66,"Medium Spender",TRUE, "High Spender")</f>
        <v>Low Spender</v>
      </c>
      <c r="I29" s="1">
        <v>18</v>
      </c>
      <c r="J29" s="1">
        <v>7700</v>
      </c>
      <c r="K29" s="1">
        <v>350</v>
      </c>
      <c r="N29" s="1" t="str">
        <f t="shared" si="0"/>
        <v>Lower</v>
      </c>
      <c r="O29" s="1" t="str">
        <f t="shared" si="1"/>
        <v>Mature | Low Spender | Lower</v>
      </c>
    </row>
    <row r="30" spans="1:15" x14ac:dyDescent="0.25">
      <c r="A30" s="1" t="s">
        <v>59</v>
      </c>
      <c r="B30" s="1">
        <v>29</v>
      </c>
      <c r="C30" s="1" t="str" cm="1">
        <f t="array" ref="C30">_xlfn.IFS(OR(B30=" ", B30="NA",NOT(ISNUMBER(B30))), "Unknown",B30&lt;18,"Underage",B30&lt;=24,"Young Adult",B30&lt;=34,"Early Career",B30&lt;=44,"Mid Career",B30&lt;=54,"Mature",B30&lt;=65,"Pre-Senior",B30&gt;65,"Senior")</f>
        <v>Early Career</v>
      </c>
      <c r="E30" s="1" t="s">
        <v>34</v>
      </c>
      <c r="F30" s="1">
        <v>675000</v>
      </c>
      <c r="G30" s="1">
        <v>63</v>
      </c>
      <c r="H30" s="1" t="str" cm="1">
        <f t="array" ref="H30">_xlfn.IFS( OR(G30=" ",NOT(ISNUMBER(G30))),"Unknown",G30&lt;=33,"Low Spender",G30&lt;=66,"Medium Spender",TRUE, "High Spender")</f>
        <v>Medium Spender</v>
      </c>
      <c r="I30" s="1">
        <v>35</v>
      </c>
      <c r="J30" s="1">
        <v>10800</v>
      </c>
      <c r="K30" s="1">
        <v>240</v>
      </c>
      <c r="N30" s="1" t="str">
        <f t="shared" si="0"/>
        <v>Lower</v>
      </c>
      <c r="O30" s="1" t="str">
        <f t="shared" si="1"/>
        <v>Early Career | Medium Spender | Lower</v>
      </c>
    </row>
    <row r="31" spans="1:15" x14ac:dyDescent="0.25">
      <c r="A31" s="1" t="s">
        <v>60</v>
      </c>
      <c r="B31" s="1">
        <v>39</v>
      </c>
      <c r="C31" s="1" t="str" cm="1">
        <f t="array" ref="C31">_xlfn.IFS(OR(B31=" ", B31="NA",NOT(ISNUMBER(B31))), "Unknown",B31&lt;18,"Underage",B31&lt;=24,"Young Adult",B31&lt;=34,"Early Career",B31&lt;=44,"Mid Career",B31&lt;=54,"Mature",B31&lt;=65,"Pre-Senior",B31&gt;65,"Senior")</f>
        <v>Mid Career</v>
      </c>
      <c r="E31" s="1" t="s">
        <v>19</v>
      </c>
      <c r="F31" s="1">
        <v>1875000</v>
      </c>
      <c r="G31" s="1">
        <v>64</v>
      </c>
      <c r="H31" s="1" t="str" cm="1">
        <f t="array" ref="H31">_xlfn.IFS( OR(G31=" ",NOT(ISNUMBER(G31))),"Unknown",G31&lt;=33,"Low Spender",G31&lt;=66,"Medium Spender",TRUE, "High Spender")</f>
        <v>Medium Spender</v>
      </c>
      <c r="J31" s="1">
        <v>300</v>
      </c>
      <c r="K31" s="1">
        <v>167</v>
      </c>
      <c r="L31" s="1" t="s">
        <v>35</v>
      </c>
      <c r="M31" s="1" t="s">
        <v>21</v>
      </c>
      <c r="N31" s="1" t="str">
        <f t="shared" si="0"/>
        <v>Lower</v>
      </c>
      <c r="O31" s="1" t="str">
        <f t="shared" si="1"/>
        <v>Mid Career | Medium Spender | Lower</v>
      </c>
    </row>
    <row r="32" spans="1:15" x14ac:dyDescent="0.25">
      <c r="A32" s="1" t="s">
        <v>61</v>
      </c>
      <c r="B32" s="1">
        <v>61</v>
      </c>
      <c r="C32" s="1" t="str" cm="1">
        <f t="array" ref="C32">_xlfn.IFS(OR(B32=" ", B32="NA",NOT(ISNUMBER(B32))), "Unknown",B32&lt;18,"Underage",B32&lt;=24,"Young Adult",B32&lt;=34,"Early Career",B32&lt;=44,"Mid Career",B32&lt;=54,"Mature",B32&lt;=65,"Pre-Senior",B32&gt;65,"Senior")</f>
        <v>Pre-Senior</v>
      </c>
      <c r="D32" s="1" t="s">
        <v>18</v>
      </c>
      <c r="E32" s="1" t="s">
        <v>34</v>
      </c>
      <c r="F32" s="1">
        <v>175000</v>
      </c>
      <c r="G32" s="1">
        <v>62</v>
      </c>
      <c r="H32" s="1" t="str" cm="1">
        <f t="array" ref="H32">_xlfn.IFS( OR(G32=" ",NOT(ISNUMBER(G32))),"Unknown",G32&lt;=33,"Low Spender",G32&lt;=66,"Medium Spender",TRUE, "High Spender")</f>
        <v>Medium Spender</v>
      </c>
      <c r="I32" s="1">
        <v>32</v>
      </c>
      <c r="J32" s="1">
        <v>7700</v>
      </c>
      <c r="K32" s="1">
        <v>313</v>
      </c>
      <c r="L32" s="1" t="s">
        <v>35</v>
      </c>
      <c r="M32" s="1" t="s">
        <v>41</v>
      </c>
      <c r="N32" s="1" t="str">
        <f t="shared" si="0"/>
        <v>Higher</v>
      </c>
      <c r="O32" s="1" t="str">
        <f t="shared" si="1"/>
        <v>Pre-Senior | Medium Spender | Higher</v>
      </c>
    </row>
    <row r="33" spans="1:15" x14ac:dyDescent="0.25">
      <c r="A33" s="1" t="s">
        <v>62</v>
      </c>
      <c r="B33" s="1">
        <v>42</v>
      </c>
      <c r="C33" s="1" t="str" cm="1">
        <f t="array" ref="C33">_xlfn.IFS(OR(B33=" ", B33="NA",NOT(ISNUMBER(B33))), "Unknown",B33&lt;18,"Underage",B33&lt;=24,"Young Adult",B33&lt;=34,"Early Career",B33&lt;=44,"Mid Career",B33&lt;=54,"Mature",B33&lt;=65,"Pre-Senior",B33&gt;65,"Senior")</f>
        <v>Mid Career</v>
      </c>
      <c r="E33" s="1" t="s">
        <v>58</v>
      </c>
      <c r="F33" s="1">
        <v>1775000</v>
      </c>
      <c r="H33" s="1" t="str" cm="1">
        <f t="array" ref="H33">_xlfn.IFS( OR(G33=" ",NOT(ISNUMBER(G33))),"Unknown",G33&lt;=33,"Low Spender",G33&lt;=66,"Medium Spender",TRUE, "High Spender")</f>
        <v>Unknown</v>
      </c>
      <c r="I33" s="1">
        <v>24</v>
      </c>
      <c r="J33" s="1">
        <v>9000</v>
      </c>
      <c r="K33" s="1">
        <v>219</v>
      </c>
      <c r="M33" s="1" t="s">
        <v>21</v>
      </c>
      <c r="N33" s="1" t="str">
        <f t="shared" si="0"/>
        <v>Lower</v>
      </c>
      <c r="O33" s="1" t="str">
        <f t="shared" si="1"/>
        <v>Mid Career | Unknown | Lower</v>
      </c>
    </row>
    <row r="34" spans="1:15" x14ac:dyDescent="0.25">
      <c r="A34" s="1" t="s">
        <v>63</v>
      </c>
      <c r="B34" s="1">
        <v>66</v>
      </c>
      <c r="C34" s="1" t="str" cm="1">
        <f t="array" ref="C34">_xlfn.IFS(OR(B34=" ", B34="NA",NOT(ISNUMBER(B34))), "Unknown",B34&lt;18,"Underage",B34&lt;=24,"Young Adult",B34&lt;=34,"Early Career",B34&lt;=44,"Mid Career",B34&lt;=54,"Mature",B34&lt;=65,"Pre-Senior",B34&gt;65,"Senior")</f>
        <v>Senior</v>
      </c>
      <c r="E34" s="1" t="s">
        <v>27</v>
      </c>
      <c r="F34" s="1">
        <v>925000</v>
      </c>
      <c r="G34" s="1">
        <v>6</v>
      </c>
      <c r="H34" s="1" t="str" cm="1">
        <f t="array" ref="H34">_xlfn.IFS( OR(G34=" ",NOT(ISNUMBER(G34))),"Unknown",G34&lt;=33,"Low Spender",G34&lt;=66,"Medium Spender",TRUE, "High Spender")</f>
        <v>Low Spender</v>
      </c>
      <c r="I34" s="1">
        <v>7</v>
      </c>
      <c r="J34" s="1">
        <v>7600</v>
      </c>
      <c r="K34" s="1">
        <v>133</v>
      </c>
      <c r="L34" s="1" t="s">
        <v>16</v>
      </c>
      <c r="N34" s="1" t="str">
        <f t="shared" si="0"/>
        <v>Lower</v>
      </c>
      <c r="O34" s="1" t="str">
        <f t="shared" si="1"/>
        <v>Senior | Low Spender | Lower</v>
      </c>
    </row>
    <row r="35" spans="1:15" x14ac:dyDescent="0.25">
      <c r="A35" s="1" t="s">
        <v>64</v>
      </c>
      <c r="B35" s="1">
        <v>44</v>
      </c>
      <c r="C35" s="1" t="str" cm="1">
        <f t="array" ref="C35">_xlfn.IFS(OR(B35=" ", B35="NA",NOT(ISNUMBER(B35))), "Unknown",B35&lt;18,"Underage",B35&lt;=24,"Young Adult",B35&lt;=34,"Early Career",B35&lt;=44,"Mid Career",B35&lt;=54,"Mature",B35&lt;=65,"Pre-Senior",B35&gt;65,"Senior")</f>
        <v>Mid Career</v>
      </c>
      <c r="D35" s="1" t="s">
        <v>18</v>
      </c>
      <c r="E35" s="1" t="s">
        <v>58</v>
      </c>
      <c r="F35" s="1">
        <v>525000</v>
      </c>
      <c r="G35" s="1">
        <v>19</v>
      </c>
      <c r="H35" s="1" t="str" cm="1">
        <f t="array" ref="H35">_xlfn.IFS( OR(G35=" ",NOT(ISNUMBER(G35))),"Unknown",G35&lt;=33,"Low Spender",G35&lt;=66,"Medium Spender",TRUE, "High Spender")</f>
        <v>Low Spender</v>
      </c>
      <c r="I35" s="1">
        <v>13</v>
      </c>
      <c r="J35" s="1">
        <v>1600</v>
      </c>
      <c r="K35" s="1">
        <v>207</v>
      </c>
      <c r="M35" s="1" t="s">
        <v>30</v>
      </c>
      <c r="N35" s="1" t="str">
        <f t="shared" si="0"/>
        <v>Higher</v>
      </c>
      <c r="O35" s="1" t="str">
        <f t="shared" si="1"/>
        <v>Mid Career | Low Spender | Higher</v>
      </c>
    </row>
    <row r="36" spans="1:15" x14ac:dyDescent="0.25">
      <c r="A36" s="1" t="s">
        <v>65</v>
      </c>
      <c r="B36" s="1">
        <v>59</v>
      </c>
      <c r="C36" s="1" t="str" cm="1">
        <f t="array" ref="C36">_xlfn.IFS(OR(B36=" ", B36="NA",NOT(ISNUMBER(B36))), "Unknown",B36&lt;18,"Underage",B36&lt;=24,"Young Adult",B36&lt;=34,"Early Career",B36&lt;=44,"Mid Career",B36&lt;=54,"Mature",B36&lt;=65,"Pre-Senior",B36&gt;65,"Senior")</f>
        <v>Pre-Senior</v>
      </c>
      <c r="D36" s="1" t="s">
        <v>29</v>
      </c>
      <c r="G36" s="1">
        <v>18</v>
      </c>
      <c r="H36" s="1" t="str" cm="1">
        <f t="array" ref="H36">_xlfn.IFS( OR(G36=" ",NOT(ISNUMBER(G36))),"Unknown",G36&lt;=33,"Low Spender",G36&lt;=66,"Medium Spender",TRUE, "High Spender")</f>
        <v>Low Spender</v>
      </c>
      <c r="I36" s="1">
        <v>69</v>
      </c>
      <c r="J36" s="1">
        <v>8000</v>
      </c>
      <c r="K36" s="1">
        <v>51</v>
      </c>
      <c r="L36" s="1" t="s">
        <v>35</v>
      </c>
      <c r="M36" s="1" t="s">
        <v>41</v>
      </c>
      <c r="N36" s="1" t="str">
        <f t="shared" si="0"/>
        <v>Higher</v>
      </c>
      <c r="O36" s="1" t="str">
        <f t="shared" si="1"/>
        <v>Pre-Senior | Low Spender | Higher</v>
      </c>
    </row>
    <row r="37" spans="1:15" x14ac:dyDescent="0.25">
      <c r="A37" s="1" t="s">
        <v>66</v>
      </c>
      <c r="B37" s="1">
        <v>45</v>
      </c>
      <c r="C37" s="1" t="str" cm="1">
        <f t="array" ref="C37">_xlfn.IFS(OR(B37=" ", B37="NA",NOT(ISNUMBER(B37))), "Unknown",B37&lt;18,"Underage",B37&lt;=24,"Young Adult",B37&lt;=34,"Early Career",B37&lt;=44,"Mid Career",B37&lt;=54,"Mature",B37&lt;=65,"Pre-Senior",B37&gt;65,"Senior")</f>
        <v>Mature</v>
      </c>
      <c r="D37" s="1" t="s">
        <v>18</v>
      </c>
      <c r="F37" s="1">
        <v>150000</v>
      </c>
      <c r="G37" s="1">
        <v>80</v>
      </c>
      <c r="H37" s="1" t="str" cm="1">
        <f t="array" ref="H37">_xlfn.IFS( OR(G37=" ",NOT(ISNUMBER(G37))),"Unknown",G37&lt;=33,"Low Spender",G37&lt;=66,"Medium Spender",TRUE, "High Spender")</f>
        <v>High Spender</v>
      </c>
      <c r="I37" s="1">
        <v>42</v>
      </c>
      <c r="J37" s="1">
        <v>7300</v>
      </c>
      <c r="K37" s="1">
        <v>106</v>
      </c>
      <c r="L37" s="1" t="s">
        <v>37</v>
      </c>
      <c r="M37" s="1" t="s">
        <v>32</v>
      </c>
      <c r="N37" s="1" t="str">
        <f t="shared" si="0"/>
        <v>Higher</v>
      </c>
      <c r="O37" s="1" t="str">
        <f t="shared" si="1"/>
        <v>Mature | High Spender | Higher</v>
      </c>
    </row>
    <row r="38" spans="1:15" x14ac:dyDescent="0.25">
      <c r="A38" s="1" t="s">
        <v>67</v>
      </c>
      <c r="B38" s="1">
        <v>33</v>
      </c>
      <c r="C38" s="1" t="str" cm="1">
        <f t="array" ref="C38">_xlfn.IFS(OR(B38=" ", B38="NA",NOT(ISNUMBER(B38))), "Unknown",B38&lt;18,"Underage",B38&lt;=24,"Young Adult",B38&lt;=34,"Early Career",B38&lt;=44,"Mid Career",B38&lt;=54,"Mature",B38&lt;=65,"Pre-Senior",B38&gt;65,"Senior")</f>
        <v>Early Career</v>
      </c>
      <c r="D38" s="1" t="s">
        <v>29</v>
      </c>
      <c r="F38" s="1">
        <v>1925000</v>
      </c>
      <c r="G38" s="1">
        <v>87</v>
      </c>
      <c r="H38" s="1" t="str" cm="1">
        <f t="array" ref="H38">_xlfn.IFS( OR(G38=" ",NOT(ISNUMBER(G38))),"Unknown",G38&lt;=33,"Low Spender",G38&lt;=66,"Medium Spender",TRUE, "High Spender")</f>
        <v>High Spender</v>
      </c>
      <c r="I38" s="1">
        <v>31</v>
      </c>
      <c r="J38" s="1">
        <v>2500</v>
      </c>
      <c r="K38" s="1">
        <v>184</v>
      </c>
      <c r="N38" s="1" t="str">
        <f t="shared" si="0"/>
        <v>Higher</v>
      </c>
      <c r="O38" s="1" t="str">
        <f t="shared" si="1"/>
        <v>Early Career | High Spender | Higher</v>
      </c>
    </row>
    <row r="39" spans="1:15" x14ac:dyDescent="0.25">
      <c r="A39" s="1" t="s">
        <v>68</v>
      </c>
      <c r="B39" s="1">
        <v>32</v>
      </c>
      <c r="C39" s="1" t="str" cm="1">
        <f t="array" ref="C39">_xlfn.IFS(OR(B39=" ", B39="NA",NOT(ISNUMBER(B39))), "Unknown",B39&lt;18,"Underage",B39&lt;=24,"Young Adult",B39&lt;=34,"Early Career",B39&lt;=44,"Mid Career",B39&lt;=54,"Mature",B39&lt;=65,"Pre-Senior",B39&gt;65,"Senior")</f>
        <v>Early Career</v>
      </c>
      <c r="D39" s="1" t="s">
        <v>29</v>
      </c>
      <c r="E39" s="1" t="s">
        <v>15</v>
      </c>
      <c r="F39" s="1">
        <v>1325000</v>
      </c>
      <c r="G39" s="1">
        <v>43</v>
      </c>
      <c r="H39" s="1" t="str" cm="1">
        <f t="array" ref="H39">_xlfn.IFS( OR(G39=" ",NOT(ISNUMBER(G39))),"Unknown",G39&lt;=33,"Low Spender",G39&lt;=66,"Medium Spender",TRUE, "High Spender")</f>
        <v>Medium Spender</v>
      </c>
      <c r="I39" s="1">
        <v>74</v>
      </c>
      <c r="J39" s="1">
        <v>4500</v>
      </c>
      <c r="K39" s="1">
        <v>201</v>
      </c>
      <c r="L39" s="1" t="s">
        <v>16</v>
      </c>
      <c r="M39" s="1" t="s">
        <v>21</v>
      </c>
      <c r="N39" s="1" t="str">
        <f t="shared" si="0"/>
        <v>Higher</v>
      </c>
      <c r="O39" s="1" t="str">
        <f t="shared" si="1"/>
        <v>Early Career | Medium Spender | Higher</v>
      </c>
    </row>
    <row r="40" spans="1:15" x14ac:dyDescent="0.25">
      <c r="A40" s="1" t="s">
        <v>69</v>
      </c>
      <c r="B40" s="1">
        <v>64</v>
      </c>
      <c r="C40" s="1" t="str" cm="1">
        <f t="array" ref="C40">_xlfn.IFS(OR(B40=" ", B40="NA",NOT(ISNUMBER(B40))), "Unknown",B40&lt;18,"Underage",B40&lt;=24,"Young Adult",B40&lt;=34,"Early Career",B40&lt;=44,"Mid Career",B40&lt;=54,"Mature",B40&lt;=65,"Pre-Senior",B40&gt;65,"Senior")</f>
        <v>Pre-Senior</v>
      </c>
      <c r="E40" s="1" t="s">
        <v>19</v>
      </c>
      <c r="F40" s="1">
        <v>1375000</v>
      </c>
      <c r="H40" s="1" t="str" cm="1">
        <f t="array" ref="H40">_xlfn.IFS( OR(G40=" ",NOT(ISNUMBER(G40))),"Unknown",G40&lt;=33,"Low Spender",G40&lt;=66,"Medium Spender",TRUE, "High Spender")</f>
        <v>Unknown</v>
      </c>
      <c r="I40" s="1">
        <v>26</v>
      </c>
      <c r="J40" s="1">
        <v>2400</v>
      </c>
      <c r="K40" s="1">
        <v>11</v>
      </c>
      <c r="N40" s="1" t="str">
        <f t="shared" si="0"/>
        <v>Lower</v>
      </c>
      <c r="O40" s="1" t="str">
        <f t="shared" si="1"/>
        <v>Pre-Senior | Unknown | Lower</v>
      </c>
    </row>
    <row r="41" spans="1:15" x14ac:dyDescent="0.25">
      <c r="A41" s="1" t="s">
        <v>70</v>
      </c>
      <c r="B41" s="1">
        <v>68</v>
      </c>
      <c r="C41" s="1" t="str" cm="1">
        <f t="array" ref="C41">_xlfn.IFS(OR(B41=" ", B41="NA",NOT(ISNUMBER(B41))), "Unknown",B41&lt;18,"Underage",B41&lt;=24,"Young Adult",B41&lt;=34,"Early Career",B41&lt;=44,"Mid Career",B41&lt;=54,"Mature",B41&lt;=65,"Pre-Senior",B41&gt;65,"Senior")</f>
        <v>Senior</v>
      </c>
      <c r="D41" s="1" t="s">
        <v>29</v>
      </c>
      <c r="E41" s="1" t="s">
        <v>15</v>
      </c>
      <c r="F41" s="1">
        <v>450000</v>
      </c>
      <c r="G41" s="1">
        <v>73</v>
      </c>
      <c r="H41" s="1" t="str" cm="1">
        <f t="array" ref="H41">_xlfn.IFS( OR(G41=" ",NOT(ISNUMBER(G41))),"Unknown",G41&lt;=33,"Low Spender",G41&lt;=66,"Medium Spender",TRUE, "High Spender")</f>
        <v>High Spender</v>
      </c>
      <c r="I41" s="1">
        <v>76</v>
      </c>
      <c r="J41" s="1">
        <v>6200</v>
      </c>
      <c r="K41" s="1">
        <v>254</v>
      </c>
      <c r="M41" s="1" t="s">
        <v>30</v>
      </c>
      <c r="N41" s="1" t="str">
        <f t="shared" si="0"/>
        <v>Higher</v>
      </c>
      <c r="O41" s="1" t="str">
        <f t="shared" si="1"/>
        <v>Senior | High Spender | Higher</v>
      </c>
    </row>
    <row r="42" spans="1:15" x14ac:dyDescent="0.25">
      <c r="A42" s="1" t="s">
        <v>71</v>
      </c>
      <c r="B42" s="1">
        <v>61</v>
      </c>
      <c r="C42" s="1" t="str" cm="1">
        <f t="array" ref="C42">_xlfn.IFS(OR(B42=" ", B42="NA",NOT(ISNUMBER(B42))), "Unknown",B42&lt;18,"Underage",B42&lt;=24,"Young Adult",B42&lt;=34,"Early Career",B42&lt;=44,"Mid Career",B42&lt;=54,"Mature",B42&lt;=65,"Pre-Senior",B42&gt;65,"Senior")</f>
        <v>Pre-Senior</v>
      </c>
      <c r="F42" s="1">
        <v>500000</v>
      </c>
      <c r="G42" s="1">
        <v>3</v>
      </c>
      <c r="H42" s="1" t="str" cm="1">
        <f t="array" ref="H42">_xlfn.IFS( OR(G42=" ",NOT(ISNUMBER(G42))),"Unknown",G42&lt;=33,"Low Spender",G42&lt;=66,"Medium Spender",TRUE, "High Spender")</f>
        <v>Low Spender</v>
      </c>
      <c r="I42" s="1">
        <v>32</v>
      </c>
      <c r="J42" s="1">
        <v>10200</v>
      </c>
      <c r="K42" s="1">
        <v>150</v>
      </c>
      <c r="L42" s="1" t="s">
        <v>20</v>
      </c>
      <c r="N42" s="1" t="str">
        <f t="shared" si="0"/>
        <v>Lower</v>
      </c>
      <c r="O42" s="1" t="str">
        <f t="shared" si="1"/>
        <v>Pre-Senior | Low Spender | Lower</v>
      </c>
    </row>
    <row r="43" spans="1:15" x14ac:dyDescent="0.25">
      <c r="A43" s="1" t="s">
        <v>72</v>
      </c>
      <c r="B43" s="1" t="s">
        <v>73</v>
      </c>
      <c r="C43" s="1" t="str" cm="1">
        <f t="array" ref="C43">_xlfn.IFS(OR(B43=" ", B43="NA",NOT(ISNUMBER(B43))), "Unknown",B43&lt;18,"Underage",B43&lt;=24,"Young Adult",B43&lt;=34,"Early Career",B43&lt;=44,"Mid Career",B43&lt;=54,"Mature",B43&lt;=65,"Pre-Senior",B43&gt;65,"Senior")</f>
        <v>Unknown</v>
      </c>
      <c r="D43" s="1" t="s">
        <v>12</v>
      </c>
      <c r="E43" s="1" t="s">
        <v>58</v>
      </c>
      <c r="F43" s="1">
        <v>1450000</v>
      </c>
      <c r="G43" s="1">
        <v>72</v>
      </c>
      <c r="H43" s="1" t="str" cm="1">
        <f t="array" ref="H43">_xlfn.IFS( OR(G43=" ",NOT(ISNUMBER(G43))),"Unknown",G43&lt;=33,"Low Spender",G43&lt;=66,"Medium Spender",TRUE, "High Spender")</f>
        <v>High Spender</v>
      </c>
      <c r="I43" s="1">
        <v>52</v>
      </c>
      <c r="J43" s="1">
        <v>2900</v>
      </c>
      <c r="K43" s="1">
        <v>354</v>
      </c>
      <c r="L43" s="1" t="s">
        <v>20</v>
      </c>
      <c r="N43" s="1" t="str">
        <f t="shared" si="0"/>
        <v>Lower</v>
      </c>
      <c r="O43" s="1" t="str">
        <f t="shared" si="1"/>
        <v>Unknown | High Spender | Lower</v>
      </c>
    </row>
    <row r="44" spans="1:15" x14ac:dyDescent="0.25">
      <c r="A44" s="1" t="s">
        <v>74</v>
      </c>
      <c r="B44" s="1">
        <v>69</v>
      </c>
      <c r="C44" s="1" t="str" cm="1">
        <f t="array" ref="C44">_xlfn.IFS(OR(B44=" ", B44="NA",NOT(ISNUMBER(B44))), "Unknown",B44&lt;18,"Underage",B44&lt;=24,"Young Adult",B44&lt;=34,"Early Career",B44&lt;=44,"Mid Career",B44&lt;=54,"Mature",B44&lt;=65,"Pre-Senior",B44&gt;65,"Senior")</f>
        <v>Senior</v>
      </c>
      <c r="D44" s="1" t="s">
        <v>18</v>
      </c>
      <c r="F44" s="1">
        <v>1225000</v>
      </c>
      <c r="G44" s="1">
        <v>38</v>
      </c>
      <c r="H44" s="1" t="str" cm="1">
        <f t="array" ref="H44">_xlfn.IFS( OR(G44=" ",NOT(ISNUMBER(G44))),"Unknown",G44&lt;=33,"Low Spender",G44&lt;=66,"Medium Spender",TRUE, "High Spender")</f>
        <v>Medium Spender</v>
      </c>
      <c r="I44" s="1">
        <v>20</v>
      </c>
      <c r="J44" s="1">
        <v>5800</v>
      </c>
      <c r="K44" s="1">
        <v>355</v>
      </c>
      <c r="L44" s="1" t="s">
        <v>35</v>
      </c>
      <c r="M44" s="1" t="s">
        <v>32</v>
      </c>
      <c r="N44" s="1" t="str">
        <f t="shared" si="0"/>
        <v>Higher</v>
      </c>
      <c r="O44" s="1" t="str">
        <f t="shared" si="1"/>
        <v>Senior | Medium Spender | Higher</v>
      </c>
    </row>
    <row r="45" spans="1:15" x14ac:dyDescent="0.25">
      <c r="A45" s="1" t="s">
        <v>75</v>
      </c>
      <c r="B45" s="1">
        <v>20</v>
      </c>
      <c r="C45" s="1" t="str" cm="1">
        <f t="array" ref="C45">_xlfn.IFS(OR(B45=" ", B45="NA",NOT(ISNUMBER(B45))), "Unknown",B45&lt;18,"Underage",B45&lt;=24,"Young Adult",B45&lt;=34,"Early Career",B45&lt;=44,"Mid Career",B45&lt;=54,"Mature",B45&lt;=65,"Pre-Senior",B45&gt;65,"Senior")</f>
        <v>Young Adult</v>
      </c>
      <c r="D45" s="1" t="s">
        <v>18</v>
      </c>
      <c r="E45" s="1" t="s">
        <v>13</v>
      </c>
      <c r="F45" s="1">
        <v>325000</v>
      </c>
      <c r="G45" s="1">
        <v>68</v>
      </c>
      <c r="H45" s="1" t="str" cm="1">
        <f t="array" ref="H45">_xlfn.IFS( OR(G45=" ",NOT(ISNUMBER(G45))),"Unknown",G45&lt;=33,"Low Spender",G45&lt;=66,"Medium Spender",TRUE, "High Spender")</f>
        <v>High Spender</v>
      </c>
      <c r="I45" s="1">
        <v>40</v>
      </c>
      <c r="J45" s="1">
        <v>400</v>
      </c>
      <c r="K45" s="1">
        <v>96</v>
      </c>
      <c r="L45" s="1" t="s">
        <v>35</v>
      </c>
      <c r="M45" s="1" t="s">
        <v>21</v>
      </c>
      <c r="N45" s="1" t="str">
        <f t="shared" si="0"/>
        <v>Higher</v>
      </c>
      <c r="O45" s="1" t="str">
        <f t="shared" si="1"/>
        <v>Young Adult | High Spender | Higher</v>
      </c>
    </row>
    <row r="46" spans="1:15" x14ac:dyDescent="0.25">
      <c r="A46" s="1" t="s">
        <v>76</v>
      </c>
      <c r="B46" s="1">
        <v>54</v>
      </c>
      <c r="C46" s="1" t="str" cm="1">
        <f t="array" ref="C46">_xlfn.IFS(OR(B46=" ", B46="NA",NOT(ISNUMBER(B46))), "Unknown",B46&lt;18,"Underage",B46&lt;=24,"Young Adult",B46&lt;=34,"Early Career",B46&lt;=44,"Mid Career",B46&lt;=54,"Mature",B46&lt;=65,"Pre-Senior",B46&gt;65,"Senior")</f>
        <v>Mature</v>
      </c>
      <c r="E46" s="1" t="s">
        <v>58</v>
      </c>
      <c r="F46" s="1">
        <v>1975000</v>
      </c>
      <c r="G46" s="1">
        <v>76</v>
      </c>
      <c r="H46" s="1" t="str" cm="1">
        <f t="array" ref="H46">_xlfn.IFS( OR(G46=" ",NOT(ISNUMBER(G46))),"Unknown",G46&lt;=33,"Low Spender",G46&lt;=66,"Medium Spender",TRUE, "High Spender")</f>
        <v>High Spender</v>
      </c>
      <c r="I46" s="1">
        <v>59</v>
      </c>
      <c r="J46" s="1">
        <v>4100</v>
      </c>
      <c r="K46" s="1">
        <v>106</v>
      </c>
      <c r="M46" s="1" t="s">
        <v>41</v>
      </c>
      <c r="N46" s="1" t="str">
        <f t="shared" si="0"/>
        <v>Lower</v>
      </c>
      <c r="O46" s="1" t="str">
        <f t="shared" si="1"/>
        <v>Mature | High Spender | Lower</v>
      </c>
    </row>
    <row r="47" spans="1:15" x14ac:dyDescent="0.25">
      <c r="A47" s="1" t="s">
        <v>77</v>
      </c>
      <c r="B47" s="1">
        <v>68</v>
      </c>
      <c r="C47" s="1" t="str" cm="1">
        <f t="array" ref="C47">_xlfn.IFS(OR(B47=" ", B47="NA",NOT(ISNUMBER(B47))), "Unknown",B47&lt;18,"Underage",B47&lt;=24,"Young Adult",B47&lt;=34,"Early Career",B47&lt;=44,"Mid Career",B47&lt;=54,"Mature",B47&lt;=65,"Pre-Senior",B47&gt;65,"Senior")</f>
        <v>Senior</v>
      </c>
      <c r="D47" s="1" t="s">
        <v>18</v>
      </c>
      <c r="E47" s="1" t="s">
        <v>58</v>
      </c>
      <c r="F47" s="1">
        <v>1275000</v>
      </c>
      <c r="G47" s="1">
        <v>44</v>
      </c>
      <c r="H47" s="1" t="str" cm="1">
        <f t="array" ref="H47">_xlfn.IFS( OR(G47=" ",NOT(ISNUMBER(G47))),"Unknown",G47&lt;=33,"Low Spender",G47&lt;=66,"Medium Spender",TRUE, "High Spender")</f>
        <v>Medium Spender</v>
      </c>
      <c r="I47" s="1">
        <v>77</v>
      </c>
      <c r="J47" s="1">
        <v>5300</v>
      </c>
      <c r="K47" s="1">
        <v>143</v>
      </c>
      <c r="L47" s="1" t="s">
        <v>37</v>
      </c>
      <c r="M47" s="1" t="s">
        <v>30</v>
      </c>
      <c r="N47" s="1" t="str">
        <f t="shared" si="0"/>
        <v>Higher</v>
      </c>
      <c r="O47" s="1" t="str">
        <f t="shared" si="1"/>
        <v>Senior | Medium Spender | Higher</v>
      </c>
    </row>
    <row r="48" spans="1:15" x14ac:dyDescent="0.25">
      <c r="A48" s="1" t="s">
        <v>78</v>
      </c>
      <c r="B48" s="1">
        <v>24</v>
      </c>
      <c r="C48" s="1" t="str" cm="1">
        <f t="array" ref="C48">_xlfn.IFS(OR(B48=" ", B48="NA",NOT(ISNUMBER(B48))), "Unknown",B48&lt;18,"Underage",B48&lt;=24,"Young Adult",B48&lt;=34,"Early Career",B48&lt;=44,"Mid Career",B48&lt;=54,"Mature",B48&lt;=65,"Pre-Senior",B48&gt;65,"Senior")</f>
        <v>Young Adult</v>
      </c>
      <c r="F48" s="1">
        <v>1850000</v>
      </c>
      <c r="G48" s="1">
        <v>95</v>
      </c>
      <c r="H48" s="1" t="str" cm="1">
        <f t="array" ref="H48">_xlfn.IFS( OR(G48=" ",NOT(ISNUMBER(G48))),"Unknown",G48&lt;=33,"Low Spender",G48&lt;=66,"Medium Spender",TRUE, "High Spender")</f>
        <v>High Spender</v>
      </c>
      <c r="I48" s="1">
        <v>14</v>
      </c>
      <c r="J48" s="1">
        <v>11200</v>
      </c>
      <c r="K48" s="1">
        <v>166</v>
      </c>
      <c r="N48" s="1" t="str">
        <f t="shared" si="0"/>
        <v>Lower</v>
      </c>
      <c r="O48" s="1" t="str">
        <f t="shared" si="1"/>
        <v>Young Adult | High Spender | Lower</v>
      </c>
    </row>
    <row r="49" spans="1:15" x14ac:dyDescent="0.25">
      <c r="A49" s="1" t="s">
        <v>79</v>
      </c>
      <c r="B49" s="1">
        <v>38</v>
      </c>
      <c r="C49" s="1" t="str" cm="1">
        <f t="array" ref="C49">_xlfn.IFS(OR(B49=" ", B49="NA",NOT(ISNUMBER(B49))), "Unknown",B49&lt;18,"Underage",B49&lt;=24,"Young Adult",B49&lt;=34,"Early Career",B49&lt;=44,"Mid Career",B49&lt;=54,"Mature",B49&lt;=65,"Pre-Senior",B49&gt;65,"Senior")</f>
        <v>Mid Career</v>
      </c>
      <c r="D49" s="1" t="s">
        <v>18</v>
      </c>
      <c r="E49" s="1" t="s">
        <v>27</v>
      </c>
      <c r="F49" s="1">
        <v>600000</v>
      </c>
      <c r="G49" s="1">
        <v>89</v>
      </c>
      <c r="H49" s="1" t="str" cm="1">
        <f t="array" ref="H49">_xlfn.IFS( OR(G49=" ",NOT(ISNUMBER(G49))),"Unknown",G49&lt;=33,"Low Spender",G49&lt;=66,"Medium Spender",TRUE, "High Spender")</f>
        <v>High Spender</v>
      </c>
      <c r="I49" s="1">
        <v>44</v>
      </c>
      <c r="J49" s="1">
        <v>2100</v>
      </c>
      <c r="K49" s="1">
        <v>1</v>
      </c>
      <c r="L49" s="1" t="s">
        <v>35</v>
      </c>
      <c r="N49" s="1" t="str">
        <f t="shared" si="0"/>
        <v>Higher</v>
      </c>
      <c r="O49" s="1" t="str">
        <f t="shared" si="1"/>
        <v>Mid Career | High Spender | Higher</v>
      </c>
    </row>
    <row r="50" spans="1:15" x14ac:dyDescent="0.25">
      <c r="A50" s="1" t="s">
        <v>80</v>
      </c>
      <c r="B50" s="1">
        <v>26</v>
      </c>
      <c r="C50" s="1" t="str" cm="1">
        <f t="array" ref="C50">_xlfn.IFS(OR(B50=" ", B50="NA",NOT(ISNUMBER(B50))), "Unknown",B50&lt;18,"Underage",B50&lt;=24,"Young Adult",B50&lt;=34,"Early Career",B50&lt;=44,"Mid Career",B50&lt;=54,"Mature",B50&lt;=65,"Pre-Senior",B50&gt;65,"Senior")</f>
        <v>Early Career</v>
      </c>
      <c r="E50" s="1" t="s">
        <v>34</v>
      </c>
      <c r="F50" s="1">
        <v>1075000</v>
      </c>
      <c r="G50" s="1">
        <v>80</v>
      </c>
      <c r="H50" s="1" t="str" cm="1">
        <f t="array" ref="H50">_xlfn.IFS( OR(G50=" ",NOT(ISNUMBER(G50))),"Unknown",G50&lt;=33,"Low Spender",G50&lt;=66,"Medium Spender",TRUE, "High Spender")</f>
        <v>High Spender</v>
      </c>
      <c r="I50" s="1">
        <v>48</v>
      </c>
      <c r="J50" s="1">
        <v>6400</v>
      </c>
      <c r="K50" s="1">
        <v>46</v>
      </c>
      <c r="N50" s="1" t="str">
        <f t="shared" si="0"/>
        <v>Lower</v>
      </c>
      <c r="O50" s="1" t="str">
        <f t="shared" si="1"/>
        <v>Early Career | High Spender | Lower</v>
      </c>
    </row>
    <row r="51" spans="1:15" x14ac:dyDescent="0.25">
      <c r="A51" s="1" t="s">
        <v>81</v>
      </c>
      <c r="B51" s="1">
        <v>56</v>
      </c>
      <c r="C51" s="1" t="str" cm="1">
        <f t="array" ref="C51">_xlfn.IFS(OR(B51=" ", B51="NA",NOT(ISNUMBER(B51))), "Unknown",B51&lt;18,"Underage",B51&lt;=24,"Young Adult",B51&lt;=34,"Early Career",B51&lt;=44,"Mid Career",B51&lt;=54,"Mature",B51&lt;=65,"Pre-Senior",B51&gt;65,"Senior")</f>
        <v>Pre-Senior</v>
      </c>
      <c r="F51" s="1">
        <v>400000</v>
      </c>
      <c r="G51" s="1">
        <v>63</v>
      </c>
      <c r="H51" s="1" t="str" cm="1">
        <f t="array" ref="H51">_xlfn.IFS( OR(G51=" ",NOT(ISNUMBER(G51))),"Unknown",G51&lt;=33,"Low Spender",G51&lt;=66,"Medium Spender",TRUE, "High Spender")</f>
        <v>Medium Spender</v>
      </c>
      <c r="I51" s="1">
        <v>43</v>
      </c>
      <c r="J51" s="1">
        <v>7300</v>
      </c>
      <c r="K51" s="1">
        <v>242</v>
      </c>
      <c r="N51" s="1" t="str">
        <f t="shared" si="0"/>
        <v>Lower</v>
      </c>
      <c r="O51" s="1" t="str">
        <f t="shared" si="1"/>
        <v>Pre-Senior | Medium Spender | Lower</v>
      </c>
    </row>
    <row r="52" spans="1:15" x14ac:dyDescent="0.25">
      <c r="A52" s="1" t="s">
        <v>82</v>
      </c>
      <c r="B52" s="1">
        <v>35</v>
      </c>
      <c r="C52" s="1" t="str" cm="1">
        <f t="array" ref="C52">_xlfn.IFS(OR(B52=" ", B52="NA",NOT(ISNUMBER(B52))), "Unknown",B52&lt;18,"Underage",B52&lt;=24,"Young Adult",B52&lt;=34,"Early Career",B52&lt;=44,"Mid Career",B52&lt;=54,"Mature",B52&lt;=65,"Pre-Senior",B52&gt;65,"Senior")</f>
        <v>Mid Career</v>
      </c>
      <c r="D52" s="1" t="s">
        <v>12</v>
      </c>
      <c r="E52" s="1" t="s">
        <v>34</v>
      </c>
      <c r="F52" s="1">
        <v>1200000</v>
      </c>
      <c r="G52" s="1">
        <v>42</v>
      </c>
      <c r="H52" s="1" t="str" cm="1">
        <f t="array" ref="H52">_xlfn.IFS( OR(G52=" ",NOT(ISNUMBER(G52))),"Unknown",G52&lt;=33,"Low Spender",G52&lt;=66,"Medium Spender",TRUE, "High Spender")</f>
        <v>Medium Spender</v>
      </c>
      <c r="I52" s="1">
        <v>16</v>
      </c>
      <c r="J52" s="1">
        <v>7800</v>
      </c>
      <c r="K52" s="1">
        <v>344</v>
      </c>
      <c r="M52" s="1" t="s">
        <v>21</v>
      </c>
      <c r="N52" s="1" t="str">
        <f t="shared" si="0"/>
        <v>Lower</v>
      </c>
      <c r="O52" s="1" t="str">
        <f t="shared" si="1"/>
        <v>Mid Career | Medium Spender | Lower</v>
      </c>
    </row>
    <row r="53" spans="1:15" x14ac:dyDescent="0.25">
      <c r="A53" s="1" t="s">
        <v>83</v>
      </c>
      <c r="B53" s="1">
        <v>21</v>
      </c>
      <c r="C53" s="1" t="str" cm="1">
        <f t="array" ref="C53">_xlfn.IFS(OR(B53=" ", B53="NA",NOT(ISNUMBER(B53))), "Unknown",B53&lt;18,"Underage",B53&lt;=24,"Young Adult",B53&lt;=34,"Early Career",B53&lt;=44,"Mid Career",B53&lt;=54,"Mature",B53&lt;=65,"Pre-Senior",B53&gt;65,"Senior")</f>
        <v>Young Adult</v>
      </c>
      <c r="F53" s="1">
        <v>625000</v>
      </c>
      <c r="G53" s="1">
        <v>64</v>
      </c>
      <c r="H53" s="1" t="str" cm="1">
        <f t="array" ref="H53">_xlfn.IFS( OR(G53=" ",NOT(ISNUMBER(G53))),"Unknown",G53&lt;=33,"Low Spender",G53&lt;=66,"Medium Spender",TRUE, "High Spender")</f>
        <v>Medium Spender</v>
      </c>
      <c r="I53" s="1">
        <v>35</v>
      </c>
      <c r="J53" s="1">
        <v>6900</v>
      </c>
      <c r="K53" s="1">
        <v>278</v>
      </c>
      <c r="M53" s="1" t="s">
        <v>41</v>
      </c>
      <c r="N53" s="1" t="str">
        <f t="shared" si="0"/>
        <v>Lower</v>
      </c>
      <c r="O53" s="1" t="str">
        <f t="shared" si="1"/>
        <v>Young Adult | Medium Spender | Lower</v>
      </c>
    </row>
    <row r="54" spans="1:15" x14ac:dyDescent="0.25">
      <c r="A54" s="1" t="s">
        <v>84</v>
      </c>
      <c r="B54" s="1">
        <v>42</v>
      </c>
      <c r="C54" s="1" t="str" cm="1">
        <f t="array" ref="C54">_xlfn.IFS(OR(B54=" ", B54="NA",NOT(ISNUMBER(B54))), "Unknown",B54&lt;18,"Underage",B54&lt;=24,"Young Adult",B54&lt;=34,"Early Career",B54&lt;=44,"Mid Career",B54&lt;=54,"Mature",B54&lt;=65,"Pre-Senior",B54&gt;65,"Senior")</f>
        <v>Mid Career</v>
      </c>
      <c r="F54" s="1">
        <v>625000</v>
      </c>
      <c r="G54" s="1">
        <v>54</v>
      </c>
      <c r="H54" s="1" t="str" cm="1">
        <f t="array" ref="H54">_xlfn.IFS( OR(G54=" ",NOT(ISNUMBER(G54))),"Unknown",G54&lt;=33,"Low Spender",G54&lt;=66,"Medium Spender",TRUE, "High Spender")</f>
        <v>Medium Spender</v>
      </c>
      <c r="I54" s="1">
        <v>53</v>
      </c>
      <c r="J54" s="1">
        <v>6500</v>
      </c>
      <c r="K54" s="1">
        <v>3</v>
      </c>
      <c r="M54" s="1" t="s">
        <v>32</v>
      </c>
      <c r="N54" s="1" t="str">
        <f t="shared" si="0"/>
        <v>Lower</v>
      </c>
      <c r="O54" s="1" t="str">
        <f t="shared" si="1"/>
        <v>Mid Career | Medium Spender | Lower</v>
      </c>
    </row>
    <row r="55" spans="1:15" x14ac:dyDescent="0.25">
      <c r="A55" s="1" t="s">
        <v>85</v>
      </c>
      <c r="B55" s="1">
        <v>31</v>
      </c>
      <c r="C55" s="1" t="str" cm="1">
        <f t="array" ref="C55">_xlfn.IFS(OR(B55=" ", B55="NA",NOT(ISNUMBER(B55))), "Unknown",B55&lt;18,"Underage",B55&lt;=24,"Young Adult",B55&lt;=34,"Early Career",B55&lt;=44,"Mid Career",B55&lt;=54,"Mature",B55&lt;=65,"Pre-Senior",B55&gt;65,"Senior")</f>
        <v>Early Career</v>
      </c>
      <c r="D55" s="1" t="s">
        <v>18</v>
      </c>
      <c r="E55" s="1" t="s">
        <v>34</v>
      </c>
      <c r="F55" s="1">
        <v>650000</v>
      </c>
      <c r="G55" s="1">
        <v>78</v>
      </c>
      <c r="H55" s="1" t="str" cm="1">
        <f t="array" ref="H55">_xlfn.IFS( OR(G55=" ",NOT(ISNUMBER(G55))),"Unknown",G55&lt;=33,"Low Spender",G55&lt;=66,"Medium Spender",TRUE, "High Spender")</f>
        <v>High Spender</v>
      </c>
      <c r="I55" s="1">
        <v>34</v>
      </c>
      <c r="J55" s="1">
        <v>11300</v>
      </c>
      <c r="K55" s="1">
        <v>142</v>
      </c>
      <c r="M55" s="1" t="s">
        <v>30</v>
      </c>
      <c r="N55" s="1" t="str">
        <f t="shared" si="0"/>
        <v>Higher</v>
      </c>
      <c r="O55" s="1" t="str">
        <f t="shared" si="1"/>
        <v>Early Career | High Spender | Higher</v>
      </c>
    </row>
    <row r="56" spans="1:15" x14ac:dyDescent="0.25">
      <c r="A56" s="1" t="s">
        <v>86</v>
      </c>
      <c r="B56" s="1">
        <v>67</v>
      </c>
      <c r="C56" s="1" t="str" cm="1">
        <f t="array" ref="C56">_xlfn.IFS(OR(B56=" ", B56="NA",NOT(ISNUMBER(B56))), "Unknown",B56&lt;18,"Underage",B56&lt;=24,"Young Adult",B56&lt;=34,"Early Career",B56&lt;=44,"Mid Career",B56&lt;=54,"Mature",B56&lt;=65,"Pre-Senior",B56&gt;65,"Senior")</f>
        <v>Senior</v>
      </c>
      <c r="D56" s="1" t="s">
        <v>18</v>
      </c>
      <c r="E56" s="1" t="s">
        <v>15</v>
      </c>
      <c r="F56" s="1">
        <v>1550000</v>
      </c>
      <c r="G56" s="1">
        <v>77</v>
      </c>
      <c r="H56" s="1" t="str" cm="1">
        <f t="array" ref="H56">_xlfn.IFS( OR(G56=" ",NOT(ISNUMBER(G56))),"Unknown",G56&lt;=33,"Low Spender",G56&lt;=66,"Medium Spender",TRUE, "High Spender")</f>
        <v>High Spender</v>
      </c>
      <c r="I56" s="1">
        <v>3</v>
      </c>
      <c r="J56" s="1">
        <v>700</v>
      </c>
      <c r="K56" s="1">
        <v>61</v>
      </c>
      <c r="N56" s="1" t="str">
        <f t="shared" si="0"/>
        <v>Higher</v>
      </c>
      <c r="O56" s="1" t="str">
        <f t="shared" si="1"/>
        <v>Senior | High Spender | Higher</v>
      </c>
    </row>
    <row r="57" spans="1:15" x14ac:dyDescent="0.25">
      <c r="A57" s="1" t="s">
        <v>87</v>
      </c>
      <c r="B57" s="1">
        <v>26</v>
      </c>
      <c r="C57" s="1" t="str" cm="1">
        <f t="array" ref="C57">_xlfn.IFS(OR(B57=" ", B57="NA",NOT(ISNUMBER(B57))), "Unknown",B57&lt;18,"Underage",B57&lt;=24,"Young Adult",B57&lt;=34,"Early Career",B57&lt;=44,"Mid Career",B57&lt;=54,"Mature",B57&lt;=65,"Pre-Senior",B57&gt;65,"Senior")</f>
        <v>Early Career</v>
      </c>
      <c r="F57" s="1">
        <v>1375000</v>
      </c>
      <c r="G57" s="1">
        <v>71</v>
      </c>
      <c r="H57" s="1" t="str" cm="1">
        <f t="array" ref="H57">_xlfn.IFS( OR(G57=" ",NOT(ISNUMBER(G57))),"Unknown",G57&lt;=33,"Low Spender",G57&lt;=66,"Medium Spender",TRUE, "High Spender")</f>
        <v>High Spender</v>
      </c>
      <c r="I57" s="1">
        <v>68</v>
      </c>
      <c r="J57" s="1">
        <v>7400</v>
      </c>
      <c r="K57" s="1">
        <v>294</v>
      </c>
      <c r="N57" s="1" t="str">
        <f t="shared" si="0"/>
        <v>Lower</v>
      </c>
      <c r="O57" s="1" t="str">
        <f t="shared" si="1"/>
        <v>Early Career | High Spender | Lower</v>
      </c>
    </row>
    <row r="58" spans="1:15" x14ac:dyDescent="0.25">
      <c r="A58" s="1" t="s">
        <v>88</v>
      </c>
      <c r="B58" s="1">
        <v>43</v>
      </c>
      <c r="C58" s="1" t="str" cm="1">
        <f t="array" ref="C58">_xlfn.IFS(OR(B58=" ", B58="NA",NOT(ISNUMBER(B58))), "Unknown",B58&lt;18,"Underage",B58&lt;=24,"Young Adult",B58&lt;=34,"Early Career",B58&lt;=44,"Mid Career",B58&lt;=54,"Mature",B58&lt;=65,"Pre-Senior",B58&gt;65,"Senior")</f>
        <v>Mid Career</v>
      </c>
      <c r="D58" s="1" t="s">
        <v>29</v>
      </c>
      <c r="F58" s="1">
        <v>1975000</v>
      </c>
      <c r="G58" s="1">
        <v>76</v>
      </c>
      <c r="H58" s="1" t="str" cm="1">
        <f t="array" ref="H58">_xlfn.IFS( OR(G58=" ",NOT(ISNUMBER(G58))),"Unknown",G58&lt;=33,"Low Spender",G58&lt;=66,"Medium Spender",TRUE, "High Spender")</f>
        <v>High Spender</v>
      </c>
      <c r="I58" s="1">
        <v>5</v>
      </c>
      <c r="J58" s="1">
        <v>8000</v>
      </c>
      <c r="K58" s="1">
        <v>225</v>
      </c>
      <c r="L58" s="1" t="s">
        <v>20</v>
      </c>
      <c r="N58" s="1" t="str">
        <f t="shared" si="0"/>
        <v>Higher</v>
      </c>
      <c r="O58" s="1" t="str">
        <f t="shared" si="1"/>
        <v>Mid Career | High Spender | Higher</v>
      </c>
    </row>
    <row r="59" spans="1:15" x14ac:dyDescent="0.25">
      <c r="A59" s="1" t="s">
        <v>89</v>
      </c>
      <c r="C59" s="1" t="str" cm="1">
        <f t="array" ref="C59">_xlfn.IFS(OR(B59=" ", B59="NA",NOT(ISNUMBER(B59))), "Unknown",B59&lt;18,"Underage",B59&lt;=24,"Young Adult",B59&lt;=34,"Early Career",B59&lt;=44,"Mid Career",B59&lt;=54,"Mature",B59&lt;=65,"Pre-Senior",B59&gt;65,"Senior")</f>
        <v>Unknown</v>
      </c>
      <c r="D59" s="1" t="s">
        <v>12</v>
      </c>
      <c r="F59" s="1">
        <v>775000</v>
      </c>
      <c r="G59" s="1">
        <v>37</v>
      </c>
      <c r="H59" s="1" t="str" cm="1">
        <f t="array" ref="H59">_xlfn.IFS( OR(G59=" ",NOT(ISNUMBER(G59))),"Unknown",G59&lt;=33,"Low Spender",G59&lt;=66,"Medium Spender",TRUE, "High Spender")</f>
        <v>Medium Spender</v>
      </c>
      <c r="I59" s="1">
        <v>10</v>
      </c>
      <c r="J59" s="1">
        <v>6300</v>
      </c>
      <c r="K59" s="1">
        <v>302</v>
      </c>
      <c r="M59" s="1" t="s">
        <v>41</v>
      </c>
      <c r="N59" s="1" t="str">
        <f t="shared" si="0"/>
        <v>Lower</v>
      </c>
      <c r="O59" s="1" t="str">
        <f t="shared" si="1"/>
        <v>Unknown | Medium Spender | Lower</v>
      </c>
    </row>
    <row r="60" spans="1:15" x14ac:dyDescent="0.25">
      <c r="A60" s="1" t="s">
        <v>90</v>
      </c>
      <c r="B60" s="1">
        <v>19</v>
      </c>
      <c r="C60" s="1" t="str" cm="1">
        <f t="array" ref="C60">_xlfn.IFS(OR(B60=" ", B60="NA",NOT(ISNUMBER(B60))), "Unknown",B60&lt;18,"Underage",B60&lt;=24,"Young Adult",B60&lt;=34,"Early Career",B60&lt;=44,"Mid Career",B60&lt;=54,"Mature",B60&lt;=65,"Pre-Senior",B60&gt;65,"Senior")</f>
        <v>Young Adult</v>
      </c>
      <c r="D60" s="1" t="s">
        <v>29</v>
      </c>
      <c r="F60" s="1">
        <v>875000</v>
      </c>
      <c r="G60" s="1">
        <v>4</v>
      </c>
      <c r="H60" s="1" t="str" cm="1">
        <f t="array" ref="H60">_xlfn.IFS( OR(G60=" ",NOT(ISNUMBER(G60))),"Unknown",G60&lt;=33,"Low Spender",G60&lt;=66,"Medium Spender",TRUE, "High Spender")</f>
        <v>Low Spender</v>
      </c>
      <c r="I60" s="1">
        <v>52</v>
      </c>
      <c r="J60" s="1">
        <v>10200</v>
      </c>
      <c r="K60" s="1">
        <v>170</v>
      </c>
      <c r="L60" s="1" t="s">
        <v>16</v>
      </c>
      <c r="M60" s="1" t="s">
        <v>41</v>
      </c>
      <c r="N60" s="1" t="str">
        <f t="shared" si="0"/>
        <v>Higher</v>
      </c>
      <c r="O60" s="1" t="str">
        <f t="shared" si="1"/>
        <v>Young Adult | Low Spender | Higher</v>
      </c>
    </row>
    <row r="61" spans="1:15" x14ac:dyDescent="0.25">
      <c r="A61" s="1" t="s">
        <v>91</v>
      </c>
      <c r="B61" s="1">
        <v>37</v>
      </c>
      <c r="C61" s="1" t="str" cm="1">
        <f t="array" ref="C61">_xlfn.IFS(OR(B61=" ", B61="NA",NOT(ISNUMBER(B61))), "Unknown",B61&lt;18,"Underage",B61&lt;=24,"Young Adult",B61&lt;=34,"Early Career",B61&lt;=44,"Mid Career",B61&lt;=54,"Mature",B61&lt;=65,"Pre-Senior",B61&gt;65,"Senior")</f>
        <v>Mid Career</v>
      </c>
      <c r="D61" s="1" t="s">
        <v>18</v>
      </c>
      <c r="F61" s="1">
        <v>1950000</v>
      </c>
      <c r="G61" s="1">
        <v>2</v>
      </c>
      <c r="H61" s="1" t="str" cm="1">
        <f t="array" ref="H61">_xlfn.IFS( OR(G61=" ",NOT(ISNUMBER(G61))),"Unknown",G61&lt;=33,"Low Spender",G61&lt;=66,"Medium Spender",TRUE, "High Spender")</f>
        <v>Low Spender</v>
      </c>
      <c r="I61" s="1">
        <v>29</v>
      </c>
      <c r="J61" s="1">
        <v>7300</v>
      </c>
      <c r="K61" s="1">
        <v>134</v>
      </c>
      <c r="M61" s="1" t="s">
        <v>21</v>
      </c>
      <c r="N61" s="1" t="str">
        <f t="shared" si="0"/>
        <v>Higher</v>
      </c>
      <c r="O61" s="1" t="str">
        <f t="shared" si="1"/>
        <v>Mid Career | Low Spender | Higher</v>
      </c>
    </row>
    <row r="62" spans="1:15" x14ac:dyDescent="0.25">
      <c r="A62" s="1" t="s">
        <v>92</v>
      </c>
      <c r="B62" s="1">
        <v>45</v>
      </c>
      <c r="C62" s="1" t="str" cm="1">
        <f t="array" ref="C62">_xlfn.IFS(OR(B62=" ", B62="NA",NOT(ISNUMBER(B62))), "Unknown",B62&lt;18,"Underage",B62&lt;=24,"Young Adult",B62&lt;=34,"Early Career",B62&lt;=44,"Mid Career",B62&lt;=54,"Mature",B62&lt;=65,"Pre-Senior",B62&gt;65,"Senior")</f>
        <v>Mature</v>
      </c>
      <c r="D62" s="1" t="s">
        <v>18</v>
      </c>
      <c r="E62" s="1" t="s">
        <v>34</v>
      </c>
      <c r="F62" s="1">
        <v>900000</v>
      </c>
      <c r="G62" s="1">
        <v>99</v>
      </c>
      <c r="H62" s="1" t="str" cm="1">
        <f t="array" ref="H62">_xlfn.IFS( OR(G62=" ",NOT(ISNUMBER(G62))),"Unknown",G62&lt;=33,"Low Spender",G62&lt;=66,"Medium Spender",TRUE, "High Spender")</f>
        <v>High Spender</v>
      </c>
      <c r="I62" s="1">
        <v>31</v>
      </c>
      <c r="J62" s="1">
        <v>900</v>
      </c>
      <c r="K62" s="1">
        <v>41</v>
      </c>
      <c r="L62" s="1" t="s">
        <v>16</v>
      </c>
      <c r="M62" s="1" t="s">
        <v>21</v>
      </c>
      <c r="N62" s="1" t="str">
        <f t="shared" si="0"/>
        <v>Higher</v>
      </c>
      <c r="O62" s="1" t="str">
        <f t="shared" si="1"/>
        <v>Mature | High Spender | Higher</v>
      </c>
    </row>
    <row r="63" spans="1:15" x14ac:dyDescent="0.25">
      <c r="A63" s="1" t="s">
        <v>93</v>
      </c>
      <c r="B63" s="1">
        <v>64</v>
      </c>
      <c r="C63" s="1" t="str" cm="1">
        <f t="array" ref="C63">_xlfn.IFS(OR(B63=" ", B63="NA",NOT(ISNUMBER(B63))), "Unknown",B63&lt;18,"Underage",B63&lt;=24,"Young Adult",B63&lt;=34,"Early Career",B63&lt;=44,"Mid Career",B63&lt;=54,"Mature",B63&lt;=65,"Pre-Senior",B63&gt;65,"Senior")</f>
        <v>Pre-Senior</v>
      </c>
      <c r="D63" s="1" t="s">
        <v>18</v>
      </c>
      <c r="E63" s="1" t="s">
        <v>27</v>
      </c>
      <c r="F63" s="1">
        <v>1175000</v>
      </c>
      <c r="G63" s="1">
        <v>44</v>
      </c>
      <c r="H63" s="1" t="str" cm="1">
        <f t="array" ref="H63">_xlfn.IFS( OR(G63=" ",NOT(ISNUMBER(G63))),"Unknown",G63&lt;=33,"Low Spender",G63&lt;=66,"Medium Spender",TRUE, "High Spender")</f>
        <v>Medium Spender</v>
      </c>
      <c r="I63" s="1">
        <v>66</v>
      </c>
      <c r="J63" s="1">
        <v>5200</v>
      </c>
      <c r="K63" s="1">
        <v>231</v>
      </c>
      <c r="N63" s="1" t="str">
        <f t="shared" si="0"/>
        <v>Higher</v>
      </c>
      <c r="O63" s="1" t="str">
        <f t="shared" si="1"/>
        <v>Pre-Senior | Medium Spender | Higher</v>
      </c>
    </row>
    <row r="64" spans="1:15" x14ac:dyDescent="0.25">
      <c r="A64" s="1" t="s">
        <v>94</v>
      </c>
      <c r="B64" s="1">
        <v>24</v>
      </c>
      <c r="C64" s="1" t="str" cm="1">
        <f t="array" ref="C64">_xlfn.IFS(OR(B64=" ", B64="NA",NOT(ISNUMBER(B64))), "Unknown",B64&lt;18,"Underage",B64&lt;=24,"Young Adult",B64&lt;=34,"Early Career",B64&lt;=44,"Mid Career",B64&lt;=54,"Mature",B64&lt;=65,"Pre-Senior",B64&gt;65,"Senior")</f>
        <v>Young Adult</v>
      </c>
      <c r="D64" s="1" t="s">
        <v>29</v>
      </c>
      <c r="E64" s="1" t="s">
        <v>23</v>
      </c>
      <c r="F64" s="1">
        <v>1825000</v>
      </c>
      <c r="G64" s="1">
        <v>67</v>
      </c>
      <c r="H64" s="1" t="str" cm="1">
        <f t="array" ref="H64">_xlfn.IFS( OR(G64=" ",NOT(ISNUMBER(G64))),"Unknown",G64&lt;=33,"Low Spender",G64&lt;=66,"Medium Spender",TRUE, "High Spender")</f>
        <v>High Spender</v>
      </c>
      <c r="I64" s="1">
        <v>76</v>
      </c>
      <c r="J64" s="1">
        <v>4800</v>
      </c>
      <c r="K64" s="1">
        <v>226</v>
      </c>
      <c r="L64" s="1" t="s">
        <v>35</v>
      </c>
      <c r="N64" s="1" t="str">
        <f t="shared" si="0"/>
        <v>Higher</v>
      </c>
      <c r="O64" s="1" t="str">
        <f t="shared" si="1"/>
        <v>Young Adult | High Spender | Higher</v>
      </c>
    </row>
    <row r="65" spans="1:15" x14ac:dyDescent="0.25">
      <c r="A65" s="1" t="s">
        <v>95</v>
      </c>
      <c r="B65" s="1">
        <v>61</v>
      </c>
      <c r="C65" s="1" t="str" cm="1">
        <f t="array" ref="C65">_xlfn.IFS(OR(B65=" ", B65="NA",NOT(ISNUMBER(B65))), "Unknown",B65&lt;18,"Underage",B65&lt;=24,"Young Adult",B65&lt;=34,"Early Career",B65&lt;=44,"Mid Career",B65&lt;=54,"Mature",B65&lt;=65,"Pre-Senior",B65&gt;65,"Senior")</f>
        <v>Pre-Senior</v>
      </c>
      <c r="E65" s="1" t="s">
        <v>34</v>
      </c>
      <c r="F65" s="1">
        <v>1650000</v>
      </c>
      <c r="G65" s="1">
        <v>68</v>
      </c>
      <c r="H65" s="1" t="str" cm="1">
        <f t="array" ref="H65">_xlfn.IFS( OR(G65=" ",NOT(ISNUMBER(G65))),"Unknown",G65&lt;=33,"Low Spender",G65&lt;=66,"Medium Spender",TRUE, "High Spender")</f>
        <v>High Spender</v>
      </c>
      <c r="I65" s="1">
        <v>69</v>
      </c>
      <c r="J65" s="1">
        <v>9800</v>
      </c>
      <c r="K65" s="1">
        <v>139</v>
      </c>
      <c r="L65" s="1" t="s">
        <v>37</v>
      </c>
      <c r="M65" s="1" t="s">
        <v>21</v>
      </c>
      <c r="N65" s="1" t="str">
        <f t="shared" si="0"/>
        <v>Lower</v>
      </c>
      <c r="O65" s="1" t="str">
        <f t="shared" si="1"/>
        <v>Pre-Senior | High Spender | Lower</v>
      </c>
    </row>
    <row r="66" spans="1:15" x14ac:dyDescent="0.25">
      <c r="A66" s="1" t="s">
        <v>96</v>
      </c>
      <c r="B66" s="1">
        <v>25</v>
      </c>
      <c r="C66" s="1" t="str" cm="1">
        <f t="array" ref="C66">_xlfn.IFS(OR(B66=" ", B66="NA",NOT(ISNUMBER(B66))), "Unknown",B66&lt;18,"Underage",B66&lt;=24,"Young Adult",B66&lt;=34,"Early Career",B66&lt;=44,"Mid Career",B66&lt;=54,"Mature",B66&lt;=65,"Pre-Senior",B66&gt;65,"Senior")</f>
        <v>Early Career</v>
      </c>
      <c r="D66" s="1" t="s">
        <v>18</v>
      </c>
      <c r="E66" s="1" t="s">
        <v>19</v>
      </c>
      <c r="F66" s="1">
        <v>1650000</v>
      </c>
      <c r="H66" s="1" t="str" cm="1">
        <f t="array" ref="H66">_xlfn.IFS( OR(G66=" ",NOT(ISNUMBER(G66))),"Unknown",G66&lt;=33,"Low Spender",G66&lt;=66,"Medium Spender",TRUE, "High Spender")</f>
        <v>Unknown</v>
      </c>
      <c r="I66" s="1">
        <v>37</v>
      </c>
      <c r="J66" s="1">
        <v>7400</v>
      </c>
      <c r="K66" s="1">
        <v>110</v>
      </c>
      <c r="M66" s="1" t="s">
        <v>30</v>
      </c>
      <c r="N66" s="1" t="str">
        <f t="shared" ref="N66:N129" si="2">IF(OR(UPPER(TRIM(D66))="Male",UPPER(TRIM(D66))="Female"),"Higher","Lower")</f>
        <v>Higher</v>
      </c>
      <c r="O66" s="1" t="str">
        <f t="shared" ref="O66:O129" si="3">_xlfn.TEXTJOIN(" | ", TRUE, C66, H66, N66)</f>
        <v>Early Career | Unknown | Higher</v>
      </c>
    </row>
    <row r="67" spans="1:15" x14ac:dyDescent="0.25">
      <c r="A67" s="1" t="s">
        <v>97</v>
      </c>
      <c r="B67" s="1">
        <v>64</v>
      </c>
      <c r="C67" s="1" t="str" cm="1">
        <f t="array" ref="C67">_xlfn.IFS(OR(B67=" ", B67="NA",NOT(ISNUMBER(B67))), "Unknown",B67&lt;18,"Underage",B67&lt;=24,"Young Adult",B67&lt;=34,"Early Career",B67&lt;=44,"Mid Career",B67&lt;=54,"Mature",B67&lt;=65,"Pre-Senior",B67&gt;65,"Senior")</f>
        <v>Pre-Senior</v>
      </c>
      <c r="D67" s="1" t="s">
        <v>29</v>
      </c>
      <c r="E67" s="1" t="s">
        <v>49</v>
      </c>
      <c r="F67" s="1">
        <v>1875000</v>
      </c>
      <c r="G67" s="1">
        <v>76</v>
      </c>
      <c r="H67" s="1" t="str" cm="1">
        <f t="array" ref="H67">_xlfn.IFS( OR(G67=" ",NOT(ISNUMBER(G67))),"Unknown",G67&lt;=33,"Low Spender",G67&lt;=66,"Medium Spender",TRUE, "High Spender")</f>
        <v>High Spender</v>
      </c>
      <c r="I67" s="1">
        <v>27</v>
      </c>
      <c r="J67" s="1">
        <v>7800</v>
      </c>
      <c r="K67" s="1">
        <v>297</v>
      </c>
      <c r="L67" s="1" t="s">
        <v>37</v>
      </c>
      <c r="N67" s="1" t="str">
        <f t="shared" si="2"/>
        <v>Higher</v>
      </c>
      <c r="O67" s="1" t="str">
        <f t="shared" si="3"/>
        <v>Pre-Senior | High Spender | Higher</v>
      </c>
    </row>
    <row r="68" spans="1:15" x14ac:dyDescent="0.25">
      <c r="A68" s="1" t="s">
        <v>98</v>
      </c>
      <c r="B68" s="1">
        <v>52</v>
      </c>
      <c r="C68" s="1" t="str" cm="1">
        <f t="array" ref="C68">_xlfn.IFS(OR(B68=" ", B68="NA",NOT(ISNUMBER(B68))), "Unknown",B68&lt;18,"Underage",B68&lt;=24,"Young Adult",B68&lt;=34,"Early Career",B68&lt;=44,"Mid Career",B68&lt;=54,"Mature",B68&lt;=65,"Pre-Senior",B68&gt;65,"Senior")</f>
        <v>Mature</v>
      </c>
      <c r="E68" s="1" t="s">
        <v>27</v>
      </c>
      <c r="F68" s="1">
        <v>1825000</v>
      </c>
      <c r="G68" s="1">
        <v>83</v>
      </c>
      <c r="H68" s="1" t="str" cm="1">
        <f t="array" ref="H68">_xlfn.IFS( OR(G68=" ",NOT(ISNUMBER(G68))),"Unknown",G68&lt;=33,"Low Spender",G68&lt;=66,"Medium Spender",TRUE, "High Spender")</f>
        <v>High Spender</v>
      </c>
      <c r="I68" s="1">
        <v>33</v>
      </c>
      <c r="J68" s="1">
        <v>7600</v>
      </c>
      <c r="K68" s="1">
        <v>57</v>
      </c>
      <c r="L68" s="1" t="s">
        <v>20</v>
      </c>
      <c r="M68" s="1" t="s">
        <v>21</v>
      </c>
      <c r="N68" s="1" t="str">
        <f t="shared" si="2"/>
        <v>Lower</v>
      </c>
      <c r="O68" s="1" t="str">
        <f t="shared" si="3"/>
        <v>Mature | High Spender | Lower</v>
      </c>
    </row>
    <row r="69" spans="1:15" x14ac:dyDescent="0.25">
      <c r="A69" s="1" t="s">
        <v>99</v>
      </c>
      <c r="B69" s="1">
        <v>31</v>
      </c>
      <c r="C69" s="1" t="str" cm="1">
        <f t="array" ref="C69">_xlfn.IFS(OR(B69=" ", B69="NA",NOT(ISNUMBER(B69))), "Unknown",B69&lt;18,"Underage",B69&lt;=24,"Young Adult",B69&lt;=34,"Early Career",B69&lt;=44,"Mid Career",B69&lt;=54,"Mature",B69&lt;=65,"Pre-Senior",B69&gt;65,"Senior")</f>
        <v>Early Career</v>
      </c>
      <c r="D69" s="1" t="s">
        <v>29</v>
      </c>
      <c r="E69" s="1" t="s">
        <v>15</v>
      </c>
      <c r="F69" s="1">
        <v>550000</v>
      </c>
      <c r="G69" s="1">
        <v>74</v>
      </c>
      <c r="H69" s="1" t="str" cm="1">
        <f t="array" ref="H69">_xlfn.IFS( OR(G69=" ",NOT(ISNUMBER(G69))),"Unknown",G69&lt;=33,"Low Spender",G69&lt;=66,"Medium Spender",TRUE, "High Spender")</f>
        <v>High Spender</v>
      </c>
      <c r="I69" s="1">
        <v>68</v>
      </c>
      <c r="J69" s="1">
        <v>1600</v>
      </c>
      <c r="K69" s="1">
        <v>123</v>
      </c>
      <c r="L69" s="1" t="s">
        <v>16</v>
      </c>
      <c r="N69" s="1" t="str">
        <f t="shared" si="2"/>
        <v>Higher</v>
      </c>
      <c r="O69" s="1" t="str">
        <f t="shared" si="3"/>
        <v>Early Career | High Spender | Higher</v>
      </c>
    </row>
    <row r="70" spans="1:15" x14ac:dyDescent="0.25">
      <c r="A70" s="1" t="s">
        <v>100</v>
      </c>
      <c r="B70" s="1">
        <v>34</v>
      </c>
      <c r="C70" s="1" t="str" cm="1">
        <f t="array" ref="C70">_xlfn.IFS(OR(B70=" ", B70="NA",NOT(ISNUMBER(B70))), "Unknown",B70&lt;18,"Underage",B70&lt;=24,"Young Adult",B70&lt;=34,"Early Career",B70&lt;=44,"Mid Career",B70&lt;=54,"Mature",B70&lt;=65,"Pre-Senior",B70&gt;65,"Senior")</f>
        <v>Early Career</v>
      </c>
      <c r="D70" s="1" t="s">
        <v>18</v>
      </c>
      <c r="E70" s="1" t="s">
        <v>58</v>
      </c>
      <c r="F70" s="1">
        <v>600000</v>
      </c>
      <c r="G70" s="1">
        <v>62</v>
      </c>
      <c r="H70" s="1" t="str" cm="1">
        <f t="array" ref="H70">_xlfn.IFS( OR(G70=" ",NOT(ISNUMBER(G70))),"Unknown",G70&lt;=33,"Low Spender",G70&lt;=66,"Medium Spender",TRUE, "High Spender")</f>
        <v>Medium Spender</v>
      </c>
      <c r="I70" s="1">
        <v>59</v>
      </c>
      <c r="J70" s="1">
        <v>7500</v>
      </c>
      <c r="K70" s="1">
        <v>240</v>
      </c>
      <c r="L70" s="1" t="s">
        <v>20</v>
      </c>
      <c r="M70" s="1" t="s">
        <v>21</v>
      </c>
      <c r="N70" s="1" t="str">
        <f t="shared" si="2"/>
        <v>Higher</v>
      </c>
      <c r="O70" s="1" t="str">
        <f t="shared" si="3"/>
        <v>Early Career | Medium Spender | Higher</v>
      </c>
    </row>
    <row r="71" spans="1:15" x14ac:dyDescent="0.25">
      <c r="A71" s="1" t="s">
        <v>101</v>
      </c>
      <c r="B71" s="1">
        <v>53</v>
      </c>
      <c r="C71" s="1" t="str" cm="1">
        <f t="array" ref="C71">_xlfn.IFS(OR(B71=" ", B71="NA",NOT(ISNUMBER(B71))), "Unknown",B71&lt;18,"Underage",B71&lt;=24,"Young Adult",B71&lt;=34,"Early Career",B71&lt;=44,"Mid Career",B71&lt;=54,"Mature",B71&lt;=65,"Pre-Senior",B71&gt;65,"Senior")</f>
        <v>Mature</v>
      </c>
      <c r="D71" s="1" t="s">
        <v>29</v>
      </c>
      <c r="E71" s="1" t="s">
        <v>34</v>
      </c>
      <c r="F71" s="1">
        <v>1400000</v>
      </c>
      <c r="G71" s="1">
        <v>1</v>
      </c>
      <c r="H71" s="1" t="str" cm="1">
        <f t="array" ref="H71">_xlfn.IFS( OR(G71=" ",NOT(ISNUMBER(G71))),"Unknown",G71&lt;=33,"Low Spender",G71&lt;=66,"Medium Spender",TRUE, "High Spender")</f>
        <v>Low Spender</v>
      </c>
      <c r="I71" s="1">
        <v>64</v>
      </c>
      <c r="J71" s="1">
        <v>10400</v>
      </c>
      <c r="K71" s="1">
        <v>86</v>
      </c>
      <c r="L71" s="1" t="s">
        <v>35</v>
      </c>
      <c r="M71" s="1" t="s">
        <v>30</v>
      </c>
      <c r="N71" s="1" t="str">
        <f t="shared" si="2"/>
        <v>Higher</v>
      </c>
      <c r="O71" s="1" t="str">
        <f t="shared" si="3"/>
        <v>Mature | Low Spender | Higher</v>
      </c>
    </row>
    <row r="72" spans="1:15" x14ac:dyDescent="0.25">
      <c r="A72" s="1" t="s">
        <v>102</v>
      </c>
      <c r="B72" s="1">
        <v>67</v>
      </c>
      <c r="C72" s="1" t="str" cm="1">
        <f t="array" ref="C72">_xlfn.IFS(OR(B72=" ", B72="NA",NOT(ISNUMBER(B72))), "Unknown",B72&lt;18,"Underage",B72&lt;=24,"Young Adult",B72&lt;=34,"Early Career",B72&lt;=44,"Mid Career",B72&lt;=54,"Mature",B72&lt;=65,"Pre-Senior",B72&gt;65,"Senior")</f>
        <v>Senior</v>
      </c>
      <c r="D72" s="1" t="s">
        <v>18</v>
      </c>
      <c r="F72" s="1">
        <v>1875000</v>
      </c>
      <c r="G72" s="1">
        <v>17</v>
      </c>
      <c r="H72" s="1" t="str" cm="1">
        <f t="array" ref="H72">_xlfn.IFS( OR(G72=" ",NOT(ISNUMBER(G72))),"Unknown",G72&lt;=33,"Low Spender",G72&lt;=66,"Medium Spender",TRUE, "High Spender")</f>
        <v>Low Spender</v>
      </c>
      <c r="I72" s="1">
        <v>44</v>
      </c>
      <c r="J72" s="1">
        <v>9600</v>
      </c>
      <c r="K72" s="1">
        <v>176</v>
      </c>
      <c r="L72" s="1" t="s">
        <v>35</v>
      </c>
      <c r="M72" s="1" t="s">
        <v>21</v>
      </c>
      <c r="N72" s="1" t="str">
        <f t="shared" si="2"/>
        <v>Higher</v>
      </c>
      <c r="O72" s="1" t="str">
        <f t="shared" si="3"/>
        <v>Senior | Low Spender | Higher</v>
      </c>
    </row>
    <row r="73" spans="1:15" x14ac:dyDescent="0.25">
      <c r="A73" s="1" t="s">
        <v>103</v>
      </c>
      <c r="B73" s="1">
        <v>57</v>
      </c>
      <c r="C73" s="1" t="str" cm="1">
        <f t="array" ref="C73">_xlfn.IFS(OR(B73=" ", B73="NA",NOT(ISNUMBER(B73))), "Unknown",B73&lt;18,"Underage",B73&lt;=24,"Young Adult",B73&lt;=34,"Early Career",B73&lt;=44,"Mid Career",B73&lt;=54,"Mature",B73&lt;=65,"Pre-Senior",B73&gt;65,"Senior")</f>
        <v>Pre-Senior</v>
      </c>
      <c r="D73" s="1" t="s">
        <v>18</v>
      </c>
      <c r="E73" s="1" t="s">
        <v>34</v>
      </c>
      <c r="F73" s="1">
        <v>1700000</v>
      </c>
      <c r="G73" s="1">
        <v>16</v>
      </c>
      <c r="H73" s="1" t="str" cm="1">
        <f t="array" ref="H73">_xlfn.IFS( OR(G73=" ",NOT(ISNUMBER(G73))),"Unknown",G73&lt;=33,"Low Spender",G73&lt;=66,"Medium Spender",TRUE, "High Spender")</f>
        <v>Low Spender</v>
      </c>
      <c r="I73" s="1">
        <v>49</v>
      </c>
      <c r="J73" s="1">
        <v>7100</v>
      </c>
      <c r="K73" s="1">
        <v>63</v>
      </c>
      <c r="M73" s="1" t="s">
        <v>21</v>
      </c>
      <c r="N73" s="1" t="str">
        <f t="shared" si="2"/>
        <v>Higher</v>
      </c>
      <c r="O73" s="1" t="str">
        <f t="shared" si="3"/>
        <v>Pre-Senior | Low Spender | Higher</v>
      </c>
    </row>
    <row r="74" spans="1:15" x14ac:dyDescent="0.25">
      <c r="A74" s="1" t="s">
        <v>104</v>
      </c>
      <c r="B74" s="1">
        <v>21</v>
      </c>
      <c r="C74" s="1" t="str" cm="1">
        <f t="array" ref="C74">_xlfn.IFS(OR(B74=" ", B74="NA",NOT(ISNUMBER(B74))), "Unknown",B74&lt;18,"Underage",B74&lt;=24,"Young Adult",B74&lt;=34,"Early Career",B74&lt;=44,"Mid Career",B74&lt;=54,"Mature",B74&lt;=65,"Pre-Senior",B74&gt;65,"Senior")</f>
        <v>Young Adult</v>
      </c>
      <c r="D74" s="1" t="s">
        <v>29</v>
      </c>
      <c r="E74" s="1" t="s">
        <v>13</v>
      </c>
      <c r="G74" s="1">
        <v>9</v>
      </c>
      <c r="H74" s="1" t="str" cm="1">
        <f t="array" ref="H74">_xlfn.IFS( OR(G74=" ",NOT(ISNUMBER(G74))),"Unknown",G74&lt;=33,"Low Spender",G74&lt;=66,"Medium Spender",TRUE, "High Spender")</f>
        <v>Low Spender</v>
      </c>
      <c r="I74" s="1">
        <v>53</v>
      </c>
      <c r="J74" s="1">
        <v>6700</v>
      </c>
      <c r="K74" s="1">
        <v>39</v>
      </c>
      <c r="N74" s="1" t="str">
        <f t="shared" si="2"/>
        <v>Higher</v>
      </c>
      <c r="O74" s="1" t="str">
        <f t="shared" si="3"/>
        <v>Young Adult | Low Spender | Higher</v>
      </c>
    </row>
    <row r="75" spans="1:15" x14ac:dyDescent="0.25">
      <c r="A75" s="1" t="s">
        <v>105</v>
      </c>
      <c r="B75" s="1">
        <v>19</v>
      </c>
      <c r="C75" s="1" t="str" cm="1">
        <f t="array" ref="C75">_xlfn.IFS(OR(B75=" ", B75="NA",NOT(ISNUMBER(B75))), "Unknown",B75&lt;18,"Underage",B75&lt;=24,"Young Adult",B75&lt;=34,"Early Career",B75&lt;=44,"Mid Career",B75&lt;=54,"Mature",B75&lt;=65,"Pre-Senior",B75&gt;65,"Senior")</f>
        <v>Young Adult</v>
      </c>
      <c r="E75" s="1" t="s">
        <v>27</v>
      </c>
      <c r="F75" s="1">
        <v>875000</v>
      </c>
      <c r="G75" s="1">
        <v>53</v>
      </c>
      <c r="H75" s="1" t="str" cm="1">
        <f t="array" ref="H75">_xlfn.IFS( OR(G75=" ",NOT(ISNUMBER(G75))),"Unknown",G75&lt;=33,"Low Spender",G75&lt;=66,"Medium Spender",TRUE, "High Spender")</f>
        <v>Medium Spender</v>
      </c>
      <c r="I75" s="1">
        <v>74</v>
      </c>
      <c r="J75" s="1">
        <v>6700</v>
      </c>
      <c r="K75" s="1">
        <v>138</v>
      </c>
      <c r="N75" s="1" t="str">
        <f t="shared" si="2"/>
        <v>Lower</v>
      </c>
      <c r="O75" s="1" t="str">
        <f t="shared" si="3"/>
        <v>Young Adult | Medium Spender | Lower</v>
      </c>
    </row>
    <row r="76" spans="1:15" x14ac:dyDescent="0.25">
      <c r="A76" s="1" t="s">
        <v>106</v>
      </c>
      <c r="B76" s="1">
        <v>23</v>
      </c>
      <c r="C76" s="1" t="str" cm="1">
        <f t="array" ref="C76">_xlfn.IFS(OR(B76=" ", B76="NA",NOT(ISNUMBER(B76))), "Unknown",B76&lt;18,"Underage",B76&lt;=24,"Young Adult",B76&lt;=34,"Early Career",B76&lt;=44,"Mid Career",B76&lt;=54,"Mature",B76&lt;=65,"Pre-Senior",B76&gt;65,"Senior")</f>
        <v>Young Adult</v>
      </c>
      <c r="E76" s="1" t="s">
        <v>23</v>
      </c>
      <c r="F76" s="1">
        <v>750000</v>
      </c>
      <c r="G76" s="1">
        <v>73</v>
      </c>
      <c r="H76" s="1" t="str" cm="1">
        <f t="array" ref="H76">_xlfn.IFS( OR(G76=" ",NOT(ISNUMBER(G76))),"Unknown",G76&lt;=33,"Low Spender",G76&lt;=66,"Medium Spender",TRUE, "High Spender")</f>
        <v>High Spender</v>
      </c>
      <c r="I76" s="1">
        <v>49</v>
      </c>
      <c r="J76" s="1">
        <v>5900</v>
      </c>
      <c r="K76" s="1">
        <v>241</v>
      </c>
      <c r="L76" s="1" t="s">
        <v>35</v>
      </c>
      <c r="N76" s="1" t="str">
        <f t="shared" si="2"/>
        <v>Lower</v>
      </c>
      <c r="O76" s="1" t="str">
        <f t="shared" si="3"/>
        <v>Young Adult | High Spender | Lower</v>
      </c>
    </row>
    <row r="77" spans="1:15" x14ac:dyDescent="0.25">
      <c r="A77" s="1" t="s">
        <v>107</v>
      </c>
      <c r="C77" s="1" t="str" cm="1">
        <f t="array" ref="C77">_xlfn.IFS(OR(B77=" ", B77="NA",NOT(ISNUMBER(B77))), "Unknown",B77&lt;18,"Underage",B77&lt;=24,"Young Adult",B77&lt;=34,"Early Career",B77&lt;=44,"Mid Career",B77&lt;=54,"Mature",B77&lt;=65,"Pre-Senior",B77&gt;65,"Senior")</f>
        <v>Unknown</v>
      </c>
      <c r="D77" s="1" t="s">
        <v>18</v>
      </c>
      <c r="E77" s="1" t="s">
        <v>15</v>
      </c>
      <c r="G77" s="1">
        <v>59</v>
      </c>
      <c r="H77" s="1" t="str" cm="1">
        <f t="array" ref="H77">_xlfn.IFS( OR(G77=" ",NOT(ISNUMBER(G77))),"Unknown",G77&lt;=33,"Low Spender",G77&lt;=66,"Medium Spender",TRUE, "High Spender")</f>
        <v>Medium Spender</v>
      </c>
      <c r="I77" s="1">
        <v>66</v>
      </c>
      <c r="J77" s="1">
        <v>6400</v>
      </c>
      <c r="K77" s="1">
        <v>226</v>
      </c>
      <c r="L77" s="1" t="s">
        <v>35</v>
      </c>
      <c r="N77" s="1" t="str">
        <f t="shared" si="2"/>
        <v>Higher</v>
      </c>
      <c r="O77" s="1" t="str">
        <f t="shared" si="3"/>
        <v>Unknown | Medium Spender | Higher</v>
      </c>
    </row>
    <row r="78" spans="1:15" x14ac:dyDescent="0.25">
      <c r="A78" s="1" t="s">
        <v>108</v>
      </c>
      <c r="B78" s="1">
        <v>59</v>
      </c>
      <c r="C78" s="1" t="str" cm="1">
        <f t="array" ref="C78">_xlfn.IFS(OR(B78=" ", B78="NA",NOT(ISNUMBER(B78))), "Unknown",B78&lt;18,"Underage",B78&lt;=24,"Young Adult",B78&lt;=34,"Early Career",B78&lt;=44,"Mid Career",B78&lt;=54,"Mature",B78&lt;=65,"Pre-Senior",B78&gt;65,"Senior")</f>
        <v>Pre-Senior</v>
      </c>
      <c r="E78" s="1" t="s">
        <v>13</v>
      </c>
      <c r="F78" s="1">
        <v>1900000</v>
      </c>
      <c r="G78" s="1">
        <v>9</v>
      </c>
      <c r="H78" s="1" t="str" cm="1">
        <f t="array" ref="H78">_xlfn.IFS( OR(G78=" ",NOT(ISNUMBER(G78))),"Unknown",G78&lt;=33,"Low Spender",G78&lt;=66,"Medium Spender",TRUE, "High Spender")</f>
        <v>Low Spender</v>
      </c>
      <c r="I78" s="1">
        <v>63</v>
      </c>
      <c r="J78" s="1">
        <v>2200</v>
      </c>
      <c r="K78" s="1">
        <v>206</v>
      </c>
      <c r="M78" s="1" t="s">
        <v>21</v>
      </c>
      <c r="N78" s="1" t="str">
        <f t="shared" si="2"/>
        <v>Lower</v>
      </c>
      <c r="O78" s="1" t="str">
        <f t="shared" si="3"/>
        <v>Pre-Senior | Low Spender | Lower</v>
      </c>
    </row>
    <row r="79" spans="1:15" x14ac:dyDescent="0.25">
      <c r="A79" s="1" t="s">
        <v>109</v>
      </c>
      <c r="B79" s="1">
        <v>21</v>
      </c>
      <c r="C79" s="1" t="str" cm="1">
        <f t="array" ref="C79">_xlfn.IFS(OR(B79=" ", B79="NA",NOT(ISNUMBER(B79))), "Unknown",B79&lt;18,"Underage",B79&lt;=24,"Young Adult",B79&lt;=34,"Early Career",B79&lt;=44,"Mid Career",B79&lt;=54,"Mature",B79&lt;=65,"Pre-Senior",B79&gt;65,"Senior")</f>
        <v>Young Adult</v>
      </c>
      <c r="D79" s="1" t="s">
        <v>29</v>
      </c>
      <c r="F79" s="1">
        <v>775000</v>
      </c>
      <c r="G79" s="1">
        <v>12</v>
      </c>
      <c r="H79" s="1" t="str" cm="1">
        <f t="array" ref="H79">_xlfn.IFS( OR(G79=" ",NOT(ISNUMBER(G79))),"Unknown",G79&lt;=33,"Low Spender",G79&lt;=66,"Medium Spender",TRUE, "High Spender")</f>
        <v>Low Spender</v>
      </c>
      <c r="I79" s="1">
        <v>25</v>
      </c>
      <c r="J79" s="1">
        <v>11500</v>
      </c>
      <c r="K79" s="1">
        <v>164</v>
      </c>
      <c r="L79" s="1" t="s">
        <v>20</v>
      </c>
      <c r="N79" s="1" t="str">
        <f t="shared" si="2"/>
        <v>Higher</v>
      </c>
      <c r="O79" s="1" t="str">
        <f t="shared" si="3"/>
        <v>Young Adult | Low Spender | Higher</v>
      </c>
    </row>
    <row r="80" spans="1:15" x14ac:dyDescent="0.25">
      <c r="A80" s="1" t="s">
        <v>110</v>
      </c>
      <c r="C80" s="1" t="str" cm="1">
        <f t="array" ref="C80">_xlfn.IFS(OR(B80=" ", B80="NA",NOT(ISNUMBER(B80))), "Unknown",B80&lt;18,"Underage",B80&lt;=24,"Young Adult",B80&lt;=34,"Early Career",B80&lt;=44,"Mid Career",B80&lt;=54,"Mature",B80&lt;=65,"Pre-Senior",B80&gt;65,"Senior")</f>
        <v>Unknown</v>
      </c>
      <c r="D80" s="1" t="s">
        <v>29</v>
      </c>
      <c r="E80" s="1" t="s">
        <v>13</v>
      </c>
      <c r="F80" s="1">
        <v>1525000</v>
      </c>
      <c r="G80" s="1">
        <v>41</v>
      </c>
      <c r="H80" s="1" t="str" cm="1">
        <f t="array" ref="H80">_xlfn.IFS( OR(G80=" ",NOT(ISNUMBER(G80))),"Unknown",G80&lt;=33,"Low Spender",G80&lt;=66,"Medium Spender",TRUE, "High Spender")</f>
        <v>Medium Spender</v>
      </c>
      <c r="I80" s="1">
        <v>4</v>
      </c>
      <c r="J80" s="1">
        <v>7700</v>
      </c>
      <c r="K80" s="1">
        <v>27</v>
      </c>
      <c r="L80" s="1" t="s">
        <v>37</v>
      </c>
      <c r="M80" s="1" t="s">
        <v>41</v>
      </c>
      <c r="N80" s="1" t="str">
        <f t="shared" si="2"/>
        <v>Higher</v>
      </c>
      <c r="O80" s="1" t="str">
        <f t="shared" si="3"/>
        <v>Unknown | Medium Spender | Higher</v>
      </c>
    </row>
    <row r="81" spans="1:15" x14ac:dyDescent="0.25">
      <c r="A81" s="1" t="s">
        <v>111</v>
      </c>
      <c r="B81" s="1">
        <v>46</v>
      </c>
      <c r="C81" s="1" t="str" cm="1">
        <f t="array" ref="C81">_xlfn.IFS(OR(B81=" ", B81="NA",NOT(ISNUMBER(B81))), "Unknown",B81&lt;18,"Underage",B81&lt;=24,"Young Adult",B81&lt;=34,"Early Career",B81&lt;=44,"Mid Career",B81&lt;=54,"Mature",B81&lt;=65,"Pre-Senior",B81&gt;65,"Senior")</f>
        <v>Mature</v>
      </c>
      <c r="D81" s="1" t="s">
        <v>18</v>
      </c>
      <c r="E81" s="1" t="s">
        <v>34</v>
      </c>
      <c r="F81" s="1">
        <v>675000</v>
      </c>
      <c r="G81" s="1">
        <v>15</v>
      </c>
      <c r="H81" s="1" t="str" cm="1">
        <f t="array" ref="H81">_xlfn.IFS( OR(G81=" ",NOT(ISNUMBER(G81))),"Unknown",G81&lt;=33,"Low Spender",G81&lt;=66,"Medium Spender",TRUE, "High Spender")</f>
        <v>Low Spender</v>
      </c>
      <c r="I81" s="1">
        <v>51</v>
      </c>
      <c r="J81" s="1">
        <v>2800</v>
      </c>
      <c r="K81" s="1">
        <v>183</v>
      </c>
      <c r="L81" s="1" t="s">
        <v>16</v>
      </c>
      <c r="M81" s="1" t="s">
        <v>32</v>
      </c>
      <c r="N81" s="1" t="str">
        <f t="shared" si="2"/>
        <v>Higher</v>
      </c>
      <c r="O81" s="1" t="str">
        <f t="shared" si="3"/>
        <v>Mature | Low Spender | Higher</v>
      </c>
    </row>
    <row r="82" spans="1:15" x14ac:dyDescent="0.25">
      <c r="A82" s="1" t="s">
        <v>112</v>
      </c>
      <c r="B82" s="1">
        <v>35</v>
      </c>
      <c r="C82" s="1" t="str" cm="1">
        <f t="array" ref="C82">_xlfn.IFS(OR(B82=" ", B82="NA",NOT(ISNUMBER(B82))), "Unknown",B82&lt;18,"Underage",B82&lt;=24,"Young Adult",B82&lt;=34,"Early Career",B82&lt;=44,"Mid Career",B82&lt;=54,"Mature",B82&lt;=65,"Pre-Senior",B82&gt;65,"Senior")</f>
        <v>Mid Career</v>
      </c>
      <c r="D82" s="1" t="s">
        <v>29</v>
      </c>
      <c r="E82" s="1" t="s">
        <v>15</v>
      </c>
      <c r="F82" s="1">
        <v>600000</v>
      </c>
      <c r="G82" s="1">
        <v>66</v>
      </c>
      <c r="H82" s="1" t="str" cm="1">
        <f t="array" ref="H82">_xlfn.IFS( OR(G82=" ",NOT(ISNUMBER(G82))),"Unknown",G82&lt;=33,"Low Spender",G82&lt;=66,"Medium Spender",TRUE, "High Spender")</f>
        <v>Medium Spender</v>
      </c>
      <c r="I82" s="1">
        <v>11</v>
      </c>
      <c r="J82" s="1">
        <v>4600</v>
      </c>
      <c r="K82" s="1">
        <v>198</v>
      </c>
      <c r="L82" s="1" t="s">
        <v>35</v>
      </c>
      <c r="M82" s="1" t="s">
        <v>32</v>
      </c>
      <c r="N82" s="1" t="str">
        <f t="shared" si="2"/>
        <v>Higher</v>
      </c>
      <c r="O82" s="1" t="str">
        <f t="shared" si="3"/>
        <v>Mid Career | Medium Spender | Higher</v>
      </c>
    </row>
    <row r="83" spans="1:15" x14ac:dyDescent="0.25">
      <c r="A83" s="1" t="s">
        <v>113</v>
      </c>
      <c r="B83" s="1">
        <v>43</v>
      </c>
      <c r="C83" s="1" t="str" cm="1">
        <f t="array" ref="C83">_xlfn.IFS(OR(B83=" ", B83="NA",NOT(ISNUMBER(B83))), "Unknown",B83&lt;18,"Underage",B83&lt;=24,"Young Adult",B83&lt;=34,"Early Career",B83&lt;=44,"Mid Career",B83&lt;=54,"Mature",B83&lt;=65,"Pre-Senior",B83&gt;65,"Senior")</f>
        <v>Mid Career</v>
      </c>
      <c r="D83" s="1" t="s">
        <v>29</v>
      </c>
      <c r="E83" s="1" t="s">
        <v>34</v>
      </c>
      <c r="F83" s="1">
        <v>900000</v>
      </c>
      <c r="G83" s="1">
        <v>75</v>
      </c>
      <c r="H83" s="1" t="str" cm="1">
        <f t="array" ref="H83">_xlfn.IFS( OR(G83=" ",NOT(ISNUMBER(G83))),"Unknown",G83&lt;=33,"Low Spender",G83&lt;=66,"Medium Spender",TRUE, "High Spender")</f>
        <v>High Spender</v>
      </c>
      <c r="I83" s="1">
        <v>17</v>
      </c>
      <c r="J83" s="1">
        <v>6900</v>
      </c>
      <c r="K83" s="1">
        <v>337</v>
      </c>
      <c r="N83" s="1" t="str">
        <f t="shared" si="2"/>
        <v>Higher</v>
      </c>
      <c r="O83" s="1" t="str">
        <f t="shared" si="3"/>
        <v>Mid Career | High Spender | Higher</v>
      </c>
    </row>
    <row r="84" spans="1:15" x14ac:dyDescent="0.25">
      <c r="A84" s="1" t="s">
        <v>114</v>
      </c>
      <c r="B84" s="1">
        <v>61</v>
      </c>
      <c r="C84" s="1" t="str" cm="1">
        <f t="array" ref="C84">_xlfn.IFS(OR(B84=" ", B84="NA",NOT(ISNUMBER(B84))), "Unknown",B84&lt;18,"Underage",B84&lt;=24,"Young Adult",B84&lt;=34,"Early Career",B84&lt;=44,"Mid Career",B84&lt;=54,"Mature",B84&lt;=65,"Pre-Senior",B84&gt;65,"Senior")</f>
        <v>Pre-Senior</v>
      </c>
      <c r="D84" s="1" t="s">
        <v>12</v>
      </c>
      <c r="F84" s="1">
        <v>775000</v>
      </c>
      <c r="G84" s="1">
        <v>11</v>
      </c>
      <c r="H84" s="1" t="str" cm="1">
        <f t="array" ref="H84">_xlfn.IFS( OR(G84=" ",NOT(ISNUMBER(G84))),"Unknown",G84&lt;=33,"Low Spender",G84&lt;=66,"Medium Spender",TRUE, "High Spender")</f>
        <v>Low Spender</v>
      </c>
      <c r="I84" s="1">
        <v>66</v>
      </c>
      <c r="J84" s="1">
        <v>7200</v>
      </c>
      <c r="K84" s="1">
        <v>107</v>
      </c>
      <c r="L84" s="1" t="s">
        <v>35</v>
      </c>
      <c r="N84" s="1" t="str">
        <f t="shared" si="2"/>
        <v>Lower</v>
      </c>
      <c r="O84" s="1" t="str">
        <f t="shared" si="3"/>
        <v>Pre-Senior | Low Spender | Lower</v>
      </c>
    </row>
    <row r="85" spans="1:15" x14ac:dyDescent="0.25">
      <c r="A85" s="1" t="s">
        <v>115</v>
      </c>
      <c r="B85" s="1">
        <v>51</v>
      </c>
      <c r="C85" s="1" t="str" cm="1">
        <f t="array" ref="C85">_xlfn.IFS(OR(B85=" ", B85="NA",NOT(ISNUMBER(B85))), "Unknown",B85&lt;18,"Underage",B85&lt;=24,"Young Adult",B85&lt;=34,"Early Career",B85&lt;=44,"Mid Career",B85&lt;=54,"Mature",B85&lt;=65,"Pre-Senior",B85&gt;65,"Senior")</f>
        <v>Mature</v>
      </c>
      <c r="D85" s="1" t="s">
        <v>29</v>
      </c>
      <c r="E85" s="1" t="s">
        <v>58</v>
      </c>
      <c r="F85" s="1">
        <v>1175000</v>
      </c>
      <c r="G85" s="1">
        <v>8</v>
      </c>
      <c r="H85" s="1" t="str" cm="1">
        <f t="array" ref="H85">_xlfn.IFS( OR(G85=" ",NOT(ISNUMBER(G85))),"Unknown",G85&lt;=33,"Low Spender",G85&lt;=66,"Medium Spender",TRUE, "High Spender")</f>
        <v>Low Spender</v>
      </c>
      <c r="I85" s="1">
        <v>70</v>
      </c>
      <c r="J85" s="1">
        <v>6400</v>
      </c>
      <c r="K85" s="1">
        <v>189</v>
      </c>
      <c r="L85" s="1" t="s">
        <v>20</v>
      </c>
      <c r="M85" s="1" t="s">
        <v>30</v>
      </c>
      <c r="N85" s="1" t="str">
        <f t="shared" si="2"/>
        <v>Higher</v>
      </c>
      <c r="O85" s="1" t="str">
        <f t="shared" si="3"/>
        <v>Mature | Low Spender | Higher</v>
      </c>
    </row>
    <row r="86" spans="1:15" x14ac:dyDescent="0.25">
      <c r="A86" s="1" t="s">
        <v>116</v>
      </c>
      <c r="B86" s="1">
        <v>27</v>
      </c>
      <c r="C86" s="1" t="str" cm="1">
        <f t="array" ref="C86">_xlfn.IFS(OR(B86=" ", B86="NA",NOT(ISNUMBER(B86))), "Unknown",B86&lt;18,"Underage",B86&lt;=24,"Young Adult",B86&lt;=34,"Early Career",B86&lt;=44,"Mid Career",B86&lt;=54,"Mature",B86&lt;=65,"Pre-Senior",B86&gt;65,"Senior")</f>
        <v>Early Career</v>
      </c>
      <c r="D86" s="1" t="s">
        <v>29</v>
      </c>
      <c r="E86" s="1" t="s">
        <v>15</v>
      </c>
      <c r="F86" s="1">
        <v>1150000</v>
      </c>
      <c r="G86" s="1">
        <v>55</v>
      </c>
      <c r="H86" s="1" t="str" cm="1">
        <f t="array" ref="H86">_xlfn.IFS( OR(G86=" ",NOT(ISNUMBER(G86))),"Unknown",G86&lt;=33,"Low Spender",G86&lt;=66,"Medium Spender",TRUE, "High Spender")</f>
        <v>Medium Spender</v>
      </c>
      <c r="I86" s="1">
        <v>73</v>
      </c>
      <c r="J86" s="1">
        <v>10900</v>
      </c>
      <c r="K86" s="1">
        <v>36</v>
      </c>
      <c r="L86" s="1" t="s">
        <v>16</v>
      </c>
      <c r="N86" s="1" t="str">
        <f t="shared" si="2"/>
        <v>Higher</v>
      </c>
      <c r="O86" s="1" t="str">
        <f t="shared" si="3"/>
        <v>Early Career | Medium Spender | Higher</v>
      </c>
    </row>
    <row r="87" spans="1:15" x14ac:dyDescent="0.25">
      <c r="A87" s="1" t="s">
        <v>117</v>
      </c>
      <c r="B87" s="1">
        <v>53</v>
      </c>
      <c r="C87" s="1" t="str" cm="1">
        <f t="array" ref="C87">_xlfn.IFS(OR(B87=" ", B87="NA",NOT(ISNUMBER(B87))), "Unknown",B87&lt;18,"Underage",B87&lt;=24,"Young Adult",B87&lt;=34,"Early Career",B87&lt;=44,"Mid Career",B87&lt;=54,"Mature",B87&lt;=65,"Pre-Senior",B87&gt;65,"Senior")</f>
        <v>Mature</v>
      </c>
      <c r="D87" s="1" t="s">
        <v>18</v>
      </c>
      <c r="E87" s="1" t="s">
        <v>58</v>
      </c>
      <c r="F87" s="1">
        <v>700000</v>
      </c>
      <c r="G87" s="1">
        <v>96</v>
      </c>
      <c r="H87" s="1" t="str" cm="1">
        <f t="array" ref="H87">_xlfn.IFS( OR(G87=" ",NOT(ISNUMBER(G87))),"Unknown",G87&lt;=33,"Low Spender",G87&lt;=66,"Medium Spender",TRUE, "High Spender")</f>
        <v>High Spender</v>
      </c>
      <c r="I87" s="1">
        <v>69</v>
      </c>
      <c r="J87" s="1">
        <v>4700</v>
      </c>
      <c r="K87" s="1">
        <v>85</v>
      </c>
      <c r="L87" s="1" t="s">
        <v>20</v>
      </c>
      <c r="N87" s="1" t="str">
        <f t="shared" si="2"/>
        <v>Higher</v>
      </c>
      <c r="O87" s="1" t="str">
        <f t="shared" si="3"/>
        <v>Mature | High Spender | Higher</v>
      </c>
    </row>
    <row r="88" spans="1:15" x14ac:dyDescent="0.25">
      <c r="A88" s="1" t="s">
        <v>118</v>
      </c>
      <c r="B88" s="1">
        <v>31</v>
      </c>
      <c r="C88" s="1" t="str" cm="1">
        <f t="array" ref="C88">_xlfn.IFS(OR(B88=" ", B88="NA",NOT(ISNUMBER(B88))), "Unknown",B88&lt;18,"Underage",B88&lt;=24,"Young Adult",B88&lt;=34,"Early Career",B88&lt;=44,"Mid Career",B88&lt;=54,"Mature",B88&lt;=65,"Pre-Senior",B88&gt;65,"Senior")</f>
        <v>Early Career</v>
      </c>
      <c r="D88" s="1" t="s">
        <v>18</v>
      </c>
      <c r="E88" s="1" t="s">
        <v>27</v>
      </c>
      <c r="F88" s="1">
        <v>1300000</v>
      </c>
      <c r="G88" s="1">
        <v>6</v>
      </c>
      <c r="H88" s="1" t="str" cm="1">
        <f t="array" ref="H88">_xlfn.IFS( OR(G88=" ",NOT(ISNUMBER(G88))),"Unknown",G88&lt;=33,"Low Spender",G88&lt;=66,"Medium Spender",TRUE, "High Spender")</f>
        <v>Low Spender</v>
      </c>
      <c r="I88" s="1">
        <v>29</v>
      </c>
      <c r="J88" s="1">
        <v>1300</v>
      </c>
      <c r="K88" s="1">
        <v>155</v>
      </c>
      <c r="L88" s="1" t="s">
        <v>37</v>
      </c>
      <c r="N88" s="1" t="str">
        <f t="shared" si="2"/>
        <v>Higher</v>
      </c>
      <c r="O88" s="1" t="str">
        <f t="shared" si="3"/>
        <v>Early Career | Low Spender | Higher</v>
      </c>
    </row>
    <row r="89" spans="1:15" x14ac:dyDescent="0.25">
      <c r="A89" s="1" t="s">
        <v>119</v>
      </c>
      <c r="B89" s="1">
        <v>48</v>
      </c>
      <c r="C89" s="1" t="str" cm="1">
        <f t="array" ref="C89">_xlfn.IFS(OR(B89=" ", B89="NA",NOT(ISNUMBER(B89))), "Unknown",B89&lt;18,"Underage",B89&lt;=24,"Young Adult",B89&lt;=34,"Early Career",B89&lt;=44,"Mid Career",B89&lt;=54,"Mature",B89&lt;=65,"Pre-Senior",B89&gt;65,"Senior")</f>
        <v>Mature</v>
      </c>
      <c r="D89" s="1" t="s">
        <v>18</v>
      </c>
      <c r="E89" s="1" t="s">
        <v>27</v>
      </c>
      <c r="F89" s="1">
        <v>450000</v>
      </c>
      <c r="G89" s="1">
        <v>53</v>
      </c>
      <c r="H89" s="1" t="str" cm="1">
        <f t="array" ref="H89">_xlfn.IFS( OR(G89=" ",NOT(ISNUMBER(G89))),"Unknown",G89&lt;=33,"Low Spender",G89&lt;=66,"Medium Spender",TRUE, "High Spender")</f>
        <v>Medium Spender</v>
      </c>
      <c r="I89" s="1">
        <v>73</v>
      </c>
      <c r="J89" s="1">
        <v>7400</v>
      </c>
      <c r="K89" s="1">
        <v>169</v>
      </c>
      <c r="L89" s="1" t="s">
        <v>20</v>
      </c>
      <c r="M89" s="1" t="s">
        <v>21</v>
      </c>
      <c r="N89" s="1" t="str">
        <f t="shared" si="2"/>
        <v>Higher</v>
      </c>
      <c r="O89" s="1" t="str">
        <f t="shared" si="3"/>
        <v>Mature | Medium Spender | Higher</v>
      </c>
    </row>
    <row r="90" spans="1:15" x14ac:dyDescent="0.25">
      <c r="A90" s="1" t="s">
        <v>120</v>
      </c>
      <c r="B90" s="1">
        <v>65</v>
      </c>
      <c r="C90" s="1" t="str" cm="1">
        <f t="array" ref="C90">_xlfn.IFS(OR(B90=" ", B90="NA",NOT(ISNUMBER(B90))), "Unknown",B90&lt;18,"Underage",B90&lt;=24,"Young Adult",B90&lt;=34,"Early Career",B90&lt;=44,"Mid Career",B90&lt;=54,"Mature",B90&lt;=65,"Pre-Senior",B90&gt;65,"Senior")</f>
        <v>Pre-Senior</v>
      </c>
      <c r="D90" s="1" t="s">
        <v>18</v>
      </c>
      <c r="E90" s="1" t="s">
        <v>58</v>
      </c>
      <c r="F90" s="1">
        <v>1775000</v>
      </c>
      <c r="G90" s="1">
        <v>20</v>
      </c>
      <c r="H90" s="1" t="str" cm="1">
        <f t="array" ref="H90">_xlfn.IFS( OR(G90=" ",NOT(ISNUMBER(G90))),"Unknown",G90&lt;=33,"Low Spender",G90&lt;=66,"Medium Spender",TRUE, "High Spender")</f>
        <v>Low Spender</v>
      </c>
      <c r="I90" s="1">
        <v>72</v>
      </c>
      <c r="J90" s="1">
        <v>9500</v>
      </c>
      <c r="K90" s="1">
        <v>284</v>
      </c>
      <c r="L90" s="1" t="s">
        <v>16</v>
      </c>
      <c r="N90" s="1" t="str">
        <f t="shared" si="2"/>
        <v>Higher</v>
      </c>
      <c r="O90" s="1" t="str">
        <f t="shared" si="3"/>
        <v>Pre-Senior | Low Spender | Higher</v>
      </c>
    </row>
    <row r="91" spans="1:15" x14ac:dyDescent="0.25">
      <c r="A91" s="1" t="s">
        <v>121</v>
      </c>
      <c r="B91" s="1">
        <v>32</v>
      </c>
      <c r="C91" s="1" t="str" cm="1">
        <f t="array" ref="C91">_xlfn.IFS(OR(B91=" ", B91="NA",NOT(ISNUMBER(B91))), "Unknown",B91&lt;18,"Underage",B91&lt;=24,"Young Adult",B91&lt;=34,"Early Career",B91&lt;=44,"Mid Career",B91&lt;=54,"Mature",B91&lt;=65,"Pre-Senior",B91&gt;65,"Senior")</f>
        <v>Early Career</v>
      </c>
      <c r="D91" s="1" t="s">
        <v>29</v>
      </c>
      <c r="E91" s="1" t="s">
        <v>27</v>
      </c>
      <c r="F91" s="1">
        <v>1775000</v>
      </c>
      <c r="G91" s="1">
        <v>39</v>
      </c>
      <c r="H91" s="1" t="str" cm="1">
        <f t="array" ref="H91">_xlfn.IFS( OR(G91=" ",NOT(ISNUMBER(G91))),"Unknown",G91&lt;=33,"Low Spender",G91&lt;=66,"Medium Spender",TRUE, "High Spender")</f>
        <v>Medium Spender</v>
      </c>
      <c r="I91" s="1">
        <v>20</v>
      </c>
      <c r="J91" s="1">
        <v>7600</v>
      </c>
      <c r="K91" s="1">
        <v>272</v>
      </c>
      <c r="L91" s="1" t="s">
        <v>16</v>
      </c>
      <c r="M91" s="1" t="s">
        <v>30</v>
      </c>
      <c r="N91" s="1" t="str">
        <f t="shared" si="2"/>
        <v>Higher</v>
      </c>
      <c r="O91" s="1" t="str">
        <f t="shared" si="3"/>
        <v>Early Career | Medium Spender | Higher</v>
      </c>
    </row>
    <row r="92" spans="1:15" x14ac:dyDescent="0.25">
      <c r="A92" s="1" t="s">
        <v>122</v>
      </c>
      <c r="B92" s="1">
        <v>25</v>
      </c>
      <c r="C92" s="1" t="str" cm="1">
        <f t="array" ref="C92">_xlfn.IFS(OR(B92=" ", B92="NA",NOT(ISNUMBER(B92))), "Unknown",B92&lt;18,"Underage",B92&lt;=24,"Young Adult",B92&lt;=34,"Early Career",B92&lt;=44,"Mid Career",B92&lt;=54,"Mature",B92&lt;=65,"Pre-Senior",B92&gt;65,"Senior")</f>
        <v>Early Career</v>
      </c>
      <c r="D92" s="1" t="s">
        <v>18</v>
      </c>
      <c r="E92" s="1" t="s">
        <v>15</v>
      </c>
      <c r="F92" s="1">
        <v>525000</v>
      </c>
      <c r="G92" s="1">
        <v>99</v>
      </c>
      <c r="H92" s="1" t="str" cm="1">
        <f t="array" ref="H92">_xlfn.IFS( OR(G92=" ",NOT(ISNUMBER(G92))),"Unknown",G92&lt;=33,"Low Spender",G92&lt;=66,"Medium Spender",TRUE, "High Spender")</f>
        <v>High Spender</v>
      </c>
      <c r="I92" s="1">
        <v>27</v>
      </c>
      <c r="J92" s="1">
        <v>3600</v>
      </c>
      <c r="K92" s="1">
        <v>35</v>
      </c>
      <c r="L92" s="1" t="s">
        <v>35</v>
      </c>
      <c r="N92" s="1" t="str">
        <f t="shared" si="2"/>
        <v>Higher</v>
      </c>
      <c r="O92" s="1" t="str">
        <f t="shared" si="3"/>
        <v>Early Career | High Spender | Higher</v>
      </c>
    </row>
    <row r="93" spans="1:15" x14ac:dyDescent="0.25">
      <c r="A93" s="1" t="s">
        <v>123</v>
      </c>
      <c r="B93" s="1">
        <v>31</v>
      </c>
      <c r="C93" s="1" t="str" cm="1">
        <f t="array" ref="C93">_xlfn.IFS(OR(B93=" ", B93="NA",NOT(ISNUMBER(B93))), "Unknown",B93&lt;18,"Underage",B93&lt;=24,"Young Adult",B93&lt;=34,"Early Career",B93&lt;=44,"Mid Career",B93&lt;=54,"Mature",B93&lt;=65,"Pre-Senior",B93&gt;65,"Senior")</f>
        <v>Early Career</v>
      </c>
      <c r="D93" s="1" t="s">
        <v>12</v>
      </c>
      <c r="F93" s="1">
        <v>1950000</v>
      </c>
      <c r="G93" s="1">
        <v>72</v>
      </c>
      <c r="H93" s="1" t="str" cm="1">
        <f t="array" ref="H93">_xlfn.IFS( OR(G93=" ",NOT(ISNUMBER(G93))),"Unknown",G93&lt;=33,"Low Spender",G93&lt;=66,"Medium Spender",TRUE, "High Spender")</f>
        <v>High Spender</v>
      </c>
      <c r="I93" s="1">
        <v>8</v>
      </c>
      <c r="J93" s="1">
        <v>9000</v>
      </c>
      <c r="K93" s="1">
        <v>184</v>
      </c>
      <c r="L93" s="1" t="s">
        <v>37</v>
      </c>
      <c r="M93" s="1" t="s">
        <v>41</v>
      </c>
      <c r="N93" s="1" t="str">
        <f t="shared" si="2"/>
        <v>Lower</v>
      </c>
      <c r="O93" s="1" t="str">
        <f t="shared" si="3"/>
        <v>Early Career | High Spender | Lower</v>
      </c>
    </row>
    <row r="94" spans="1:15" x14ac:dyDescent="0.25">
      <c r="A94" s="1" t="s">
        <v>124</v>
      </c>
      <c r="B94" s="1">
        <v>40</v>
      </c>
      <c r="C94" s="1" t="str" cm="1">
        <f t="array" ref="C94">_xlfn.IFS(OR(B94=" ", B94="NA",NOT(ISNUMBER(B94))), "Unknown",B94&lt;18,"Underage",B94&lt;=24,"Young Adult",B94&lt;=34,"Early Career",B94&lt;=44,"Mid Career",B94&lt;=54,"Mature",B94&lt;=65,"Pre-Senior",B94&gt;65,"Senior")</f>
        <v>Mid Career</v>
      </c>
      <c r="D94" s="1" t="s">
        <v>12</v>
      </c>
      <c r="E94" s="1" t="s">
        <v>19</v>
      </c>
      <c r="F94" s="1">
        <v>825000</v>
      </c>
      <c r="G94" s="1">
        <v>34</v>
      </c>
      <c r="H94" s="1" t="str" cm="1">
        <f t="array" ref="H94">_xlfn.IFS( OR(G94=" ",NOT(ISNUMBER(G94))),"Unknown",G94&lt;=33,"Low Spender",G94&lt;=66,"Medium Spender",TRUE, "High Spender")</f>
        <v>Medium Spender</v>
      </c>
      <c r="I94" s="1">
        <v>61</v>
      </c>
      <c r="J94" s="1">
        <v>4800</v>
      </c>
      <c r="K94" s="1">
        <v>99</v>
      </c>
      <c r="N94" s="1" t="str">
        <f t="shared" si="2"/>
        <v>Lower</v>
      </c>
      <c r="O94" s="1" t="str">
        <f t="shared" si="3"/>
        <v>Mid Career | Medium Spender | Lower</v>
      </c>
    </row>
    <row r="95" spans="1:15" x14ac:dyDescent="0.25">
      <c r="A95" s="1" t="s">
        <v>125</v>
      </c>
      <c r="B95" s="1">
        <v>57</v>
      </c>
      <c r="C95" s="1" t="str" cm="1">
        <f t="array" ref="C95">_xlfn.IFS(OR(B95=" ", B95="NA",NOT(ISNUMBER(B95))), "Unknown",B95&lt;18,"Underage",B95&lt;=24,"Young Adult",B95&lt;=34,"Early Career",B95&lt;=44,"Mid Career",B95&lt;=54,"Mature",B95&lt;=65,"Pre-Senior",B95&gt;65,"Senior")</f>
        <v>Pre-Senior</v>
      </c>
      <c r="E95" s="1" t="s">
        <v>27</v>
      </c>
      <c r="F95" s="1" t="s">
        <v>25</v>
      </c>
      <c r="G95" s="1">
        <v>57</v>
      </c>
      <c r="H95" s="1" t="str" cm="1">
        <f t="array" ref="H95">_xlfn.IFS( OR(G95=" ",NOT(ISNUMBER(G95))),"Unknown",G95&lt;=33,"Low Spender",G95&lt;=66,"Medium Spender",TRUE, "High Spender")</f>
        <v>Medium Spender</v>
      </c>
      <c r="I95" s="1">
        <v>28</v>
      </c>
      <c r="J95" s="1">
        <v>11400</v>
      </c>
      <c r="K95" s="1">
        <v>237</v>
      </c>
      <c r="L95" s="1" t="s">
        <v>35</v>
      </c>
      <c r="M95" s="1" t="s">
        <v>32</v>
      </c>
      <c r="N95" s="1" t="str">
        <f t="shared" si="2"/>
        <v>Lower</v>
      </c>
      <c r="O95" s="1" t="str">
        <f t="shared" si="3"/>
        <v>Pre-Senior | Medium Spender | Lower</v>
      </c>
    </row>
    <row r="96" spans="1:15" x14ac:dyDescent="0.25">
      <c r="A96" s="1" t="s">
        <v>126</v>
      </c>
      <c r="B96" s="1">
        <v>38</v>
      </c>
      <c r="C96" s="1" t="str" cm="1">
        <f t="array" ref="C96">_xlfn.IFS(OR(B96=" ", B96="NA",NOT(ISNUMBER(B96))), "Unknown",B96&lt;18,"Underage",B96&lt;=24,"Young Adult",B96&lt;=34,"Early Career",B96&lt;=44,"Mid Career",B96&lt;=54,"Mature",B96&lt;=65,"Pre-Senior",B96&gt;65,"Senior")</f>
        <v>Mid Career</v>
      </c>
      <c r="D96" s="1" t="s">
        <v>29</v>
      </c>
      <c r="E96" s="1" t="s">
        <v>27</v>
      </c>
      <c r="F96" s="1">
        <v>1000000</v>
      </c>
      <c r="G96" s="1">
        <v>19</v>
      </c>
      <c r="H96" s="1" t="str" cm="1">
        <f t="array" ref="H96">_xlfn.IFS( OR(G96=" ",NOT(ISNUMBER(G96))),"Unknown",G96&lt;=33,"Low Spender",G96&lt;=66,"Medium Spender",TRUE, "High Spender")</f>
        <v>Low Spender</v>
      </c>
      <c r="I96" s="1">
        <v>70</v>
      </c>
      <c r="J96" s="1">
        <v>8300</v>
      </c>
      <c r="K96" s="1">
        <v>122</v>
      </c>
      <c r="N96" s="1" t="str">
        <f t="shared" si="2"/>
        <v>Higher</v>
      </c>
      <c r="O96" s="1" t="str">
        <f t="shared" si="3"/>
        <v>Mid Career | Low Spender | Higher</v>
      </c>
    </row>
    <row r="97" spans="1:15" x14ac:dyDescent="0.25">
      <c r="A97" s="1" t="s">
        <v>127</v>
      </c>
      <c r="B97" s="1">
        <v>33</v>
      </c>
      <c r="C97" s="1" t="str" cm="1">
        <f t="array" ref="C97">_xlfn.IFS(OR(B97=" ", B97="NA",NOT(ISNUMBER(B97))), "Unknown",B97&lt;18,"Underage",B97&lt;=24,"Young Adult",B97&lt;=34,"Early Career",B97&lt;=44,"Mid Career",B97&lt;=54,"Mature",B97&lt;=65,"Pre-Senior",B97&gt;65,"Senior")</f>
        <v>Early Career</v>
      </c>
      <c r="E97" s="1" t="s">
        <v>34</v>
      </c>
      <c r="F97" s="1">
        <v>1150000</v>
      </c>
      <c r="G97" s="1">
        <v>71</v>
      </c>
      <c r="H97" s="1" t="str" cm="1">
        <f t="array" ref="H97">_xlfn.IFS( OR(G97=" ",NOT(ISNUMBER(G97))),"Unknown",G97&lt;=33,"Low Spender",G97&lt;=66,"Medium Spender",TRUE, "High Spender")</f>
        <v>High Spender</v>
      </c>
      <c r="I97" s="1">
        <v>3</v>
      </c>
      <c r="J97" s="1">
        <v>3400</v>
      </c>
      <c r="K97" s="1">
        <v>23</v>
      </c>
      <c r="L97" s="1" t="s">
        <v>20</v>
      </c>
      <c r="M97" s="1" t="s">
        <v>41</v>
      </c>
      <c r="N97" s="1" t="str">
        <f t="shared" si="2"/>
        <v>Lower</v>
      </c>
      <c r="O97" s="1" t="str">
        <f t="shared" si="3"/>
        <v>Early Career | High Spender | Lower</v>
      </c>
    </row>
    <row r="98" spans="1:15" x14ac:dyDescent="0.25">
      <c r="A98" s="1" t="s">
        <v>128</v>
      </c>
      <c r="B98" s="1">
        <v>62</v>
      </c>
      <c r="C98" s="1" t="str" cm="1">
        <f t="array" ref="C98">_xlfn.IFS(OR(B98=" ", B98="NA",NOT(ISNUMBER(B98))), "Unknown",B98&lt;18,"Underage",B98&lt;=24,"Young Adult",B98&lt;=34,"Early Career",B98&lt;=44,"Mid Career",B98&lt;=54,"Mature",B98&lt;=65,"Pre-Senior",B98&gt;65,"Senior")</f>
        <v>Pre-Senior</v>
      </c>
      <c r="E98" s="1" t="s">
        <v>58</v>
      </c>
      <c r="F98" s="1" t="s">
        <v>25</v>
      </c>
      <c r="G98" s="1">
        <v>31</v>
      </c>
      <c r="H98" s="1" t="str" cm="1">
        <f t="array" ref="H98">_xlfn.IFS( OR(G98=" ",NOT(ISNUMBER(G98))),"Unknown",G98&lt;=33,"Low Spender",G98&lt;=66,"Medium Spender",TRUE, "High Spender")</f>
        <v>Low Spender</v>
      </c>
      <c r="I98" s="1">
        <v>69</v>
      </c>
      <c r="J98" s="1">
        <v>7700</v>
      </c>
      <c r="K98" s="1">
        <v>63</v>
      </c>
      <c r="L98" s="1" t="s">
        <v>20</v>
      </c>
      <c r="M98" s="1" t="s">
        <v>41</v>
      </c>
      <c r="N98" s="1" t="str">
        <f t="shared" si="2"/>
        <v>Lower</v>
      </c>
      <c r="O98" s="1" t="str">
        <f t="shared" si="3"/>
        <v>Pre-Senior | Low Spender | Lower</v>
      </c>
    </row>
    <row r="99" spans="1:15" x14ac:dyDescent="0.25">
      <c r="A99" s="1" t="s">
        <v>129</v>
      </c>
      <c r="B99" s="1">
        <v>35</v>
      </c>
      <c r="C99" s="1" t="str" cm="1">
        <f t="array" ref="C99">_xlfn.IFS(OR(B99=" ", B99="NA",NOT(ISNUMBER(B99))), "Unknown",B99&lt;18,"Underage",B99&lt;=24,"Young Adult",B99&lt;=34,"Early Career",B99&lt;=44,"Mid Career",B99&lt;=54,"Mature",B99&lt;=65,"Pre-Senior",B99&gt;65,"Senior")</f>
        <v>Mid Career</v>
      </c>
      <c r="E99" s="1" t="s">
        <v>49</v>
      </c>
      <c r="F99" s="1">
        <v>900000</v>
      </c>
      <c r="G99" s="1">
        <v>82</v>
      </c>
      <c r="H99" s="1" t="str" cm="1">
        <f t="array" ref="H99">_xlfn.IFS( OR(G99=" ",NOT(ISNUMBER(G99))),"Unknown",G99&lt;=33,"Low Spender",G99&lt;=66,"Medium Spender",TRUE, "High Spender")</f>
        <v>High Spender</v>
      </c>
      <c r="I99" s="1">
        <v>73</v>
      </c>
      <c r="J99" s="1">
        <v>10000</v>
      </c>
      <c r="K99" s="1">
        <v>326</v>
      </c>
      <c r="L99" s="1" t="s">
        <v>16</v>
      </c>
      <c r="M99" s="1" t="s">
        <v>41</v>
      </c>
      <c r="N99" s="1" t="str">
        <f t="shared" si="2"/>
        <v>Lower</v>
      </c>
      <c r="O99" s="1" t="str">
        <f t="shared" si="3"/>
        <v>Mid Career | High Spender | Lower</v>
      </c>
    </row>
    <row r="100" spans="1:15" x14ac:dyDescent="0.25">
      <c r="A100" s="1" t="s">
        <v>130</v>
      </c>
      <c r="B100" s="1">
        <v>64</v>
      </c>
      <c r="C100" s="1" t="str" cm="1">
        <f t="array" ref="C100">_xlfn.IFS(OR(B100=" ", B100="NA",NOT(ISNUMBER(B100))), "Unknown",B100&lt;18,"Underage",B100&lt;=24,"Young Adult",B100&lt;=34,"Early Career",B100&lt;=44,"Mid Career",B100&lt;=54,"Mature",B100&lt;=65,"Pre-Senior",B100&gt;65,"Senior")</f>
        <v>Pre-Senior</v>
      </c>
      <c r="D100" s="1" t="s">
        <v>18</v>
      </c>
      <c r="E100" s="1" t="s">
        <v>23</v>
      </c>
      <c r="F100" s="1">
        <v>925000</v>
      </c>
      <c r="G100" s="1">
        <v>40</v>
      </c>
      <c r="H100" s="1" t="str" cm="1">
        <f t="array" ref="H100">_xlfn.IFS( OR(G100=" ",NOT(ISNUMBER(G100))),"Unknown",G100&lt;=33,"Low Spender",G100&lt;=66,"Medium Spender",TRUE, "High Spender")</f>
        <v>Medium Spender</v>
      </c>
      <c r="I100" s="1">
        <v>7</v>
      </c>
      <c r="J100" s="1">
        <v>9000</v>
      </c>
      <c r="K100" s="1">
        <v>150</v>
      </c>
      <c r="M100" s="1" t="s">
        <v>30</v>
      </c>
      <c r="N100" s="1" t="str">
        <f t="shared" si="2"/>
        <v>Higher</v>
      </c>
      <c r="O100" s="1" t="str">
        <f t="shared" si="3"/>
        <v>Pre-Senior | Medium Spender | Higher</v>
      </c>
    </row>
    <row r="101" spans="1:15" x14ac:dyDescent="0.25">
      <c r="A101" s="1" t="s">
        <v>131</v>
      </c>
      <c r="C101" s="1" t="str" cm="1">
        <f t="array" ref="C101">_xlfn.IFS(OR(B101=" ", B101="NA",NOT(ISNUMBER(B101))), "Unknown",B101&lt;18,"Underage",B101&lt;=24,"Young Adult",B101&lt;=34,"Early Career",B101&lt;=44,"Mid Career",B101&lt;=54,"Mature",B101&lt;=65,"Pre-Senior",B101&gt;65,"Senior")</f>
        <v>Unknown</v>
      </c>
      <c r="D101" s="1" t="s">
        <v>18</v>
      </c>
      <c r="E101" s="1" t="s">
        <v>13</v>
      </c>
      <c r="F101" s="1">
        <v>1475000</v>
      </c>
      <c r="G101" s="1">
        <v>14</v>
      </c>
      <c r="H101" s="1" t="str" cm="1">
        <f t="array" ref="H101">_xlfn.IFS( OR(G101=" ",NOT(ISNUMBER(G101))),"Unknown",G101&lt;=33,"Low Spender",G101&lt;=66,"Medium Spender",TRUE, "High Spender")</f>
        <v>Low Spender</v>
      </c>
      <c r="I101" s="1">
        <v>60</v>
      </c>
      <c r="K101" s="1">
        <v>195</v>
      </c>
      <c r="L101" s="1" t="s">
        <v>16</v>
      </c>
      <c r="M101" s="1" t="s">
        <v>30</v>
      </c>
      <c r="N101" s="1" t="str">
        <f t="shared" si="2"/>
        <v>Higher</v>
      </c>
      <c r="O101" s="1" t="str">
        <f t="shared" si="3"/>
        <v>Unknown | Low Spender | Higher</v>
      </c>
    </row>
    <row r="102" spans="1:15" x14ac:dyDescent="0.25">
      <c r="A102" s="1" t="s">
        <v>132</v>
      </c>
      <c r="B102" s="1">
        <v>41</v>
      </c>
      <c r="C102" s="1" t="str" cm="1">
        <f t="array" ref="C102">_xlfn.IFS(OR(B102=" ", B102="NA",NOT(ISNUMBER(B102))), "Unknown",B102&lt;18,"Underage",B102&lt;=24,"Young Adult",B102&lt;=34,"Early Career",B102&lt;=44,"Mid Career",B102&lt;=54,"Mature",B102&lt;=65,"Pre-Senior",B102&gt;65,"Senior")</f>
        <v>Mid Career</v>
      </c>
      <c r="D102" s="1" t="s">
        <v>18</v>
      </c>
      <c r="E102" s="1" t="s">
        <v>27</v>
      </c>
      <c r="F102" s="1">
        <v>1925000</v>
      </c>
      <c r="G102" s="1">
        <v>100</v>
      </c>
      <c r="H102" s="1" t="str" cm="1">
        <f t="array" ref="H102">_xlfn.IFS( OR(G102=" ",NOT(ISNUMBER(G102))),"Unknown",G102&lt;=33,"Low Spender",G102&lt;=66,"Medium Spender",TRUE, "High Spender")</f>
        <v>High Spender</v>
      </c>
      <c r="I102" s="1">
        <v>4</v>
      </c>
      <c r="J102" s="1">
        <v>700</v>
      </c>
      <c r="K102" s="1">
        <v>80</v>
      </c>
      <c r="N102" s="1" t="str">
        <f t="shared" si="2"/>
        <v>Higher</v>
      </c>
      <c r="O102" s="1" t="str">
        <f t="shared" si="3"/>
        <v>Mid Career | High Spender | Higher</v>
      </c>
    </row>
    <row r="103" spans="1:15" x14ac:dyDescent="0.25">
      <c r="A103" s="1" t="s">
        <v>133</v>
      </c>
      <c r="B103" s="1">
        <v>43</v>
      </c>
      <c r="C103" s="1" t="str" cm="1">
        <f t="array" ref="C103">_xlfn.IFS(OR(B103=" ", B103="NA",NOT(ISNUMBER(B103))), "Unknown",B103&lt;18,"Underage",B103&lt;=24,"Young Adult",B103&lt;=34,"Early Career",B103&lt;=44,"Mid Career",B103&lt;=54,"Mature",B103&lt;=65,"Pre-Senior",B103&gt;65,"Senior")</f>
        <v>Mid Career</v>
      </c>
      <c r="D103" s="1" t="s">
        <v>18</v>
      </c>
      <c r="E103" s="1" t="s">
        <v>13</v>
      </c>
      <c r="F103" s="1">
        <v>1600000</v>
      </c>
      <c r="G103" s="1">
        <v>81</v>
      </c>
      <c r="H103" s="1" t="str" cm="1">
        <f t="array" ref="H103">_xlfn.IFS( OR(G103=" ",NOT(ISNUMBER(G103))),"Unknown",G103&lt;=33,"Low Spender",G103&lt;=66,"Medium Spender",TRUE, "High Spender")</f>
        <v>High Spender</v>
      </c>
      <c r="I103" s="1">
        <v>5</v>
      </c>
      <c r="J103" s="1">
        <v>6500</v>
      </c>
      <c r="K103" s="1">
        <v>315</v>
      </c>
      <c r="L103" s="1" t="s">
        <v>16</v>
      </c>
      <c r="M103" s="1" t="s">
        <v>30</v>
      </c>
      <c r="N103" s="1" t="str">
        <f t="shared" si="2"/>
        <v>Higher</v>
      </c>
      <c r="O103" s="1" t="str">
        <f t="shared" si="3"/>
        <v>Mid Career | High Spender | Higher</v>
      </c>
    </row>
    <row r="104" spans="1:15" x14ac:dyDescent="0.25">
      <c r="A104" s="1" t="s">
        <v>134</v>
      </c>
      <c r="B104" s="1">
        <v>42</v>
      </c>
      <c r="C104" s="1" t="str" cm="1">
        <f t="array" ref="C104">_xlfn.IFS(OR(B104=" ", B104="NA",NOT(ISNUMBER(B104))), "Unknown",B104&lt;18,"Underage",B104&lt;=24,"Young Adult",B104&lt;=34,"Early Career",B104&lt;=44,"Mid Career",B104&lt;=54,"Mature",B104&lt;=65,"Pre-Senior",B104&gt;65,"Senior")</f>
        <v>Mid Career</v>
      </c>
      <c r="E104" s="1" t="s">
        <v>15</v>
      </c>
      <c r="F104" s="1">
        <v>1150000</v>
      </c>
      <c r="G104" s="1">
        <v>37</v>
      </c>
      <c r="H104" s="1" t="str" cm="1">
        <f t="array" ref="H104">_xlfn.IFS( OR(G104=" ",NOT(ISNUMBER(G104))),"Unknown",G104&lt;=33,"Low Spender",G104&lt;=66,"Medium Spender",TRUE, "High Spender")</f>
        <v>Medium Spender</v>
      </c>
      <c r="I104" s="1">
        <v>11</v>
      </c>
      <c r="J104" s="1">
        <v>3100</v>
      </c>
      <c r="K104" s="1">
        <v>153</v>
      </c>
      <c r="M104" s="1" t="s">
        <v>32</v>
      </c>
      <c r="N104" s="1" t="str">
        <f t="shared" si="2"/>
        <v>Lower</v>
      </c>
      <c r="O104" s="1" t="str">
        <f t="shared" si="3"/>
        <v>Mid Career | Medium Spender | Lower</v>
      </c>
    </row>
    <row r="105" spans="1:15" x14ac:dyDescent="0.25">
      <c r="A105" s="1" t="s">
        <v>135</v>
      </c>
      <c r="B105" s="1">
        <v>62</v>
      </c>
      <c r="C105" s="1" t="str" cm="1">
        <f t="array" ref="C105">_xlfn.IFS(OR(B105=" ", B105="NA",NOT(ISNUMBER(B105))), "Unknown",B105&lt;18,"Underage",B105&lt;=24,"Young Adult",B105&lt;=34,"Early Career",B105&lt;=44,"Mid Career",B105&lt;=54,"Mature",B105&lt;=65,"Pre-Senior",B105&gt;65,"Senior")</f>
        <v>Pre-Senior</v>
      </c>
      <c r="D105" s="1" t="s">
        <v>18</v>
      </c>
      <c r="E105" s="1" t="s">
        <v>49</v>
      </c>
      <c r="F105" s="1">
        <v>1775000</v>
      </c>
      <c r="G105" s="1">
        <v>44</v>
      </c>
      <c r="H105" s="1" t="str" cm="1">
        <f t="array" ref="H105">_xlfn.IFS( OR(G105=" ",NOT(ISNUMBER(G105))),"Unknown",G105&lt;=33,"Low Spender",G105&lt;=66,"Medium Spender",TRUE, "High Spender")</f>
        <v>Medium Spender</v>
      </c>
      <c r="I105" s="1">
        <v>15</v>
      </c>
      <c r="J105" s="1">
        <v>5000</v>
      </c>
      <c r="K105" s="1">
        <v>17</v>
      </c>
      <c r="M105" s="1" t="s">
        <v>21</v>
      </c>
      <c r="N105" s="1" t="str">
        <f t="shared" si="2"/>
        <v>Higher</v>
      </c>
      <c r="O105" s="1" t="str">
        <f t="shared" si="3"/>
        <v>Pre-Senior | Medium Spender | Higher</v>
      </c>
    </row>
    <row r="106" spans="1:15" x14ac:dyDescent="0.25">
      <c r="A106" s="1" t="s">
        <v>136</v>
      </c>
      <c r="B106" s="1">
        <v>58</v>
      </c>
      <c r="C106" s="1" t="str" cm="1">
        <f t="array" ref="C106">_xlfn.IFS(OR(B106=" ", B106="NA",NOT(ISNUMBER(B106))), "Unknown",B106&lt;18,"Underage",B106&lt;=24,"Young Adult",B106&lt;=34,"Early Career",B106&lt;=44,"Mid Career",B106&lt;=54,"Mature",B106&lt;=65,"Pre-Senior",B106&gt;65,"Senior")</f>
        <v>Pre-Senior</v>
      </c>
      <c r="D106" s="1" t="s">
        <v>18</v>
      </c>
      <c r="E106" s="1" t="s">
        <v>23</v>
      </c>
      <c r="F106" s="1">
        <v>1475000</v>
      </c>
      <c r="G106" s="1">
        <v>9</v>
      </c>
      <c r="H106" s="1" t="str" cm="1">
        <f t="array" ref="H106">_xlfn.IFS( OR(G106=" ",NOT(ISNUMBER(G106))),"Unknown",G106&lt;=33,"Low Spender",G106&lt;=66,"Medium Spender",TRUE, "High Spender")</f>
        <v>Low Spender</v>
      </c>
      <c r="I106" s="1">
        <v>64</v>
      </c>
      <c r="J106" s="1">
        <v>11400</v>
      </c>
      <c r="K106" s="1">
        <v>39</v>
      </c>
      <c r="L106" s="1" t="s">
        <v>35</v>
      </c>
      <c r="N106" s="1" t="str">
        <f t="shared" si="2"/>
        <v>Higher</v>
      </c>
      <c r="O106" s="1" t="str">
        <f t="shared" si="3"/>
        <v>Pre-Senior | Low Spender | Higher</v>
      </c>
    </row>
    <row r="107" spans="1:15" x14ac:dyDescent="0.25">
      <c r="A107" s="1" t="s">
        <v>137</v>
      </c>
      <c r="B107" s="1">
        <v>46</v>
      </c>
      <c r="C107" s="1" t="str" cm="1">
        <f t="array" ref="C107">_xlfn.IFS(OR(B107=" ", B107="NA",NOT(ISNUMBER(B107))), "Unknown",B107&lt;18,"Underage",B107&lt;=24,"Young Adult",B107&lt;=34,"Early Career",B107&lt;=44,"Mid Career",B107&lt;=54,"Mature",B107&lt;=65,"Pre-Senior",B107&gt;65,"Senior")</f>
        <v>Mature</v>
      </c>
      <c r="E107" s="1" t="s">
        <v>58</v>
      </c>
      <c r="F107" s="1">
        <v>1125000</v>
      </c>
      <c r="G107" s="1">
        <v>58</v>
      </c>
      <c r="H107" s="1" t="str" cm="1">
        <f t="array" ref="H107">_xlfn.IFS( OR(G107=" ",NOT(ISNUMBER(G107))),"Unknown",G107&lt;=33,"Low Spender",G107&lt;=66,"Medium Spender",TRUE, "High Spender")</f>
        <v>Medium Spender</v>
      </c>
      <c r="I107" s="1">
        <v>13</v>
      </c>
      <c r="J107" s="1">
        <v>10000</v>
      </c>
      <c r="K107" s="1">
        <v>333</v>
      </c>
      <c r="N107" s="1" t="str">
        <f t="shared" si="2"/>
        <v>Lower</v>
      </c>
      <c r="O107" s="1" t="str">
        <f t="shared" si="3"/>
        <v>Mature | Medium Spender | Lower</v>
      </c>
    </row>
    <row r="108" spans="1:15" x14ac:dyDescent="0.25">
      <c r="A108" s="1" t="s">
        <v>138</v>
      </c>
      <c r="B108" s="1">
        <v>32</v>
      </c>
      <c r="C108" s="1" t="str" cm="1">
        <f t="array" ref="C108">_xlfn.IFS(OR(B108=" ", B108="NA",NOT(ISNUMBER(B108))), "Unknown",B108&lt;18,"Underage",B108&lt;=24,"Young Adult",B108&lt;=34,"Early Career",B108&lt;=44,"Mid Career",B108&lt;=54,"Mature",B108&lt;=65,"Pre-Senior",B108&gt;65,"Senior")</f>
        <v>Early Career</v>
      </c>
      <c r="D108" s="1" t="s">
        <v>29</v>
      </c>
      <c r="E108" s="1" t="s">
        <v>19</v>
      </c>
      <c r="F108" s="1">
        <v>825000</v>
      </c>
      <c r="G108" s="1">
        <v>20</v>
      </c>
      <c r="H108" s="1" t="str" cm="1">
        <f t="array" ref="H108">_xlfn.IFS( OR(G108=" ",NOT(ISNUMBER(G108))),"Unknown",G108&lt;=33,"Low Spender",G108&lt;=66,"Medium Spender",TRUE, "High Spender")</f>
        <v>Low Spender</v>
      </c>
      <c r="I108" s="1">
        <v>7</v>
      </c>
      <c r="J108" s="1">
        <v>1800</v>
      </c>
      <c r="K108" s="1">
        <v>348</v>
      </c>
      <c r="N108" s="1" t="str">
        <f t="shared" si="2"/>
        <v>Higher</v>
      </c>
      <c r="O108" s="1" t="str">
        <f t="shared" si="3"/>
        <v>Early Career | Low Spender | Higher</v>
      </c>
    </row>
    <row r="109" spans="1:15" x14ac:dyDescent="0.25">
      <c r="A109" s="1" t="s">
        <v>139</v>
      </c>
      <c r="B109" s="1">
        <v>62</v>
      </c>
      <c r="C109" s="1" t="str" cm="1">
        <f t="array" ref="C109">_xlfn.IFS(OR(B109=" ", B109="NA",NOT(ISNUMBER(B109))), "Unknown",B109&lt;18,"Underage",B109&lt;=24,"Young Adult",B109&lt;=34,"Early Career",B109&lt;=44,"Mid Career",B109&lt;=54,"Mature",B109&lt;=65,"Pre-Senior",B109&gt;65,"Senior")</f>
        <v>Pre-Senior</v>
      </c>
      <c r="D109" s="1" t="s">
        <v>12</v>
      </c>
      <c r="E109" s="1" t="s">
        <v>23</v>
      </c>
      <c r="F109" s="1">
        <v>1050000</v>
      </c>
      <c r="G109" s="1">
        <v>92</v>
      </c>
      <c r="H109" s="1" t="str" cm="1">
        <f t="array" ref="H109">_xlfn.IFS( OR(G109=" ",NOT(ISNUMBER(G109))),"Unknown",G109&lt;=33,"Low Spender",G109&lt;=66,"Medium Spender",TRUE, "High Spender")</f>
        <v>High Spender</v>
      </c>
      <c r="I109" s="1">
        <v>6</v>
      </c>
      <c r="J109" s="1">
        <v>2700</v>
      </c>
      <c r="K109" s="1">
        <v>202</v>
      </c>
      <c r="L109" s="1" t="s">
        <v>16</v>
      </c>
      <c r="N109" s="1" t="str">
        <f t="shared" si="2"/>
        <v>Lower</v>
      </c>
      <c r="O109" s="1" t="str">
        <f t="shared" si="3"/>
        <v>Pre-Senior | High Spender | Lower</v>
      </c>
    </row>
    <row r="110" spans="1:15" x14ac:dyDescent="0.25">
      <c r="A110" s="1" t="s">
        <v>140</v>
      </c>
      <c r="B110" s="1">
        <v>18</v>
      </c>
      <c r="C110" s="1" t="str" cm="1">
        <f t="array" ref="C110">_xlfn.IFS(OR(B110=" ", B110="NA",NOT(ISNUMBER(B110))), "Unknown",B110&lt;18,"Underage",B110&lt;=24,"Young Adult",B110&lt;=34,"Early Career",B110&lt;=44,"Mid Career",B110&lt;=54,"Mature",B110&lt;=65,"Pre-Senior",B110&gt;65,"Senior")</f>
        <v>Young Adult</v>
      </c>
      <c r="D110" s="1" t="s">
        <v>29</v>
      </c>
      <c r="E110" s="1" t="s">
        <v>23</v>
      </c>
      <c r="F110" s="1">
        <v>1750000</v>
      </c>
      <c r="G110" s="1">
        <v>50</v>
      </c>
      <c r="H110" s="1" t="str" cm="1">
        <f t="array" ref="H110">_xlfn.IFS( OR(G110=" ",NOT(ISNUMBER(G110))),"Unknown",G110&lt;=33,"Low Spender",G110&lt;=66,"Medium Spender",TRUE, "High Spender")</f>
        <v>Medium Spender</v>
      </c>
      <c r="I110" s="1">
        <v>56</v>
      </c>
      <c r="J110" s="1">
        <v>10300</v>
      </c>
      <c r="K110" s="1">
        <v>280</v>
      </c>
      <c r="M110" s="1" t="s">
        <v>21</v>
      </c>
      <c r="N110" s="1" t="str">
        <f t="shared" si="2"/>
        <v>Higher</v>
      </c>
      <c r="O110" s="1" t="str">
        <f t="shared" si="3"/>
        <v>Young Adult | Medium Spender | Higher</v>
      </c>
    </row>
    <row r="111" spans="1:15" x14ac:dyDescent="0.25">
      <c r="A111" s="1" t="s">
        <v>141</v>
      </c>
      <c r="B111" s="1">
        <v>42</v>
      </c>
      <c r="C111" s="1" t="str" cm="1">
        <f t="array" ref="C111">_xlfn.IFS(OR(B111=" ", B111="NA",NOT(ISNUMBER(B111))), "Unknown",B111&lt;18,"Underage",B111&lt;=24,"Young Adult",B111&lt;=34,"Early Career",B111&lt;=44,"Mid Career",B111&lt;=54,"Mature",B111&lt;=65,"Pre-Senior",B111&gt;65,"Senior")</f>
        <v>Mid Career</v>
      </c>
      <c r="D111" s="1" t="s">
        <v>29</v>
      </c>
      <c r="E111" s="1" t="s">
        <v>19</v>
      </c>
      <c r="F111" s="1">
        <v>1975000</v>
      </c>
      <c r="G111" s="1">
        <v>20</v>
      </c>
      <c r="H111" s="1" t="str" cm="1">
        <f t="array" ref="H111">_xlfn.IFS( OR(G111=" ",NOT(ISNUMBER(G111))),"Unknown",G111&lt;=33,"Low Spender",G111&lt;=66,"Medium Spender",TRUE, "High Spender")</f>
        <v>Low Spender</v>
      </c>
      <c r="I111" s="1">
        <v>64</v>
      </c>
      <c r="J111" s="1">
        <v>7400</v>
      </c>
      <c r="K111" s="1">
        <v>88</v>
      </c>
      <c r="L111" s="1" t="s">
        <v>35</v>
      </c>
      <c r="N111" s="1" t="str">
        <f t="shared" si="2"/>
        <v>Higher</v>
      </c>
      <c r="O111" s="1" t="str">
        <f t="shared" si="3"/>
        <v>Mid Career | Low Spender | Higher</v>
      </c>
    </row>
    <row r="112" spans="1:15" x14ac:dyDescent="0.25">
      <c r="A112" s="1" t="s">
        <v>142</v>
      </c>
      <c r="B112" s="1">
        <v>24</v>
      </c>
      <c r="C112" s="1" t="str" cm="1">
        <f t="array" ref="C112">_xlfn.IFS(OR(B112=" ", B112="NA",NOT(ISNUMBER(B112))), "Unknown",B112&lt;18,"Underage",B112&lt;=24,"Young Adult",B112&lt;=34,"Early Career",B112&lt;=44,"Mid Career",B112&lt;=54,"Mature",B112&lt;=65,"Pre-Senior",B112&gt;65,"Senior")</f>
        <v>Young Adult</v>
      </c>
      <c r="D112" s="1" t="s">
        <v>18</v>
      </c>
      <c r="F112" s="1">
        <v>1500000</v>
      </c>
      <c r="G112" s="1">
        <v>36</v>
      </c>
      <c r="H112" s="1" t="str" cm="1">
        <f t="array" ref="H112">_xlfn.IFS( OR(G112=" ",NOT(ISNUMBER(G112))),"Unknown",G112&lt;=33,"Low Spender",G112&lt;=66,"Medium Spender",TRUE, "High Spender")</f>
        <v>Medium Spender</v>
      </c>
      <c r="I112" s="1">
        <v>50</v>
      </c>
      <c r="J112" s="1">
        <v>3100</v>
      </c>
      <c r="K112" s="1">
        <v>300</v>
      </c>
      <c r="L112" s="1" t="s">
        <v>35</v>
      </c>
      <c r="N112" s="1" t="str">
        <f t="shared" si="2"/>
        <v>Higher</v>
      </c>
      <c r="O112" s="1" t="str">
        <f t="shared" si="3"/>
        <v>Young Adult | Medium Spender | Higher</v>
      </c>
    </row>
    <row r="113" spans="1:15" x14ac:dyDescent="0.25">
      <c r="A113" s="1" t="s">
        <v>143</v>
      </c>
      <c r="B113" s="1">
        <v>26</v>
      </c>
      <c r="C113" s="1" t="str" cm="1">
        <f t="array" ref="C113">_xlfn.IFS(OR(B113=" ", B113="NA",NOT(ISNUMBER(B113))), "Unknown",B113&lt;18,"Underage",B113&lt;=24,"Young Adult",B113&lt;=34,"Early Career",B113&lt;=44,"Mid Career",B113&lt;=54,"Mature",B113&lt;=65,"Pre-Senior",B113&gt;65,"Senior")</f>
        <v>Early Career</v>
      </c>
      <c r="D113" s="1" t="s">
        <v>29</v>
      </c>
      <c r="E113" s="1" t="s">
        <v>58</v>
      </c>
      <c r="F113" s="1">
        <v>225000</v>
      </c>
      <c r="G113" s="1">
        <v>27</v>
      </c>
      <c r="H113" s="1" t="str" cm="1">
        <f t="array" ref="H113">_xlfn.IFS( OR(G113=" ",NOT(ISNUMBER(G113))),"Unknown",G113&lt;=33,"Low Spender",G113&lt;=66,"Medium Spender",TRUE, "High Spender")</f>
        <v>Low Spender</v>
      </c>
      <c r="I113" s="1">
        <v>30</v>
      </c>
      <c r="J113" s="1">
        <v>5400</v>
      </c>
      <c r="K113" s="1">
        <v>292</v>
      </c>
      <c r="L113" s="1" t="s">
        <v>37</v>
      </c>
      <c r="N113" s="1" t="str">
        <f t="shared" si="2"/>
        <v>Higher</v>
      </c>
      <c r="O113" s="1" t="str">
        <f t="shared" si="3"/>
        <v>Early Career | Low Spender | Higher</v>
      </c>
    </row>
    <row r="114" spans="1:15" x14ac:dyDescent="0.25">
      <c r="A114" s="1" t="s">
        <v>144</v>
      </c>
      <c r="B114" s="1">
        <v>41</v>
      </c>
      <c r="C114" s="1" t="str" cm="1">
        <f t="array" ref="C114">_xlfn.IFS(OR(B114=" ", B114="NA",NOT(ISNUMBER(B114))), "Unknown",B114&lt;18,"Underage",B114&lt;=24,"Young Adult",B114&lt;=34,"Early Career",B114&lt;=44,"Mid Career",B114&lt;=54,"Mature",B114&lt;=65,"Pre-Senior",B114&gt;65,"Senior")</f>
        <v>Mid Career</v>
      </c>
      <c r="E114" s="1" t="s">
        <v>34</v>
      </c>
      <c r="F114" s="1">
        <v>375000</v>
      </c>
      <c r="G114" s="1">
        <v>72</v>
      </c>
      <c r="H114" s="1" t="str" cm="1">
        <f t="array" ref="H114">_xlfn.IFS( OR(G114=" ",NOT(ISNUMBER(G114))),"Unknown",G114&lt;=33,"Low Spender",G114&lt;=66,"Medium Spender",TRUE, "High Spender")</f>
        <v>High Spender</v>
      </c>
      <c r="I114" s="1">
        <v>22</v>
      </c>
      <c r="J114" s="1">
        <v>4800</v>
      </c>
      <c r="K114" s="1">
        <v>355</v>
      </c>
      <c r="M114" s="1" t="s">
        <v>41</v>
      </c>
      <c r="N114" s="1" t="str">
        <f t="shared" si="2"/>
        <v>Lower</v>
      </c>
      <c r="O114" s="1" t="str">
        <f t="shared" si="3"/>
        <v>Mid Career | High Spender | Lower</v>
      </c>
    </row>
    <row r="115" spans="1:15" x14ac:dyDescent="0.25">
      <c r="A115" s="1" t="s">
        <v>145</v>
      </c>
      <c r="B115" s="1">
        <v>18</v>
      </c>
      <c r="C115" s="1" t="str" cm="1">
        <f t="array" ref="C115">_xlfn.IFS(OR(B115=" ", B115="NA",NOT(ISNUMBER(B115))), "Unknown",B115&lt;18,"Underage",B115&lt;=24,"Young Adult",B115&lt;=34,"Early Career",B115&lt;=44,"Mid Career",B115&lt;=54,"Mature",B115&lt;=65,"Pre-Senior",B115&gt;65,"Senior")</f>
        <v>Young Adult</v>
      </c>
      <c r="D115" s="1" t="s">
        <v>29</v>
      </c>
      <c r="E115" s="1" t="s">
        <v>13</v>
      </c>
      <c r="F115" s="1">
        <v>1300000</v>
      </c>
      <c r="G115" s="1">
        <v>32</v>
      </c>
      <c r="H115" s="1" t="str" cm="1">
        <f t="array" ref="H115">_xlfn.IFS( OR(G115=" ",NOT(ISNUMBER(G115))),"Unknown",G115&lt;=33,"Low Spender",G115&lt;=66,"Medium Spender",TRUE, "High Spender")</f>
        <v>Low Spender</v>
      </c>
      <c r="I115" s="1">
        <v>25</v>
      </c>
      <c r="J115" s="1">
        <v>2700</v>
      </c>
      <c r="K115" s="1">
        <v>70</v>
      </c>
      <c r="L115" s="1" t="s">
        <v>20</v>
      </c>
      <c r="M115" s="1" t="s">
        <v>32</v>
      </c>
      <c r="N115" s="1" t="str">
        <f t="shared" si="2"/>
        <v>Higher</v>
      </c>
      <c r="O115" s="1" t="str">
        <f t="shared" si="3"/>
        <v>Young Adult | Low Spender | Higher</v>
      </c>
    </row>
    <row r="116" spans="1:15" x14ac:dyDescent="0.25">
      <c r="A116" s="1" t="s">
        <v>146</v>
      </c>
      <c r="B116" s="1">
        <v>61</v>
      </c>
      <c r="C116" s="1" t="str" cm="1">
        <f t="array" ref="C116">_xlfn.IFS(OR(B116=" ", B116="NA",NOT(ISNUMBER(B116))), "Unknown",B116&lt;18,"Underage",B116&lt;=24,"Young Adult",B116&lt;=34,"Early Career",B116&lt;=44,"Mid Career",B116&lt;=54,"Mature",B116&lt;=65,"Pre-Senior",B116&gt;65,"Senior")</f>
        <v>Pre-Senior</v>
      </c>
      <c r="D116" s="1" t="s">
        <v>18</v>
      </c>
      <c r="E116" s="1" t="s">
        <v>27</v>
      </c>
      <c r="G116" s="1">
        <v>1</v>
      </c>
      <c r="H116" s="1" t="str" cm="1">
        <f t="array" ref="H116">_xlfn.IFS( OR(G116=" ",NOT(ISNUMBER(G116))),"Unknown",G116&lt;=33,"Low Spender",G116&lt;=66,"Medium Spender",TRUE, "High Spender")</f>
        <v>Low Spender</v>
      </c>
      <c r="I116" s="1">
        <v>28</v>
      </c>
      <c r="J116" s="1">
        <v>10800</v>
      </c>
      <c r="K116" s="1">
        <v>124</v>
      </c>
      <c r="L116" s="1" t="s">
        <v>20</v>
      </c>
      <c r="N116" s="1" t="str">
        <f t="shared" si="2"/>
        <v>Higher</v>
      </c>
      <c r="O116" s="1" t="str">
        <f t="shared" si="3"/>
        <v>Pre-Senior | Low Spender | Higher</v>
      </c>
    </row>
    <row r="117" spans="1:15" x14ac:dyDescent="0.25">
      <c r="A117" s="1" t="s">
        <v>147</v>
      </c>
      <c r="B117" s="1">
        <v>25</v>
      </c>
      <c r="C117" s="1" t="str" cm="1">
        <f t="array" ref="C117">_xlfn.IFS(OR(B117=" ", B117="NA",NOT(ISNUMBER(B117))), "Unknown",B117&lt;18,"Underage",B117&lt;=24,"Young Adult",B117&lt;=34,"Early Career",B117&lt;=44,"Mid Career",B117&lt;=54,"Mature",B117&lt;=65,"Pre-Senior",B117&gt;65,"Senior")</f>
        <v>Early Career</v>
      </c>
      <c r="D117" s="1" t="s">
        <v>29</v>
      </c>
      <c r="E117" s="1" t="s">
        <v>23</v>
      </c>
      <c r="F117" s="1">
        <v>475000</v>
      </c>
      <c r="G117" s="1">
        <v>17</v>
      </c>
      <c r="H117" s="1" t="str" cm="1">
        <f t="array" ref="H117">_xlfn.IFS( OR(G117=" ",NOT(ISNUMBER(G117))),"Unknown",G117&lt;=33,"Low Spender",G117&lt;=66,"Medium Spender",TRUE, "High Spender")</f>
        <v>Low Spender</v>
      </c>
      <c r="I117" s="1">
        <v>39</v>
      </c>
      <c r="J117" s="1">
        <v>2500</v>
      </c>
      <c r="K117" s="1">
        <v>80</v>
      </c>
      <c r="L117" s="1" t="s">
        <v>37</v>
      </c>
      <c r="M117" s="1" t="s">
        <v>32</v>
      </c>
      <c r="N117" s="1" t="str">
        <f t="shared" si="2"/>
        <v>Higher</v>
      </c>
      <c r="O117" s="1" t="str">
        <f t="shared" si="3"/>
        <v>Early Career | Low Spender | Higher</v>
      </c>
    </row>
    <row r="118" spans="1:15" x14ac:dyDescent="0.25">
      <c r="A118" s="1" t="s">
        <v>148</v>
      </c>
      <c r="B118" s="1">
        <v>41</v>
      </c>
      <c r="C118" s="1" t="str" cm="1">
        <f t="array" ref="C118">_xlfn.IFS(OR(B118=" ", B118="NA",NOT(ISNUMBER(B118))), "Unknown",B118&lt;18,"Underage",B118&lt;=24,"Young Adult",B118&lt;=34,"Early Career",B118&lt;=44,"Mid Career",B118&lt;=54,"Mature",B118&lt;=65,"Pre-Senior",B118&gt;65,"Senior")</f>
        <v>Mid Career</v>
      </c>
      <c r="E118" s="1" t="s">
        <v>15</v>
      </c>
      <c r="F118" s="1">
        <v>1075000</v>
      </c>
      <c r="G118" s="1">
        <v>9</v>
      </c>
      <c r="H118" s="1" t="str" cm="1">
        <f t="array" ref="H118">_xlfn.IFS( OR(G118=" ",NOT(ISNUMBER(G118))),"Unknown",G118&lt;=33,"Low Spender",G118&lt;=66,"Medium Spender",TRUE, "High Spender")</f>
        <v>Low Spender</v>
      </c>
      <c r="I118" s="1">
        <v>67</v>
      </c>
      <c r="J118" s="1">
        <v>3600</v>
      </c>
      <c r="K118" s="1">
        <v>45</v>
      </c>
      <c r="L118" s="1" t="s">
        <v>16</v>
      </c>
      <c r="N118" s="1" t="str">
        <f t="shared" si="2"/>
        <v>Lower</v>
      </c>
      <c r="O118" s="1" t="str">
        <f t="shared" si="3"/>
        <v>Mid Career | Low Spender | Lower</v>
      </c>
    </row>
    <row r="119" spans="1:15" x14ac:dyDescent="0.25">
      <c r="A119" s="1" t="s">
        <v>149</v>
      </c>
      <c r="B119" s="1">
        <v>28</v>
      </c>
      <c r="C119" s="1" t="str" cm="1">
        <f t="array" ref="C119">_xlfn.IFS(OR(B119=" ", B119="NA",NOT(ISNUMBER(B119))), "Unknown",B119&lt;18,"Underage",B119&lt;=24,"Young Adult",B119&lt;=34,"Early Career",B119&lt;=44,"Mid Career",B119&lt;=54,"Mature",B119&lt;=65,"Pre-Senior",B119&gt;65,"Senior")</f>
        <v>Early Career</v>
      </c>
      <c r="D119" s="1" t="s">
        <v>12</v>
      </c>
      <c r="E119" s="1" t="s">
        <v>19</v>
      </c>
      <c r="F119" s="1">
        <v>425000</v>
      </c>
      <c r="G119" s="1">
        <v>84</v>
      </c>
      <c r="H119" s="1" t="str" cm="1">
        <f t="array" ref="H119">_xlfn.IFS( OR(G119=" ",NOT(ISNUMBER(G119))),"Unknown",G119&lt;=33,"Low Spender",G119&lt;=66,"Medium Spender",TRUE, "High Spender")</f>
        <v>High Spender</v>
      </c>
      <c r="I119" s="1">
        <v>5</v>
      </c>
      <c r="J119" s="1">
        <v>6900</v>
      </c>
      <c r="K119" s="1">
        <v>233</v>
      </c>
      <c r="L119" s="1" t="s">
        <v>37</v>
      </c>
      <c r="M119" s="1" t="s">
        <v>21</v>
      </c>
      <c r="N119" s="1" t="str">
        <f t="shared" si="2"/>
        <v>Lower</v>
      </c>
      <c r="O119" s="1" t="str">
        <f t="shared" si="3"/>
        <v>Early Career | High Spender | Lower</v>
      </c>
    </row>
    <row r="120" spans="1:15" x14ac:dyDescent="0.25">
      <c r="A120" s="1" t="s">
        <v>150</v>
      </c>
      <c r="B120" s="1">
        <v>68</v>
      </c>
      <c r="C120" s="1" t="str" cm="1">
        <f t="array" ref="C120">_xlfn.IFS(OR(B120=" ", B120="NA",NOT(ISNUMBER(B120))), "Unknown",B120&lt;18,"Underage",B120&lt;=24,"Young Adult",B120&lt;=34,"Early Career",B120&lt;=44,"Mid Career",B120&lt;=54,"Mature",B120&lt;=65,"Pre-Senior",B120&gt;65,"Senior")</f>
        <v>Senior</v>
      </c>
      <c r="D120" s="1" t="s">
        <v>18</v>
      </c>
      <c r="E120" s="1" t="s">
        <v>13</v>
      </c>
      <c r="F120" s="1">
        <v>1250000</v>
      </c>
      <c r="G120" s="1">
        <v>45</v>
      </c>
      <c r="H120" s="1" t="str" cm="1">
        <f t="array" ref="H120">_xlfn.IFS( OR(G120=" ",NOT(ISNUMBER(G120))),"Unknown",G120&lt;=33,"Low Spender",G120&lt;=66,"Medium Spender",TRUE, "High Spender")</f>
        <v>Medium Spender</v>
      </c>
      <c r="I120" s="1">
        <v>65</v>
      </c>
      <c r="J120" s="1">
        <v>9600</v>
      </c>
      <c r="K120" s="1">
        <v>154</v>
      </c>
      <c r="L120" s="1" t="s">
        <v>16</v>
      </c>
      <c r="N120" s="1" t="str">
        <f t="shared" si="2"/>
        <v>Higher</v>
      </c>
      <c r="O120" s="1" t="str">
        <f t="shared" si="3"/>
        <v>Senior | Medium Spender | Higher</v>
      </c>
    </row>
    <row r="121" spans="1:15" x14ac:dyDescent="0.25">
      <c r="A121" s="1" t="s">
        <v>151</v>
      </c>
      <c r="B121" s="1">
        <v>34</v>
      </c>
      <c r="C121" s="1" t="str" cm="1">
        <f t="array" ref="C121">_xlfn.IFS(OR(B121=" ", B121="NA",NOT(ISNUMBER(B121))), "Unknown",B121&lt;18,"Underage",B121&lt;=24,"Young Adult",B121&lt;=34,"Early Career",B121&lt;=44,"Mid Career",B121&lt;=54,"Mature",B121&lt;=65,"Pre-Senior",B121&gt;65,"Senior")</f>
        <v>Early Career</v>
      </c>
      <c r="D121" s="1" t="s">
        <v>29</v>
      </c>
      <c r="E121" s="1" t="s">
        <v>49</v>
      </c>
      <c r="F121" s="1">
        <v>550000</v>
      </c>
      <c r="G121" s="1">
        <v>96</v>
      </c>
      <c r="H121" s="1" t="str" cm="1">
        <f t="array" ref="H121">_xlfn.IFS( OR(G121=" ",NOT(ISNUMBER(G121))),"Unknown",G121&lt;=33,"Low Spender",G121&lt;=66,"Medium Spender",TRUE, "High Spender")</f>
        <v>High Spender</v>
      </c>
      <c r="I121" s="1">
        <v>15</v>
      </c>
      <c r="J121" s="1">
        <v>11600</v>
      </c>
      <c r="K121" s="1">
        <v>180</v>
      </c>
      <c r="N121" s="1" t="str">
        <f t="shared" si="2"/>
        <v>Higher</v>
      </c>
      <c r="O121" s="1" t="str">
        <f t="shared" si="3"/>
        <v>Early Career | High Spender | Higher</v>
      </c>
    </row>
    <row r="122" spans="1:15" x14ac:dyDescent="0.25">
      <c r="A122" s="1" t="s">
        <v>152</v>
      </c>
      <c r="B122" s="1">
        <v>25</v>
      </c>
      <c r="C122" s="1" t="str" cm="1">
        <f t="array" ref="C122">_xlfn.IFS(OR(B122=" ", B122="NA",NOT(ISNUMBER(B122))), "Unknown",B122&lt;18,"Underage",B122&lt;=24,"Young Adult",B122&lt;=34,"Early Career",B122&lt;=44,"Mid Career",B122&lt;=54,"Mature",B122&lt;=65,"Pre-Senior",B122&gt;65,"Senior")</f>
        <v>Early Career</v>
      </c>
      <c r="D122" s="1" t="s">
        <v>12</v>
      </c>
      <c r="E122" s="1" t="s">
        <v>19</v>
      </c>
      <c r="F122" s="1">
        <v>1000000</v>
      </c>
      <c r="G122" s="1">
        <v>66</v>
      </c>
      <c r="H122" s="1" t="str" cm="1">
        <f t="array" ref="H122">_xlfn.IFS( OR(G122=" ",NOT(ISNUMBER(G122))),"Unknown",G122&lt;=33,"Low Spender",G122&lt;=66,"Medium Spender",TRUE, "High Spender")</f>
        <v>Medium Spender</v>
      </c>
      <c r="I122" s="1">
        <v>67</v>
      </c>
      <c r="J122" s="1">
        <v>11900</v>
      </c>
      <c r="K122" s="1">
        <v>31</v>
      </c>
      <c r="M122" s="1" t="s">
        <v>32</v>
      </c>
      <c r="N122" s="1" t="str">
        <f t="shared" si="2"/>
        <v>Lower</v>
      </c>
      <c r="O122" s="1" t="str">
        <f t="shared" si="3"/>
        <v>Early Career | Medium Spender | Lower</v>
      </c>
    </row>
    <row r="123" spans="1:15" x14ac:dyDescent="0.25">
      <c r="A123" s="1" t="s">
        <v>153</v>
      </c>
      <c r="B123" s="1">
        <v>52</v>
      </c>
      <c r="C123" s="1" t="str" cm="1">
        <f t="array" ref="C123">_xlfn.IFS(OR(B123=" ", B123="NA",NOT(ISNUMBER(B123))), "Unknown",B123&lt;18,"Underage",B123&lt;=24,"Young Adult",B123&lt;=34,"Early Career",B123&lt;=44,"Mid Career",B123&lt;=54,"Mature",B123&lt;=65,"Pre-Senior",B123&gt;65,"Senior")</f>
        <v>Mature</v>
      </c>
      <c r="D123" s="1" t="s">
        <v>18</v>
      </c>
      <c r="E123" s="1" t="s">
        <v>49</v>
      </c>
      <c r="F123" s="1">
        <v>1775000</v>
      </c>
      <c r="G123" s="1">
        <v>32</v>
      </c>
      <c r="H123" s="1" t="str" cm="1">
        <f t="array" ref="H123">_xlfn.IFS( OR(G123=" ",NOT(ISNUMBER(G123))),"Unknown",G123&lt;=33,"Low Spender",G123&lt;=66,"Medium Spender",TRUE, "High Spender")</f>
        <v>Low Spender</v>
      </c>
      <c r="I123" s="1">
        <v>40</v>
      </c>
      <c r="J123" s="1">
        <v>3600</v>
      </c>
      <c r="K123" s="1">
        <v>85</v>
      </c>
      <c r="L123" s="1" t="s">
        <v>35</v>
      </c>
      <c r="M123" s="1" t="s">
        <v>41</v>
      </c>
      <c r="N123" s="1" t="str">
        <f t="shared" si="2"/>
        <v>Higher</v>
      </c>
      <c r="O123" s="1" t="str">
        <f t="shared" si="3"/>
        <v>Mature | Low Spender | Higher</v>
      </c>
    </row>
    <row r="124" spans="1:15" x14ac:dyDescent="0.25">
      <c r="A124" s="1" t="s">
        <v>154</v>
      </c>
      <c r="B124" s="1">
        <v>52</v>
      </c>
      <c r="C124" s="1" t="str" cm="1">
        <f t="array" ref="C124">_xlfn.IFS(OR(B124=" ", B124="NA",NOT(ISNUMBER(B124))), "Unknown",B124&lt;18,"Underage",B124&lt;=24,"Young Adult",B124&lt;=34,"Early Career",B124&lt;=44,"Mid Career",B124&lt;=54,"Mature",B124&lt;=65,"Pre-Senior",B124&gt;65,"Senior")</f>
        <v>Mature</v>
      </c>
      <c r="E124" s="1" t="s">
        <v>58</v>
      </c>
      <c r="G124" s="1">
        <v>45</v>
      </c>
      <c r="H124" s="1" t="str" cm="1">
        <f t="array" ref="H124">_xlfn.IFS( OR(G124=" ",NOT(ISNUMBER(G124))),"Unknown",G124&lt;=33,"Low Spender",G124&lt;=66,"Medium Spender",TRUE, "High Spender")</f>
        <v>Medium Spender</v>
      </c>
      <c r="I124" s="1">
        <v>69</v>
      </c>
      <c r="J124" s="1">
        <v>3400</v>
      </c>
      <c r="K124" s="1">
        <v>45</v>
      </c>
      <c r="L124" s="1" t="s">
        <v>35</v>
      </c>
      <c r="M124" s="1" t="s">
        <v>41</v>
      </c>
      <c r="N124" s="1" t="str">
        <f t="shared" si="2"/>
        <v>Lower</v>
      </c>
      <c r="O124" s="1" t="str">
        <f t="shared" si="3"/>
        <v>Mature | Medium Spender | Lower</v>
      </c>
    </row>
    <row r="125" spans="1:15" x14ac:dyDescent="0.25">
      <c r="A125" s="1" t="s">
        <v>155</v>
      </c>
      <c r="B125" s="1">
        <v>50</v>
      </c>
      <c r="C125" s="1" t="str" cm="1">
        <f t="array" ref="C125">_xlfn.IFS(OR(B125=" ", B125="NA",NOT(ISNUMBER(B125))), "Unknown",B125&lt;18,"Underage",B125&lt;=24,"Young Adult",B125&lt;=34,"Early Career",B125&lt;=44,"Mid Career",B125&lt;=54,"Mature",B125&lt;=65,"Pre-Senior",B125&gt;65,"Senior")</f>
        <v>Mature</v>
      </c>
      <c r="E125" s="1" t="s">
        <v>23</v>
      </c>
      <c r="F125" s="1">
        <v>1150000</v>
      </c>
      <c r="G125" s="1">
        <v>9</v>
      </c>
      <c r="H125" s="1" t="str" cm="1">
        <f t="array" ref="H125">_xlfn.IFS( OR(G125=" ",NOT(ISNUMBER(G125))),"Unknown",G125&lt;=33,"Low Spender",G125&lt;=66,"Medium Spender",TRUE, "High Spender")</f>
        <v>Low Spender</v>
      </c>
      <c r="I125" s="1">
        <v>77</v>
      </c>
      <c r="J125" s="1">
        <v>11900</v>
      </c>
      <c r="K125" s="1">
        <v>323</v>
      </c>
      <c r="L125" s="1" t="s">
        <v>35</v>
      </c>
      <c r="N125" s="1" t="str">
        <f t="shared" si="2"/>
        <v>Lower</v>
      </c>
      <c r="O125" s="1" t="str">
        <f t="shared" si="3"/>
        <v>Mature | Low Spender | Lower</v>
      </c>
    </row>
    <row r="126" spans="1:15" x14ac:dyDescent="0.25">
      <c r="A126" s="1" t="s">
        <v>156</v>
      </c>
      <c r="B126" s="1">
        <v>22</v>
      </c>
      <c r="C126" s="1" t="str" cm="1">
        <f t="array" ref="C126">_xlfn.IFS(OR(B126=" ", B126="NA",NOT(ISNUMBER(B126))), "Unknown",B126&lt;18,"Underage",B126&lt;=24,"Young Adult",B126&lt;=34,"Early Career",B126&lt;=44,"Mid Career",B126&lt;=54,"Mature",B126&lt;=65,"Pre-Senior",B126&gt;65,"Senior")</f>
        <v>Young Adult</v>
      </c>
      <c r="E126" s="1" t="s">
        <v>15</v>
      </c>
      <c r="F126" s="1">
        <v>1800000</v>
      </c>
      <c r="G126" s="1">
        <v>30</v>
      </c>
      <c r="H126" s="1" t="str" cm="1">
        <f t="array" ref="H126">_xlfn.IFS( OR(G126=" ",NOT(ISNUMBER(G126))),"Unknown",G126&lt;=33,"Low Spender",G126&lt;=66,"Medium Spender",TRUE, "High Spender")</f>
        <v>Low Spender</v>
      </c>
      <c r="I126" s="1">
        <v>43</v>
      </c>
      <c r="J126" s="1">
        <v>3100</v>
      </c>
      <c r="K126" s="1">
        <v>332</v>
      </c>
      <c r="L126" s="1" t="s">
        <v>35</v>
      </c>
      <c r="M126" s="1" t="s">
        <v>21</v>
      </c>
      <c r="N126" s="1" t="str">
        <f t="shared" si="2"/>
        <v>Lower</v>
      </c>
      <c r="O126" s="1" t="str">
        <f t="shared" si="3"/>
        <v>Young Adult | Low Spender | Lower</v>
      </c>
    </row>
    <row r="127" spans="1:15" x14ac:dyDescent="0.25">
      <c r="A127" s="1" t="s">
        <v>157</v>
      </c>
      <c r="B127" s="1">
        <v>59</v>
      </c>
      <c r="C127" s="1" t="str" cm="1">
        <f t="array" ref="C127">_xlfn.IFS(OR(B127=" ", B127="NA",NOT(ISNUMBER(B127))), "Unknown",B127&lt;18,"Underage",B127&lt;=24,"Young Adult",B127&lt;=34,"Early Career",B127&lt;=44,"Mid Career",B127&lt;=54,"Mature",B127&lt;=65,"Pre-Senior",B127&gt;65,"Senior")</f>
        <v>Pre-Senior</v>
      </c>
      <c r="E127" s="1" t="s">
        <v>27</v>
      </c>
      <c r="F127" s="1">
        <v>850000</v>
      </c>
      <c r="G127" s="1">
        <v>84</v>
      </c>
      <c r="H127" s="1" t="str" cm="1">
        <f t="array" ref="H127">_xlfn.IFS( OR(G127=" ",NOT(ISNUMBER(G127))),"Unknown",G127&lt;=33,"Low Spender",G127&lt;=66,"Medium Spender",TRUE, "High Spender")</f>
        <v>High Spender</v>
      </c>
      <c r="I127" s="1">
        <v>1</v>
      </c>
      <c r="J127" s="1">
        <v>1100</v>
      </c>
      <c r="K127" s="1">
        <v>243</v>
      </c>
      <c r="L127" s="1" t="s">
        <v>20</v>
      </c>
      <c r="M127" s="1" t="s">
        <v>30</v>
      </c>
      <c r="N127" s="1" t="str">
        <f t="shared" si="2"/>
        <v>Lower</v>
      </c>
      <c r="O127" s="1" t="str">
        <f t="shared" si="3"/>
        <v>Pre-Senior | High Spender | Lower</v>
      </c>
    </row>
    <row r="128" spans="1:15" x14ac:dyDescent="0.25">
      <c r="A128" s="1" t="s">
        <v>158</v>
      </c>
      <c r="B128" s="1">
        <v>56</v>
      </c>
      <c r="C128" s="1" t="str" cm="1">
        <f t="array" ref="C128">_xlfn.IFS(OR(B128=" ", B128="NA",NOT(ISNUMBER(B128))), "Unknown",B128&lt;18,"Underage",B128&lt;=24,"Young Adult",B128&lt;=34,"Early Career",B128&lt;=44,"Mid Career",B128&lt;=54,"Mature",B128&lt;=65,"Pre-Senior",B128&gt;65,"Senior")</f>
        <v>Pre-Senior</v>
      </c>
      <c r="D128" s="1" t="s">
        <v>29</v>
      </c>
      <c r="E128" s="1" t="s">
        <v>49</v>
      </c>
      <c r="F128" s="1">
        <v>575000</v>
      </c>
      <c r="G128" s="1">
        <v>38</v>
      </c>
      <c r="H128" s="1" t="str" cm="1">
        <f t="array" ref="H128">_xlfn.IFS( OR(G128=" ",NOT(ISNUMBER(G128))),"Unknown",G128&lt;=33,"Low Spender",G128&lt;=66,"Medium Spender",TRUE, "High Spender")</f>
        <v>Medium Spender</v>
      </c>
      <c r="I128" s="1">
        <v>22</v>
      </c>
      <c r="J128" s="1">
        <v>6800</v>
      </c>
      <c r="K128" s="1">
        <v>40</v>
      </c>
      <c r="L128" s="1" t="s">
        <v>35</v>
      </c>
      <c r="N128" s="1" t="str">
        <f t="shared" si="2"/>
        <v>Higher</v>
      </c>
      <c r="O128" s="1" t="str">
        <f t="shared" si="3"/>
        <v>Pre-Senior | Medium Spender | Higher</v>
      </c>
    </row>
    <row r="129" spans="1:15" x14ac:dyDescent="0.25">
      <c r="A129" s="1" t="s">
        <v>159</v>
      </c>
      <c r="B129" s="1">
        <v>58</v>
      </c>
      <c r="C129" s="1" t="str" cm="1">
        <f t="array" ref="C129">_xlfn.IFS(OR(B129=" ", B129="NA",NOT(ISNUMBER(B129))), "Unknown",B129&lt;18,"Underage",B129&lt;=24,"Young Adult",B129&lt;=34,"Early Career",B129&lt;=44,"Mid Career",B129&lt;=54,"Mature",B129&lt;=65,"Pre-Senior",B129&gt;65,"Senior")</f>
        <v>Pre-Senior</v>
      </c>
      <c r="D129" s="1" t="s">
        <v>29</v>
      </c>
      <c r="E129" s="1" t="s">
        <v>13</v>
      </c>
      <c r="F129" s="1">
        <v>625000</v>
      </c>
      <c r="G129" s="1">
        <v>60</v>
      </c>
      <c r="H129" s="1" t="str" cm="1">
        <f t="array" ref="H129">_xlfn.IFS( OR(G129=" ",NOT(ISNUMBER(G129))),"Unknown",G129&lt;=33,"Low Spender",G129&lt;=66,"Medium Spender",TRUE, "High Spender")</f>
        <v>Medium Spender</v>
      </c>
      <c r="I129" s="1">
        <v>62</v>
      </c>
      <c r="J129" s="1">
        <v>5900</v>
      </c>
      <c r="K129" s="1">
        <v>182</v>
      </c>
      <c r="L129" s="1" t="s">
        <v>35</v>
      </c>
      <c r="N129" s="1" t="str">
        <f t="shared" si="2"/>
        <v>Higher</v>
      </c>
      <c r="O129" s="1" t="str">
        <f t="shared" si="3"/>
        <v>Pre-Senior | Medium Spender | Higher</v>
      </c>
    </row>
    <row r="130" spans="1:15" x14ac:dyDescent="0.25">
      <c r="A130" s="1" t="s">
        <v>160</v>
      </c>
      <c r="B130" s="1">
        <v>45</v>
      </c>
      <c r="C130" s="1" t="str" cm="1">
        <f t="array" ref="C130">_xlfn.IFS(OR(B130=" ", B130="NA",NOT(ISNUMBER(B130))), "Unknown",B130&lt;18,"Underage",B130&lt;=24,"Young Adult",B130&lt;=34,"Early Career",B130&lt;=44,"Mid Career",B130&lt;=54,"Mature",B130&lt;=65,"Pre-Senior",B130&gt;65,"Senior")</f>
        <v>Mature</v>
      </c>
      <c r="D130" s="1" t="s">
        <v>18</v>
      </c>
      <c r="F130" s="1">
        <v>475000</v>
      </c>
      <c r="G130" s="1">
        <v>1</v>
      </c>
      <c r="H130" s="1" t="str" cm="1">
        <f t="array" ref="H130">_xlfn.IFS( OR(G130=" ",NOT(ISNUMBER(G130))),"Unknown",G130&lt;=33,"Low Spender",G130&lt;=66,"Medium Spender",TRUE, "High Spender")</f>
        <v>Low Spender</v>
      </c>
      <c r="I130" s="1">
        <v>79</v>
      </c>
      <c r="J130" s="1">
        <v>4100</v>
      </c>
      <c r="K130" s="1">
        <v>297</v>
      </c>
      <c r="L130" s="1" t="s">
        <v>35</v>
      </c>
      <c r="M130" s="1" t="s">
        <v>41</v>
      </c>
      <c r="N130" s="1" t="str">
        <f t="shared" ref="N130:N193" si="4">IF(OR(UPPER(TRIM(D130))="Male",UPPER(TRIM(D130))="Female"),"Higher","Lower")</f>
        <v>Higher</v>
      </c>
      <c r="O130" s="1" t="str">
        <f t="shared" ref="O130:O193" si="5">_xlfn.TEXTJOIN(" | ", TRUE, C130, H130, N130)</f>
        <v>Mature | Low Spender | Higher</v>
      </c>
    </row>
    <row r="131" spans="1:15" x14ac:dyDescent="0.25">
      <c r="A131" s="1" t="s">
        <v>161</v>
      </c>
      <c r="B131" s="1">
        <v>24</v>
      </c>
      <c r="C131" s="1" t="str" cm="1">
        <f t="array" ref="C131">_xlfn.IFS(OR(B131=" ", B131="NA",NOT(ISNUMBER(B131))), "Unknown",B131&lt;18,"Underage",B131&lt;=24,"Young Adult",B131&lt;=34,"Early Career",B131&lt;=44,"Mid Career",B131&lt;=54,"Mature",B131&lt;=65,"Pre-Senior",B131&gt;65,"Senior")</f>
        <v>Young Adult</v>
      </c>
      <c r="D131" s="1" t="s">
        <v>29</v>
      </c>
      <c r="E131" s="1" t="s">
        <v>58</v>
      </c>
      <c r="F131" s="1">
        <v>975000</v>
      </c>
      <c r="G131" s="1">
        <v>5</v>
      </c>
      <c r="H131" s="1" t="str" cm="1">
        <f t="array" ref="H131">_xlfn.IFS( OR(G131=" ",NOT(ISNUMBER(G131))),"Unknown",G131&lt;=33,"Low Spender",G131&lt;=66,"Medium Spender",TRUE, "High Spender")</f>
        <v>Low Spender</v>
      </c>
      <c r="I131" s="1">
        <v>26</v>
      </c>
      <c r="J131" s="1">
        <v>900</v>
      </c>
      <c r="K131" s="1">
        <v>81</v>
      </c>
      <c r="L131" s="1" t="s">
        <v>16</v>
      </c>
      <c r="M131" s="1" t="s">
        <v>41</v>
      </c>
      <c r="N131" s="1" t="str">
        <f t="shared" si="4"/>
        <v>Higher</v>
      </c>
      <c r="O131" s="1" t="str">
        <f t="shared" si="5"/>
        <v>Young Adult | Low Spender | Higher</v>
      </c>
    </row>
    <row r="132" spans="1:15" x14ac:dyDescent="0.25">
      <c r="A132" s="1" t="s">
        <v>162</v>
      </c>
      <c r="B132" s="1">
        <v>26</v>
      </c>
      <c r="C132" s="1" t="str" cm="1">
        <f t="array" ref="C132">_xlfn.IFS(OR(B132=" ", B132="NA",NOT(ISNUMBER(B132))), "Unknown",B132&lt;18,"Underage",B132&lt;=24,"Young Adult",B132&lt;=34,"Early Career",B132&lt;=44,"Mid Career",B132&lt;=54,"Mature",B132&lt;=65,"Pre-Senior",B132&gt;65,"Senior")</f>
        <v>Early Career</v>
      </c>
      <c r="F132" s="1">
        <v>1350000</v>
      </c>
      <c r="G132" s="1">
        <v>63</v>
      </c>
      <c r="H132" s="1" t="str" cm="1">
        <f t="array" ref="H132">_xlfn.IFS( OR(G132=" ",NOT(ISNUMBER(G132))),"Unknown",G132&lt;=33,"Low Spender",G132&lt;=66,"Medium Spender",TRUE, "High Spender")</f>
        <v>Medium Spender</v>
      </c>
      <c r="I132" s="1">
        <v>18</v>
      </c>
      <c r="J132" s="1">
        <v>11200</v>
      </c>
      <c r="K132" s="1">
        <v>38</v>
      </c>
      <c r="M132" s="1" t="s">
        <v>21</v>
      </c>
      <c r="N132" s="1" t="str">
        <f t="shared" si="4"/>
        <v>Lower</v>
      </c>
      <c r="O132" s="1" t="str">
        <f t="shared" si="5"/>
        <v>Early Career | Medium Spender | Lower</v>
      </c>
    </row>
    <row r="133" spans="1:15" x14ac:dyDescent="0.25">
      <c r="A133" s="1" t="s">
        <v>163</v>
      </c>
      <c r="B133" s="1">
        <v>25</v>
      </c>
      <c r="C133" s="1" t="str" cm="1">
        <f t="array" ref="C133">_xlfn.IFS(OR(B133=" ", B133="NA",NOT(ISNUMBER(B133))), "Unknown",B133&lt;18,"Underage",B133&lt;=24,"Young Adult",B133&lt;=34,"Early Career",B133&lt;=44,"Mid Career",B133&lt;=54,"Mature",B133&lt;=65,"Pre-Senior",B133&gt;65,"Senior")</f>
        <v>Early Career</v>
      </c>
      <c r="E133" s="1" t="s">
        <v>58</v>
      </c>
      <c r="F133" s="1">
        <v>1475000</v>
      </c>
      <c r="G133" s="1">
        <v>99</v>
      </c>
      <c r="H133" s="1" t="str" cm="1">
        <f t="array" ref="H133">_xlfn.IFS( OR(G133=" ",NOT(ISNUMBER(G133))),"Unknown",G133&lt;=33,"Low Spender",G133&lt;=66,"Medium Spender",TRUE, "High Spender")</f>
        <v>High Spender</v>
      </c>
      <c r="I133" s="1">
        <v>48</v>
      </c>
      <c r="J133" s="1">
        <v>7100</v>
      </c>
      <c r="K133" s="1">
        <v>356</v>
      </c>
      <c r="L133" s="1" t="s">
        <v>35</v>
      </c>
      <c r="M133" s="1" t="s">
        <v>41</v>
      </c>
      <c r="N133" s="1" t="str">
        <f t="shared" si="4"/>
        <v>Lower</v>
      </c>
      <c r="O133" s="1" t="str">
        <f t="shared" si="5"/>
        <v>Early Career | High Spender | Lower</v>
      </c>
    </row>
    <row r="134" spans="1:15" x14ac:dyDescent="0.25">
      <c r="A134" s="1" t="s">
        <v>164</v>
      </c>
      <c r="B134" s="1">
        <v>29</v>
      </c>
      <c r="C134" s="1" t="str" cm="1">
        <f t="array" ref="C134">_xlfn.IFS(OR(B134=" ", B134="NA",NOT(ISNUMBER(B134))), "Unknown",B134&lt;18,"Underage",B134&lt;=24,"Young Adult",B134&lt;=34,"Early Career",B134&lt;=44,"Mid Career",B134&lt;=54,"Mature",B134&lt;=65,"Pre-Senior",B134&gt;65,"Senior")</f>
        <v>Early Career</v>
      </c>
      <c r="D134" s="1" t="s">
        <v>29</v>
      </c>
      <c r="E134" s="1" t="s">
        <v>34</v>
      </c>
      <c r="F134" s="1">
        <v>900000</v>
      </c>
      <c r="G134" s="1">
        <v>36</v>
      </c>
      <c r="H134" s="1" t="str" cm="1">
        <f t="array" ref="H134">_xlfn.IFS( OR(G134=" ",NOT(ISNUMBER(G134))),"Unknown",G134&lt;=33,"Low Spender",G134&lt;=66,"Medium Spender",TRUE, "High Spender")</f>
        <v>Medium Spender</v>
      </c>
      <c r="I134" s="1">
        <v>9</v>
      </c>
      <c r="J134" s="1">
        <v>1000</v>
      </c>
      <c r="K134" s="1">
        <v>57</v>
      </c>
      <c r="L134" s="1" t="s">
        <v>37</v>
      </c>
      <c r="N134" s="1" t="str">
        <f t="shared" si="4"/>
        <v>Higher</v>
      </c>
      <c r="O134" s="1" t="str">
        <f t="shared" si="5"/>
        <v>Early Career | Medium Spender | Higher</v>
      </c>
    </row>
    <row r="135" spans="1:15" x14ac:dyDescent="0.25">
      <c r="A135" s="1" t="s">
        <v>165</v>
      </c>
      <c r="B135" s="1">
        <v>51</v>
      </c>
      <c r="C135" s="1" t="str" cm="1">
        <f t="array" ref="C135">_xlfn.IFS(OR(B135=" ", B135="NA",NOT(ISNUMBER(B135))), "Unknown",B135&lt;18,"Underage",B135&lt;=24,"Young Adult",B135&lt;=34,"Early Career",B135&lt;=44,"Mid Career",B135&lt;=54,"Mature",B135&lt;=65,"Pre-Senior",B135&gt;65,"Senior")</f>
        <v>Mature</v>
      </c>
      <c r="E135" s="1" t="s">
        <v>13</v>
      </c>
      <c r="F135" s="1">
        <v>1575000</v>
      </c>
      <c r="G135" s="1">
        <v>65</v>
      </c>
      <c r="H135" s="1" t="str" cm="1">
        <f t="array" ref="H135">_xlfn.IFS( OR(G135=" ",NOT(ISNUMBER(G135))),"Unknown",G135&lt;=33,"Low Spender",G135&lt;=66,"Medium Spender",TRUE, "High Spender")</f>
        <v>Medium Spender</v>
      </c>
      <c r="I135" s="1">
        <v>1</v>
      </c>
      <c r="J135" s="1">
        <v>9800</v>
      </c>
      <c r="K135" s="1">
        <v>322</v>
      </c>
      <c r="L135" s="1" t="s">
        <v>35</v>
      </c>
      <c r="M135" s="1" t="s">
        <v>21</v>
      </c>
      <c r="N135" s="1" t="str">
        <f t="shared" si="4"/>
        <v>Lower</v>
      </c>
      <c r="O135" s="1" t="str">
        <f t="shared" si="5"/>
        <v>Mature | Medium Spender | Lower</v>
      </c>
    </row>
    <row r="136" spans="1:15" x14ac:dyDescent="0.25">
      <c r="A136" s="1" t="s">
        <v>166</v>
      </c>
      <c r="B136" s="1">
        <v>50</v>
      </c>
      <c r="C136" s="1" t="str" cm="1">
        <f t="array" ref="C136">_xlfn.IFS(OR(B136=" ", B136="NA",NOT(ISNUMBER(B136))), "Unknown",B136&lt;18,"Underage",B136&lt;=24,"Young Adult",B136&lt;=34,"Early Career",B136&lt;=44,"Mid Career",B136&lt;=54,"Mature",B136&lt;=65,"Pre-Senior",B136&gt;65,"Senior")</f>
        <v>Mature</v>
      </c>
      <c r="D136" s="1" t="s">
        <v>12</v>
      </c>
      <c r="F136" s="1">
        <v>1175000</v>
      </c>
      <c r="G136" s="1">
        <v>78</v>
      </c>
      <c r="H136" s="1" t="str" cm="1">
        <f t="array" ref="H136">_xlfn.IFS( OR(G136=" ",NOT(ISNUMBER(G136))),"Unknown",G136&lt;=33,"Low Spender",G136&lt;=66,"Medium Spender",TRUE, "High Spender")</f>
        <v>High Spender</v>
      </c>
      <c r="I136" s="1">
        <v>9</v>
      </c>
      <c r="K136" s="1">
        <v>30</v>
      </c>
      <c r="L136" s="1" t="s">
        <v>35</v>
      </c>
      <c r="M136" s="1" t="s">
        <v>32</v>
      </c>
      <c r="N136" s="1" t="str">
        <f t="shared" si="4"/>
        <v>Lower</v>
      </c>
      <c r="O136" s="1" t="str">
        <f t="shared" si="5"/>
        <v>Mature | High Spender | Lower</v>
      </c>
    </row>
    <row r="137" spans="1:15" x14ac:dyDescent="0.25">
      <c r="A137" s="1" t="s">
        <v>167</v>
      </c>
      <c r="B137" s="1">
        <v>65</v>
      </c>
      <c r="C137" s="1" t="str" cm="1">
        <f t="array" ref="C137">_xlfn.IFS(OR(B137=" ", B137="NA",NOT(ISNUMBER(B137))), "Unknown",B137&lt;18,"Underage",B137&lt;=24,"Young Adult",B137&lt;=34,"Early Career",B137&lt;=44,"Mid Career",B137&lt;=54,"Mature",B137&lt;=65,"Pre-Senior",B137&gt;65,"Senior")</f>
        <v>Pre-Senior</v>
      </c>
      <c r="E137" s="1" t="s">
        <v>15</v>
      </c>
      <c r="F137" s="1">
        <v>1575000</v>
      </c>
      <c r="G137" s="1">
        <v>73</v>
      </c>
      <c r="H137" s="1" t="str" cm="1">
        <f t="array" ref="H137">_xlfn.IFS( OR(G137=" ",NOT(ISNUMBER(G137))),"Unknown",G137&lt;=33,"Low Spender",G137&lt;=66,"Medium Spender",TRUE, "High Spender")</f>
        <v>High Spender</v>
      </c>
      <c r="I137" s="1">
        <v>23</v>
      </c>
      <c r="K137" s="1">
        <v>266</v>
      </c>
      <c r="L137" s="1" t="s">
        <v>20</v>
      </c>
      <c r="M137" s="1" t="s">
        <v>21</v>
      </c>
      <c r="N137" s="1" t="str">
        <f t="shared" si="4"/>
        <v>Lower</v>
      </c>
      <c r="O137" s="1" t="str">
        <f t="shared" si="5"/>
        <v>Pre-Senior | High Spender | Lower</v>
      </c>
    </row>
    <row r="138" spans="1:15" x14ac:dyDescent="0.25">
      <c r="A138" s="1" t="s">
        <v>168</v>
      </c>
      <c r="B138" s="1" t="s">
        <v>73</v>
      </c>
      <c r="C138" s="1" t="str" cm="1">
        <f t="array" ref="C138">_xlfn.IFS(OR(B138=" ", B138="NA",NOT(ISNUMBER(B138))), "Unknown",B138&lt;18,"Underage",B138&lt;=24,"Young Adult",B138&lt;=34,"Early Career",B138&lt;=44,"Mid Career",B138&lt;=54,"Mature",B138&lt;=65,"Pre-Senior",B138&gt;65,"Senior")</f>
        <v>Unknown</v>
      </c>
      <c r="D138" s="1" t="s">
        <v>12</v>
      </c>
      <c r="E138" s="1" t="s">
        <v>23</v>
      </c>
      <c r="F138" s="1">
        <v>875000</v>
      </c>
      <c r="G138" s="1">
        <v>94</v>
      </c>
      <c r="H138" s="1" t="str" cm="1">
        <f t="array" ref="H138">_xlfn.IFS( OR(G138=" ",NOT(ISNUMBER(G138))),"Unknown",G138&lt;=33,"Low Spender",G138&lt;=66,"Medium Spender",TRUE, "High Spender")</f>
        <v>High Spender</v>
      </c>
      <c r="I138" s="1">
        <v>45</v>
      </c>
      <c r="J138" s="1">
        <v>2000</v>
      </c>
      <c r="K138" s="1">
        <v>227</v>
      </c>
      <c r="N138" s="1" t="str">
        <f t="shared" si="4"/>
        <v>Lower</v>
      </c>
      <c r="O138" s="1" t="str">
        <f t="shared" si="5"/>
        <v>Unknown | High Spender | Lower</v>
      </c>
    </row>
    <row r="139" spans="1:15" x14ac:dyDescent="0.25">
      <c r="A139" s="1" t="s">
        <v>169</v>
      </c>
      <c r="B139" s="1">
        <v>40</v>
      </c>
      <c r="C139" s="1" t="str" cm="1">
        <f t="array" ref="C139">_xlfn.IFS(OR(B139=" ", B139="NA",NOT(ISNUMBER(B139))), "Unknown",B139&lt;18,"Underage",B139&lt;=24,"Young Adult",B139&lt;=34,"Early Career",B139&lt;=44,"Mid Career",B139&lt;=54,"Mature",B139&lt;=65,"Pre-Senior",B139&gt;65,"Senior")</f>
        <v>Mid Career</v>
      </c>
      <c r="D139" s="1" t="s">
        <v>12</v>
      </c>
      <c r="E139" s="1" t="s">
        <v>19</v>
      </c>
      <c r="F139" s="1">
        <v>750000</v>
      </c>
      <c r="G139" s="1">
        <v>24</v>
      </c>
      <c r="H139" s="1" t="str" cm="1">
        <f t="array" ref="H139">_xlfn.IFS( OR(G139=" ",NOT(ISNUMBER(G139))),"Unknown",G139&lt;=33,"Low Spender",G139&lt;=66,"Medium Spender",TRUE, "High Spender")</f>
        <v>Low Spender</v>
      </c>
      <c r="I139" s="1">
        <v>2</v>
      </c>
      <c r="J139" s="1">
        <v>10400</v>
      </c>
      <c r="K139" s="1">
        <v>317</v>
      </c>
      <c r="L139" s="1" t="s">
        <v>35</v>
      </c>
      <c r="N139" s="1" t="str">
        <f t="shared" si="4"/>
        <v>Lower</v>
      </c>
      <c r="O139" s="1" t="str">
        <f t="shared" si="5"/>
        <v>Mid Career | Low Spender | Lower</v>
      </c>
    </row>
    <row r="140" spans="1:15" x14ac:dyDescent="0.25">
      <c r="A140" s="1" t="s">
        <v>170</v>
      </c>
      <c r="B140" s="1">
        <v>41</v>
      </c>
      <c r="C140" s="1" t="str" cm="1">
        <f t="array" ref="C140">_xlfn.IFS(OR(B140=" ", B140="NA",NOT(ISNUMBER(B140))), "Unknown",B140&lt;18,"Underage",B140&lt;=24,"Young Adult",B140&lt;=34,"Early Career",B140&lt;=44,"Mid Career",B140&lt;=54,"Mature",B140&lt;=65,"Pre-Senior",B140&gt;65,"Senior")</f>
        <v>Mid Career</v>
      </c>
      <c r="E140" s="1" t="s">
        <v>27</v>
      </c>
      <c r="F140" s="1">
        <v>1700000</v>
      </c>
      <c r="G140" s="1">
        <v>4</v>
      </c>
      <c r="H140" s="1" t="str" cm="1">
        <f t="array" ref="H140">_xlfn.IFS( OR(G140=" ",NOT(ISNUMBER(G140))),"Unknown",G140&lt;=33,"Low Spender",G140&lt;=66,"Medium Spender",TRUE, "High Spender")</f>
        <v>Low Spender</v>
      </c>
      <c r="I140" s="1">
        <v>14</v>
      </c>
      <c r="J140" s="1">
        <v>11200</v>
      </c>
      <c r="K140" s="1">
        <v>292</v>
      </c>
      <c r="M140" s="1" t="s">
        <v>32</v>
      </c>
      <c r="N140" s="1" t="str">
        <f t="shared" si="4"/>
        <v>Lower</v>
      </c>
      <c r="O140" s="1" t="str">
        <f t="shared" si="5"/>
        <v>Mid Career | Low Spender | Lower</v>
      </c>
    </row>
    <row r="141" spans="1:15" x14ac:dyDescent="0.25">
      <c r="A141" s="1" t="s">
        <v>171</v>
      </c>
      <c r="B141" s="1">
        <v>54</v>
      </c>
      <c r="C141" s="1" t="str" cm="1">
        <f t="array" ref="C141">_xlfn.IFS(OR(B141=" ", B141="NA",NOT(ISNUMBER(B141))), "Unknown",B141&lt;18,"Underage",B141&lt;=24,"Young Adult",B141&lt;=34,"Early Career",B141&lt;=44,"Mid Career",B141&lt;=54,"Mature",B141&lt;=65,"Pre-Senior",B141&gt;65,"Senior")</f>
        <v>Mature</v>
      </c>
      <c r="D141" s="1" t="s">
        <v>12</v>
      </c>
      <c r="E141" s="1" t="s">
        <v>23</v>
      </c>
      <c r="F141" s="1">
        <v>600000</v>
      </c>
      <c r="G141" s="1">
        <v>78</v>
      </c>
      <c r="H141" s="1" t="str" cm="1">
        <f t="array" ref="H141">_xlfn.IFS( OR(G141=" ",NOT(ISNUMBER(G141))),"Unknown",G141&lt;=33,"Low Spender",G141&lt;=66,"Medium Spender",TRUE, "High Spender")</f>
        <v>High Spender</v>
      </c>
      <c r="I141" s="1">
        <v>38</v>
      </c>
      <c r="J141" s="1">
        <v>8400</v>
      </c>
      <c r="K141" s="1">
        <v>54</v>
      </c>
      <c r="L141" s="1" t="s">
        <v>16</v>
      </c>
      <c r="N141" s="1" t="str">
        <f t="shared" si="4"/>
        <v>Lower</v>
      </c>
      <c r="O141" s="1" t="str">
        <f t="shared" si="5"/>
        <v>Mature | High Spender | Lower</v>
      </c>
    </row>
    <row r="142" spans="1:15" x14ac:dyDescent="0.25">
      <c r="A142" s="1" t="s">
        <v>172</v>
      </c>
      <c r="B142" s="1">
        <v>52</v>
      </c>
      <c r="C142" s="1" t="str" cm="1">
        <f t="array" ref="C142">_xlfn.IFS(OR(B142=" ", B142="NA",NOT(ISNUMBER(B142))), "Unknown",B142&lt;18,"Underage",B142&lt;=24,"Young Adult",B142&lt;=34,"Early Career",B142&lt;=44,"Mid Career",B142&lt;=54,"Mature",B142&lt;=65,"Pre-Senior",B142&gt;65,"Senior")</f>
        <v>Mature</v>
      </c>
      <c r="D142" s="1" t="s">
        <v>18</v>
      </c>
      <c r="E142" s="1" t="s">
        <v>23</v>
      </c>
      <c r="F142" s="1">
        <v>1925000</v>
      </c>
      <c r="G142" s="1">
        <v>89</v>
      </c>
      <c r="H142" s="1" t="str" cm="1">
        <f t="array" ref="H142">_xlfn.IFS( OR(G142=" ",NOT(ISNUMBER(G142))),"Unknown",G142&lt;=33,"Low Spender",G142&lt;=66,"Medium Spender",TRUE, "High Spender")</f>
        <v>High Spender</v>
      </c>
      <c r="I142" s="1">
        <v>40</v>
      </c>
      <c r="J142" s="1">
        <v>5100</v>
      </c>
      <c r="K142" s="1">
        <v>97</v>
      </c>
      <c r="M142" s="1" t="s">
        <v>21</v>
      </c>
      <c r="N142" s="1" t="str">
        <f t="shared" si="4"/>
        <v>Higher</v>
      </c>
      <c r="O142" s="1" t="str">
        <f t="shared" si="5"/>
        <v>Mature | High Spender | Higher</v>
      </c>
    </row>
    <row r="143" spans="1:15" x14ac:dyDescent="0.25">
      <c r="A143" s="1" t="s">
        <v>173</v>
      </c>
      <c r="B143" s="1">
        <v>61</v>
      </c>
      <c r="C143" s="1" t="str" cm="1">
        <f t="array" ref="C143">_xlfn.IFS(OR(B143=" ", B143="NA",NOT(ISNUMBER(B143))), "Unknown",B143&lt;18,"Underage",B143&lt;=24,"Young Adult",B143&lt;=34,"Early Career",B143&lt;=44,"Mid Career",B143&lt;=54,"Mature",B143&lt;=65,"Pre-Senior",B143&gt;65,"Senior")</f>
        <v>Pre-Senior</v>
      </c>
      <c r="D143" s="1" t="s">
        <v>18</v>
      </c>
      <c r="E143" s="1" t="s">
        <v>58</v>
      </c>
      <c r="F143" s="1">
        <v>325000</v>
      </c>
      <c r="G143" s="1">
        <v>68</v>
      </c>
      <c r="H143" s="1" t="str" cm="1">
        <f t="array" ref="H143">_xlfn.IFS( OR(G143=" ",NOT(ISNUMBER(G143))),"Unknown",G143&lt;=33,"Low Spender",G143&lt;=66,"Medium Spender",TRUE, "High Spender")</f>
        <v>High Spender</v>
      </c>
      <c r="I143" s="1">
        <v>63</v>
      </c>
      <c r="J143" s="1">
        <v>10700</v>
      </c>
      <c r="K143" s="1">
        <v>4</v>
      </c>
      <c r="N143" s="1" t="str">
        <f t="shared" si="4"/>
        <v>Higher</v>
      </c>
      <c r="O143" s="1" t="str">
        <f t="shared" si="5"/>
        <v>Pre-Senior | High Spender | Higher</v>
      </c>
    </row>
    <row r="144" spans="1:15" x14ac:dyDescent="0.25">
      <c r="A144" s="1" t="s">
        <v>174</v>
      </c>
      <c r="B144" s="1">
        <v>57</v>
      </c>
      <c r="C144" s="1" t="str" cm="1">
        <f t="array" ref="C144">_xlfn.IFS(OR(B144=" ", B144="NA",NOT(ISNUMBER(B144))), "Unknown",B144&lt;18,"Underage",B144&lt;=24,"Young Adult",B144&lt;=34,"Early Career",B144&lt;=44,"Mid Career",B144&lt;=54,"Mature",B144&lt;=65,"Pre-Senior",B144&gt;65,"Senior")</f>
        <v>Pre-Senior</v>
      </c>
      <c r="D144" s="1" t="s">
        <v>18</v>
      </c>
      <c r="E144" s="1" t="s">
        <v>15</v>
      </c>
      <c r="F144" s="1">
        <v>200000</v>
      </c>
      <c r="G144" s="1">
        <v>25</v>
      </c>
      <c r="H144" s="1" t="str" cm="1">
        <f t="array" ref="H144">_xlfn.IFS( OR(G144=" ",NOT(ISNUMBER(G144))),"Unknown",G144&lt;=33,"Low Spender",G144&lt;=66,"Medium Spender",TRUE, "High Spender")</f>
        <v>Low Spender</v>
      </c>
      <c r="I144" s="1">
        <v>16</v>
      </c>
      <c r="J144" s="1">
        <v>11100</v>
      </c>
      <c r="K144" s="1">
        <v>310</v>
      </c>
      <c r="N144" s="1" t="str">
        <f t="shared" si="4"/>
        <v>Higher</v>
      </c>
      <c r="O144" s="1" t="str">
        <f t="shared" si="5"/>
        <v>Pre-Senior | Low Spender | Higher</v>
      </c>
    </row>
    <row r="145" spans="1:15" x14ac:dyDescent="0.25">
      <c r="A145" s="1" t="s">
        <v>175</v>
      </c>
      <c r="B145" s="1">
        <v>39</v>
      </c>
      <c r="C145" s="1" t="str" cm="1">
        <f t="array" ref="C145">_xlfn.IFS(OR(B145=" ", B145="NA",NOT(ISNUMBER(B145))), "Unknown",B145&lt;18,"Underage",B145&lt;=24,"Young Adult",B145&lt;=34,"Early Career",B145&lt;=44,"Mid Career",B145&lt;=54,"Mature",B145&lt;=65,"Pre-Senior",B145&gt;65,"Senior")</f>
        <v>Mid Career</v>
      </c>
      <c r="E145" s="1" t="s">
        <v>58</v>
      </c>
      <c r="F145" s="1">
        <v>1800000</v>
      </c>
      <c r="G145" s="1">
        <v>74</v>
      </c>
      <c r="H145" s="1" t="str" cm="1">
        <f t="array" ref="H145">_xlfn.IFS( OR(G145=" ",NOT(ISNUMBER(G145))),"Unknown",G145&lt;=33,"Low Spender",G145&lt;=66,"Medium Spender",TRUE, "High Spender")</f>
        <v>High Spender</v>
      </c>
      <c r="I145" s="1">
        <v>75</v>
      </c>
      <c r="J145" s="1">
        <v>1800</v>
      </c>
      <c r="K145" s="1">
        <v>91</v>
      </c>
      <c r="L145" s="1" t="s">
        <v>35</v>
      </c>
      <c r="M145" s="1" t="s">
        <v>32</v>
      </c>
      <c r="N145" s="1" t="str">
        <f t="shared" si="4"/>
        <v>Lower</v>
      </c>
      <c r="O145" s="1" t="str">
        <f t="shared" si="5"/>
        <v>Mid Career | High Spender | Lower</v>
      </c>
    </row>
    <row r="146" spans="1:15" x14ac:dyDescent="0.25">
      <c r="A146" s="1" t="s">
        <v>176</v>
      </c>
      <c r="B146" s="1">
        <v>44</v>
      </c>
      <c r="C146" s="1" t="str" cm="1">
        <f t="array" ref="C146">_xlfn.IFS(OR(B146=" ", B146="NA",NOT(ISNUMBER(B146))), "Unknown",B146&lt;18,"Underage",B146&lt;=24,"Young Adult",B146&lt;=34,"Early Career",B146&lt;=44,"Mid Career",B146&lt;=54,"Mature",B146&lt;=65,"Pre-Senior",B146&gt;65,"Senior")</f>
        <v>Mid Career</v>
      </c>
      <c r="D146" s="1" t="s">
        <v>18</v>
      </c>
      <c r="F146" s="1">
        <v>550000</v>
      </c>
      <c r="G146" s="1">
        <v>99</v>
      </c>
      <c r="H146" s="1" t="str" cm="1">
        <f t="array" ref="H146">_xlfn.IFS( OR(G146=" ",NOT(ISNUMBER(G146))),"Unknown",G146&lt;=33,"Low Spender",G146&lt;=66,"Medium Spender",TRUE, "High Spender")</f>
        <v>High Spender</v>
      </c>
      <c r="I146" s="1">
        <v>6</v>
      </c>
      <c r="J146" s="1">
        <v>2300</v>
      </c>
      <c r="K146" s="1">
        <v>89</v>
      </c>
      <c r="L146" s="1" t="s">
        <v>35</v>
      </c>
      <c r="M146" s="1" t="s">
        <v>30</v>
      </c>
      <c r="N146" s="1" t="str">
        <f t="shared" si="4"/>
        <v>Higher</v>
      </c>
      <c r="O146" s="1" t="str">
        <f t="shared" si="5"/>
        <v>Mid Career | High Spender | Higher</v>
      </c>
    </row>
    <row r="147" spans="1:15" x14ac:dyDescent="0.25">
      <c r="A147" s="1" t="s">
        <v>177</v>
      </c>
      <c r="B147" s="1">
        <v>52</v>
      </c>
      <c r="C147" s="1" t="str" cm="1">
        <f t="array" ref="C147">_xlfn.IFS(OR(B147=" ", B147="NA",NOT(ISNUMBER(B147))), "Unknown",B147&lt;18,"Underage",B147&lt;=24,"Young Adult",B147&lt;=34,"Early Career",B147&lt;=44,"Mid Career",B147&lt;=54,"Mature",B147&lt;=65,"Pre-Senior",B147&gt;65,"Senior")</f>
        <v>Mature</v>
      </c>
      <c r="E147" s="1" t="s">
        <v>49</v>
      </c>
      <c r="F147" s="1">
        <v>475000</v>
      </c>
      <c r="G147" s="1">
        <v>7</v>
      </c>
      <c r="H147" s="1" t="str" cm="1">
        <f t="array" ref="H147">_xlfn.IFS( OR(G147=" ",NOT(ISNUMBER(G147))),"Unknown",G147&lt;=33,"Low Spender",G147&lt;=66,"Medium Spender",TRUE, "High Spender")</f>
        <v>Low Spender</v>
      </c>
      <c r="I147" s="1">
        <v>3</v>
      </c>
      <c r="J147" s="1">
        <v>1200</v>
      </c>
      <c r="K147" s="1">
        <v>320</v>
      </c>
      <c r="L147" s="1" t="s">
        <v>35</v>
      </c>
      <c r="M147" s="1" t="s">
        <v>21</v>
      </c>
      <c r="N147" s="1" t="str">
        <f t="shared" si="4"/>
        <v>Lower</v>
      </c>
      <c r="O147" s="1" t="str">
        <f t="shared" si="5"/>
        <v>Mature | Low Spender | Lower</v>
      </c>
    </row>
    <row r="148" spans="1:15" x14ac:dyDescent="0.25">
      <c r="A148" s="1" t="s">
        <v>178</v>
      </c>
      <c r="B148" s="1">
        <v>18</v>
      </c>
      <c r="C148" s="1" t="str" cm="1">
        <f t="array" ref="C148">_xlfn.IFS(OR(B148=" ", B148="NA",NOT(ISNUMBER(B148))), "Unknown",B148&lt;18,"Underage",B148&lt;=24,"Young Adult",B148&lt;=34,"Early Career",B148&lt;=44,"Mid Career",B148&lt;=54,"Mature",B148&lt;=65,"Pre-Senior",B148&gt;65,"Senior")</f>
        <v>Young Adult</v>
      </c>
      <c r="D148" s="1" t="s">
        <v>29</v>
      </c>
      <c r="E148" s="1" t="s">
        <v>27</v>
      </c>
      <c r="F148" s="1">
        <v>350000</v>
      </c>
      <c r="G148" s="1">
        <v>13</v>
      </c>
      <c r="H148" s="1" t="str" cm="1">
        <f t="array" ref="H148">_xlfn.IFS( OR(G148=" ",NOT(ISNUMBER(G148))),"Unknown",G148&lt;=33,"Low Spender",G148&lt;=66,"Medium Spender",TRUE, "High Spender")</f>
        <v>Low Spender</v>
      </c>
      <c r="I148" s="1">
        <v>14</v>
      </c>
      <c r="J148" s="1">
        <v>10800</v>
      </c>
      <c r="K148" s="1">
        <v>92</v>
      </c>
      <c r="L148" s="1" t="s">
        <v>20</v>
      </c>
      <c r="N148" s="1" t="str">
        <f t="shared" si="4"/>
        <v>Higher</v>
      </c>
      <c r="O148" s="1" t="str">
        <f t="shared" si="5"/>
        <v>Young Adult | Low Spender | Higher</v>
      </c>
    </row>
    <row r="149" spans="1:15" x14ac:dyDescent="0.25">
      <c r="A149" s="1" t="s">
        <v>179</v>
      </c>
      <c r="B149" s="1">
        <v>52</v>
      </c>
      <c r="C149" s="1" t="str" cm="1">
        <f t="array" ref="C149">_xlfn.IFS(OR(B149=" ", B149="NA",NOT(ISNUMBER(B149))), "Unknown",B149&lt;18,"Underage",B149&lt;=24,"Young Adult",B149&lt;=34,"Early Career",B149&lt;=44,"Mid Career",B149&lt;=54,"Mature",B149&lt;=65,"Pre-Senior",B149&gt;65,"Senior")</f>
        <v>Mature</v>
      </c>
      <c r="E149" s="1" t="s">
        <v>49</v>
      </c>
      <c r="F149" s="1">
        <v>1675000</v>
      </c>
      <c r="G149" s="1">
        <v>68</v>
      </c>
      <c r="H149" s="1" t="str" cm="1">
        <f t="array" ref="H149">_xlfn.IFS( OR(G149=" ",NOT(ISNUMBER(G149))),"Unknown",G149&lt;=33,"Low Spender",G149&lt;=66,"Medium Spender",TRUE, "High Spender")</f>
        <v>High Spender</v>
      </c>
      <c r="I149" s="1">
        <v>66</v>
      </c>
      <c r="J149" s="1">
        <v>600</v>
      </c>
      <c r="K149" s="1">
        <v>150</v>
      </c>
      <c r="M149" s="1" t="s">
        <v>41</v>
      </c>
      <c r="N149" s="1" t="str">
        <f t="shared" si="4"/>
        <v>Lower</v>
      </c>
      <c r="O149" s="1" t="str">
        <f t="shared" si="5"/>
        <v>Mature | High Spender | Lower</v>
      </c>
    </row>
    <row r="150" spans="1:15" x14ac:dyDescent="0.25">
      <c r="A150" s="1" t="s">
        <v>180</v>
      </c>
      <c r="B150" s="1">
        <v>54</v>
      </c>
      <c r="C150" s="1" t="str" cm="1">
        <f t="array" ref="C150">_xlfn.IFS(OR(B150=" ", B150="NA",NOT(ISNUMBER(B150))), "Unknown",B150&lt;18,"Underage",B150&lt;=24,"Young Adult",B150&lt;=34,"Early Career",B150&lt;=44,"Mid Career",B150&lt;=54,"Mature",B150&lt;=65,"Pre-Senior",B150&gt;65,"Senior")</f>
        <v>Mature</v>
      </c>
      <c r="D150" s="1" t="s">
        <v>29</v>
      </c>
      <c r="E150" s="1" t="s">
        <v>19</v>
      </c>
      <c r="F150" s="1">
        <v>650000</v>
      </c>
      <c r="G150" s="1">
        <v>43</v>
      </c>
      <c r="H150" s="1" t="str" cm="1">
        <f t="array" ref="H150">_xlfn.IFS( OR(G150=" ",NOT(ISNUMBER(G150))),"Unknown",G150&lt;=33,"Low Spender",G150&lt;=66,"Medium Spender",TRUE, "High Spender")</f>
        <v>Medium Spender</v>
      </c>
      <c r="I150" s="1">
        <v>75</v>
      </c>
      <c r="J150" s="1">
        <v>4600</v>
      </c>
      <c r="K150" s="1">
        <v>234</v>
      </c>
      <c r="L150" s="1" t="s">
        <v>20</v>
      </c>
      <c r="M150" s="1" t="s">
        <v>32</v>
      </c>
      <c r="N150" s="1" t="str">
        <f t="shared" si="4"/>
        <v>Higher</v>
      </c>
      <c r="O150" s="1" t="str">
        <f t="shared" si="5"/>
        <v>Mature | Medium Spender | Higher</v>
      </c>
    </row>
    <row r="151" spans="1:15" x14ac:dyDescent="0.25">
      <c r="A151" s="1" t="s">
        <v>181</v>
      </c>
      <c r="B151" s="1">
        <v>64</v>
      </c>
      <c r="C151" s="1" t="str" cm="1">
        <f t="array" ref="C151">_xlfn.IFS(OR(B151=" ", B151="NA",NOT(ISNUMBER(B151))), "Unknown",B151&lt;18,"Underage",B151&lt;=24,"Young Adult",B151&lt;=34,"Early Career",B151&lt;=44,"Mid Career",B151&lt;=54,"Mature",B151&lt;=65,"Pre-Senior",B151&gt;65,"Senior")</f>
        <v>Pre-Senior</v>
      </c>
      <c r="D151" s="1" t="s">
        <v>12</v>
      </c>
      <c r="G151" s="1">
        <v>57</v>
      </c>
      <c r="H151" s="1" t="str" cm="1">
        <f t="array" ref="H151">_xlfn.IFS( OR(G151=" ",NOT(ISNUMBER(G151))),"Unknown",G151&lt;=33,"Low Spender",G151&lt;=66,"Medium Spender",TRUE, "High Spender")</f>
        <v>Medium Spender</v>
      </c>
      <c r="I151" s="1">
        <v>67</v>
      </c>
      <c r="J151" s="1">
        <v>1000</v>
      </c>
      <c r="K151" s="1">
        <v>337</v>
      </c>
      <c r="L151" s="1" t="s">
        <v>20</v>
      </c>
      <c r="M151" s="1" t="s">
        <v>30</v>
      </c>
      <c r="N151" s="1" t="str">
        <f t="shared" si="4"/>
        <v>Lower</v>
      </c>
      <c r="O151" s="1" t="str">
        <f t="shared" si="5"/>
        <v>Pre-Senior | Medium Spender | Lower</v>
      </c>
    </row>
    <row r="152" spans="1:15" x14ac:dyDescent="0.25">
      <c r="A152" s="1" t="s">
        <v>182</v>
      </c>
      <c r="B152" s="1">
        <v>31</v>
      </c>
      <c r="C152" s="1" t="str" cm="1">
        <f t="array" ref="C152">_xlfn.IFS(OR(B152=" ", B152="NA",NOT(ISNUMBER(B152))), "Unknown",B152&lt;18,"Underage",B152&lt;=24,"Young Adult",B152&lt;=34,"Early Career",B152&lt;=44,"Mid Career",B152&lt;=54,"Mature",B152&lt;=65,"Pre-Senior",B152&gt;65,"Senior")</f>
        <v>Early Career</v>
      </c>
      <c r="D152" s="1" t="s">
        <v>29</v>
      </c>
      <c r="E152" s="1" t="s">
        <v>13</v>
      </c>
      <c r="F152" s="1">
        <v>1050000</v>
      </c>
      <c r="G152" s="1">
        <v>36</v>
      </c>
      <c r="H152" s="1" t="str" cm="1">
        <f t="array" ref="H152">_xlfn.IFS( OR(G152=" ",NOT(ISNUMBER(G152))),"Unknown",G152&lt;=33,"Low Spender",G152&lt;=66,"Medium Spender",TRUE, "High Spender")</f>
        <v>Medium Spender</v>
      </c>
      <c r="I152" s="1">
        <v>31</v>
      </c>
      <c r="J152" s="1">
        <v>11300</v>
      </c>
      <c r="K152" s="1">
        <v>59</v>
      </c>
      <c r="L152" s="1" t="s">
        <v>20</v>
      </c>
      <c r="M152" s="1" t="s">
        <v>30</v>
      </c>
      <c r="N152" s="1" t="str">
        <f t="shared" si="4"/>
        <v>Higher</v>
      </c>
      <c r="O152" s="1" t="str">
        <f t="shared" si="5"/>
        <v>Early Career | Medium Spender | Higher</v>
      </c>
    </row>
    <row r="153" spans="1:15" x14ac:dyDescent="0.25">
      <c r="A153" s="1" t="s">
        <v>183</v>
      </c>
      <c r="B153" s="1">
        <v>20</v>
      </c>
      <c r="C153" s="1" t="str" cm="1">
        <f t="array" ref="C153">_xlfn.IFS(OR(B153=" ", B153="NA",NOT(ISNUMBER(B153))), "Unknown",B153&lt;18,"Underage",B153&lt;=24,"Young Adult",B153&lt;=34,"Early Career",B153&lt;=44,"Mid Career",B153&lt;=54,"Mature",B153&lt;=65,"Pre-Senior",B153&gt;65,"Senior")</f>
        <v>Young Adult</v>
      </c>
      <c r="D153" s="1" t="s">
        <v>29</v>
      </c>
      <c r="E153" s="1" t="s">
        <v>19</v>
      </c>
      <c r="F153" s="1">
        <v>400000</v>
      </c>
      <c r="G153" s="1">
        <v>14</v>
      </c>
      <c r="H153" s="1" t="str" cm="1">
        <f t="array" ref="H153">_xlfn.IFS( OR(G153=" ",NOT(ISNUMBER(G153))),"Unknown",G153&lt;=33,"Low Spender",G153&lt;=66,"Medium Spender",TRUE, "High Spender")</f>
        <v>Low Spender</v>
      </c>
      <c r="I153" s="1">
        <v>33</v>
      </c>
      <c r="J153" s="1">
        <v>11900</v>
      </c>
      <c r="K153" s="1">
        <v>185</v>
      </c>
      <c r="L153" s="1" t="s">
        <v>16</v>
      </c>
      <c r="M153" s="1" t="s">
        <v>32</v>
      </c>
      <c r="N153" s="1" t="str">
        <f t="shared" si="4"/>
        <v>Higher</v>
      </c>
      <c r="O153" s="1" t="str">
        <f t="shared" si="5"/>
        <v>Young Adult | Low Spender | Higher</v>
      </c>
    </row>
    <row r="154" spans="1:15" x14ac:dyDescent="0.25">
      <c r="A154" s="1" t="s">
        <v>184</v>
      </c>
      <c r="B154" s="1">
        <v>18</v>
      </c>
      <c r="C154" s="1" t="str" cm="1">
        <f t="array" ref="C154">_xlfn.IFS(OR(B154=" ", B154="NA",NOT(ISNUMBER(B154))), "Unknown",B154&lt;18,"Underage",B154&lt;=24,"Young Adult",B154&lt;=34,"Early Career",B154&lt;=44,"Mid Career",B154&lt;=54,"Mature",B154&lt;=65,"Pre-Senior",B154&gt;65,"Senior")</f>
        <v>Young Adult</v>
      </c>
      <c r="D154" s="1" t="s">
        <v>29</v>
      </c>
      <c r="E154" s="1" t="s">
        <v>19</v>
      </c>
      <c r="F154" s="1">
        <v>625000</v>
      </c>
      <c r="G154" s="1">
        <v>82</v>
      </c>
      <c r="H154" s="1" t="str" cm="1">
        <f t="array" ref="H154">_xlfn.IFS( OR(G154=" ",NOT(ISNUMBER(G154))),"Unknown",G154&lt;=33,"Low Spender",G154&lt;=66,"Medium Spender",TRUE, "High Spender")</f>
        <v>High Spender</v>
      </c>
      <c r="I154" s="1">
        <v>1</v>
      </c>
      <c r="J154" s="1">
        <v>5700</v>
      </c>
      <c r="K154" s="1">
        <v>44</v>
      </c>
      <c r="M154" s="1" t="s">
        <v>30</v>
      </c>
      <c r="N154" s="1" t="str">
        <f t="shared" si="4"/>
        <v>Higher</v>
      </c>
      <c r="O154" s="1" t="str">
        <f t="shared" si="5"/>
        <v>Young Adult | High Spender | Higher</v>
      </c>
    </row>
    <row r="155" spans="1:15" x14ac:dyDescent="0.25">
      <c r="A155" s="1" t="s">
        <v>185</v>
      </c>
      <c r="B155" s="1">
        <v>22</v>
      </c>
      <c r="C155" s="1" t="str" cm="1">
        <f t="array" ref="C155">_xlfn.IFS(OR(B155=" ", B155="NA",NOT(ISNUMBER(B155))), "Unknown",B155&lt;18,"Underage",B155&lt;=24,"Young Adult",B155&lt;=34,"Early Career",B155&lt;=44,"Mid Career",B155&lt;=54,"Mature",B155&lt;=65,"Pre-Senior",B155&gt;65,"Senior")</f>
        <v>Young Adult</v>
      </c>
      <c r="D155" s="1" t="s">
        <v>18</v>
      </c>
      <c r="E155" s="1" t="s">
        <v>34</v>
      </c>
      <c r="F155" s="1">
        <v>1000000</v>
      </c>
      <c r="G155" s="1">
        <v>72</v>
      </c>
      <c r="H155" s="1" t="str" cm="1">
        <f t="array" ref="H155">_xlfn.IFS( OR(G155=" ",NOT(ISNUMBER(G155))),"Unknown",G155&lt;=33,"Low Spender",G155&lt;=66,"Medium Spender",TRUE, "High Spender")</f>
        <v>High Spender</v>
      </c>
      <c r="I155" s="1">
        <v>44</v>
      </c>
      <c r="J155" s="1">
        <v>2100</v>
      </c>
      <c r="K155" s="1">
        <v>180</v>
      </c>
      <c r="L155" s="1" t="s">
        <v>16</v>
      </c>
      <c r="N155" s="1" t="str">
        <f t="shared" si="4"/>
        <v>Higher</v>
      </c>
      <c r="O155" s="1" t="str">
        <f t="shared" si="5"/>
        <v>Young Adult | High Spender | Higher</v>
      </c>
    </row>
    <row r="156" spans="1:15" x14ac:dyDescent="0.25">
      <c r="A156" s="1" t="s">
        <v>186</v>
      </c>
      <c r="B156" s="1">
        <v>43</v>
      </c>
      <c r="C156" s="1" t="str" cm="1">
        <f t="array" ref="C156">_xlfn.IFS(OR(B156=" ", B156="NA",NOT(ISNUMBER(B156))), "Unknown",B156&lt;18,"Underage",B156&lt;=24,"Young Adult",B156&lt;=34,"Early Career",B156&lt;=44,"Mid Career",B156&lt;=54,"Mature",B156&lt;=65,"Pre-Senior",B156&gt;65,"Senior")</f>
        <v>Mid Career</v>
      </c>
      <c r="D156" s="1" t="s">
        <v>29</v>
      </c>
      <c r="E156" s="1" t="s">
        <v>27</v>
      </c>
      <c r="F156" s="1">
        <v>1450000</v>
      </c>
      <c r="G156" s="1">
        <v>96</v>
      </c>
      <c r="H156" s="1" t="str" cm="1">
        <f t="array" ref="H156">_xlfn.IFS( OR(G156=" ",NOT(ISNUMBER(G156))),"Unknown",G156&lt;=33,"Low Spender",G156&lt;=66,"Medium Spender",TRUE, "High Spender")</f>
        <v>High Spender</v>
      </c>
      <c r="I156" s="1">
        <v>15</v>
      </c>
      <c r="J156" s="1">
        <v>11300</v>
      </c>
      <c r="K156" s="1">
        <v>76</v>
      </c>
      <c r="L156" s="1" t="s">
        <v>16</v>
      </c>
      <c r="M156" s="1" t="s">
        <v>30</v>
      </c>
      <c r="N156" s="1" t="str">
        <f t="shared" si="4"/>
        <v>Higher</v>
      </c>
      <c r="O156" s="1" t="str">
        <f t="shared" si="5"/>
        <v>Mid Career | High Spender | Higher</v>
      </c>
    </row>
    <row r="157" spans="1:15" x14ac:dyDescent="0.25">
      <c r="A157" s="1" t="s">
        <v>187</v>
      </c>
      <c r="B157" s="1" t="s">
        <v>73</v>
      </c>
      <c r="C157" s="1" t="str" cm="1">
        <f t="array" ref="C157">_xlfn.IFS(OR(B157=" ", B157="NA",NOT(ISNUMBER(B157))), "Unknown",B157&lt;18,"Underage",B157&lt;=24,"Young Adult",B157&lt;=34,"Early Career",B157&lt;=44,"Mid Career",B157&lt;=54,"Mature",B157&lt;=65,"Pre-Senior",B157&gt;65,"Senior")</f>
        <v>Unknown</v>
      </c>
      <c r="D157" s="1" t="s">
        <v>18</v>
      </c>
      <c r="E157" s="1" t="s">
        <v>58</v>
      </c>
      <c r="F157" s="1">
        <v>1300000</v>
      </c>
      <c r="G157" s="1">
        <v>27</v>
      </c>
      <c r="H157" s="1" t="str" cm="1">
        <f t="array" ref="H157">_xlfn.IFS( OR(G157=" ",NOT(ISNUMBER(G157))),"Unknown",G157&lt;=33,"Low Spender",G157&lt;=66,"Medium Spender",TRUE, "High Spender")</f>
        <v>Low Spender</v>
      </c>
      <c r="I157" s="1">
        <v>37</v>
      </c>
      <c r="J157" s="1">
        <v>6600</v>
      </c>
      <c r="K157" s="1">
        <v>144</v>
      </c>
      <c r="M157" s="1" t="s">
        <v>21</v>
      </c>
      <c r="N157" s="1" t="str">
        <f t="shared" si="4"/>
        <v>Higher</v>
      </c>
      <c r="O157" s="1" t="str">
        <f t="shared" si="5"/>
        <v>Unknown | Low Spender | Higher</v>
      </c>
    </row>
    <row r="158" spans="1:15" x14ac:dyDescent="0.25">
      <c r="A158" s="1" t="s">
        <v>188</v>
      </c>
      <c r="B158" s="1">
        <v>31</v>
      </c>
      <c r="C158" s="1" t="str" cm="1">
        <f t="array" ref="C158">_xlfn.IFS(OR(B158=" ", B158="NA",NOT(ISNUMBER(B158))), "Unknown",B158&lt;18,"Underage",B158&lt;=24,"Young Adult",B158&lt;=34,"Early Career",B158&lt;=44,"Mid Career",B158&lt;=54,"Mature",B158&lt;=65,"Pre-Senior",B158&gt;65,"Senior")</f>
        <v>Early Career</v>
      </c>
      <c r="D158" s="1" t="s">
        <v>18</v>
      </c>
      <c r="E158" s="1" t="s">
        <v>15</v>
      </c>
      <c r="G158" s="1">
        <v>37</v>
      </c>
      <c r="H158" s="1" t="str" cm="1">
        <f t="array" ref="H158">_xlfn.IFS( OR(G158=" ",NOT(ISNUMBER(G158))),"Unknown",G158&lt;=33,"Low Spender",G158&lt;=66,"Medium Spender",TRUE, "High Spender")</f>
        <v>Medium Spender</v>
      </c>
      <c r="I158" s="1">
        <v>27</v>
      </c>
      <c r="J158" s="1">
        <v>4200</v>
      </c>
      <c r="K158" s="1">
        <v>101</v>
      </c>
      <c r="L158" s="1" t="s">
        <v>16</v>
      </c>
      <c r="M158" s="1" t="s">
        <v>41</v>
      </c>
      <c r="N158" s="1" t="str">
        <f t="shared" si="4"/>
        <v>Higher</v>
      </c>
      <c r="O158" s="1" t="str">
        <f t="shared" si="5"/>
        <v>Early Career | Medium Spender | Higher</v>
      </c>
    </row>
    <row r="159" spans="1:15" x14ac:dyDescent="0.25">
      <c r="A159" s="1" t="s">
        <v>189</v>
      </c>
      <c r="B159" s="1">
        <v>56</v>
      </c>
      <c r="C159" s="1" t="str" cm="1">
        <f t="array" ref="C159">_xlfn.IFS(OR(B159=" ", B159="NA",NOT(ISNUMBER(B159))), "Unknown",B159&lt;18,"Underage",B159&lt;=24,"Young Adult",B159&lt;=34,"Early Career",B159&lt;=44,"Mid Career",B159&lt;=54,"Mature",B159&lt;=65,"Pre-Senior",B159&gt;65,"Senior")</f>
        <v>Pre-Senior</v>
      </c>
      <c r="D159" s="1" t="s">
        <v>18</v>
      </c>
      <c r="E159" s="1" t="s">
        <v>49</v>
      </c>
      <c r="F159" s="1">
        <v>1425000</v>
      </c>
      <c r="G159" s="1">
        <v>87</v>
      </c>
      <c r="H159" s="1" t="str" cm="1">
        <f t="array" ref="H159">_xlfn.IFS( OR(G159=" ",NOT(ISNUMBER(G159))),"Unknown",G159&lt;=33,"Low Spender",G159&lt;=66,"Medium Spender",TRUE, "High Spender")</f>
        <v>High Spender</v>
      </c>
      <c r="I159" s="1">
        <v>48</v>
      </c>
      <c r="J159" s="1">
        <v>10600</v>
      </c>
      <c r="K159" s="1">
        <v>272</v>
      </c>
      <c r="N159" s="1" t="str">
        <f t="shared" si="4"/>
        <v>Higher</v>
      </c>
      <c r="O159" s="1" t="str">
        <f t="shared" si="5"/>
        <v>Pre-Senior | High Spender | Higher</v>
      </c>
    </row>
    <row r="160" spans="1:15" x14ac:dyDescent="0.25">
      <c r="A160" s="1" t="s">
        <v>190</v>
      </c>
      <c r="B160" s="1">
        <v>44</v>
      </c>
      <c r="C160" s="1" t="str" cm="1">
        <f t="array" ref="C160">_xlfn.IFS(OR(B160=" ", B160="NA",NOT(ISNUMBER(B160))), "Unknown",B160&lt;18,"Underage",B160&lt;=24,"Young Adult",B160&lt;=34,"Early Career",B160&lt;=44,"Mid Career",B160&lt;=54,"Mature",B160&lt;=65,"Pre-Senior",B160&gt;65,"Senior")</f>
        <v>Mid Career</v>
      </c>
      <c r="E160" s="1" t="s">
        <v>19</v>
      </c>
      <c r="F160" s="1">
        <v>325000</v>
      </c>
      <c r="G160" s="1">
        <v>71</v>
      </c>
      <c r="H160" s="1" t="str" cm="1">
        <f t="array" ref="H160">_xlfn.IFS( OR(G160=" ",NOT(ISNUMBER(G160))),"Unknown",G160&lt;=33,"Low Spender",G160&lt;=66,"Medium Spender",TRUE, "High Spender")</f>
        <v>High Spender</v>
      </c>
      <c r="I160" s="1">
        <v>27</v>
      </c>
      <c r="J160" s="1">
        <v>5300</v>
      </c>
      <c r="K160" s="1">
        <v>55</v>
      </c>
      <c r="M160" s="1" t="s">
        <v>32</v>
      </c>
      <c r="N160" s="1" t="str">
        <f t="shared" si="4"/>
        <v>Lower</v>
      </c>
      <c r="O160" s="1" t="str">
        <f t="shared" si="5"/>
        <v>Mid Career | High Spender | Lower</v>
      </c>
    </row>
    <row r="161" spans="1:15" x14ac:dyDescent="0.25">
      <c r="A161" s="1" t="s">
        <v>191</v>
      </c>
      <c r="B161" s="1">
        <v>26</v>
      </c>
      <c r="C161" s="1" t="str" cm="1">
        <f t="array" ref="C161">_xlfn.IFS(OR(B161=" ", B161="NA",NOT(ISNUMBER(B161))), "Unknown",B161&lt;18,"Underage",B161&lt;=24,"Young Adult",B161&lt;=34,"Early Career",B161&lt;=44,"Mid Career",B161&lt;=54,"Mature",B161&lt;=65,"Pre-Senior",B161&gt;65,"Senior")</f>
        <v>Early Career</v>
      </c>
      <c r="E161" s="1" t="s">
        <v>49</v>
      </c>
      <c r="F161" s="1">
        <v>225000</v>
      </c>
      <c r="G161" s="1">
        <v>76</v>
      </c>
      <c r="H161" s="1" t="str" cm="1">
        <f t="array" ref="H161">_xlfn.IFS( OR(G161=" ",NOT(ISNUMBER(G161))),"Unknown",G161&lt;=33,"Low Spender",G161&lt;=66,"Medium Spender",TRUE, "High Spender")</f>
        <v>High Spender</v>
      </c>
      <c r="I161" s="1">
        <v>12</v>
      </c>
      <c r="J161" s="1">
        <v>1100</v>
      </c>
      <c r="K161" s="1">
        <v>189</v>
      </c>
      <c r="M161" s="1" t="s">
        <v>41</v>
      </c>
      <c r="N161" s="1" t="str">
        <f t="shared" si="4"/>
        <v>Lower</v>
      </c>
      <c r="O161" s="1" t="str">
        <f t="shared" si="5"/>
        <v>Early Career | High Spender | Lower</v>
      </c>
    </row>
    <row r="162" spans="1:15" x14ac:dyDescent="0.25">
      <c r="A162" s="1" t="s">
        <v>192</v>
      </c>
      <c r="B162" s="1">
        <v>32</v>
      </c>
      <c r="C162" s="1" t="str" cm="1">
        <f t="array" ref="C162">_xlfn.IFS(OR(B162=" ", B162="NA",NOT(ISNUMBER(B162))), "Unknown",B162&lt;18,"Underage",B162&lt;=24,"Young Adult",B162&lt;=34,"Early Career",B162&lt;=44,"Mid Career",B162&lt;=54,"Mature",B162&lt;=65,"Pre-Senior",B162&gt;65,"Senior")</f>
        <v>Early Career</v>
      </c>
      <c r="D162" s="1" t="s">
        <v>12</v>
      </c>
      <c r="E162" s="1" t="s">
        <v>49</v>
      </c>
      <c r="F162" s="1">
        <v>800000</v>
      </c>
      <c r="G162" s="1">
        <v>25</v>
      </c>
      <c r="H162" s="1" t="str" cm="1">
        <f t="array" ref="H162">_xlfn.IFS( OR(G162=" ",NOT(ISNUMBER(G162))),"Unknown",G162&lt;=33,"Low Spender",G162&lt;=66,"Medium Spender",TRUE, "High Spender")</f>
        <v>Low Spender</v>
      </c>
      <c r="I162" s="1">
        <v>67</v>
      </c>
      <c r="J162" s="1">
        <v>3200</v>
      </c>
      <c r="K162" s="1">
        <v>351</v>
      </c>
      <c r="L162" s="1" t="s">
        <v>35</v>
      </c>
      <c r="N162" s="1" t="str">
        <f t="shared" si="4"/>
        <v>Lower</v>
      </c>
      <c r="O162" s="1" t="str">
        <f t="shared" si="5"/>
        <v>Early Career | Low Spender | Lower</v>
      </c>
    </row>
    <row r="163" spans="1:15" x14ac:dyDescent="0.25">
      <c r="A163" s="1" t="s">
        <v>193</v>
      </c>
      <c r="B163" s="1">
        <v>32</v>
      </c>
      <c r="C163" s="1" t="str" cm="1">
        <f t="array" ref="C163">_xlfn.IFS(OR(B163=" ", B163="NA",NOT(ISNUMBER(B163))), "Unknown",B163&lt;18,"Underage",B163&lt;=24,"Young Adult",B163&lt;=34,"Early Career",B163&lt;=44,"Mid Career",B163&lt;=54,"Mature",B163&lt;=65,"Pre-Senior",B163&gt;65,"Senior")</f>
        <v>Early Career</v>
      </c>
      <c r="D163" s="1" t="s">
        <v>29</v>
      </c>
      <c r="E163" s="1" t="s">
        <v>13</v>
      </c>
      <c r="F163" s="1">
        <v>1225000</v>
      </c>
      <c r="G163" s="1">
        <v>67</v>
      </c>
      <c r="H163" s="1" t="str" cm="1">
        <f t="array" ref="H163">_xlfn.IFS( OR(G163=" ",NOT(ISNUMBER(G163))),"Unknown",G163&lt;=33,"Low Spender",G163&lt;=66,"Medium Spender",TRUE, "High Spender")</f>
        <v>High Spender</v>
      </c>
      <c r="I163" s="1">
        <v>30</v>
      </c>
      <c r="J163" s="1">
        <v>5800</v>
      </c>
      <c r="K163" s="1">
        <v>335</v>
      </c>
      <c r="L163" s="1" t="s">
        <v>20</v>
      </c>
      <c r="N163" s="1" t="str">
        <f t="shared" si="4"/>
        <v>Higher</v>
      </c>
      <c r="O163" s="1" t="str">
        <f t="shared" si="5"/>
        <v>Early Career | High Spender | Higher</v>
      </c>
    </row>
    <row r="164" spans="1:15" x14ac:dyDescent="0.25">
      <c r="A164" s="1" t="s">
        <v>194</v>
      </c>
      <c r="B164" s="1">
        <v>43</v>
      </c>
      <c r="C164" s="1" t="str" cm="1">
        <f t="array" ref="C164">_xlfn.IFS(OR(B164=" ", B164="NA",NOT(ISNUMBER(B164))), "Unknown",B164&lt;18,"Underage",B164&lt;=24,"Young Adult",B164&lt;=34,"Early Career",B164&lt;=44,"Mid Career",B164&lt;=54,"Mature",B164&lt;=65,"Pre-Senior",B164&gt;65,"Senior")</f>
        <v>Mid Career</v>
      </c>
      <c r="D164" s="1" t="s">
        <v>12</v>
      </c>
      <c r="E164" s="1" t="s">
        <v>27</v>
      </c>
      <c r="F164" s="1">
        <v>1125000</v>
      </c>
      <c r="G164" s="1">
        <v>90</v>
      </c>
      <c r="H164" s="1" t="str" cm="1">
        <f t="array" ref="H164">_xlfn.IFS( OR(G164=" ",NOT(ISNUMBER(G164))),"Unknown",G164&lt;=33,"Low Spender",G164&lt;=66,"Medium Spender",TRUE, "High Spender")</f>
        <v>High Spender</v>
      </c>
      <c r="I164" s="1">
        <v>66</v>
      </c>
      <c r="J164" s="1">
        <v>8300</v>
      </c>
      <c r="K164" s="1">
        <v>77</v>
      </c>
      <c r="M164" s="1" t="s">
        <v>41</v>
      </c>
      <c r="N164" s="1" t="str">
        <f t="shared" si="4"/>
        <v>Lower</v>
      </c>
      <c r="O164" s="1" t="str">
        <f t="shared" si="5"/>
        <v>Mid Career | High Spender | Lower</v>
      </c>
    </row>
    <row r="165" spans="1:15" x14ac:dyDescent="0.25">
      <c r="A165" s="1" t="s">
        <v>195</v>
      </c>
      <c r="B165" s="1">
        <v>59</v>
      </c>
      <c r="C165" s="1" t="str" cm="1">
        <f t="array" ref="C165">_xlfn.IFS(OR(B165=" ", B165="NA",NOT(ISNUMBER(B165))), "Unknown",B165&lt;18,"Underage",B165&lt;=24,"Young Adult",B165&lt;=34,"Early Career",B165&lt;=44,"Mid Career",B165&lt;=54,"Mature",B165&lt;=65,"Pre-Senior",B165&gt;65,"Senior")</f>
        <v>Pre-Senior</v>
      </c>
      <c r="D165" s="1" t="s">
        <v>18</v>
      </c>
      <c r="E165" s="1" t="s">
        <v>27</v>
      </c>
      <c r="F165" s="1">
        <v>1300000</v>
      </c>
      <c r="G165" s="1">
        <v>4</v>
      </c>
      <c r="H165" s="1" t="str" cm="1">
        <f t="array" ref="H165">_xlfn.IFS( OR(G165=" ",NOT(ISNUMBER(G165))),"Unknown",G165&lt;=33,"Low Spender",G165&lt;=66,"Medium Spender",TRUE, "High Spender")</f>
        <v>Low Spender</v>
      </c>
      <c r="I165" s="1">
        <v>7</v>
      </c>
      <c r="J165" s="1">
        <v>10600</v>
      </c>
      <c r="K165" s="1">
        <v>296</v>
      </c>
      <c r="M165" s="1" t="s">
        <v>30</v>
      </c>
      <c r="N165" s="1" t="str">
        <f t="shared" si="4"/>
        <v>Higher</v>
      </c>
      <c r="O165" s="1" t="str">
        <f t="shared" si="5"/>
        <v>Pre-Senior | Low Spender | Higher</v>
      </c>
    </row>
    <row r="166" spans="1:15" x14ac:dyDescent="0.25">
      <c r="A166" s="1" t="s">
        <v>196</v>
      </c>
      <c r="B166" s="1">
        <v>30</v>
      </c>
      <c r="C166" s="1" t="str" cm="1">
        <f t="array" ref="C166">_xlfn.IFS(OR(B166=" ", B166="NA",NOT(ISNUMBER(B166))), "Unknown",B166&lt;18,"Underage",B166&lt;=24,"Young Adult",B166&lt;=34,"Early Career",B166&lt;=44,"Mid Career",B166&lt;=54,"Mature",B166&lt;=65,"Pre-Senior",B166&gt;65,"Senior")</f>
        <v>Early Career</v>
      </c>
      <c r="D166" s="1" t="s">
        <v>12</v>
      </c>
      <c r="F166" s="1">
        <v>1225000</v>
      </c>
      <c r="G166" s="1">
        <v>100</v>
      </c>
      <c r="H166" s="1" t="str" cm="1">
        <f t="array" ref="H166">_xlfn.IFS( OR(G166=" ",NOT(ISNUMBER(G166))),"Unknown",G166&lt;=33,"Low Spender",G166&lt;=66,"Medium Spender",TRUE, "High Spender")</f>
        <v>High Spender</v>
      </c>
      <c r="I166" s="1">
        <v>34</v>
      </c>
      <c r="J166" s="1">
        <v>4600</v>
      </c>
      <c r="K166" s="1">
        <v>219</v>
      </c>
      <c r="L166" s="1" t="s">
        <v>16</v>
      </c>
      <c r="N166" s="1" t="str">
        <f t="shared" si="4"/>
        <v>Lower</v>
      </c>
      <c r="O166" s="1" t="str">
        <f t="shared" si="5"/>
        <v>Early Career | High Spender | Lower</v>
      </c>
    </row>
    <row r="167" spans="1:15" x14ac:dyDescent="0.25">
      <c r="A167" s="1" t="s">
        <v>197</v>
      </c>
      <c r="B167" s="1">
        <v>68</v>
      </c>
      <c r="C167" s="1" t="str" cm="1">
        <f t="array" ref="C167">_xlfn.IFS(OR(B167=" ", B167="NA",NOT(ISNUMBER(B167))), "Unknown",B167&lt;18,"Underage",B167&lt;=24,"Young Adult",B167&lt;=34,"Early Career",B167&lt;=44,"Mid Career",B167&lt;=54,"Mature",B167&lt;=65,"Pre-Senior",B167&gt;65,"Senior")</f>
        <v>Senior</v>
      </c>
      <c r="D167" s="1" t="s">
        <v>29</v>
      </c>
      <c r="E167" s="1" t="s">
        <v>23</v>
      </c>
      <c r="F167" s="1">
        <v>1325000</v>
      </c>
      <c r="G167" s="1">
        <v>79</v>
      </c>
      <c r="H167" s="1" t="str" cm="1">
        <f t="array" ref="H167">_xlfn.IFS( OR(G167=" ",NOT(ISNUMBER(G167))),"Unknown",G167&lt;=33,"Low Spender",G167&lt;=66,"Medium Spender",TRUE, "High Spender")</f>
        <v>High Spender</v>
      </c>
      <c r="I167" s="1">
        <v>32</v>
      </c>
      <c r="J167" s="1">
        <v>6100</v>
      </c>
      <c r="K167" s="1">
        <v>277</v>
      </c>
      <c r="M167" s="1" t="s">
        <v>32</v>
      </c>
      <c r="N167" s="1" t="str">
        <f t="shared" si="4"/>
        <v>Higher</v>
      </c>
      <c r="O167" s="1" t="str">
        <f t="shared" si="5"/>
        <v>Senior | High Spender | Higher</v>
      </c>
    </row>
    <row r="168" spans="1:15" x14ac:dyDescent="0.25">
      <c r="A168" s="1" t="s">
        <v>198</v>
      </c>
      <c r="B168" s="1">
        <v>49</v>
      </c>
      <c r="C168" s="1" t="str" cm="1">
        <f t="array" ref="C168">_xlfn.IFS(OR(B168=" ", B168="NA",NOT(ISNUMBER(B168))), "Unknown",B168&lt;18,"Underage",B168&lt;=24,"Young Adult",B168&lt;=34,"Early Career",B168&lt;=44,"Mid Career",B168&lt;=54,"Mature",B168&lt;=65,"Pre-Senior",B168&gt;65,"Senior")</f>
        <v>Mature</v>
      </c>
      <c r="D168" s="1" t="s">
        <v>18</v>
      </c>
      <c r="E168" s="1" t="s">
        <v>27</v>
      </c>
      <c r="F168" s="1">
        <v>1425000</v>
      </c>
      <c r="G168" s="1">
        <v>96</v>
      </c>
      <c r="H168" s="1" t="str" cm="1">
        <f t="array" ref="H168">_xlfn.IFS( OR(G168=" ",NOT(ISNUMBER(G168))),"Unknown",G168&lt;=33,"Low Spender",G168&lt;=66,"Medium Spender",TRUE, "High Spender")</f>
        <v>High Spender</v>
      </c>
      <c r="I168" s="1">
        <v>39</v>
      </c>
      <c r="J168" s="1">
        <v>1700</v>
      </c>
      <c r="K168" s="1">
        <v>66</v>
      </c>
      <c r="L168" s="1" t="s">
        <v>37</v>
      </c>
      <c r="M168" s="1" t="s">
        <v>32</v>
      </c>
      <c r="N168" s="1" t="str">
        <f t="shared" si="4"/>
        <v>Higher</v>
      </c>
      <c r="O168" s="1" t="str">
        <f t="shared" si="5"/>
        <v>Mature | High Spender | Higher</v>
      </c>
    </row>
    <row r="169" spans="1:15" x14ac:dyDescent="0.25">
      <c r="A169" s="1" t="s">
        <v>199</v>
      </c>
      <c r="B169" s="1">
        <v>56</v>
      </c>
      <c r="C169" s="1" t="str" cm="1">
        <f t="array" ref="C169">_xlfn.IFS(OR(B169=" ", B169="NA",NOT(ISNUMBER(B169))), "Unknown",B169&lt;18,"Underage",B169&lt;=24,"Young Adult",B169&lt;=34,"Early Career",B169&lt;=44,"Mid Career",B169&lt;=54,"Mature",B169&lt;=65,"Pre-Senior",B169&gt;65,"Senior")</f>
        <v>Pre-Senior</v>
      </c>
      <c r="E169" s="1" t="s">
        <v>49</v>
      </c>
      <c r="F169" s="1">
        <v>1825000</v>
      </c>
      <c r="G169" s="1">
        <v>93</v>
      </c>
      <c r="H169" s="1" t="str" cm="1">
        <f t="array" ref="H169">_xlfn.IFS( OR(G169=" ",NOT(ISNUMBER(G169))),"Unknown",G169&lt;=33,"Low Spender",G169&lt;=66,"Medium Spender",TRUE, "High Spender")</f>
        <v>High Spender</v>
      </c>
      <c r="I169" s="1">
        <v>43</v>
      </c>
      <c r="J169" s="1">
        <v>7000</v>
      </c>
      <c r="K169" s="1">
        <v>136</v>
      </c>
      <c r="L169" s="1" t="s">
        <v>16</v>
      </c>
      <c r="M169" s="1" t="s">
        <v>21</v>
      </c>
      <c r="N169" s="1" t="str">
        <f t="shared" si="4"/>
        <v>Lower</v>
      </c>
      <c r="O169" s="1" t="str">
        <f t="shared" si="5"/>
        <v>Pre-Senior | High Spender | Lower</v>
      </c>
    </row>
    <row r="170" spans="1:15" x14ac:dyDescent="0.25">
      <c r="A170" s="1" t="s">
        <v>200</v>
      </c>
      <c r="B170" s="1">
        <v>66</v>
      </c>
      <c r="C170" s="1" t="str" cm="1">
        <f t="array" ref="C170">_xlfn.IFS(OR(B170=" ", B170="NA",NOT(ISNUMBER(B170))), "Unknown",B170&lt;18,"Underage",B170&lt;=24,"Young Adult",B170&lt;=34,"Early Career",B170&lt;=44,"Mid Career",B170&lt;=54,"Mature",B170&lt;=65,"Pre-Senior",B170&gt;65,"Senior")</f>
        <v>Senior</v>
      </c>
      <c r="D170" s="1" t="s">
        <v>18</v>
      </c>
      <c r="E170" s="1" t="s">
        <v>58</v>
      </c>
      <c r="F170" s="1">
        <v>400000</v>
      </c>
      <c r="G170" s="1">
        <v>74</v>
      </c>
      <c r="H170" s="1" t="str" cm="1">
        <f t="array" ref="H170">_xlfn.IFS( OR(G170=" ",NOT(ISNUMBER(G170))),"Unknown",G170&lt;=33,"Low Spender",G170&lt;=66,"Medium Spender",TRUE, "High Spender")</f>
        <v>High Spender</v>
      </c>
      <c r="I170" s="1">
        <v>43</v>
      </c>
      <c r="J170" s="1">
        <v>7200</v>
      </c>
      <c r="K170" s="1">
        <v>234</v>
      </c>
      <c r="L170" s="1" t="s">
        <v>16</v>
      </c>
      <c r="M170" s="1" t="s">
        <v>30</v>
      </c>
      <c r="N170" s="1" t="str">
        <f t="shared" si="4"/>
        <v>Higher</v>
      </c>
      <c r="O170" s="1" t="str">
        <f t="shared" si="5"/>
        <v>Senior | High Spender | Higher</v>
      </c>
    </row>
    <row r="171" spans="1:15" x14ac:dyDescent="0.25">
      <c r="A171" s="1" t="s">
        <v>201</v>
      </c>
      <c r="B171" s="1">
        <v>69</v>
      </c>
      <c r="C171" s="1" t="str" cm="1">
        <f t="array" ref="C171">_xlfn.IFS(OR(B171=" ", B171="NA",NOT(ISNUMBER(B171))), "Unknown",B171&lt;18,"Underage",B171&lt;=24,"Young Adult",B171&lt;=34,"Early Career",B171&lt;=44,"Mid Career",B171&lt;=54,"Mature",B171&lt;=65,"Pre-Senior",B171&gt;65,"Senior")</f>
        <v>Senior</v>
      </c>
      <c r="E171" s="1" t="s">
        <v>49</v>
      </c>
      <c r="F171" s="1" t="s">
        <v>25</v>
      </c>
      <c r="G171" s="1">
        <v>85</v>
      </c>
      <c r="H171" s="1" t="str" cm="1">
        <f t="array" ref="H171">_xlfn.IFS( OR(G171=" ",NOT(ISNUMBER(G171))),"Unknown",G171&lt;=33,"Low Spender",G171&lt;=66,"Medium Spender",TRUE, "High Spender")</f>
        <v>High Spender</v>
      </c>
      <c r="I171" s="1">
        <v>78</v>
      </c>
      <c r="J171" s="1">
        <v>6300</v>
      </c>
      <c r="K171" s="1">
        <v>199</v>
      </c>
      <c r="M171" s="1" t="s">
        <v>21</v>
      </c>
      <c r="N171" s="1" t="str">
        <f t="shared" si="4"/>
        <v>Lower</v>
      </c>
      <c r="O171" s="1" t="str">
        <f t="shared" si="5"/>
        <v>Senior | High Spender | Lower</v>
      </c>
    </row>
    <row r="172" spans="1:15" x14ac:dyDescent="0.25">
      <c r="A172" s="1" t="s">
        <v>202</v>
      </c>
      <c r="B172" s="1">
        <v>49</v>
      </c>
      <c r="C172" s="1" t="str" cm="1">
        <f t="array" ref="C172">_xlfn.IFS(OR(B172=" ", B172="NA",NOT(ISNUMBER(B172))), "Unknown",B172&lt;18,"Underage",B172&lt;=24,"Young Adult",B172&lt;=34,"Early Career",B172&lt;=44,"Mid Career",B172&lt;=54,"Mature",B172&lt;=65,"Pre-Senior",B172&gt;65,"Senior")</f>
        <v>Mature</v>
      </c>
      <c r="D172" s="1" t="s">
        <v>29</v>
      </c>
      <c r="E172" s="1" t="s">
        <v>58</v>
      </c>
      <c r="F172" s="1">
        <v>1950000</v>
      </c>
      <c r="G172" s="1">
        <v>16</v>
      </c>
      <c r="H172" s="1" t="str" cm="1">
        <f t="array" ref="H172">_xlfn.IFS( OR(G172=" ",NOT(ISNUMBER(G172))),"Unknown",G172&lt;=33,"Low Spender",G172&lt;=66,"Medium Spender",TRUE, "High Spender")</f>
        <v>Low Spender</v>
      </c>
      <c r="I172" s="1">
        <v>3</v>
      </c>
      <c r="J172" s="1">
        <v>8200</v>
      </c>
      <c r="K172" s="1">
        <v>266</v>
      </c>
      <c r="L172" s="1" t="s">
        <v>37</v>
      </c>
      <c r="M172" s="1" t="s">
        <v>21</v>
      </c>
      <c r="N172" s="1" t="str">
        <f t="shared" si="4"/>
        <v>Higher</v>
      </c>
      <c r="O172" s="1" t="str">
        <f t="shared" si="5"/>
        <v>Mature | Low Spender | Higher</v>
      </c>
    </row>
    <row r="173" spans="1:15" x14ac:dyDescent="0.25">
      <c r="A173" s="1" t="s">
        <v>203</v>
      </c>
      <c r="B173" s="1">
        <v>21</v>
      </c>
      <c r="C173" s="1" t="str" cm="1">
        <f t="array" ref="C173">_xlfn.IFS(OR(B173=" ", B173="NA",NOT(ISNUMBER(B173))), "Unknown",B173&lt;18,"Underage",B173&lt;=24,"Young Adult",B173&lt;=34,"Early Career",B173&lt;=44,"Mid Career",B173&lt;=54,"Mature",B173&lt;=65,"Pre-Senior",B173&gt;65,"Senior")</f>
        <v>Young Adult</v>
      </c>
      <c r="D173" s="1" t="s">
        <v>18</v>
      </c>
      <c r="F173" s="1">
        <v>225000</v>
      </c>
      <c r="G173" s="1">
        <v>19</v>
      </c>
      <c r="H173" s="1" t="str" cm="1">
        <f t="array" ref="H173">_xlfn.IFS( OR(G173=" ",NOT(ISNUMBER(G173))),"Unknown",G173&lt;=33,"Low Spender",G173&lt;=66,"Medium Spender",TRUE, "High Spender")</f>
        <v>Low Spender</v>
      </c>
      <c r="I173" s="1">
        <v>46</v>
      </c>
      <c r="J173" s="1">
        <v>9200</v>
      </c>
      <c r="K173" s="1">
        <v>43</v>
      </c>
      <c r="L173" s="1" t="s">
        <v>37</v>
      </c>
      <c r="M173" s="1" t="s">
        <v>30</v>
      </c>
      <c r="N173" s="1" t="str">
        <f t="shared" si="4"/>
        <v>Higher</v>
      </c>
      <c r="O173" s="1" t="str">
        <f t="shared" si="5"/>
        <v>Young Adult | Low Spender | Higher</v>
      </c>
    </row>
    <row r="174" spans="1:15" x14ac:dyDescent="0.25">
      <c r="A174" s="1" t="s">
        <v>204</v>
      </c>
      <c r="B174" s="1">
        <v>47</v>
      </c>
      <c r="C174" s="1" t="str" cm="1">
        <f t="array" ref="C174">_xlfn.IFS(OR(B174=" ", B174="NA",NOT(ISNUMBER(B174))), "Unknown",B174&lt;18,"Underage",B174&lt;=24,"Young Adult",B174&lt;=34,"Early Career",B174&lt;=44,"Mid Career",B174&lt;=54,"Mature",B174&lt;=65,"Pre-Senior",B174&gt;65,"Senior")</f>
        <v>Mature</v>
      </c>
      <c r="D174" s="1" t="s">
        <v>18</v>
      </c>
      <c r="E174" s="1" t="s">
        <v>58</v>
      </c>
      <c r="G174" s="1">
        <v>29</v>
      </c>
      <c r="H174" s="1" t="str" cm="1">
        <f t="array" ref="H174">_xlfn.IFS( OR(G174=" ",NOT(ISNUMBER(G174))),"Unknown",G174&lt;=33,"Low Spender",G174&lt;=66,"Medium Spender",TRUE, "High Spender")</f>
        <v>Low Spender</v>
      </c>
      <c r="I174" s="1">
        <v>32</v>
      </c>
      <c r="J174" s="1">
        <v>10300</v>
      </c>
      <c r="K174" s="1">
        <v>361</v>
      </c>
      <c r="L174" s="1" t="s">
        <v>35</v>
      </c>
      <c r="N174" s="1" t="str">
        <f t="shared" si="4"/>
        <v>Higher</v>
      </c>
      <c r="O174" s="1" t="str">
        <f t="shared" si="5"/>
        <v>Mature | Low Spender | Higher</v>
      </c>
    </row>
    <row r="175" spans="1:15" x14ac:dyDescent="0.25">
      <c r="A175" s="1" t="s">
        <v>205</v>
      </c>
      <c r="B175" s="1">
        <v>54</v>
      </c>
      <c r="C175" s="1" t="str" cm="1">
        <f t="array" ref="C175">_xlfn.IFS(OR(B175=" ", B175="NA",NOT(ISNUMBER(B175))), "Unknown",B175&lt;18,"Underage",B175&lt;=24,"Young Adult",B175&lt;=34,"Early Career",B175&lt;=44,"Mid Career",B175&lt;=54,"Mature",B175&lt;=65,"Pre-Senior",B175&gt;65,"Senior")</f>
        <v>Mature</v>
      </c>
      <c r="D175" s="1" t="s">
        <v>29</v>
      </c>
      <c r="E175" s="1" t="s">
        <v>27</v>
      </c>
      <c r="F175" s="1">
        <v>1950000</v>
      </c>
      <c r="G175" s="1">
        <v>51</v>
      </c>
      <c r="H175" s="1" t="str" cm="1">
        <f t="array" ref="H175">_xlfn.IFS( OR(G175=" ",NOT(ISNUMBER(G175))),"Unknown",G175&lt;=33,"Low Spender",G175&lt;=66,"Medium Spender",TRUE, "High Spender")</f>
        <v>Medium Spender</v>
      </c>
      <c r="I175" s="1">
        <v>43</v>
      </c>
      <c r="J175" s="1">
        <v>2500</v>
      </c>
      <c r="K175" s="1">
        <v>228</v>
      </c>
      <c r="L175" s="1" t="s">
        <v>16</v>
      </c>
      <c r="N175" s="1" t="str">
        <f t="shared" si="4"/>
        <v>Higher</v>
      </c>
      <c r="O175" s="1" t="str">
        <f t="shared" si="5"/>
        <v>Mature | Medium Spender | Higher</v>
      </c>
    </row>
    <row r="176" spans="1:15" x14ac:dyDescent="0.25">
      <c r="A176" s="1" t="s">
        <v>206</v>
      </c>
      <c r="B176" s="1">
        <v>40</v>
      </c>
      <c r="C176" s="1" t="str" cm="1">
        <f t="array" ref="C176">_xlfn.IFS(OR(B176=" ", B176="NA",NOT(ISNUMBER(B176))), "Unknown",B176&lt;18,"Underage",B176&lt;=24,"Young Adult",B176&lt;=34,"Early Career",B176&lt;=44,"Mid Career",B176&lt;=54,"Mature",B176&lt;=65,"Pre-Senior",B176&gt;65,"Senior")</f>
        <v>Mid Career</v>
      </c>
      <c r="D176" s="1" t="s">
        <v>29</v>
      </c>
      <c r="E176" s="1" t="s">
        <v>13</v>
      </c>
      <c r="F176" s="1" t="s">
        <v>25</v>
      </c>
      <c r="G176" s="1">
        <v>18</v>
      </c>
      <c r="H176" s="1" t="str" cm="1">
        <f t="array" ref="H176">_xlfn.IFS( OR(G176=" ",NOT(ISNUMBER(G176))),"Unknown",G176&lt;=33,"Low Spender",G176&lt;=66,"Medium Spender",TRUE, "High Spender")</f>
        <v>Low Spender</v>
      </c>
      <c r="J176" s="1">
        <v>7900</v>
      </c>
      <c r="K176" s="1">
        <v>227</v>
      </c>
      <c r="L176" s="1" t="s">
        <v>20</v>
      </c>
      <c r="M176" s="1" t="s">
        <v>21</v>
      </c>
      <c r="N176" s="1" t="str">
        <f t="shared" si="4"/>
        <v>Higher</v>
      </c>
      <c r="O176" s="1" t="str">
        <f t="shared" si="5"/>
        <v>Mid Career | Low Spender | Higher</v>
      </c>
    </row>
    <row r="177" spans="1:15" x14ac:dyDescent="0.25">
      <c r="A177" s="1" t="s">
        <v>207</v>
      </c>
      <c r="B177" s="1">
        <v>56</v>
      </c>
      <c r="C177" s="1" t="str" cm="1">
        <f t="array" ref="C177">_xlfn.IFS(OR(B177=" ", B177="NA",NOT(ISNUMBER(B177))), "Unknown",B177&lt;18,"Underage",B177&lt;=24,"Young Adult",B177&lt;=34,"Early Career",B177&lt;=44,"Mid Career",B177&lt;=54,"Mature",B177&lt;=65,"Pre-Senior",B177&gt;65,"Senior")</f>
        <v>Pre-Senior</v>
      </c>
      <c r="D177" s="1" t="s">
        <v>18</v>
      </c>
      <c r="E177" s="1" t="s">
        <v>58</v>
      </c>
      <c r="F177" s="1">
        <v>1325000</v>
      </c>
      <c r="G177" s="1">
        <v>58</v>
      </c>
      <c r="H177" s="1" t="str" cm="1">
        <f t="array" ref="H177">_xlfn.IFS( OR(G177=" ",NOT(ISNUMBER(G177))),"Unknown",G177&lt;=33,"Low Spender",G177&lt;=66,"Medium Spender",TRUE, "High Spender")</f>
        <v>Medium Spender</v>
      </c>
      <c r="I177" s="1">
        <v>3</v>
      </c>
      <c r="J177" s="1">
        <v>4900</v>
      </c>
      <c r="K177" s="1">
        <v>63</v>
      </c>
      <c r="M177" s="1" t="s">
        <v>41</v>
      </c>
      <c r="N177" s="1" t="str">
        <f t="shared" si="4"/>
        <v>Higher</v>
      </c>
      <c r="O177" s="1" t="str">
        <f t="shared" si="5"/>
        <v>Pre-Senior | Medium Spender | Higher</v>
      </c>
    </row>
    <row r="178" spans="1:15" x14ac:dyDescent="0.25">
      <c r="A178" s="1" t="s">
        <v>208</v>
      </c>
      <c r="B178" s="1">
        <v>62</v>
      </c>
      <c r="C178" s="1" t="str" cm="1">
        <f t="array" ref="C178">_xlfn.IFS(OR(B178=" ", B178="NA",NOT(ISNUMBER(B178))), "Unknown",B178&lt;18,"Underage",B178&lt;=24,"Young Adult",B178&lt;=34,"Early Career",B178&lt;=44,"Mid Career",B178&lt;=54,"Mature",B178&lt;=65,"Pre-Senior",B178&gt;65,"Senior")</f>
        <v>Pre-Senior</v>
      </c>
      <c r="E178" s="1" t="s">
        <v>49</v>
      </c>
      <c r="F178" s="1">
        <v>775000</v>
      </c>
      <c r="G178" s="1">
        <v>44</v>
      </c>
      <c r="H178" s="1" t="str" cm="1">
        <f t="array" ref="H178">_xlfn.IFS( OR(G178=" ",NOT(ISNUMBER(G178))),"Unknown",G178&lt;=33,"Low Spender",G178&lt;=66,"Medium Spender",TRUE, "High Spender")</f>
        <v>Medium Spender</v>
      </c>
      <c r="I178" s="1">
        <v>74</v>
      </c>
      <c r="J178" s="1">
        <v>1900</v>
      </c>
      <c r="K178" s="1">
        <v>171</v>
      </c>
      <c r="L178" s="1" t="s">
        <v>16</v>
      </c>
      <c r="N178" s="1" t="str">
        <f t="shared" si="4"/>
        <v>Lower</v>
      </c>
      <c r="O178" s="1" t="str">
        <f t="shared" si="5"/>
        <v>Pre-Senior | Medium Spender | Lower</v>
      </c>
    </row>
    <row r="179" spans="1:15" x14ac:dyDescent="0.25">
      <c r="A179" s="1" t="s">
        <v>209</v>
      </c>
      <c r="B179" s="1">
        <v>32</v>
      </c>
      <c r="C179" s="1" t="str" cm="1">
        <f t="array" ref="C179">_xlfn.IFS(OR(B179=" ", B179="NA",NOT(ISNUMBER(B179))), "Unknown",B179&lt;18,"Underage",B179&lt;=24,"Young Adult",B179&lt;=34,"Early Career",B179&lt;=44,"Mid Career",B179&lt;=54,"Mature",B179&lt;=65,"Pre-Senior",B179&gt;65,"Senior")</f>
        <v>Early Career</v>
      </c>
      <c r="D179" s="1" t="s">
        <v>18</v>
      </c>
      <c r="E179" s="1" t="s">
        <v>15</v>
      </c>
      <c r="F179" s="1" t="s">
        <v>25</v>
      </c>
      <c r="G179" s="1">
        <v>16</v>
      </c>
      <c r="H179" s="1" t="str" cm="1">
        <f t="array" ref="H179">_xlfn.IFS( OR(G179=" ",NOT(ISNUMBER(G179))),"Unknown",G179&lt;=33,"Low Spender",G179&lt;=66,"Medium Spender",TRUE, "High Spender")</f>
        <v>Low Spender</v>
      </c>
      <c r="I179" s="1">
        <v>63</v>
      </c>
      <c r="J179" s="1">
        <v>5900</v>
      </c>
      <c r="K179" s="1">
        <v>250</v>
      </c>
      <c r="L179" s="1" t="s">
        <v>20</v>
      </c>
      <c r="N179" s="1" t="str">
        <f t="shared" si="4"/>
        <v>Higher</v>
      </c>
      <c r="O179" s="1" t="str">
        <f t="shared" si="5"/>
        <v>Early Career | Low Spender | Higher</v>
      </c>
    </row>
    <row r="180" spans="1:15" x14ac:dyDescent="0.25">
      <c r="A180" s="1" t="s">
        <v>210</v>
      </c>
      <c r="B180" s="1">
        <v>60</v>
      </c>
      <c r="C180" s="1" t="str" cm="1">
        <f t="array" ref="C180">_xlfn.IFS(OR(B180=" ", B180="NA",NOT(ISNUMBER(B180))), "Unknown",B180&lt;18,"Underage",B180&lt;=24,"Young Adult",B180&lt;=34,"Early Career",B180&lt;=44,"Mid Career",B180&lt;=54,"Mature",B180&lt;=65,"Pre-Senior",B180&gt;65,"Senior")</f>
        <v>Pre-Senior</v>
      </c>
      <c r="D180" s="1" t="s">
        <v>18</v>
      </c>
      <c r="E180" s="1" t="s">
        <v>27</v>
      </c>
      <c r="F180" s="1">
        <v>1100000</v>
      </c>
      <c r="G180" s="1">
        <v>65</v>
      </c>
      <c r="H180" s="1" t="str" cm="1">
        <f t="array" ref="H180">_xlfn.IFS( OR(G180=" ",NOT(ISNUMBER(G180))),"Unknown",G180&lt;=33,"Low Spender",G180&lt;=66,"Medium Spender",TRUE, "High Spender")</f>
        <v>Medium Spender</v>
      </c>
      <c r="I180" s="1">
        <v>40</v>
      </c>
      <c r="J180" s="1">
        <v>5600</v>
      </c>
      <c r="K180" s="1">
        <v>338</v>
      </c>
      <c r="L180" s="1" t="s">
        <v>20</v>
      </c>
      <c r="M180" s="1" t="s">
        <v>30</v>
      </c>
      <c r="N180" s="1" t="str">
        <f t="shared" si="4"/>
        <v>Higher</v>
      </c>
      <c r="O180" s="1" t="str">
        <f t="shared" si="5"/>
        <v>Pre-Senior | Medium Spender | Higher</v>
      </c>
    </row>
    <row r="181" spans="1:15" x14ac:dyDescent="0.25">
      <c r="A181" s="1" t="s">
        <v>211</v>
      </c>
      <c r="B181" s="1">
        <v>46</v>
      </c>
      <c r="C181" s="1" t="str" cm="1">
        <f t="array" ref="C181">_xlfn.IFS(OR(B181=" ", B181="NA",NOT(ISNUMBER(B181))), "Unknown",B181&lt;18,"Underage",B181&lt;=24,"Young Adult",B181&lt;=34,"Early Career",B181&lt;=44,"Mid Career",B181&lt;=54,"Mature",B181&lt;=65,"Pre-Senior",B181&gt;65,"Senior")</f>
        <v>Mature</v>
      </c>
      <c r="D181" s="1" t="s">
        <v>29</v>
      </c>
      <c r="E181" s="1" t="s">
        <v>15</v>
      </c>
      <c r="F181" s="1">
        <v>1575000</v>
      </c>
      <c r="G181" s="1">
        <v>2</v>
      </c>
      <c r="H181" s="1" t="str" cm="1">
        <f t="array" ref="H181">_xlfn.IFS( OR(G181=" ",NOT(ISNUMBER(G181))),"Unknown",G181&lt;=33,"Low Spender",G181&lt;=66,"Medium Spender",TRUE, "High Spender")</f>
        <v>Low Spender</v>
      </c>
      <c r="I181" s="1">
        <v>18</v>
      </c>
      <c r="J181" s="1">
        <v>9300</v>
      </c>
      <c r="K181" s="1">
        <v>250</v>
      </c>
      <c r="M181" s="1" t="s">
        <v>32</v>
      </c>
      <c r="N181" s="1" t="str">
        <f t="shared" si="4"/>
        <v>Higher</v>
      </c>
      <c r="O181" s="1" t="str">
        <f t="shared" si="5"/>
        <v>Mature | Low Spender | Higher</v>
      </c>
    </row>
    <row r="182" spans="1:15" x14ac:dyDescent="0.25">
      <c r="A182" s="1" t="s">
        <v>212</v>
      </c>
      <c r="B182" s="1">
        <v>53</v>
      </c>
      <c r="C182" s="1" t="str" cm="1">
        <f t="array" ref="C182">_xlfn.IFS(OR(B182=" ", B182="NA",NOT(ISNUMBER(B182))), "Unknown",B182&lt;18,"Underage",B182&lt;=24,"Young Adult",B182&lt;=34,"Early Career",B182&lt;=44,"Mid Career",B182&lt;=54,"Mature",B182&lt;=65,"Pre-Senior",B182&gt;65,"Senior")</f>
        <v>Mature</v>
      </c>
      <c r="D182" s="1" t="s">
        <v>12</v>
      </c>
      <c r="F182" s="1">
        <v>600000</v>
      </c>
      <c r="G182" s="1">
        <v>56</v>
      </c>
      <c r="H182" s="1" t="str" cm="1">
        <f t="array" ref="H182">_xlfn.IFS( OR(G182=" ",NOT(ISNUMBER(G182))),"Unknown",G182&lt;=33,"Low Spender",G182&lt;=66,"Medium Spender",TRUE, "High Spender")</f>
        <v>Medium Spender</v>
      </c>
      <c r="I182" s="1">
        <v>67</v>
      </c>
      <c r="J182" s="1">
        <v>5400</v>
      </c>
      <c r="K182" s="1">
        <v>307</v>
      </c>
      <c r="L182" s="1" t="s">
        <v>16</v>
      </c>
      <c r="N182" s="1" t="str">
        <f t="shared" si="4"/>
        <v>Lower</v>
      </c>
      <c r="O182" s="1" t="str">
        <f t="shared" si="5"/>
        <v>Mature | Medium Spender | Lower</v>
      </c>
    </row>
    <row r="183" spans="1:15" x14ac:dyDescent="0.25">
      <c r="A183" s="1" t="s">
        <v>213</v>
      </c>
      <c r="B183" s="1">
        <v>30</v>
      </c>
      <c r="C183" s="1" t="str" cm="1">
        <f t="array" ref="C183">_xlfn.IFS(OR(B183=" ", B183="NA",NOT(ISNUMBER(B183))), "Unknown",B183&lt;18,"Underage",B183&lt;=24,"Young Adult",B183&lt;=34,"Early Career",B183&lt;=44,"Mid Career",B183&lt;=54,"Mature",B183&lt;=65,"Pre-Senior",B183&gt;65,"Senior")</f>
        <v>Early Career</v>
      </c>
      <c r="D183" s="1" t="s">
        <v>18</v>
      </c>
      <c r="F183" s="1" t="s">
        <v>25</v>
      </c>
      <c r="G183" s="1">
        <v>79</v>
      </c>
      <c r="H183" s="1" t="str" cm="1">
        <f t="array" ref="H183">_xlfn.IFS( OR(G183=" ",NOT(ISNUMBER(G183))),"Unknown",G183&lt;=33,"Low Spender",G183&lt;=66,"Medium Spender",TRUE, "High Spender")</f>
        <v>High Spender</v>
      </c>
      <c r="I183" s="1">
        <v>62</v>
      </c>
      <c r="J183" s="1">
        <v>2400</v>
      </c>
      <c r="K183" s="1">
        <v>238</v>
      </c>
      <c r="M183" s="1" t="s">
        <v>21</v>
      </c>
      <c r="N183" s="1" t="str">
        <f t="shared" si="4"/>
        <v>Higher</v>
      </c>
      <c r="O183" s="1" t="str">
        <f t="shared" si="5"/>
        <v>Early Career | High Spender | Higher</v>
      </c>
    </row>
    <row r="184" spans="1:15" x14ac:dyDescent="0.25">
      <c r="A184" s="1" t="s">
        <v>214</v>
      </c>
      <c r="B184" s="1">
        <v>49</v>
      </c>
      <c r="C184" s="1" t="str" cm="1">
        <f t="array" ref="C184">_xlfn.IFS(OR(B184=" ", B184="NA",NOT(ISNUMBER(B184))), "Unknown",B184&lt;18,"Underage",B184&lt;=24,"Young Adult",B184&lt;=34,"Early Career",B184&lt;=44,"Mid Career",B184&lt;=54,"Mature",B184&lt;=65,"Pre-Senior",B184&gt;65,"Senior")</f>
        <v>Mature</v>
      </c>
      <c r="E184" s="1" t="s">
        <v>49</v>
      </c>
      <c r="F184" s="1" t="s">
        <v>25</v>
      </c>
      <c r="G184" s="1">
        <v>28</v>
      </c>
      <c r="H184" s="1" t="str" cm="1">
        <f t="array" ref="H184">_xlfn.IFS( OR(G184=" ",NOT(ISNUMBER(G184))),"Unknown",G184&lt;=33,"Low Spender",G184&lt;=66,"Medium Spender",TRUE, "High Spender")</f>
        <v>Low Spender</v>
      </c>
      <c r="I184" s="1">
        <v>10</v>
      </c>
      <c r="J184" s="1">
        <v>10300</v>
      </c>
      <c r="K184" s="1">
        <v>56</v>
      </c>
      <c r="L184" s="1" t="s">
        <v>35</v>
      </c>
      <c r="M184" s="1" t="s">
        <v>41</v>
      </c>
      <c r="N184" s="1" t="str">
        <f t="shared" si="4"/>
        <v>Lower</v>
      </c>
      <c r="O184" s="1" t="str">
        <f t="shared" si="5"/>
        <v>Mature | Low Spender | Lower</v>
      </c>
    </row>
    <row r="185" spans="1:15" x14ac:dyDescent="0.25">
      <c r="A185" s="1" t="s">
        <v>215</v>
      </c>
      <c r="B185" s="1">
        <v>24</v>
      </c>
      <c r="C185" s="1" t="str" cm="1">
        <f t="array" ref="C185">_xlfn.IFS(OR(B185=" ", B185="NA",NOT(ISNUMBER(B185))), "Unknown",B185&lt;18,"Underage",B185&lt;=24,"Young Adult",B185&lt;=34,"Early Career",B185&lt;=44,"Mid Career",B185&lt;=54,"Mature",B185&lt;=65,"Pre-Senior",B185&gt;65,"Senior")</f>
        <v>Young Adult</v>
      </c>
      <c r="D185" s="1" t="s">
        <v>29</v>
      </c>
      <c r="F185" s="1">
        <v>1575000</v>
      </c>
      <c r="G185" s="1">
        <v>65</v>
      </c>
      <c r="H185" s="1" t="str" cm="1">
        <f t="array" ref="H185">_xlfn.IFS( OR(G185=" ",NOT(ISNUMBER(G185))),"Unknown",G185&lt;=33,"Low Spender",G185&lt;=66,"Medium Spender",TRUE, "High Spender")</f>
        <v>Medium Spender</v>
      </c>
      <c r="I185" s="1">
        <v>52</v>
      </c>
      <c r="J185" s="1">
        <v>8500</v>
      </c>
      <c r="K185" s="1">
        <v>171</v>
      </c>
      <c r="L185" s="1" t="s">
        <v>20</v>
      </c>
      <c r="N185" s="1" t="str">
        <f t="shared" si="4"/>
        <v>Higher</v>
      </c>
      <c r="O185" s="1" t="str">
        <f t="shared" si="5"/>
        <v>Young Adult | Medium Spender | Higher</v>
      </c>
    </row>
    <row r="186" spans="1:15" x14ac:dyDescent="0.25">
      <c r="A186" s="1" t="s">
        <v>216</v>
      </c>
      <c r="B186" s="1">
        <v>68</v>
      </c>
      <c r="C186" s="1" t="str" cm="1">
        <f t="array" ref="C186">_xlfn.IFS(OR(B186=" ", B186="NA",NOT(ISNUMBER(B186))), "Unknown",B186&lt;18,"Underage",B186&lt;=24,"Young Adult",B186&lt;=34,"Early Career",B186&lt;=44,"Mid Career",B186&lt;=54,"Mature",B186&lt;=65,"Pre-Senior",B186&gt;65,"Senior")</f>
        <v>Senior</v>
      </c>
      <c r="D186" s="1" t="s">
        <v>18</v>
      </c>
      <c r="E186" s="1" t="s">
        <v>23</v>
      </c>
      <c r="F186" s="1">
        <v>825000</v>
      </c>
      <c r="G186" s="1">
        <v>5</v>
      </c>
      <c r="H186" s="1" t="str" cm="1">
        <f t="array" ref="H186">_xlfn.IFS( OR(G186=" ",NOT(ISNUMBER(G186))),"Unknown",G186&lt;=33,"Low Spender",G186&lt;=66,"Medium Spender",TRUE, "High Spender")</f>
        <v>Low Spender</v>
      </c>
      <c r="I186" s="1">
        <v>73</v>
      </c>
      <c r="J186" s="1">
        <v>4100</v>
      </c>
      <c r="K186" s="1">
        <v>34</v>
      </c>
      <c r="L186" s="1" t="s">
        <v>37</v>
      </c>
      <c r="M186" s="1" t="s">
        <v>30</v>
      </c>
      <c r="N186" s="1" t="str">
        <f t="shared" si="4"/>
        <v>Higher</v>
      </c>
      <c r="O186" s="1" t="str">
        <f t="shared" si="5"/>
        <v>Senior | Low Spender | Higher</v>
      </c>
    </row>
    <row r="187" spans="1:15" x14ac:dyDescent="0.25">
      <c r="A187" s="1" t="s">
        <v>217</v>
      </c>
      <c r="B187" s="1">
        <v>39</v>
      </c>
      <c r="C187" s="1" t="str" cm="1">
        <f t="array" ref="C187">_xlfn.IFS(OR(B187=" ", B187="NA",NOT(ISNUMBER(B187))), "Unknown",B187&lt;18,"Underage",B187&lt;=24,"Young Adult",B187&lt;=34,"Early Career",B187&lt;=44,"Mid Career",B187&lt;=54,"Mature",B187&lt;=65,"Pre-Senior",B187&gt;65,"Senior")</f>
        <v>Mid Career</v>
      </c>
      <c r="D187" s="1" t="s">
        <v>18</v>
      </c>
      <c r="F187" s="1">
        <v>1775000</v>
      </c>
      <c r="G187" s="1">
        <v>22</v>
      </c>
      <c r="H187" s="1" t="str" cm="1">
        <f t="array" ref="H187">_xlfn.IFS( OR(G187=" ",NOT(ISNUMBER(G187))),"Unknown",G187&lt;=33,"Low Spender",G187&lt;=66,"Medium Spender",TRUE, "High Spender")</f>
        <v>Low Spender</v>
      </c>
      <c r="I187" s="1">
        <v>46</v>
      </c>
      <c r="J187" s="1">
        <v>10100</v>
      </c>
      <c r="K187" s="1">
        <v>315</v>
      </c>
      <c r="L187" s="1" t="s">
        <v>20</v>
      </c>
      <c r="M187" s="1" t="s">
        <v>32</v>
      </c>
      <c r="N187" s="1" t="str">
        <f t="shared" si="4"/>
        <v>Higher</v>
      </c>
      <c r="O187" s="1" t="str">
        <f t="shared" si="5"/>
        <v>Mid Career | Low Spender | Higher</v>
      </c>
    </row>
    <row r="188" spans="1:15" x14ac:dyDescent="0.25">
      <c r="A188" s="1" t="s">
        <v>218</v>
      </c>
      <c r="B188" s="1">
        <v>45</v>
      </c>
      <c r="C188" s="1" t="str" cm="1">
        <f t="array" ref="C188">_xlfn.IFS(OR(B188=" ", B188="NA",NOT(ISNUMBER(B188))), "Unknown",B188&lt;18,"Underage",B188&lt;=24,"Young Adult",B188&lt;=34,"Early Career",B188&lt;=44,"Mid Career",B188&lt;=54,"Mature",B188&lt;=65,"Pre-Senior",B188&gt;65,"Senior")</f>
        <v>Mature</v>
      </c>
      <c r="E188" s="1" t="s">
        <v>27</v>
      </c>
      <c r="F188" s="1">
        <v>375000</v>
      </c>
      <c r="G188" s="1">
        <v>100</v>
      </c>
      <c r="H188" s="1" t="str" cm="1">
        <f t="array" ref="H188">_xlfn.IFS( OR(G188=" ",NOT(ISNUMBER(G188))),"Unknown",G188&lt;=33,"Low Spender",G188&lt;=66,"Medium Spender",TRUE, "High Spender")</f>
        <v>High Spender</v>
      </c>
      <c r="I188" s="1">
        <v>55</v>
      </c>
      <c r="J188" s="1">
        <v>1500</v>
      </c>
      <c r="K188" s="1">
        <v>130</v>
      </c>
      <c r="L188" s="1" t="s">
        <v>35</v>
      </c>
      <c r="N188" s="1" t="str">
        <f t="shared" si="4"/>
        <v>Lower</v>
      </c>
      <c r="O188" s="1" t="str">
        <f t="shared" si="5"/>
        <v>Mature | High Spender | Lower</v>
      </c>
    </row>
    <row r="189" spans="1:15" x14ac:dyDescent="0.25">
      <c r="A189" s="1" t="s">
        <v>219</v>
      </c>
      <c r="B189" s="1">
        <v>19</v>
      </c>
      <c r="C189" s="1" t="str" cm="1">
        <f t="array" ref="C189">_xlfn.IFS(OR(B189=" ", B189="NA",NOT(ISNUMBER(B189))), "Unknown",B189&lt;18,"Underage",B189&lt;=24,"Young Adult",B189&lt;=34,"Early Career",B189&lt;=44,"Mid Career",B189&lt;=54,"Mature",B189&lt;=65,"Pre-Senior",B189&gt;65,"Senior")</f>
        <v>Young Adult</v>
      </c>
      <c r="D189" s="1" t="s">
        <v>18</v>
      </c>
      <c r="E189" s="1" t="s">
        <v>15</v>
      </c>
      <c r="F189" s="1" t="s">
        <v>25</v>
      </c>
      <c r="G189" s="1">
        <v>13</v>
      </c>
      <c r="H189" s="1" t="str" cm="1">
        <f t="array" ref="H189">_xlfn.IFS( OR(G189=" ",NOT(ISNUMBER(G189))),"Unknown",G189&lt;=33,"Low Spender",G189&lt;=66,"Medium Spender",TRUE, "High Spender")</f>
        <v>Low Spender</v>
      </c>
      <c r="I189" s="1">
        <v>46</v>
      </c>
      <c r="J189" s="1">
        <v>8000</v>
      </c>
      <c r="K189" s="1">
        <v>130</v>
      </c>
      <c r="L189" s="1" t="s">
        <v>20</v>
      </c>
      <c r="M189" s="1" t="s">
        <v>41</v>
      </c>
      <c r="N189" s="1" t="str">
        <f t="shared" si="4"/>
        <v>Higher</v>
      </c>
      <c r="O189" s="1" t="str">
        <f t="shared" si="5"/>
        <v>Young Adult | Low Spender | Higher</v>
      </c>
    </row>
    <row r="190" spans="1:15" x14ac:dyDescent="0.25">
      <c r="A190" s="1" t="s">
        <v>220</v>
      </c>
      <c r="B190" s="1">
        <v>59</v>
      </c>
      <c r="C190" s="1" t="str" cm="1">
        <f t="array" ref="C190">_xlfn.IFS(OR(B190=" ", B190="NA",NOT(ISNUMBER(B190))), "Unknown",B190&lt;18,"Underage",B190&lt;=24,"Young Adult",B190&lt;=34,"Early Career",B190&lt;=44,"Mid Career",B190&lt;=54,"Mature",B190&lt;=65,"Pre-Senior",B190&gt;65,"Senior")</f>
        <v>Pre-Senior</v>
      </c>
      <c r="D190" s="1" t="s">
        <v>12</v>
      </c>
      <c r="E190" s="1" t="s">
        <v>49</v>
      </c>
      <c r="F190" s="1">
        <v>1575000</v>
      </c>
      <c r="G190" s="1">
        <v>65</v>
      </c>
      <c r="H190" s="1" t="str" cm="1">
        <f t="array" ref="H190">_xlfn.IFS( OR(G190=" ",NOT(ISNUMBER(G190))),"Unknown",G190&lt;=33,"Low Spender",G190&lt;=66,"Medium Spender",TRUE, "High Spender")</f>
        <v>Medium Spender</v>
      </c>
      <c r="I190" s="1">
        <v>75</v>
      </c>
      <c r="J190" s="1">
        <v>11400</v>
      </c>
      <c r="K190" s="1">
        <v>151</v>
      </c>
      <c r="M190" s="1" t="s">
        <v>32</v>
      </c>
      <c r="N190" s="1" t="str">
        <f t="shared" si="4"/>
        <v>Lower</v>
      </c>
      <c r="O190" s="1" t="str">
        <f t="shared" si="5"/>
        <v>Pre-Senior | Medium Spender | Lower</v>
      </c>
    </row>
    <row r="191" spans="1:15" x14ac:dyDescent="0.25">
      <c r="A191" s="1" t="s">
        <v>221</v>
      </c>
      <c r="B191" s="1">
        <v>62</v>
      </c>
      <c r="C191" s="1" t="str" cm="1">
        <f t="array" ref="C191">_xlfn.IFS(OR(B191=" ", B191="NA",NOT(ISNUMBER(B191))), "Unknown",B191&lt;18,"Underage",B191&lt;=24,"Young Adult",B191&lt;=34,"Early Career",B191&lt;=44,"Mid Career",B191&lt;=54,"Mature",B191&lt;=65,"Pre-Senior",B191&gt;65,"Senior")</f>
        <v>Pre-Senior</v>
      </c>
      <c r="D191" s="1" t="s">
        <v>18</v>
      </c>
      <c r="E191" s="1" t="s">
        <v>23</v>
      </c>
      <c r="F191" s="1">
        <v>1950000</v>
      </c>
      <c r="G191" s="1">
        <v>16</v>
      </c>
      <c r="H191" s="1" t="str" cm="1">
        <f t="array" ref="H191">_xlfn.IFS( OR(G191=" ",NOT(ISNUMBER(G191))),"Unknown",G191&lt;=33,"Low Spender",G191&lt;=66,"Medium Spender",TRUE, "High Spender")</f>
        <v>Low Spender</v>
      </c>
      <c r="I191" s="1">
        <v>60</v>
      </c>
      <c r="J191" s="1">
        <v>9700</v>
      </c>
      <c r="K191" s="1">
        <v>143</v>
      </c>
      <c r="L191" s="1" t="s">
        <v>16</v>
      </c>
      <c r="M191" s="1" t="s">
        <v>30</v>
      </c>
      <c r="N191" s="1" t="str">
        <f t="shared" si="4"/>
        <v>Higher</v>
      </c>
      <c r="O191" s="1" t="str">
        <f t="shared" si="5"/>
        <v>Pre-Senior | Low Spender | Higher</v>
      </c>
    </row>
    <row r="192" spans="1:15" x14ac:dyDescent="0.25">
      <c r="A192" s="1" t="s">
        <v>222</v>
      </c>
      <c r="C192" s="1" t="str" cm="1">
        <f t="array" ref="C192">_xlfn.IFS(OR(B192=" ", B192="NA",NOT(ISNUMBER(B192))), "Unknown",B192&lt;18,"Underage",B192&lt;=24,"Young Adult",B192&lt;=34,"Early Career",B192&lt;=44,"Mid Career",B192&lt;=54,"Mature",B192&lt;=65,"Pre-Senior",B192&gt;65,"Senior")</f>
        <v>Unknown</v>
      </c>
      <c r="D192" s="1" t="s">
        <v>18</v>
      </c>
      <c r="E192" s="1" t="s">
        <v>49</v>
      </c>
      <c r="F192" s="1">
        <v>475000</v>
      </c>
      <c r="G192" s="1">
        <v>86</v>
      </c>
      <c r="H192" s="1" t="str" cm="1">
        <f t="array" ref="H192">_xlfn.IFS( OR(G192=" ",NOT(ISNUMBER(G192))),"Unknown",G192&lt;=33,"Low Spender",G192&lt;=66,"Medium Spender",TRUE, "High Spender")</f>
        <v>High Spender</v>
      </c>
      <c r="I192" s="1">
        <v>26</v>
      </c>
      <c r="J192" s="1">
        <v>11100</v>
      </c>
      <c r="K192" s="1">
        <v>118</v>
      </c>
      <c r="L192" s="1" t="s">
        <v>37</v>
      </c>
      <c r="N192" s="1" t="str">
        <f t="shared" si="4"/>
        <v>Higher</v>
      </c>
      <c r="O192" s="1" t="str">
        <f t="shared" si="5"/>
        <v>Unknown | High Spender | Higher</v>
      </c>
    </row>
    <row r="193" spans="1:15" x14ac:dyDescent="0.25">
      <c r="A193" s="1" t="s">
        <v>223</v>
      </c>
      <c r="B193" s="1">
        <v>23</v>
      </c>
      <c r="C193" s="1" t="str" cm="1">
        <f t="array" ref="C193">_xlfn.IFS(OR(B193=" ", B193="NA",NOT(ISNUMBER(B193))), "Unknown",B193&lt;18,"Underage",B193&lt;=24,"Young Adult",B193&lt;=34,"Early Career",B193&lt;=44,"Mid Career",B193&lt;=54,"Mature",B193&lt;=65,"Pre-Senior",B193&gt;65,"Senior")</f>
        <v>Young Adult</v>
      </c>
      <c r="E193" s="1" t="s">
        <v>23</v>
      </c>
      <c r="F193" s="1">
        <v>500000</v>
      </c>
      <c r="G193" s="1">
        <v>64</v>
      </c>
      <c r="H193" s="1" t="str" cm="1">
        <f t="array" ref="H193">_xlfn.IFS( OR(G193=" ",NOT(ISNUMBER(G193))),"Unknown",G193&lt;=33,"Low Spender",G193&lt;=66,"Medium Spender",TRUE, "High Spender")</f>
        <v>Medium Spender</v>
      </c>
      <c r="I193" s="1">
        <v>27</v>
      </c>
      <c r="J193" s="1">
        <v>6800</v>
      </c>
      <c r="K193" s="1">
        <v>204</v>
      </c>
      <c r="N193" s="1" t="str">
        <f t="shared" si="4"/>
        <v>Lower</v>
      </c>
      <c r="O193" s="1" t="str">
        <f t="shared" si="5"/>
        <v>Young Adult | Medium Spender | Lower</v>
      </c>
    </row>
    <row r="194" spans="1:15" x14ac:dyDescent="0.25">
      <c r="A194" s="1" t="s">
        <v>224</v>
      </c>
      <c r="B194" s="1">
        <v>45</v>
      </c>
      <c r="C194" s="1" t="str" cm="1">
        <f t="array" ref="C194">_xlfn.IFS(OR(B194=" ", B194="NA",NOT(ISNUMBER(B194))), "Unknown",B194&lt;18,"Underage",B194&lt;=24,"Young Adult",B194&lt;=34,"Early Career",B194&lt;=44,"Mid Career",B194&lt;=54,"Mature",B194&lt;=65,"Pre-Senior",B194&gt;65,"Senior")</f>
        <v>Mature</v>
      </c>
      <c r="D194" s="1" t="s">
        <v>29</v>
      </c>
      <c r="F194" s="1">
        <v>950000</v>
      </c>
      <c r="G194" s="1">
        <v>32</v>
      </c>
      <c r="H194" s="1" t="str" cm="1">
        <f t="array" ref="H194">_xlfn.IFS( OR(G194=" ",NOT(ISNUMBER(G194))),"Unknown",G194&lt;=33,"Low Spender",G194&lt;=66,"Medium Spender",TRUE, "High Spender")</f>
        <v>Low Spender</v>
      </c>
      <c r="I194" s="1">
        <v>38</v>
      </c>
      <c r="J194" s="1">
        <v>11200</v>
      </c>
      <c r="K194" s="1">
        <v>235</v>
      </c>
      <c r="M194" s="1" t="s">
        <v>21</v>
      </c>
      <c r="N194" s="1" t="str">
        <f t="shared" ref="N194:N257" si="6">IF(OR(UPPER(TRIM(D194))="Male",UPPER(TRIM(D194))="Female"),"Higher","Lower")</f>
        <v>Higher</v>
      </c>
      <c r="O194" s="1" t="str">
        <f t="shared" ref="O194:O257" si="7">_xlfn.TEXTJOIN(" | ", TRUE, C194, H194, N194)</f>
        <v>Mature | Low Spender | Higher</v>
      </c>
    </row>
    <row r="195" spans="1:15" x14ac:dyDescent="0.25">
      <c r="A195" s="1" t="s">
        <v>225</v>
      </c>
      <c r="B195" s="1">
        <v>45</v>
      </c>
      <c r="C195" s="1" t="str" cm="1">
        <f t="array" ref="C195">_xlfn.IFS(OR(B195=" ", B195="NA",NOT(ISNUMBER(B195))), "Unknown",B195&lt;18,"Underage",B195&lt;=24,"Young Adult",B195&lt;=34,"Early Career",B195&lt;=44,"Mid Career",B195&lt;=54,"Mature",B195&lt;=65,"Pre-Senior",B195&gt;65,"Senior")</f>
        <v>Mature</v>
      </c>
      <c r="D195" s="1" t="s">
        <v>12</v>
      </c>
      <c r="F195" s="1">
        <v>550000</v>
      </c>
      <c r="G195" s="1">
        <v>80</v>
      </c>
      <c r="H195" s="1" t="str" cm="1">
        <f t="array" ref="H195">_xlfn.IFS( OR(G195=" ",NOT(ISNUMBER(G195))),"Unknown",G195&lt;=33,"Low Spender",G195&lt;=66,"Medium Spender",TRUE, "High Spender")</f>
        <v>High Spender</v>
      </c>
      <c r="I195" s="1">
        <v>22</v>
      </c>
      <c r="J195" s="1">
        <v>5400</v>
      </c>
      <c r="K195" s="1">
        <v>17</v>
      </c>
      <c r="L195" s="1" t="s">
        <v>16</v>
      </c>
      <c r="M195" s="1" t="s">
        <v>30</v>
      </c>
      <c r="N195" s="1" t="str">
        <f t="shared" si="6"/>
        <v>Lower</v>
      </c>
      <c r="O195" s="1" t="str">
        <f t="shared" si="7"/>
        <v>Mature | High Spender | Lower</v>
      </c>
    </row>
    <row r="196" spans="1:15" x14ac:dyDescent="0.25">
      <c r="A196" s="1" t="s">
        <v>226</v>
      </c>
      <c r="B196" s="1">
        <v>61</v>
      </c>
      <c r="C196" s="1" t="str" cm="1">
        <f t="array" ref="C196">_xlfn.IFS(OR(B196=" ", B196="NA",NOT(ISNUMBER(B196))), "Unknown",B196&lt;18,"Underage",B196&lt;=24,"Young Adult",B196&lt;=34,"Early Career",B196&lt;=44,"Mid Career",B196&lt;=54,"Mature",B196&lt;=65,"Pre-Senior",B196&gt;65,"Senior")</f>
        <v>Pre-Senior</v>
      </c>
      <c r="D196" s="1" t="s">
        <v>29</v>
      </c>
      <c r="E196" s="1" t="s">
        <v>58</v>
      </c>
      <c r="F196" s="1">
        <v>725000</v>
      </c>
      <c r="G196" s="1">
        <v>51</v>
      </c>
      <c r="H196" s="1" t="str" cm="1">
        <f t="array" ref="H196">_xlfn.IFS( OR(G196=" ",NOT(ISNUMBER(G196))),"Unknown",G196&lt;=33,"Low Spender",G196&lt;=66,"Medium Spender",TRUE, "High Spender")</f>
        <v>Medium Spender</v>
      </c>
      <c r="I196" s="1">
        <v>26</v>
      </c>
      <c r="J196" s="1">
        <v>10500</v>
      </c>
      <c r="K196" s="1">
        <v>82</v>
      </c>
      <c r="L196" s="1" t="s">
        <v>37</v>
      </c>
      <c r="M196" s="1" t="s">
        <v>41</v>
      </c>
      <c r="N196" s="1" t="str">
        <f t="shared" si="6"/>
        <v>Higher</v>
      </c>
      <c r="O196" s="1" t="str">
        <f t="shared" si="7"/>
        <v>Pre-Senior | Medium Spender | Higher</v>
      </c>
    </row>
    <row r="197" spans="1:15" x14ac:dyDescent="0.25">
      <c r="A197" s="1" t="s">
        <v>227</v>
      </c>
      <c r="B197" s="1">
        <v>61</v>
      </c>
      <c r="C197" s="1" t="str" cm="1">
        <f t="array" ref="C197">_xlfn.IFS(OR(B197=" ", B197="NA",NOT(ISNUMBER(B197))), "Unknown",B197&lt;18,"Underage",B197&lt;=24,"Young Adult",B197&lt;=34,"Early Career",B197&lt;=44,"Mid Career",B197&lt;=54,"Mature",B197&lt;=65,"Pre-Senior",B197&gt;65,"Senior")</f>
        <v>Pre-Senior</v>
      </c>
      <c r="D197" s="1" t="s">
        <v>18</v>
      </c>
      <c r="E197" s="1" t="s">
        <v>34</v>
      </c>
      <c r="F197" s="1">
        <v>875000</v>
      </c>
      <c r="G197" s="1">
        <v>79</v>
      </c>
      <c r="H197" s="1" t="str" cm="1">
        <f t="array" ref="H197">_xlfn.IFS( OR(G197=" ",NOT(ISNUMBER(G197))),"Unknown",G197&lt;=33,"Low Spender",G197&lt;=66,"Medium Spender",TRUE, "High Spender")</f>
        <v>High Spender</v>
      </c>
      <c r="I197" s="1">
        <v>69</v>
      </c>
      <c r="J197" s="1">
        <v>10300</v>
      </c>
      <c r="K197" s="1">
        <v>14</v>
      </c>
      <c r="L197" s="1" t="s">
        <v>35</v>
      </c>
      <c r="N197" s="1" t="str">
        <f t="shared" si="6"/>
        <v>Higher</v>
      </c>
      <c r="O197" s="1" t="str">
        <f t="shared" si="7"/>
        <v>Pre-Senior | High Spender | Higher</v>
      </c>
    </row>
    <row r="198" spans="1:15" x14ac:dyDescent="0.25">
      <c r="A198" s="1" t="s">
        <v>228</v>
      </c>
      <c r="B198" s="1">
        <v>37</v>
      </c>
      <c r="C198" s="1" t="str" cm="1">
        <f t="array" ref="C198">_xlfn.IFS(OR(B198=" ", B198="NA",NOT(ISNUMBER(B198))), "Unknown",B198&lt;18,"Underage",B198&lt;=24,"Young Adult",B198&lt;=34,"Early Career",B198&lt;=44,"Mid Career",B198&lt;=54,"Mature",B198&lt;=65,"Pre-Senior",B198&gt;65,"Senior")</f>
        <v>Mid Career</v>
      </c>
      <c r="D198" s="1" t="s">
        <v>18</v>
      </c>
      <c r="E198" s="1" t="s">
        <v>49</v>
      </c>
      <c r="F198" s="1">
        <v>1675000</v>
      </c>
      <c r="G198" s="1">
        <v>58</v>
      </c>
      <c r="H198" s="1" t="str" cm="1">
        <f t="array" ref="H198">_xlfn.IFS( OR(G198=" ",NOT(ISNUMBER(G198))),"Unknown",G198&lt;=33,"Low Spender",G198&lt;=66,"Medium Spender",TRUE, "High Spender")</f>
        <v>Medium Spender</v>
      </c>
      <c r="I198" s="1">
        <v>35</v>
      </c>
      <c r="J198" s="1">
        <v>1600</v>
      </c>
      <c r="K198" s="1">
        <v>81</v>
      </c>
      <c r="L198" s="1" t="s">
        <v>20</v>
      </c>
      <c r="N198" s="1" t="str">
        <f t="shared" si="6"/>
        <v>Higher</v>
      </c>
      <c r="O198" s="1" t="str">
        <f t="shared" si="7"/>
        <v>Mid Career | Medium Spender | Higher</v>
      </c>
    </row>
    <row r="199" spans="1:15" x14ac:dyDescent="0.25">
      <c r="A199" s="1" t="s">
        <v>229</v>
      </c>
      <c r="B199" s="1">
        <v>47</v>
      </c>
      <c r="C199" s="1" t="str" cm="1">
        <f t="array" ref="C199">_xlfn.IFS(OR(B199=" ", B199="NA",NOT(ISNUMBER(B199))), "Unknown",B199&lt;18,"Underage",B199&lt;=24,"Young Adult",B199&lt;=34,"Early Career",B199&lt;=44,"Mid Career",B199&lt;=54,"Mature",B199&lt;=65,"Pre-Senior",B199&gt;65,"Senior")</f>
        <v>Mature</v>
      </c>
      <c r="D199" s="1" t="s">
        <v>29</v>
      </c>
      <c r="E199" s="1" t="s">
        <v>58</v>
      </c>
      <c r="F199" s="1">
        <v>450000</v>
      </c>
      <c r="G199" s="1">
        <v>46</v>
      </c>
      <c r="H199" s="1" t="str" cm="1">
        <f t="array" ref="H199">_xlfn.IFS( OR(G199=" ",NOT(ISNUMBER(G199))),"Unknown",G199&lt;=33,"Low Spender",G199&lt;=66,"Medium Spender",TRUE, "High Spender")</f>
        <v>Medium Spender</v>
      </c>
      <c r="I199" s="1">
        <v>66</v>
      </c>
      <c r="J199" s="1">
        <v>7500</v>
      </c>
      <c r="K199" s="1">
        <v>207</v>
      </c>
      <c r="L199" s="1" t="s">
        <v>37</v>
      </c>
      <c r="M199" s="1" t="s">
        <v>32</v>
      </c>
      <c r="N199" s="1" t="str">
        <f t="shared" si="6"/>
        <v>Higher</v>
      </c>
      <c r="O199" s="1" t="str">
        <f t="shared" si="7"/>
        <v>Mature | Medium Spender | Higher</v>
      </c>
    </row>
    <row r="200" spans="1:15" x14ac:dyDescent="0.25">
      <c r="A200" s="1" t="s">
        <v>230</v>
      </c>
      <c r="B200" s="1">
        <v>28</v>
      </c>
      <c r="C200" s="1" t="str" cm="1">
        <f t="array" ref="C200">_xlfn.IFS(OR(B200=" ", B200="NA",NOT(ISNUMBER(B200))), "Unknown",B200&lt;18,"Underage",B200&lt;=24,"Young Adult",B200&lt;=34,"Early Career",B200&lt;=44,"Mid Career",B200&lt;=54,"Mature",B200&lt;=65,"Pre-Senior",B200&gt;65,"Senior")</f>
        <v>Early Career</v>
      </c>
      <c r="D200" s="1" t="s">
        <v>29</v>
      </c>
      <c r="E200" s="1" t="s">
        <v>27</v>
      </c>
      <c r="F200" s="1">
        <v>1675000</v>
      </c>
      <c r="G200" s="1">
        <v>52</v>
      </c>
      <c r="H200" s="1" t="str" cm="1">
        <f t="array" ref="H200">_xlfn.IFS( OR(G200=" ",NOT(ISNUMBER(G200))),"Unknown",G200&lt;=33,"Low Spender",G200&lt;=66,"Medium Spender",TRUE, "High Spender")</f>
        <v>Medium Spender</v>
      </c>
      <c r="I200" s="1">
        <v>73</v>
      </c>
      <c r="J200" s="1">
        <v>7600</v>
      </c>
      <c r="K200" s="1">
        <v>204</v>
      </c>
      <c r="N200" s="1" t="str">
        <f t="shared" si="6"/>
        <v>Higher</v>
      </c>
      <c r="O200" s="1" t="str">
        <f t="shared" si="7"/>
        <v>Early Career | Medium Spender | Higher</v>
      </c>
    </row>
    <row r="201" spans="1:15" x14ac:dyDescent="0.25">
      <c r="A201" s="1" t="s">
        <v>231</v>
      </c>
      <c r="B201" s="1" t="s">
        <v>73</v>
      </c>
      <c r="C201" s="1" t="str" cm="1">
        <f t="array" ref="C201">_xlfn.IFS(OR(B201=" ", B201="NA",NOT(ISNUMBER(B201))), "Unknown",B201&lt;18,"Underage",B201&lt;=24,"Young Adult",B201&lt;=34,"Early Career",B201&lt;=44,"Mid Career",B201&lt;=54,"Mature",B201&lt;=65,"Pre-Senior",B201&gt;65,"Senior")</f>
        <v>Unknown</v>
      </c>
      <c r="E201" s="1" t="s">
        <v>58</v>
      </c>
      <c r="F201" s="1">
        <v>1300000</v>
      </c>
      <c r="G201" s="1">
        <v>63</v>
      </c>
      <c r="H201" s="1" t="str" cm="1">
        <f t="array" ref="H201">_xlfn.IFS( OR(G201=" ",NOT(ISNUMBER(G201))),"Unknown",G201&lt;=33,"Low Spender",G201&lt;=66,"Medium Spender",TRUE, "High Spender")</f>
        <v>Medium Spender</v>
      </c>
      <c r="I201" s="1">
        <v>51</v>
      </c>
      <c r="J201" s="1">
        <v>6500</v>
      </c>
      <c r="K201" s="1">
        <v>272</v>
      </c>
      <c r="L201" s="1" t="s">
        <v>35</v>
      </c>
      <c r="N201" s="1" t="str">
        <f t="shared" si="6"/>
        <v>Lower</v>
      </c>
      <c r="O201" s="1" t="str">
        <f t="shared" si="7"/>
        <v>Unknown | Medium Spender | Lower</v>
      </c>
    </row>
    <row r="202" spans="1:15" x14ac:dyDescent="0.25">
      <c r="A202" s="1" t="s">
        <v>232</v>
      </c>
      <c r="B202" s="1">
        <v>45</v>
      </c>
      <c r="C202" s="1" t="str" cm="1">
        <f t="array" ref="C202">_xlfn.IFS(OR(B202=" ", B202="NA",NOT(ISNUMBER(B202))), "Unknown",B202&lt;18,"Underage",B202&lt;=24,"Young Adult",B202&lt;=34,"Early Career",B202&lt;=44,"Mid Career",B202&lt;=54,"Mature",B202&lt;=65,"Pre-Senior",B202&gt;65,"Senior")</f>
        <v>Mature</v>
      </c>
      <c r="D202" s="1" t="s">
        <v>18</v>
      </c>
      <c r="E202" s="1" t="s">
        <v>19</v>
      </c>
      <c r="F202" s="1">
        <v>525000</v>
      </c>
      <c r="G202" s="1">
        <v>76</v>
      </c>
      <c r="H202" s="1" t="str" cm="1">
        <f t="array" ref="H202">_xlfn.IFS( OR(G202=" ",NOT(ISNUMBER(G202))),"Unknown",G202&lt;=33,"Low Spender",G202&lt;=66,"Medium Spender",TRUE, "High Spender")</f>
        <v>High Spender</v>
      </c>
      <c r="I202" s="1">
        <v>18</v>
      </c>
      <c r="J202" s="1">
        <v>7300</v>
      </c>
      <c r="K202" s="1">
        <v>32</v>
      </c>
      <c r="L202" s="1" t="s">
        <v>16</v>
      </c>
      <c r="M202" s="1" t="s">
        <v>41</v>
      </c>
      <c r="N202" s="1" t="str">
        <f t="shared" si="6"/>
        <v>Higher</v>
      </c>
      <c r="O202" s="1" t="str">
        <f t="shared" si="7"/>
        <v>Mature | High Spender | Higher</v>
      </c>
    </row>
    <row r="203" spans="1:15" x14ac:dyDescent="0.25">
      <c r="A203" s="1" t="s">
        <v>233</v>
      </c>
      <c r="B203" s="1">
        <v>42</v>
      </c>
      <c r="C203" s="1" t="str" cm="1">
        <f t="array" ref="C203">_xlfn.IFS(OR(B203=" ", B203="NA",NOT(ISNUMBER(B203))), "Unknown",B203&lt;18,"Underage",B203&lt;=24,"Young Adult",B203&lt;=34,"Early Career",B203&lt;=44,"Mid Career",B203&lt;=54,"Mature",B203&lt;=65,"Pre-Senior",B203&gt;65,"Senior")</f>
        <v>Mid Career</v>
      </c>
      <c r="D203" s="1" t="s">
        <v>18</v>
      </c>
      <c r="F203" s="1">
        <v>1775000</v>
      </c>
      <c r="G203" s="1">
        <v>60</v>
      </c>
      <c r="H203" s="1" t="str" cm="1">
        <f t="array" ref="H203">_xlfn.IFS( OR(G203=" ",NOT(ISNUMBER(G203))),"Unknown",G203&lt;=33,"Low Spender",G203&lt;=66,"Medium Spender",TRUE, "High Spender")</f>
        <v>Medium Spender</v>
      </c>
      <c r="I203" s="1">
        <v>43</v>
      </c>
      <c r="J203" s="1">
        <v>3000</v>
      </c>
      <c r="K203" s="1">
        <v>23</v>
      </c>
      <c r="L203" s="1" t="s">
        <v>37</v>
      </c>
      <c r="M203" s="1" t="s">
        <v>21</v>
      </c>
      <c r="N203" s="1" t="str">
        <f t="shared" si="6"/>
        <v>Higher</v>
      </c>
      <c r="O203" s="1" t="str">
        <f t="shared" si="7"/>
        <v>Mid Career | Medium Spender | Higher</v>
      </c>
    </row>
    <row r="204" spans="1:15" x14ac:dyDescent="0.25">
      <c r="A204" s="1" t="s">
        <v>234</v>
      </c>
      <c r="B204" s="1">
        <v>56</v>
      </c>
      <c r="C204" s="1" t="str" cm="1">
        <f t="array" ref="C204">_xlfn.IFS(OR(B204=" ", B204="NA",NOT(ISNUMBER(B204))), "Unknown",B204&lt;18,"Underage",B204&lt;=24,"Young Adult",B204&lt;=34,"Early Career",B204&lt;=44,"Mid Career",B204&lt;=54,"Mature",B204&lt;=65,"Pre-Senior",B204&gt;65,"Senior")</f>
        <v>Pre-Senior</v>
      </c>
      <c r="D204" s="1" t="s">
        <v>29</v>
      </c>
      <c r="E204" s="1" t="s">
        <v>19</v>
      </c>
      <c r="F204" s="1">
        <v>1200000</v>
      </c>
      <c r="G204" s="1">
        <v>65</v>
      </c>
      <c r="H204" s="1" t="str" cm="1">
        <f t="array" ref="H204">_xlfn.IFS( OR(G204=" ",NOT(ISNUMBER(G204))),"Unknown",G204&lt;=33,"Low Spender",G204&lt;=66,"Medium Spender",TRUE, "High Spender")</f>
        <v>Medium Spender</v>
      </c>
      <c r="I204" s="1">
        <v>12</v>
      </c>
      <c r="J204" s="1">
        <v>11200</v>
      </c>
      <c r="K204" s="1">
        <v>102</v>
      </c>
      <c r="L204" s="1" t="s">
        <v>35</v>
      </c>
      <c r="N204" s="1" t="str">
        <f t="shared" si="6"/>
        <v>Higher</v>
      </c>
      <c r="O204" s="1" t="str">
        <f t="shared" si="7"/>
        <v>Pre-Senior | Medium Spender | Higher</v>
      </c>
    </row>
    <row r="205" spans="1:15" x14ac:dyDescent="0.25">
      <c r="A205" s="1" t="s">
        <v>235</v>
      </c>
      <c r="B205" s="1">
        <v>50</v>
      </c>
      <c r="C205" s="1" t="str" cm="1">
        <f t="array" ref="C205">_xlfn.IFS(OR(B205=" ", B205="NA",NOT(ISNUMBER(B205))), "Unknown",B205&lt;18,"Underage",B205&lt;=24,"Young Adult",B205&lt;=34,"Early Career",B205&lt;=44,"Mid Career",B205&lt;=54,"Mature",B205&lt;=65,"Pre-Senior",B205&gt;65,"Senior")</f>
        <v>Mature</v>
      </c>
      <c r="D205" s="1" t="s">
        <v>29</v>
      </c>
      <c r="E205" s="1" t="s">
        <v>49</v>
      </c>
      <c r="F205" s="1">
        <v>325000</v>
      </c>
      <c r="G205" s="1">
        <v>81</v>
      </c>
      <c r="H205" s="1" t="str" cm="1">
        <f t="array" ref="H205">_xlfn.IFS( OR(G205=" ",NOT(ISNUMBER(G205))),"Unknown",G205&lt;=33,"Low Spender",G205&lt;=66,"Medium Spender",TRUE, "High Spender")</f>
        <v>High Spender</v>
      </c>
      <c r="I205" s="1">
        <v>3</v>
      </c>
      <c r="J205" s="1">
        <v>9100</v>
      </c>
      <c r="K205" s="1">
        <v>162</v>
      </c>
      <c r="L205" s="1" t="s">
        <v>16</v>
      </c>
      <c r="N205" s="1" t="str">
        <f t="shared" si="6"/>
        <v>Higher</v>
      </c>
      <c r="O205" s="1" t="str">
        <f t="shared" si="7"/>
        <v>Mature | High Spender | Higher</v>
      </c>
    </row>
    <row r="206" spans="1:15" x14ac:dyDescent="0.25">
      <c r="A206" s="1" t="s">
        <v>236</v>
      </c>
      <c r="B206" s="1">
        <v>18</v>
      </c>
      <c r="C206" s="1" t="str" cm="1">
        <f t="array" ref="C206">_xlfn.IFS(OR(B206=" ", B206="NA",NOT(ISNUMBER(B206))), "Unknown",B206&lt;18,"Underage",B206&lt;=24,"Young Adult",B206&lt;=34,"Early Career",B206&lt;=44,"Mid Career",B206&lt;=54,"Mature",B206&lt;=65,"Pre-Senior",B206&gt;65,"Senior")</f>
        <v>Young Adult</v>
      </c>
      <c r="E206" s="1" t="s">
        <v>15</v>
      </c>
      <c r="F206" s="1">
        <v>200000</v>
      </c>
      <c r="G206" s="1">
        <v>55</v>
      </c>
      <c r="H206" s="1" t="str" cm="1">
        <f t="array" ref="H206">_xlfn.IFS( OR(G206=" ",NOT(ISNUMBER(G206))),"Unknown",G206&lt;=33,"Low Spender",G206&lt;=66,"Medium Spender",TRUE, "High Spender")</f>
        <v>Medium Spender</v>
      </c>
      <c r="I206" s="1">
        <v>7</v>
      </c>
      <c r="J206" s="1">
        <v>4800</v>
      </c>
      <c r="K206" s="1">
        <v>98</v>
      </c>
      <c r="M206" s="1" t="s">
        <v>21</v>
      </c>
      <c r="N206" s="1" t="str">
        <f t="shared" si="6"/>
        <v>Lower</v>
      </c>
      <c r="O206" s="1" t="str">
        <f t="shared" si="7"/>
        <v>Young Adult | Medium Spender | Lower</v>
      </c>
    </row>
    <row r="207" spans="1:15" x14ac:dyDescent="0.25">
      <c r="A207" s="1" t="s">
        <v>237</v>
      </c>
      <c r="B207" s="1">
        <v>44</v>
      </c>
      <c r="C207" s="1" t="str" cm="1">
        <f t="array" ref="C207">_xlfn.IFS(OR(B207=" ", B207="NA",NOT(ISNUMBER(B207))), "Unknown",B207&lt;18,"Underage",B207&lt;=24,"Young Adult",B207&lt;=34,"Early Career",B207&lt;=44,"Mid Career",B207&lt;=54,"Mature",B207&lt;=65,"Pre-Senior",B207&gt;65,"Senior")</f>
        <v>Mid Career</v>
      </c>
      <c r="E207" s="1" t="s">
        <v>15</v>
      </c>
      <c r="F207" s="1">
        <v>425000</v>
      </c>
      <c r="G207" s="1">
        <v>57</v>
      </c>
      <c r="H207" s="1" t="str" cm="1">
        <f t="array" ref="H207">_xlfn.IFS( OR(G207=" ",NOT(ISNUMBER(G207))),"Unknown",G207&lt;=33,"Low Spender",G207&lt;=66,"Medium Spender",TRUE, "High Spender")</f>
        <v>Medium Spender</v>
      </c>
      <c r="I207" s="1">
        <v>6</v>
      </c>
      <c r="J207" s="1">
        <v>3000</v>
      </c>
      <c r="K207" s="1">
        <v>144</v>
      </c>
      <c r="L207" s="1" t="s">
        <v>20</v>
      </c>
      <c r="M207" s="1" t="s">
        <v>21</v>
      </c>
      <c r="N207" s="1" t="str">
        <f t="shared" si="6"/>
        <v>Lower</v>
      </c>
      <c r="O207" s="1" t="str">
        <f t="shared" si="7"/>
        <v>Mid Career | Medium Spender | Lower</v>
      </c>
    </row>
    <row r="208" spans="1:15" x14ac:dyDescent="0.25">
      <c r="A208" s="1" t="s">
        <v>238</v>
      </c>
      <c r="B208" s="1">
        <v>69</v>
      </c>
      <c r="C208" s="1" t="str" cm="1">
        <f t="array" ref="C208">_xlfn.IFS(OR(B208=" ", B208="NA",NOT(ISNUMBER(B208))), "Unknown",B208&lt;18,"Underage",B208&lt;=24,"Young Adult",B208&lt;=34,"Early Career",B208&lt;=44,"Mid Career",B208&lt;=54,"Mature",B208&lt;=65,"Pre-Senior",B208&gt;65,"Senior")</f>
        <v>Senior</v>
      </c>
      <c r="D208" s="1" t="s">
        <v>29</v>
      </c>
      <c r="E208" s="1" t="s">
        <v>27</v>
      </c>
      <c r="F208" s="1">
        <v>525000</v>
      </c>
      <c r="G208" s="1">
        <v>92</v>
      </c>
      <c r="H208" s="1" t="str" cm="1">
        <f t="array" ref="H208">_xlfn.IFS( OR(G208=" ",NOT(ISNUMBER(G208))),"Unknown",G208&lt;=33,"Low Spender",G208&lt;=66,"Medium Spender",TRUE, "High Spender")</f>
        <v>High Spender</v>
      </c>
      <c r="I208" s="1">
        <v>45</v>
      </c>
      <c r="J208" s="1">
        <v>400</v>
      </c>
      <c r="K208" s="1">
        <v>104</v>
      </c>
      <c r="L208" s="1" t="s">
        <v>35</v>
      </c>
      <c r="M208" s="1" t="s">
        <v>32</v>
      </c>
      <c r="N208" s="1" t="str">
        <f t="shared" si="6"/>
        <v>Higher</v>
      </c>
      <c r="O208" s="1" t="str">
        <f t="shared" si="7"/>
        <v>Senior | High Spender | Higher</v>
      </c>
    </row>
    <row r="209" spans="1:15" x14ac:dyDescent="0.25">
      <c r="A209" s="1" t="s">
        <v>239</v>
      </c>
      <c r="B209" s="1">
        <v>30</v>
      </c>
      <c r="C209" s="1" t="str" cm="1">
        <f t="array" ref="C209">_xlfn.IFS(OR(B209=" ", B209="NA",NOT(ISNUMBER(B209))), "Unknown",B209&lt;18,"Underage",B209&lt;=24,"Young Adult",B209&lt;=34,"Early Career",B209&lt;=44,"Mid Career",B209&lt;=54,"Mature",B209&lt;=65,"Pre-Senior",B209&gt;65,"Senior")</f>
        <v>Early Career</v>
      </c>
      <c r="D209" s="1" t="s">
        <v>12</v>
      </c>
      <c r="E209" s="1" t="s">
        <v>58</v>
      </c>
      <c r="F209" s="1">
        <v>1600000</v>
      </c>
      <c r="G209" s="1">
        <v>71</v>
      </c>
      <c r="H209" s="1" t="str" cm="1">
        <f t="array" ref="H209">_xlfn.IFS( OR(G209=" ",NOT(ISNUMBER(G209))),"Unknown",G209&lt;=33,"Low Spender",G209&lt;=66,"Medium Spender",TRUE, "High Spender")</f>
        <v>High Spender</v>
      </c>
      <c r="I209" s="1">
        <v>39</v>
      </c>
      <c r="J209" s="1">
        <v>1900</v>
      </c>
      <c r="K209" s="1">
        <v>324</v>
      </c>
      <c r="N209" s="1" t="str">
        <f t="shared" si="6"/>
        <v>Lower</v>
      </c>
      <c r="O209" s="1" t="str">
        <f t="shared" si="7"/>
        <v>Early Career | High Spender | Lower</v>
      </c>
    </row>
    <row r="210" spans="1:15" x14ac:dyDescent="0.25">
      <c r="A210" s="1" t="s">
        <v>240</v>
      </c>
      <c r="B210" s="1">
        <v>58</v>
      </c>
      <c r="C210" s="1" t="str" cm="1">
        <f t="array" ref="C210">_xlfn.IFS(OR(B210=" ", B210="NA",NOT(ISNUMBER(B210))), "Unknown",B210&lt;18,"Underage",B210&lt;=24,"Young Adult",B210&lt;=34,"Early Career",B210&lt;=44,"Mid Career",B210&lt;=54,"Mature",B210&lt;=65,"Pre-Senior",B210&gt;65,"Senior")</f>
        <v>Pre-Senior</v>
      </c>
      <c r="D210" s="1" t="s">
        <v>18</v>
      </c>
      <c r="E210" s="1" t="s">
        <v>15</v>
      </c>
      <c r="F210" s="1">
        <v>1350000</v>
      </c>
      <c r="G210" s="1">
        <v>73</v>
      </c>
      <c r="H210" s="1" t="str" cm="1">
        <f t="array" ref="H210">_xlfn.IFS( OR(G210=" ",NOT(ISNUMBER(G210))),"Unknown",G210&lt;=33,"Low Spender",G210&lt;=66,"Medium Spender",TRUE, "High Spender")</f>
        <v>High Spender</v>
      </c>
      <c r="I210" s="1">
        <v>51</v>
      </c>
      <c r="J210" s="1">
        <v>6100</v>
      </c>
      <c r="K210" s="1">
        <v>171</v>
      </c>
      <c r="M210" s="1" t="s">
        <v>32</v>
      </c>
      <c r="N210" s="1" t="str">
        <f t="shared" si="6"/>
        <v>Higher</v>
      </c>
      <c r="O210" s="1" t="str">
        <f t="shared" si="7"/>
        <v>Pre-Senior | High Spender | Higher</v>
      </c>
    </row>
    <row r="211" spans="1:15" x14ac:dyDescent="0.25">
      <c r="A211" s="1" t="s">
        <v>241</v>
      </c>
      <c r="B211" s="1">
        <v>20</v>
      </c>
      <c r="C211" s="1" t="str" cm="1">
        <f t="array" ref="C211">_xlfn.IFS(OR(B211=" ", B211="NA",NOT(ISNUMBER(B211))), "Unknown",B211&lt;18,"Underage",B211&lt;=24,"Young Adult",B211&lt;=34,"Early Career",B211&lt;=44,"Mid Career",B211&lt;=54,"Mature",B211&lt;=65,"Pre-Senior",B211&gt;65,"Senior")</f>
        <v>Young Adult</v>
      </c>
      <c r="D211" s="1" t="s">
        <v>29</v>
      </c>
      <c r="E211" s="1" t="s">
        <v>23</v>
      </c>
      <c r="F211" s="1">
        <v>1700000</v>
      </c>
      <c r="G211" s="1">
        <v>86</v>
      </c>
      <c r="H211" s="1" t="str" cm="1">
        <f t="array" ref="H211">_xlfn.IFS( OR(G211=" ",NOT(ISNUMBER(G211))),"Unknown",G211&lt;=33,"Low Spender",G211&lt;=66,"Medium Spender",TRUE, "High Spender")</f>
        <v>High Spender</v>
      </c>
      <c r="I211" s="1">
        <v>9</v>
      </c>
      <c r="J211" s="1">
        <v>5400</v>
      </c>
      <c r="K211" s="1">
        <v>64</v>
      </c>
      <c r="M211" s="1" t="s">
        <v>21</v>
      </c>
      <c r="N211" s="1" t="str">
        <f t="shared" si="6"/>
        <v>Higher</v>
      </c>
      <c r="O211" s="1" t="str">
        <f t="shared" si="7"/>
        <v>Young Adult | High Spender | Higher</v>
      </c>
    </row>
    <row r="212" spans="1:15" x14ac:dyDescent="0.25">
      <c r="A212" s="1" t="s">
        <v>242</v>
      </c>
      <c r="B212" s="1">
        <v>56</v>
      </c>
      <c r="C212" s="1" t="str" cm="1">
        <f t="array" ref="C212">_xlfn.IFS(OR(B212=" ", B212="NA",NOT(ISNUMBER(B212))), "Unknown",B212&lt;18,"Underage",B212&lt;=24,"Young Adult",B212&lt;=34,"Early Career",B212&lt;=44,"Mid Career",B212&lt;=54,"Mature",B212&lt;=65,"Pre-Senior",B212&gt;65,"Senior")</f>
        <v>Pre-Senior</v>
      </c>
      <c r="E212" s="1" t="s">
        <v>23</v>
      </c>
      <c r="F212" s="1">
        <v>1675000</v>
      </c>
      <c r="G212" s="1">
        <v>26</v>
      </c>
      <c r="H212" s="1" t="str" cm="1">
        <f t="array" ref="H212">_xlfn.IFS( OR(G212=" ",NOT(ISNUMBER(G212))),"Unknown",G212&lt;=33,"Low Spender",G212&lt;=66,"Medium Spender",TRUE, "High Spender")</f>
        <v>Low Spender</v>
      </c>
      <c r="I212" s="1">
        <v>23</v>
      </c>
      <c r="J212" s="1">
        <v>600</v>
      </c>
      <c r="K212" s="1">
        <v>244</v>
      </c>
      <c r="L212" s="1" t="s">
        <v>16</v>
      </c>
      <c r="M212" s="1" t="s">
        <v>30</v>
      </c>
      <c r="N212" s="1" t="str">
        <f t="shared" si="6"/>
        <v>Lower</v>
      </c>
      <c r="O212" s="1" t="str">
        <f t="shared" si="7"/>
        <v>Pre-Senior | Low Spender | Lower</v>
      </c>
    </row>
    <row r="213" spans="1:15" x14ac:dyDescent="0.25">
      <c r="A213" s="1" t="s">
        <v>243</v>
      </c>
      <c r="B213" s="1">
        <v>23</v>
      </c>
      <c r="C213" s="1" t="str" cm="1">
        <f t="array" ref="C213">_xlfn.IFS(OR(B213=" ", B213="NA",NOT(ISNUMBER(B213))), "Unknown",B213&lt;18,"Underage",B213&lt;=24,"Young Adult",B213&lt;=34,"Early Career",B213&lt;=44,"Mid Career",B213&lt;=54,"Mature",B213&lt;=65,"Pre-Senior",B213&gt;65,"Senior")</f>
        <v>Young Adult</v>
      </c>
      <c r="E213" s="1" t="s">
        <v>27</v>
      </c>
      <c r="F213" s="1">
        <v>1350000</v>
      </c>
      <c r="G213" s="1">
        <v>12</v>
      </c>
      <c r="H213" s="1" t="str" cm="1">
        <f t="array" ref="H213">_xlfn.IFS( OR(G213=" ",NOT(ISNUMBER(G213))),"Unknown",G213&lt;=33,"Low Spender",G213&lt;=66,"Medium Spender",TRUE, "High Spender")</f>
        <v>Low Spender</v>
      </c>
      <c r="I213" s="1">
        <v>12</v>
      </c>
      <c r="J213" s="1">
        <v>7900</v>
      </c>
      <c r="K213" s="1">
        <v>71</v>
      </c>
      <c r="L213" s="1" t="s">
        <v>37</v>
      </c>
      <c r="M213" s="1" t="s">
        <v>21</v>
      </c>
      <c r="N213" s="1" t="str">
        <f t="shared" si="6"/>
        <v>Lower</v>
      </c>
      <c r="O213" s="1" t="str">
        <f t="shared" si="7"/>
        <v>Young Adult | Low Spender | Lower</v>
      </c>
    </row>
    <row r="214" spans="1:15" x14ac:dyDescent="0.25">
      <c r="A214" s="1" t="s">
        <v>244</v>
      </c>
      <c r="B214" s="1">
        <v>25</v>
      </c>
      <c r="C214" s="1" t="str" cm="1">
        <f t="array" ref="C214">_xlfn.IFS(OR(B214=" ", B214="NA",NOT(ISNUMBER(B214))), "Unknown",B214&lt;18,"Underage",B214&lt;=24,"Young Adult",B214&lt;=34,"Early Career",B214&lt;=44,"Mid Career",B214&lt;=54,"Mature",B214&lt;=65,"Pre-Senior",B214&gt;65,"Senior")</f>
        <v>Early Career</v>
      </c>
      <c r="D214" s="1" t="s">
        <v>29</v>
      </c>
      <c r="F214" s="1">
        <v>1400000</v>
      </c>
      <c r="G214" s="1">
        <v>71</v>
      </c>
      <c r="H214" s="1" t="str" cm="1">
        <f t="array" ref="H214">_xlfn.IFS( OR(G214=" ",NOT(ISNUMBER(G214))),"Unknown",G214&lt;=33,"Low Spender",G214&lt;=66,"Medium Spender",TRUE, "High Spender")</f>
        <v>High Spender</v>
      </c>
      <c r="I214" s="1">
        <v>62</v>
      </c>
      <c r="J214" s="1">
        <v>8400</v>
      </c>
      <c r="K214" s="1">
        <v>274</v>
      </c>
      <c r="L214" s="1" t="s">
        <v>20</v>
      </c>
      <c r="M214" s="1" t="s">
        <v>32</v>
      </c>
      <c r="N214" s="1" t="str">
        <f t="shared" si="6"/>
        <v>Higher</v>
      </c>
      <c r="O214" s="1" t="str">
        <f t="shared" si="7"/>
        <v>Early Career | High Spender | Higher</v>
      </c>
    </row>
    <row r="215" spans="1:15" x14ac:dyDescent="0.25">
      <c r="A215" s="1" t="s">
        <v>245</v>
      </c>
      <c r="B215" s="1">
        <v>44</v>
      </c>
      <c r="C215" s="1" t="str" cm="1">
        <f t="array" ref="C215">_xlfn.IFS(OR(B215=" ", B215="NA",NOT(ISNUMBER(B215))), "Unknown",B215&lt;18,"Underage",B215&lt;=24,"Young Adult",B215&lt;=34,"Early Career",B215&lt;=44,"Mid Career",B215&lt;=54,"Mature",B215&lt;=65,"Pre-Senior",B215&gt;65,"Senior")</f>
        <v>Mid Career</v>
      </c>
      <c r="D215" s="1" t="s">
        <v>29</v>
      </c>
      <c r="F215" s="1">
        <v>950000</v>
      </c>
      <c r="G215" s="1">
        <v>46</v>
      </c>
      <c r="H215" s="1" t="str" cm="1">
        <f t="array" ref="H215">_xlfn.IFS( OR(G215=" ",NOT(ISNUMBER(G215))),"Unknown",G215&lt;=33,"Low Spender",G215&lt;=66,"Medium Spender",TRUE, "High Spender")</f>
        <v>Medium Spender</v>
      </c>
      <c r="I215" s="1">
        <v>73</v>
      </c>
      <c r="J215" s="1">
        <v>500</v>
      </c>
      <c r="K215" s="1">
        <v>125</v>
      </c>
      <c r="L215" s="1" t="s">
        <v>16</v>
      </c>
      <c r="M215" s="1" t="s">
        <v>41</v>
      </c>
      <c r="N215" s="1" t="str">
        <f t="shared" si="6"/>
        <v>Higher</v>
      </c>
      <c r="O215" s="1" t="str">
        <f t="shared" si="7"/>
        <v>Mid Career | Medium Spender | Higher</v>
      </c>
    </row>
    <row r="216" spans="1:15" x14ac:dyDescent="0.25">
      <c r="A216" s="1" t="s">
        <v>246</v>
      </c>
      <c r="B216" s="1">
        <v>26</v>
      </c>
      <c r="C216" s="1" t="str" cm="1">
        <f t="array" ref="C216">_xlfn.IFS(OR(B216=" ", B216="NA",NOT(ISNUMBER(B216))), "Unknown",B216&lt;18,"Underage",B216&lt;=24,"Young Adult",B216&lt;=34,"Early Career",B216&lt;=44,"Mid Career",B216&lt;=54,"Mature",B216&lt;=65,"Pre-Senior",B216&gt;65,"Senior")</f>
        <v>Early Career</v>
      </c>
      <c r="D216" s="1" t="s">
        <v>29</v>
      </c>
      <c r="E216" s="1" t="s">
        <v>58</v>
      </c>
      <c r="F216" s="1">
        <v>875000</v>
      </c>
      <c r="G216" s="1">
        <v>47</v>
      </c>
      <c r="H216" s="1" t="str" cm="1">
        <f t="array" ref="H216">_xlfn.IFS( OR(G216=" ",NOT(ISNUMBER(G216))),"Unknown",G216&lt;=33,"Low Spender",G216&lt;=66,"Medium Spender",TRUE, "High Spender")</f>
        <v>Medium Spender</v>
      </c>
      <c r="I216" s="1">
        <v>77</v>
      </c>
      <c r="J216" s="1">
        <v>11700</v>
      </c>
      <c r="K216" s="1">
        <v>317</v>
      </c>
      <c r="L216" s="1" t="s">
        <v>35</v>
      </c>
      <c r="M216" s="1" t="s">
        <v>41</v>
      </c>
      <c r="N216" s="1" t="str">
        <f t="shared" si="6"/>
        <v>Higher</v>
      </c>
      <c r="O216" s="1" t="str">
        <f t="shared" si="7"/>
        <v>Early Career | Medium Spender | Higher</v>
      </c>
    </row>
    <row r="217" spans="1:15" x14ac:dyDescent="0.25">
      <c r="A217" s="1" t="s">
        <v>247</v>
      </c>
      <c r="B217" s="1">
        <v>54</v>
      </c>
      <c r="C217" s="1" t="str" cm="1">
        <f t="array" ref="C217">_xlfn.IFS(OR(B217=" ", B217="NA",NOT(ISNUMBER(B217))), "Unknown",B217&lt;18,"Underage",B217&lt;=24,"Young Adult",B217&lt;=34,"Early Career",B217&lt;=44,"Mid Career",B217&lt;=54,"Mature",B217&lt;=65,"Pre-Senior",B217&gt;65,"Senior")</f>
        <v>Mature</v>
      </c>
      <c r="D217" s="1" t="s">
        <v>18</v>
      </c>
      <c r="E217" s="1" t="s">
        <v>49</v>
      </c>
      <c r="F217" s="1">
        <v>1600000</v>
      </c>
      <c r="G217" s="1">
        <v>79</v>
      </c>
      <c r="H217" s="1" t="str" cm="1">
        <f t="array" ref="H217">_xlfn.IFS( OR(G217=" ",NOT(ISNUMBER(G217))),"Unknown",G217&lt;=33,"Low Spender",G217&lt;=66,"Medium Spender",TRUE, "High Spender")</f>
        <v>High Spender</v>
      </c>
      <c r="I217" s="1">
        <v>40</v>
      </c>
      <c r="J217" s="1">
        <v>3900</v>
      </c>
      <c r="K217" s="1">
        <v>331</v>
      </c>
      <c r="L217" s="1" t="s">
        <v>20</v>
      </c>
      <c r="N217" s="1" t="str">
        <f t="shared" si="6"/>
        <v>Higher</v>
      </c>
      <c r="O217" s="1" t="str">
        <f t="shared" si="7"/>
        <v>Mature | High Spender | Higher</v>
      </c>
    </row>
    <row r="218" spans="1:15" x14ac:dyDescent="0.25">
      <c r="A218" s="1" t="s">
        <v>248</v>
      </c>
      <c r="B218" s="1">
        <v>50</v>
      </c>
      <c r="C218" s="1" t="str" cm="1">
        <f t="array" ref="C218">_xlfn.IFS(OR(B218=" ", B218="NA",NOT(ISNUMBER(B218))), "Unknown",B218&lt;18,"Underage",B218&lt;=24,"Young Adult",B218&lt;=34,"Early Career",B218&lt;=44,"Mid Career",B218&lt;=54,"Mature",B218&lt;=65,"Pre-Senior",B218&gt;65,"Senior")</f>
        <v>Mature</v>
      </c>
      <c r="D218" s="1" t="s">
        <v>12</v>
      </c>
      <c r="E218" s="1" t="s">
        <v>13</v>
      </c>
      <c r="G218" s="1">
        <v>38</v>
      </c>
      <c r="H218" s="1" t="str" cm="1">
        <f t="array" ref="H218">_xlfn.IFS( OR(G218=" ",NOT(ISNUMBER(G218))),"Unknown",G218&lt;=33,"Low Spender",G218&lt;=66,"Medium Spender",TRUE, "High Spender")</f>
        <v>Medium Spender</v>
      </c>
      <c r="I218" s="1">
        <v>54</v>
      </c>
      <c r="J218" s="1">
        <v>9900</v>
      </c>
      <c r="K218" s="1">
        <v>107</v>
      </c>
      <c r="N218" s="1" t="str">
        <f t="shared" si="6"/>
        <v>Lower</v>
      </c>
      <c r="O218" s="1" t="str">
        <f t="shared" si="7"/>
        <v>Mature | Medium Spender | Lower</v>
      </c>
    </row>
    <row r="219" spans="1:15" x14ac:dyDescent="0.25">
      <c r="A219" s="1" t="s">
        <v>249</v>
      </c>
      <c r="B219" s="1">
        <v>68</v>
      </c>
      <c r="C219" s="1" t="str" cm="1">
        <f t="array" ref="C219">_xlfn.IFS(OR(B219=" ", B219="NA",NOT(ISNUMBER(B219))), "Unknown",B219&lt;18,"Underage",B219&lt;=24,"Young Adult",B219&lt;=34,"Early Career",B219&lt;=44,"Mid Career",B219&lt;=54,"Mature",B219&lt;=65,"Pre-Senior",B219&gt;65,"Senior")</f>
        <v>Senior</v>
      </c>
      <c r="D219" s="1" t="s">
        <v>18</v>
      </c>
      <c r="E219" s="1" t="s">
        <v>13</v>
      </c>
      <c r="F219" s="1">
        <v>500000</v>
      </c>
      <c r="G219" s="1">
        <v>21</v>
      </c>
      <c r="H219" s="1" t="str" cm="1">
        <f t="array" ref="H219">_xlfn.IFS( OR(G219=" ",NOT(ISNUMBER(G219))),"Unknown",G219&lt;=33,"Low Spender",G219&lt;=66,"Medium Spender",TRUE, "High Spender")</f>
        <v>Low Spender</v>
      </c>
      <c r="J219" s="1">
        <v>10700</v>
      </c>
      <c r="K219" s="1">
        <v>148</v>
      </c>
      <c r="L219" s="1" t="s">
        <v>20</v>
      </c>
      <c r="M219" s="1" t="s">
        <v>41</v>
      </c>
      <c r="N219" s="1" t="str">
        <f t="shared" si="6"/>
        <v>Higher</v>
      </c>
      <c r="O219" s="1" t="str">
        <f t="shared" si="7"/>
        <v>Senior | Low Spender | Higher</v>
      </c>
    </row>
    <row r="220" spans="1:15" x14ac:dyDescent="0.25">
      <c r="A220" s="1" t="s">
        <v>250</v>
      </c>
      <c r="B220" s="1">
        <v>59</v>
      </c>
      <c r="C220" s="1" t="str" cm="1">
        <f t="array" ref="C220">_xlfn.IFS(OR(B220=" ", B220="NA",NOT(ISNUMBER(B220))), "Unknown",B220&lt;18,"Underage",B220&lt;=24,"Young Adult",B220&lt;=34,"Early Career",B220&lt;=44,"Mid Career",B220&lt;=54,"Mature",B220&lt;=65,"Pre-Senior",B220&gt;65,"Senior")</f>
        <v>Pre-Senior</v>
      </c>
      <c r="D220" s="1" t="s">
        <v>18</v>
      </c>
      <c r="E220" s="1" t="s">
        <v>13</v>
      </c>
      <c r="F220" s="1">
        <v>700000</v>
      </c>
      <c r="G220" s="1">
        <v>14</v>
      </c>
      <c r="H220" s="1" t="str" cm="1">
        <f t="array" ref="H220">_xlfn.IFS( OR(G220=" ",NOT(ISNUMBER(G220))),"Unknown",G220&lt;=33,"Low Spender",G220&lt;=66,"Medium Spender",TRUE, "High Spender")</f>
        <v>Low Spender</v>
      </c>
      <c r="I220" s="1">
        <v>7</v>
      </c>
      <c r="J220" s="1">
        <v>2600</v>
      </c>
      <c r="K220" s="1">
        <v>192</v>
      </c>
      <c r="M220" s="1" t="s">
        <v>32</v>
      </c>
      <c r="N220" s="1" t="str">
        <f t="shared" si="6"/>
        <v>Higher</v>
      </c>
      <c r="O220" s="1" t="str">
        <f t="shared" si="7"/>
        <v>Pre-Senior | Low Spender | Higher</v>
      </c>
    </row>
    <row r="221" spans="1:15" x14ac:dyDescent="0.25">
      <c r="A221" s="1" t="s">
        <v>251</v>
      </c>
      <c r="B221" s="1">
        <v>61</v>
      </c>
      <c r="C221" s="1" t="str" cm="1">
        <f t="array" ref="C221">_xlfn.IFS(OR(B221=" ", B221="NA",NOT(ISNUMBER(B221))), "Unknown",B221&lt;18,"Underage",B221&lt;=24,"Young Adult",B221&lt;=34,"Early Career",B221&lt;=44,"Mid Career",B221&lt;=54,"Mature",B221&lt;=65,"Pre-Senior",B221&gt;65,"Senior")</f>
        <v>Pre-Senior</v>
      </c>
      <c r="D221" s="1" t="s">
        <v>29</v>
      </c>
      <c r="E221" s="1" t="s">
        <v>15</v>
      </c>
      <c r="F221" s="1">
        <v>1250000</v>
      </c>
      <c r="G221" s="1">
        <v>2</v>
      </c>
      <c r="H221" s="1" t="str" cm="1">
        <f t="array" ref="H221">_xlfn.IFS( OR(G221=" ",NOT(ISNUMBER(G221))),"Unknown",G221&lt;=33,"Low Spender",G221&lt;=66,"Medium Spender",TRUE, "High Spender")</f>
        <v>Low Spender</v>
      </c>
      <c r="I221" s="1">
        <v>17</v>
      </c>
      <c r="J221" s="1">
        <v>7400</v>
      </c>
      <c r="K221" s="1">
        <v>337</v>
      </c>
      <c r="L221" s="1" t="s">
        <v>16</v>
      </c>
      <c r="M221" s="1" t="s">
        <v>41</v>
      </c>
      <c r="N221" s="1" t="str">
        <f t="shared" si="6"/>
        <v>Higher</v>
      </c>
      <c r="O221" s="1" t="str">
        <f t="shared" si="7"/>
        <v>Pre-Senior | Low Spender | Higher</v>
      </c>
    </row>
    <row r="222" spans="1:15" x14ac:dyDescent="0.25">
      <c r="A222" s="1" t="s">
        <v>252</v>
      </c>
      <c r="B222" s="1">
        <v>41</v>
      </c>
      <c r="C222" s="1" t="str" cm="1">
        <f t="array" ref="C222">_xlfn.IFS(OR(B222=" ", B222="NA",NOT(ISNUMBER(B222))), "Unknown",B222&lt;18,"Underage",B222&lt;=24,"Young Adult",B222&lt;=34,"Early Career",B222&lt;=44,"Mid Career",B222&lt;=54,"Mature",B222&lt;=65,"Pre-Senior",B222&gt;65,"Senior")</f>
        <v>Mid Career</v>
      </c>
      <c r="D222" s="1" t="s">
        <v>18</v>
      </c>
      <c r="F222" s="1">
        <v>1675000</v>
      </c>
      <c r="G222" s="1">
        <v>72</v>
      </c>
      <c r="H222" s="1" t="str" cm="1">
        <f t="array" ref="H222">_xlfn.IFS( OR(G222=" ",NOT(ISNUMBER(G222))),"Unknown",G222&lt;=33,"Low Spender",G222&lt;=66,"Medium Spender",TRUE, "High Spender")</f>
        <v>High Spender</v>
      </c>
      <c r="I222" s="1">
        <v>50</v>
      </c>
      <c r="J222" s="1">
        <v>3700</v>
      </c>
      <c r="K222" s="1">
        <v>226</v>
      </c>
      <c r="L222" s="1" t="s">
        <v>37</v>
      </c>
      <c r="M222" s="1" t="s">
        <v>30</v>
      </c>
      <c r="N222" s="1" t="str">
        <f t="shared" si="6"/>
        <v>Higher</v>
      </c>
      <c r="O222" s="1" t="str">
        <f t="shared" si="7"/>
        <v>Mid Career | High Spender | Higher</v>
      </c>
    </row>
    <row r="223" spans="1:15" x14ac:dyDescent="0.25">
      <c r="A223" s="1" t="s">
        <v>253</v>
      </c>
      <c r="B223" s="1">
        <v>32</v>
      </c>
      <c r="C223" s="1" t="str" cm="1">
        <f t="array" ref="C223">_xlfn.IFS(OR(B223=" ", B223="NA",NOT(ISNUMBER(B223))), "Unknown",B223&lt;18,"Underage",B223&lt;=24,"Young Adult",B223&lt;=34,"Early Career",B223&lt;=44,"Mid Career",B223&lt;=54,"Mature",B223&lt;=65,"Pre-Senior",B223&gt;65,"Senior")</f>
        <v>Early Career</v>
      </c>
      <c r="F223" s="1">
        <v>1900000</v>
      </c>
      <c r="G223" s="1">
        <v>70</v>
      </c>
      <c r="H223" s="1" t="str" cm="1">
        <f t="array" ref="H223">_xlfn.IFS( OR(G223=" ",NOT(ISNUMBER(G223))),"Unknown",G223&lt;=33,"Low Spender",G223&lt;=66,"Medium Spender",TRUE, "High Spender")</f>
        <v>High Spender</v>
      </c>
      <c r="I223" s="1">
        <v>24</v>
      </c>
      <c r="J223" s="1">
        <v>400</v>
      </c>
      <c r="K223" s="1">
        <v>242</v>
      </c>
      <c r="M223" s="1" t="s">
        <v>21</v>
      </c>
      <c r="N223" s="1" t="str">
        <f t="shared" si="6"/>
        <v>Lower</v>
      </c>
      <c r="O223" s="1" t="str">
        <f t="shared" si="7"/>
        <v>Early Career | High Spender | Lower</v>
      </c>
    </row>
    <row r="224" spans="1:15" x14ac:dyDescent="0.25">
      <c r="A224" s="1" t="s">
        <v>254</v>
      </c>
      <c r="C224" s="1" t="str" cm="1">
        <f t="array" ref="C224">_xlfn.IFS(OR(B224=" ", B224="NA",NOT(ISNUMBER(B224))), "Unknown",B224&lt;18,"Underage",B224&lt;=24,"Young Adult",B224&lt;=34,"Early Career",B224&lt;=44,"Mid Career",B224&lt;=54,"Mature",B224&lt;=65,"Pre-Senior",B224&gt;65,"Senior")</f>
        <v>Unknown</v>
      </c>
      <c r="E224" s="1" t="s">
        <v>58</v>
      </c>
      <c r="F224" s="1">
        <v>500000</v>
      </c>
      <c r="H224" s="1" t="str" cm="1">
        <f t="array" ref="H224">_xlfn.IFS( OR(G224=" ",NOT(ISNUMBER(G224))),"Unknown",G224&lt;=33,"Low Spender",G224&lt;=66,"Medium Spender",TRUE, "High Spender")</f>
        <v>Unknown</v>
      </c>
      <c r="I224" s="1">
        <v>2</v>
      </c>
      <c r="J224" s="1">
        <v>3500</v>
      </c>
      <c r="K224" s="1">
        <v>362</v>
      </c>
      <c r="L224" s="1" t="s">
        <v>20</v>
      </c>
      <c r="M224" s="1" t="s">
        <v>21</v>
      </c>
      <c r="N224" s="1" t="str">
        <f t="shared" si="6"/>
        <v>Lower</v>
      </c>
      <c r="O224" s="1" t="str">
        <f t="shared" si="7"/>
        <v>Unknown | Unknown | Lower</v>
      </c>
    </row>
    <row r="225" spans="1:15" x14ac:dyDescent="0.25">
      <c r="A225" s="1" t="s">
        <v>255</v>
      </c>
      <c r="B225" s="1">
        <v>49</v>
      </c>
      <c r="C225" s="1" t="str" cm="1">
        <f t="array" ref="C225">_xlfn.IFS(OR(B225=" ", B225="NA",NOT(ISNUMBER(B225))), "Unknown",B225&lt;18,"Underage",B225&lt;=24,"Young Adult",B225&lt;=34,"Early Career",B225&lt;=44,"Mid Career",B225&lt;=54,"Mature",B225&lt;=65,"Pre-Senior",B225&gt;65,"Senior")</f>
        <v>Mature</v>
      </c>
      <c r="E225" s="1" t="s">
        <v>58</v>
      </c>
      <c r="F225" s="1">
        <v>1275000</v>
      </c>
      <c r="H225" s="1" t="str" cm="1">
        <f t="array" ref="H225">_xlfn.IFS( OR(G225=" ",NOT(ISNUMBER(G225))),"Unknown",G225&lt;=33,"Low Spender",G225&lt;=66,"Medium Spender",TRUE, "High Spender")</f>
        <v>Unknown</v>
      </c>
      <c r="I225" s="1">
        <v>33</v>
      </c>
      <c r="J225" s="1">
        <v>7800</v>
      </c>
      <c r="K225" s="1">
        <v>284</v>
      </c>
      <c r="L225" s="1" t="s">
        <v>37</v>
      </c>
      <c r="M225" s="1" t="s">
        <v>32</v>
      </c>
      <c r="N225" s="1" t="str">
        <f t="shared" si="6"/>
        <v>Lower</v>
      </c>
      <c r="O225" s="1" t="str">
        <f t="shared" si="7"/>
        <v>Mature | Unknown | Lower</v>
      </c>
    </row>
    <row r="226" spans="1:15" x14ac:dyDescent="0.25">
      <c r="A226" s="1" t="s">
        <v>256</v>
      </c>
      <c r="B226" s="1">
        <v>49</v>
      </c>
      <c r="C226" s="1" t="str" cm="1">
        <f t="array" ref="C226">_xlfn.IFS(OR(B226=" ", B226="NA",NOT(ISNUMBER(B226))), "Unknown",B226&lt;18,"Underage",B226&lt;=24,"Young Adult",B226&lt;=34,"Early Career",B226&lt;=44,"Mid Career",B226&lt;=54,"Mature",B226&lt;=65,"Pre-Senior",B226&gt;65,"Senior")</f>
        <v>Mature</v>
      </c>
      <c r="D226" s="1" t="s">
        <v>29</v>
      </c>
      <c r="F226" s="1">
        <v>1725000</v>
      </c>
      <c r="G226" s="1">
        <v>33</v>
      </c>
      <c r="H226" s="1" t="str" cm="1">
        <f t="array" ref="H226">_xlfn.IFS( OR(G226=" ",NOT(ISNUMBER(G226))),"Unknown",G226&lt;=33,"Low Spender",G226&lt;=66,"Medium Spender",TRUE, "High Spender")</f>
        <v>Low Spender</v>
      </c>
      <c r="I226" s="1">
        <v>21</v>
      </c>
      <c r="J226" s="1">
        <v>8800</v>
      </c>
      <c r="K226" s="1">
        <v>163</v>
      </c>
      <c r="L226" s="1" t="s">
        <v>37</v>
      </c>
      <c r="N226" s="1" t="str">
        <f t="shared" si="6"/>
        <v>Higher</v>
      </c>
      <c r="O226" s="1" t="str">
        <f t="shared" si="7"/>
        <v>Mature | Low Spender | Higher</v>
      </c>
    </row>
    <row r="227" spans="1:15" x14ac:dyDescent="0.25">
      <c r="A227" s="1" t="s">
        <v>257</v>
      </c>
      <c r="B227" s="1">
        <v>41</v>
      </c>
      <c r="C227" s="1" t="str" cm="1">
        <f t="array" ref="C227">_xlfn.IFS(OR(B227=" ", B227="NA",NOT(ISNUMBER(B227))), "Unknown",B227&lt;18,"Underage",B227&lt;=24,"Young Adult",B227&lt;=34,"Early Career",B227&lt;=44,"Mid Career",B227&lt;=54,"Mature",B227&lt;=65,"Pre-Senior",B227&gt;65,"Senior")</f>
        <v>Mid Career</v>
      </c>
      <c r="D227" s="1" t="s">
        <v>18</v>
      </c>
      <c r="E227" s="1" t="s">
        <v>27</v>
      </c>
      <c r="F227" s="1">
        <v>1275000</v>
      </c>
      <c r="G227" s="1">
        <v>6</v>
      </c>
      <c r="H227" s="1" t="str" cm="1">
        <f t="array" ref="H227">_xlfn.IFS( OR(G227=" ",NOT(ISNUMBER(G227))),"Unknown",G227&lt;=33,"Low Spender",G227&lt;=66,"Medium Spender",TRUE, "High Spender")</f>
        <v>Low Spender</v>
      </c>
      <c r="I227" s="1">
        <v>74</v>
      </c>
      <c r="J227" s="1">
        <v>7900</v>
      </c>
      <c r="K227" s="1">
        <v>8</v>
      </c>
      <c r="M227" s="1" t="s">
        <v>21</v>
      </c>
      <c r="N227" s="1" t="str">
        <f t="shared" si="6"/>
        <v>Higher</v>
      </c>
      <c r="O227" s="1" t="str">
        <f t="shared" si="7"/>
        <v>Mid Career | Low Spender | Higher</v>
      </c>
    </row>
    <row r="228" spans="1:15" x14ac:dyDescent="0.25">
      <c r="A228" s="1" t="s">
        <v>258</v>
      </c>
      <c r="B228" s="1">
        <v>58</v>
      </c>
      <c r="C228" s="1" t="str" cm="1">
        <f t="array" ref="C228">_xlfn.IFS(OR(B228=" ", B228="NA",NOT(ISNUMBER(B228))), "Unknown",B228&lt;18,"Underage",B228&lt;=24,"Young Adult",B228&lt;=34,"Early Career",B228&lt;=44,"Mid Career",B228&lt;=54,"Mature",B228&lt;=65,"Pre-Senior",B228&gt;65,"Senior")</f>
        <v>Pre-Senior</v>
      </c>
      <c r="D228" s="1" t="s">
        <v>18</v>
      </c>
      <c r="E228" s="1" t="s">
        <v>58</v>
      </c>
      <c r="F228" s="1">
        <v>1525000</v>
      </c>
      <c r="G228" s="1">
        <v>90</v>
      </c>
      <c r="H228" s="1" t="str" cm="1">
        <f t="array" ref="H228">_xlfn.IFS( OR(G228=" ",NOT(ISNUMBER(G228))),"Unknown",G228&lt;=33,"Low Spender",G228&lt;=66,"Medium Spender",TRUE, "High Spender")</f>
        <v>High Spender</v>
      </c>
      <c r="I228" s="1">
        <v>53</v>
      </c>
      <c r="J228" s="1">
        <v>1200</v>
      </c>
      <c r="K228" s="1">
        <v>347</v>
      </c>
      <c r="L228" s="1" t="s">
        <v>20</v>
      </c>
      <c r="M228" s="1" t="s">
        <v>41</v>
      </c>
      <c r="N228" s="1" t="str">
        <f t="shared" si="6"/>
        <v>Higher</v>
      </c>
      <c r="O228" s="1" t="str">
        <f t="shared" si="7"/>
        <v>Pre-Senior | High Spender | Higher</v>
      </c>
    </row>
    <row r="229" spans="1:15" x14ac:dyDescent="0.25">
      <c r="A229" s="1" t="s">
        <v>259</v>
      </c>
      <c r="B229" s="1">
        <v>69</v>
      </c>
      <c r="C229" s="1" t="str" cm="1">
        <f t="array" ref="C229">_xlfn.IFS(OR(B229=" ", B229="NA",NOT(ISNUMBER(B229))), "Unknown",B229&lt;18,"Underage",B229&lt;=24,"Young Adult",B229&lt;=34,"Early Career",B229&lt;=44,"Mid Career",B229&lt;=54,"Mature",B229&lt;=65,"Pre-Senior",B229&gt;65,"Senior")</f>
        <v>Senior</v>
      </c>
      <c r="D229" s="1" t="s">
        <v>29</v>
      </c>
      <c r="E229" s="1" t="s">
        <v>27</v>
      </c>
      <c r="F229" s="1">
        <v>1225000</v>
      </c>
      <c r="G229" s="1">
        <v>37</v>
      </c>
      <c r="H229" s="1" t="str" cm="1">
        <f t="array" ref="H229">_xlfn.IFS( OR(G229=" ",NOT(ISNUMBER(G229))),"Unknown",G229&lt;=33,"Low Spender",G229&lt;=66,"Medium Spender",TRUE, "High Spender")</f>
        <v>Medium Spender</v>
      </c>
      <c r="I229" s="1">
        <v>46</v>
      </c>
      <c r="J229" s="1">
        <v>8300</v>
      </c>
      <c r="K229" s="1">
        <v>152</v>
      </c>
      <c r="L229" s="1" t="s">
        <v>20</v>
      </c>
      <c r="M229" s="1" t="s">
        <v>30</v>
      </c>
      <c r="N229" s="1" t="str">
        <f t="shared" si="6"/>
        <v>Higher</v>
      </c>
      <c r="O229" s="1" t="str">
        <f t="shared" si="7"/>
        <v>Senior | Medium Spender | Higher</v>
      </c>
    </row>
    <row r="230" spans="1:15" x14ac:dyDescent="0.25">
      <c r="A230" s="1" t="s">
        <v>260</v>
      </c>
      <c r="B230" s="1">
        <v>66</v>
      </c>
      <c r="C230" s="1" t="str" cm="1">
        <f t="array" ref="C230">_xlfn.IFS(OR(B230=" ", B230="NA",NOT(ISNUMBER(B230))), "Unknown",B230&lt;18,"Underage",B230&lt;=24,"Young Adult",B230&lt;=34,"Early Career",B230&lt;=44,"Mid Career",B230&lt;=54,"Mature",B230&lt;=65,"Pre-Senior",B230&gt;65,"Senior")</f>
        <v>Senior</v>
      </c>
      <c r="E230" s="1" t="s">
        <v>19</v>
      </c>
      <c r="G230" s="1">
        <v>14</v>
      </c>
      <c r="H230" s="1" t="str" cm="1">
        <f t="array" ref="H230">_xlfn.IFS( OR(G230=" ",NOT(ISNUMBER(G230))),"Unknown",G230&lt;=33,"Low Spender",G230&lt;=66,"Medium Spender",TRUE, "High Spender")</f>
        <v>Low Spender</v>
      </c>
      <c r="I230" s="1">
        <v>45</v>
      </c>
      <c r="J230" s="1">
        <v>6400</v>
      </c>
      <c r="K230" s="1">
        <v>322</v>
      </c>
      <c r="L230" s="1" t="s">
        <v>37</v>
      </c>
      <c r="N230" s="1" t="str">
        <f t="shared" si="6"/>
        <v>Lower</v>
      </c>
      <c r="O230" s="1" t="str">
        <f t="shared" si="7"/>
        <v>Senior | Low Spender | Lower</v>
      </c>
    </row>
    <row r="231" spans="1:15" x14ac:dyDescent="0.25">
      <c r="A231" s="1" t="s">
        <v>261</v>
      </c>
      <c r="B231" s="1">
        <v>66</v>
      </c>
      <c r="C231" s="1" t="str" cm="1">
        <f t="array" ref="C231">_xlfn.IFS(OR(B231=" ", B231="NA",NOT(ISNUMBER(B231))), "Unknown",B231&lt;18,"Underage",B231&lt;=24,"Young Adult",B231&lt;=34,"Early Career",B231&lt;=44,"Mid Career",B231&lt;=54,"Mature",B231&lt;=65,"Pre-Senior",B231&gt;65,"Senior")</f>
        <v>Senior</v>
      </c>
      <c r="E231" s="1" t="s">
        <v>23</v>
      </c>
      <c r="F231" s="1">
        <v>850000</v>
      </c>
      <c r="G231" s="1">
        <v>37</v>
      </c>
      <c r="H231" s="1" t="str" cm="1">
        <f t="array" ref="H231">_xlfn.IFS( OR(G231=" ",NOT(ISNUMBER(G231))),"Unknown",G231&lt;=33,"Low Spender",G231&lt;=66,"Medium Spender",TRUE, "High Spender")</f>
        <v>Medium Spender</v>
      </c>
      <c r="I231" s="1">
        <v>9</v>
      </c>
      <c r="J231" s="1">
        <v>4500</v>
      </c>
      <c r="K231" s="1">
        <v>95</v>
      </c>
      <c r="L231" s="1" t="s">
        <v>35</v>
      </c>
      <c r="N231" s="1" t="str">
        <f t="shared" si="6"/>
        <v>Lower</v>
      </c>
      <c r="O231" s="1" t="str">
        <f t="shared" si="7"/>
        <v>Senior | Medium Spender | Lower</v>
      </c>
    </row>
    <row r="232" spans="1:15" x14ac:dyDescent="0.25">
      <c r="A232" s="1" t="s">
        <v>262</v>
      </c>
      <c r="B232" s="1">
        <v>69</v>
      </c>
      <c r="C232" s="1" t="str" cm="1">
        <f t="array" ref="C232">_xlfn.IFS(OR(B232=" ", B232="NA",NOT(ISNUMBER(B232))), "Unknown",B232&lt;18,"Underage",B232&lt;=24,"Young Adult",B232&lt;=34,"Early Career",B232&lt;=44,"Mid Career",B232&lt;=54,"Mature",B232&lt;=65,"Pre-Senior",B232&gt;65,"Senior")</f>
        <v>Senior</v>
      </c>
      <c r="F232" s="1">
        <v>1675000</v>
      </c>
      <c r="G232" s="1">
        <v>8</v>
      </c>
      <c r="H232" s="1" t="str" cm="1">
        <f t="array" ref="H232">_xlfn.IFS( OR(G232=" ",NOT(ISNUMBER(G232))),"Unknown",G232&lt;=33,"Low Spender",G232&lt;=66,"Medium Spender",TRUE, "High Spender")</f>
        <v>Low Spender</v>
      </c>
      <c r="I232" s="1">
        <v>6</v>
      </c>
      <c r="J232" s="1">
        <v>7100</v>
      </c>
      <c r="K232" s="1">
        <v>214</v>
      </c>
      <c r="L232" s="1" t="s">
        <v>35</v>
      </c>
      <c r="N232" s="1" t="str">
        <f t="shared" si="6"/>
        <v>Lower</v>
      </c>
      <c r="O232" s="1" t="str">
        <f t="shared" si="7"/>
        <v>Senior | Low Spender | Lower</v>
      </c>
    </row>
    <row r="233" spans="1:15" x14ac:dyDescent="0.25">
      <c r="A233" s="1" t="s">
        <v>263</v>
      </c>
      <c r="B233" s="1">
        <v>29</v>
      </c>
      <c r="C233" s="1" t="str" cm="1">
        <f t="array" ref="C233">_xlfn.IFS(OR(B233=" ", B233="NA",NOT(ISNUMBER(B233))), "Unknown",B233&lt;18,"Underage",B233&lt;=24,"Young Adult",B233&lt;=34,"Early Career",B233&lt;=44,"Mid Career",B233&lt;=54,"Mature",B233&lt;=65,"Pre-Senior",B233&gt;65,"Senior")</f>
        <v>Early Career</v>
      </c>
      <c r="D233" s="1" t="s">
        <v>29</v>
      </c>
      <c r="E233" s="1" t="s">
        <v>58</v>
      </c>
      <c r="F233" s="1">
        <v>1425000</v>
      </c>
      <c r="G233" s="1">
        <v>77</v>
      </c>
      <c r="H233" s="1" t="str" cm="1">
        <f t="array" ref="H233">_xlfn.IFS( OR(G233=" ",NOT(ISNUMBER(G233))),"Unknown",G233&lt;=33,"Low Spender",G233&lt;=66,"Medium Spender",TRUE, "High Spender")</f>
        <v>High Spender</v>
      </c>
      <c r="I233" s="1">
        <v>51</v>
      </c>
      <c r="J233" s="1">
        <v>6100</v>
      </c>
      <c r="K233" s="1">
        <v>64</v>
      </c>
      <c r="L233" s="1" t="s">
        <v>20</v>
      </c>
      <c r="M233" s="1" t="s">
        <v>21</v>
      </c>
      <c r="N233" s="1" t="str">
        <f t="shared" si="6"/>
        <v>Higher</v>
      </c>
      <c r="O233" s="1" t="str">
        <f t="shared" si="7"/>
        <v>Early Career | High Spender | Higher</v>
      </c>
    </row>
    <row r="234" spans="1:15" x14ac:dyDescent="0.25">
      <c r="A234" s="1" t="s">
        <v>264</v>
      </c>
      <c r="B234" s="1">
        <v>56</v>
      </c>
      <c r="C234" s="1" t="str" cm="1">
        <f t="array" ref="C234">_xlfn.IFS(OR(B234=" ", B234="NA",NOT(ISNUMBER(B234))), "Unknown",B234&lt;18,"Underage",B234&lt;=24,"Young Adult",B234&lt;=34,"Early Career",B234&lt;=44,"Mid Career",B234&lt;=54,"Mature",B234&lt;=65,"Pre-Senior",B234&gt;65,"Senior")</f>
        <v>Pre-Senior</v>
      </c>
      <c r="D234" s="1" t="s">
        <v>18</v>
      </c>
      <c r="F234" s="1">
        <v>1475000</v>
      </c>
      <c r="G234" s="1">
        <v>13</v>
      </c>
      <c r="H234" s="1" t="str" cm="1">
        <f t="array" ref="H234">_xlfn.IFS( OR(G234=" ",NOT(ISNUMBER(G234))),"Unknown",G234&lt;=33,"Low Spender",G234&lt;=66,"Medium Spender",TRUE, "High Spender")</f>
        <v>Low Spender</v>
      </c>
      <c r="I234" s="1">
        <v>35</v>
      </c>
      <c r="J234" s="1">
        <v>1100</v>
      </c>
      <c r="K234" s="1">
        <v>65</v>
      </c>
      <c r="L234" s="1" t="s">
        <v>37</v>
      </c>
      <c r="N234" s="1" t="str">
        <f t="shared" si="6"/>
        <v>Higher</v>
      </c>
      <c r="O234" s="1" t="str">
        <f t="shared" si="7"/>
        <v>Pre-Senior | Low Spender | Higher</v>
      </c>
    </row>
    <row r="235" spans="1:15" x14ac:dyDescent="0.25">
      <c r="A235" s="1" t="s">
        <v>265</v>
      </c>
      <c r="B235" s="1">
        <v>19</v>
      </c>
      <c r="C235" s="1" t="str" cm="1">
        <f t="array" ref="C235">_xlfn.IFS(OR(B235=" ", B235="NA",NOT(ISNUMBER(B235))), "Unknown",B235&lt;18,"Underage",B235&lt;=24,"Young Adult",B235&lt;=34,"Early Career",B235&lt;=44,"Mid Career",B235&lt;=54,"Mature",B235&lt;=65,"Pre-Senior",B235&gt;65,"Senior")</f>
        <v>Young Adult</v>
      </c>
      <c r="D235" s="1" t="s">
        <v>18</v>
      </c>
      <c r="E235" s="1" t="s">
        <v>23</v>
      </c>
      <c r="F235" s="1">
        <v>1550000</v>
      </c>
      <c r="G235" s="1">
        <v>40</v>
      </c>
      <c r="H235" s="1" t="str" cm="1">
        <f t="array" ref="H235">_xlfn.IFS( OR(G235=" ",NOT(ISNUMBER(G235))),"Unknown",G235&lt;=33,"Low Spender",G235&lt;=66,"Medium Spender",TRUE, "High Spender")</f>
        <v>Medium Spender</v>
      </c>
      <c r="I235" s="1">
        <v>53</v>
      </c>
      <c r="J235" s="1">
        <v>7900</v>
      </c>
      <c r="K235" s="1">
        <v>270</v>
      </c>
      <c r="L235" s="1" t="s">
        <v>37</v>
      </c>
      <c r="N235" s="1" t="str">
        <f t="shared" si="6"/>
        <v>Higher</v>
      </c>
      <c r="O235" s="1" t="str">
        <f t="shared" si="7"/>
        <v>Young Adult | Medium Spender | Higher</v>
      </c>
    </row>
    <row r="236" spans="1:15" x14ac:dyDescent="0.25">
      <c r="A236" s="1" t="s">
        <v>266</v>
      </c>
      <c r="B236" s="1">
        <v>20</v>
      </c>
      <c r="C236" s="1" t="str" cm="1">
        <f t="array" ref="C236">_xlfn.IFS(OR(B236=" ", B236="NA",NOT(ISNUMBER(B236))), "Unknown",B236&lt;18,"Underage",B236&lt;=24,"Young Adult",B236&lt;=34,"Early Career",B236&lt;=44,"Mid Career",B236&lt;=54,"Mature",B236&lt;=65,"Pre-Senior",B236&gt;65,"Senior")</f>
        <v>Young Adult</v>
      </c>
      <c r="D236" s="1" t="s">
        <v>29</v>
      </c>
      <c r="E236" s="1" t="s">
        <v>23</v>
      </c>
      <c r="F236" s="1">
        <v>1775000</v>
      </c>
      <c r="G236" s="1">
        <v>92</v>
      </c>
      <c r="H236" s="1" t="str" cm="1">
        <f t="array" ref="H236">_xlfn.IFS( OR(G236=" ",NOT(ISNUMBER(G236))),"Unknown",G236&lt;=33,"Low Spender",G236&lt;=66,"Medium Spender",TRUE, "High Spender")</f>
        <v>High Spender</v>
      </c>
      <c r="I236" s="1">
        <v>19</v>
      </c>
      <c r="J236" s="1">
        <v>6200</v>
      </c>
      <c r="K236" s="1">
        <v>25</v>
      </c>
      <c r="L236" s="1" t="s">
        <v>16</v>
      </c>
      <c r="M236" s="1" t="s">
        <v>32</v>
      </c>
      <c r="N236" s="1" t="str">
        <f t="shared" si="6"/>
        <v>Higher</v>
      </c>
      <c r="O236" s="1" t="str">
        <f t="shared" si="7"/>
        <v>Young Adult | High Spender | Higher</v>
      </c>
    </row>
    <row r="237" spans="1:15" x14ac:dyDescent="0.25">
      <c r="A237" s="1" t="s">
        <v>267</v>
      </c>
      <c r="B237" s="1">
        <v>66</v>
      </c>
      <c r="C237" s="1" t="str" cm="1">
        <f t="array" ref="C237">_xlfn.IFS(OR(B237=" ", B237="NA",NOT(ISNUMBER(B237))), "Unknown",B237&lt;18,"Underage",B237&lt;=24,"Young Adult",B237&lt;=34,"Early Career",B237&lt;=44,"Mid Career",B237&lt;=54,"Mature",B237&lt;=65,"Pre-Senior",B237&gt;65,"Senior")</f>
        <v>Senior</v>
      </c>
      <c r="E237" s="1" t="s">
        <v>34</v>
      </c>
      <c r="F237" s="1">
        <v>675000</v>
      </c>
      <c r="G237" s="1">
        <v>58</v>
      </c>
      <c r="H237" s="1" t="str" cm="1">
        <f t="array" ref="H237">_xlfn.IFS( OR(G237=" ",NOT(ISNUMBER(G237))),"Unknown",G237&lt;=33,"Low Spender",G237&lt;=66,"Medium Spender",TRUE, "High Spender")</f>
        <v>Medium Spender</v>
      </c>
      <c r="I237" s="1">
        <v>69</v>
      </c>
      <c r="J237" s="1">
        <v>6500</v>
      </c>
      <c r="K237" s="1">
        <v>100</v>
      </c>
      <c r="L237" s="1" t="s">
        <v>37</v>
      </c>
      <c r="M237" s="1" t="s">
        <v>41</v>
      </c>
      <c r="N237" s="1" t="str">
        <f t="shared" si="6"/>
        <v>Lower</v>
      </c>
      <c r="O237" s="1" t="str">
        <f t="shared" si="7"/>
        <v>Senior | Medium Spender | Lower</v>
      </c>
    </row>
    <row r="238" spans="1:15" x14ac:dyDescent="0.25">
      <c r="A238" s="1" t="s">
        <v>268</v>
      </c>
      <c r="B238" s="1">
        <v>54</v>
      </c>
      <c r="C238" s="1" t="str" cm="1">
        <f t="array" ref="C238">_xlfn.IFS(OR(B238=" ", B238="NA",NOT(ISNUMBER(B238))), "Unknown",B238&lt;18,"Underage",B238&lt;=24,"Young Adult",B238&lt;=34,"Early Career",B238&lt;=44,"Mid Career",B238&lt;=54,"Mature",B238&lt;=65,"Pre-Senior",B238&gt;65,"Senior")</f>
        <v>Mature</v>
      </c>
      <c r="F238" s="1">
        <v>625000</v>
      </c>
      <c r="G238" s="1">
        <v>18</v>
      </c>
      <c r="H238" s="1" t="str" cm="1">
        <f t="array" ref="H238">_xlfn.IFS( OR(G238=" ",NOT(ISNUMBER(G238))),"Unknown",G238&lt;=33,"Low Spender",G238&lt;=66,"Medium Spender",TRUE, "High Spender")</f>
        <v>Low Spender</v>
      </c>
      <c r="I238" s="1">
        <v>25</v>
      </c>
      <c r="J238" s="1">
        <v>5400</v>
      </c>
      <c r="K238" s="1">
        <v>105</v>
      </c>
      <c r="N238" s="1" t="str">
        <f t="shared" si="6"/>
        <v>Lower</v>
      </c>
      <c r="O238" s="1" t="str">
        <f t="shared" si="7"/>
        <v>Mature | Low Spender | Lower</v>
      </c>
    </row>
    <row r="239" spans="1:15" x14ac:dyDescent="0.25">
      <c r="A239" s="1" t="s">
        <v>269</v>
      </c>
      <c r="B239" s="1">
        <v>66</v>
      </c>
      <c r="C239" s="1" t="str" cm="1">
        <f t="array" ref="C239">_xlfn.IFS(OR(B239=" ", B239="NA",NOT(ISNUMBER(B239))), "Unknown",B239&lt;18,"Underage",B239&lt;=24,"Young Adult",B239&lt;=34,"Early Career",B239&lt;=44,"Mid Career",B239&lt;=54,"Mature",B239&lt;=65,"Pre-Senior",B239&gt;65,"Senior")</f>
        <v>Senior</v>
      </c>
      <c r="F239" s="1">
        <v>950000</v>
      </c>
      <c r="G239" s="1">
        <v>57</v>
      </c>
      <c r="H239" s="1" t="str" cm="1">
        <f t="array" ref="H239">_xlfn.IFS( OR(G239=" ",NOT(ISNUMBER(G239))),"Unknown",G239&lt;=33,"Low Spender",G239&lt;=66,"Medium Spender",TRUE, "High Spender")</f>
        <v>Medium Spender</v>
      </c>
      <c r="I239" s="1">
        <v>11</v>
      </c>
      <c r="J239" s="1">
        <v>2500</v>
      </c>
      <c r="K239" s="1">
        <v>131</v>
      </c>
      <c r="L239" s="1" t="s">
        <v>35</v>
      </c>
      <c r="M239" s="1" t="s">
        <v>30</v>
      </c>
      <c r="N239" s="1" t="str">
        <f t="shared" si="6"/>
        <v>Lower</v>
      </c>
      <c r="O239" s="1" t="str">
        <f t="shared" si="7"/>
        <v>Senior | Medium Spender | Lower</v>
      </c>
    </row>
    <row r="240" spans="1:15" x14ac:dyDescent="0.25">
      <c r="A240" s="1" t="s">
        <v>270</v>
      </c>
      <c r="B240" s="1">
        <v>34</v>
      </c>
      <c r="C240" s="1" t="str" cm="1">
        <f t="array" ref="C240">_xlfn.IFS(OR(B240=" ", B240="NA",NOT(ISNUMBER(B240))), "Unknown",B240&lt;18,"Underage",B240&lt;=24,"Young Adult",B240&lt;=34,"Early Career",B240&lt;=44,"Mid Career",B240&lt;=54,"Mature",B240&lt;=65,"Pre-Senior",B240&gt;65,"Senior")</f>
        <v>Early Career</v>
      </c>
      <c r="F240" s="1">
        <v>1925000</v>
      </c>
      <c r="G240" s="1">
        <v>83</v>
      </c>
      <c r="H240" s="1" t="str" cm="1">
        <f t="array" ref="H240">_xlfn.IFS( OR(G240=" ",NOT(ISNUMBER(G240))),"Unknown",G240&lt;=33,"Low Spender",G240&lt;=66,"Medium Spender",TRUE, "High Spender")</f>
        <v>High Spender</v>
      </c>
      <c r="I240" s="1">
        <v>74</v>
      </c>
      <c r="J240" s="1">
        <v>3200</v>
      </c>
      <c r="K240" s="1">
        <v>321</v>
      </c>
      <c r="L240" s="1" t="s">
        <v>16</v>
      </c>
      <c r="M240" s="1" t="s">
        <v>41</v>
      </c>
      <c r="N240" s="1" t="str">
        <f t="shared" si="6"/>
        <v>Lower</v>
      </c>
      <c r="O240" s="1" t="str">
        <f t="shared" si="7"/>
        <v>Early Career | High Spender | Lower</v>
      </c>
    </row>
    <row r="241" spans="1:15" x14ac:dyDescent="0.25">
      <c r="A241" s="1" t="s">
        <v>271</v>
      </c>
      <c r="B241" s="1">
        <v>66</v>
      </c>
      <c r="C241" s="1" t="str" cm="1">
        <f t="array" ref="C241">_xlfn.IFS(OR(B241=" ", B241="NA",NOT(ISNUMBER(B241))), "Unknown",B241&lt;18,"Underage",B241&lt;=24,"Young Adult",B241&lt;=34,"Early Career",B241&lt;=44,"Mid Career",B241&lt;=54,"Mature",B241&lt;=65,"Pre-Senior",B241&gt;65,"Senior")</f>
        <v>Senior</v>
      </c>
      <c r="D241" s="1" t="s">
        <v>12</v>
      </c>
      <c r="E241" s="1" t="s">
        <v>58</v>
      </c>
      <c r="F241" s="1">
        <v>750000</v>
      </c>
      <c r="G241" s="1">
        <v>38</v>
      </c>
      <c r="H241" s="1" t="str" cm="1">
        <f t="array" ref="H241">_xlfn.IFS( OR(G241=" ",NOT(ISNUMBER(G241))),"Unknown",G241&lt;=33,"Low Spender",G241&lt;=66,"Medium Spender",TRUE, "High Spender")</f>
        <v>Medium Spender</v>
      </c>
      <c r="I241" s="1">
        <v>17</v>
      </c>
      <c r="J241" s="1">
        <v>4500</v>
      </c>
      <c r="K241" s="1">
        <v>19</v>
      </c>
      <c r="M241" s="1" t="s">
        <v>32</v>
      </c>
      <c r="N241" s="1" t="str">
        <f t="shared" si="6"/>
        <v>Lower</v>
      </c>
      <c r="O241" s="1" t="str">
        <f t="shared" si="7"/>
        <v>Senior | Medium Spender | Lower</v>
      </c>
    </row>
    <row r="242" spans="1:15" x14ac:dyDescent="0.25">
      <c r="A242" s="1" t="s">
        <v>272</v>
      </c>
      <c r="B242" s="1">
        <v>19</v>
      </c>
      <c r="C242" s="1" t="str" cm="1">
        <f t="array" ref="C242">_xlfn.IFS(OR(B242=" ", B242="NA",NOT(ISNUMBER(B242))), "Unknown",B242&lt;18,"Underage",B242&lt;=24,"Young Adult",B242&lt;=34,"Early Career",B242&lt;=44,"Mid Career",B242&lt;=54,"Mature",B242&lt;=65,"Pre-Senior",B242&gt;65,"Senior")</f>
        <v>Young Adult</v>
      </c>
      <c r="D242" s="1" t="s">
        <v>29</v>
      </c>
      <c r="E242" s="1" t="s">
        <v>49</v>
      </c>
      <c r="F242" s="1">
        <v>1275000</v>
      </c>
      <c r="G242" s="1">
        <v>32</v>
      </c>
      <c r="H242" s="1" t="str" cm="1">
        <f t="array" ref="H242">_xlfn.IFS( OR(G242=" ",NOT(ISNUMBER(G242))),"Unknown",G242&lt;=33,"Low Spender",G242&lt;=66,"Medium Spender",TRUE, "High Spender")</f>
        <v>Low Spender</v>
      </c>
      <c r="I242" s="1">
        <v>36</v>
      </c>
      <c r="K242" s="1">
        <v>225</v>
      </c>
      <c r="L242" s="1" t="s">
        <v>35</v>
      </c>
      <c r="M242" s="1" t="s">
        <v>32</v>
      </c>
      <c r="N242" s="1" t="str">
        <f t="shared" si="6"/>
        <v>Higher</v>
      </c>
      <c r="O242" s="1" t="str">
        <f t="shared" si="7"/>
        <v>Young Adult | Low Spender | Higher</v>
      </c>
    </row>
    <row r="243" spans="1:15" x14ac:dyDescent="0.25">
      <c r="A243" s="1" t="s">
        <v>273</v>
      </c>
      <c r="B243" s="1">
        <v>19</v>
      </c>
      <c r="C243" s="1" t="str" cm="1">
        <f t="array" ref="C243">_xlfn.IFS(OR(B243=" ", B243="NA",NOT(ISNUMBER(B243))), "Unknown",B243&lt;18,"Underage",B243&lt;=24,"Young Adult",B243&lt;=34,"Early Career",B243&lt;=44,"Mid Career",B243&lt;=54,"Mature",B243&lt;=65,"Pre-Senior",B243&gt;65,"Senior")</f>
        <v>Young Adult</v>
      </c>
      <c r="D243" s="1" t="s">
        <v>29</v>
      </c>
      <c r="E243" s="1" t="s">
        <v>19</v>
      </c>
      <c r="F243" s="1">
        <v>1950000</v>
      </c>
      <c r="G243" s="1">
        <v>86</v>
      </c>
      <c r="H243" s="1" t="str" cm="1">
        <f t="array" ref="H243">_xlfn.IFS( OR(G243=" ",NOT(ISNUMBER(G243))),"Unknown",G243&lt;=33,"Low Spender",G243&lt;=66,"Medium Spender",TRUE, "High Spender")</f>
        <v>High Spender</v>
      </c>
      <c r="I243" s="1">
        <v>21</v>
      </c>
      <c r="J243" s="1">
        <v>7000</v>
      </c>
      <c r="K243" s="1">
        <v>106</v>
      </c>
      <c r="N243" s="1" t="str">
        <f t="shared" si="6"/>
        <v>Higher</v>
      </c>
      <c r="O243" s="1" t="str">
        <f t="shared" si="7"/>
        <v>Young Adult | High Spender | Higher</v>
      </c>
    </row>
    <row r="244" spans="1:15" x14ac:dyDescent="0.25">
      <c r="A244" s="1" t="s">
        <v>274</v>
      </c>
      <c r="B244" s="1">
        <v>45</v>
      </c>
      <c r="C244" s="1" t="str" cm="1">
        <f t="array" ref="C244">_xlfn.IFS(OR(B244=" ", B244="NA",NOT(ISNUMBER(B244))), "Unknown",B244&lt;18,"Underage",B244&lt;=24,"Young Adult",B244&lt;=34,"Early Career",B244&lt;=44,"Mid Career",B244&lt;=54,"Mature",B244&lt;=65,"Pre-Senior",B244&gt;65,"Senior")</f>
        <v>Mature</v>
      </c>
      <c r="D244" s="1" t="s">
        <v>12</v>
      </c>
      <c r="E244" s="1" t="s">
        <v>27</v>
      </c>
      <c r="F244" s="1">
        <v>1550000</v>
      </c>
      <c r="G244" s="1">
        <v>66</v>
      </c>
      <c r="H244" s="1" t="str" cm="1">
        <f t="array" ref="H244">_xlfn.IFS( OR(G244=" ",NOT(ISNUMBER(G244))),"Unknown",G244&lt;=33,"Low Spender",G244&lt;=66,"Medium Spender",TRUE, "High Spender")</f>
        <v>Medium Spender</v>
      </c>
      <c r="I244" s="1">
        <v>18</v>
      </c>
      <c r="J244" s="1">
        <v>2300</v>
      </c>
      <c r="K244" s="1">
        <v>54</v>
      </c>
      <c r="M244" s="1" t="s">
        <v>41</v>
      </c>
      <c r="N244" s="1" t="str">
        <f t="shared" si="6"/>
        <v>Lower</v>
      </c>
      <c r="O244" s="1" t="str">
        <f t="shared" si="7"/>
        <v>Mature | Medium Spender | Lower</v>
      </c>
    </row>
    <row r="245" spans="1:15" x14ac:dyDescent="0.25">
      <c r="A245" s="1" t="s">
        <v>275</v>
      </c>
      <c r="C245" s="1" t="str" cm="1">
        <f t="array" ref="C245">_xlfn.IFS(OR(B245=" ", B245="NA",NOT(ISNUMBER(B245))), "Unknown",B245&lt;18,"Underage",B245&lt;=24,"Young Adult",B245&lt;=34,"Early Career",B245&lt;=44,"Mid Career",B245&lt;=54,"Mature",B245&lt;=65,"Pre-Senior",B245&gt;65,"Senior")</f>
        <v>Unknown</v>
      </c>
      <c r="D245" s="1" t="s">
        <v>12</v>
      </c>
      <c r="E245" s="1" t="s">
        <v>49</v>
      </c>
      <c r="F245" s="1">
        <v>250000</v>
      </c>
      <c r="G245" s="1">
        <v>77</v>
      </c>
      <c r="H245" s="1" t="str" cm="1">
        <f t="array" ref="H245">_xlfn.IFS( OR(G245=" ",NOT(ISNUMBER(G245))),"Unknown",G245&lt;=33,"Low Spender",G245&lt;=66,"Medium Spender",TRUE, "High Spender")</f>
        <v>High Spender</v>
      </c>
      <c r="I245" s="1">
        <v>60</v>
      </c>
      <c r="J245" s="1">
        <v>4500</v>
      </c>
      <c r="K245" s="1">
        <v>226</v>
      </c>
      <c r="L245" s="1" t="s">
        <v>20</v>
      </c>
      <c r="M245" s="1" t="s">
        <v>21</v>
      </c>
      <c r="N245" s="1" t="str">
        <f t="shared" si="6"/>
        <v>Lower</v>
      </c>
      <c r="O245" s="1" t="str">
        <f t="shared" si="7"/>
        <v>Unknown | High Spender | Lower</v>
      </c>
    </row>
    <row r="246" spans="1:15" x14ac:dyDescent="0.25">
      <c r="A246" s="1" t="s">
        <v>276</v>
      </c>
      <c r="B246" s="1">
        <v>40</v>
      </c>
      <c r="C246" s="1" t="str" cm="1">
        <f t="array" ref="C246">_xlfn.IFS(OR(B246=" ", B246="NA",NOT(ISNUMBER(B246))), "Unknown",B246&lt;18,"Underage",B246&lt;=24,"Young Adult",B246&lt;=34,"Early Career",B246&lt;=44,"Mid Career",B246&lt;=54,"Mature",B246&lt;=65,"Pre-Senior",B246&gt;65,"Senior")</f>
        <v>Mid Career</v>
      </c>
      <c r="E246" s="1" t="s">
        <v>19</v>
      </c>
      <c r="F246" s="1">
        <v>1500000</v>
      </c>
      <c r="G246" s="1">
        <v>87</v>
      </c>
      <c r="H246" s="1" t="str" cm="1">
        <f t="array" ref="H246">_xlfn.IFS( OR(G246=" ",NOT(ISNUMBER(G246))),"Unknown",G246&lt;=33,"Low Spender",G246&lt;=66,"Medium Spender",TRUE, "High Spender")</f>
        <v>High Spender</v>
      </c>
      <c r="I246" s="1">
        <v>18</v>
      </c>
      <c r="J246" s="1">
        <v>7500</v>
      </c>
      <c r="K246" s="1">
        <v>360</v>
      </c>
      <c r="M246" s="1" t="s">
        <v>32</v>
      </c>
      <c r="N246" s="1" t="str">
        <f t="shared" si="6"/>
        <v>Lower</v>
      </c>
      <c r="O246" s="1" t="str">
        <f t="shared" si="7"/>
        <v>Mid Career | High Spender | Lower</v>
      </c>
    </row>
    <row r="247" spans="1:15" x14ac:dyDescent="0.25">
      <c r="A247" s="1" t="s">
        <v>277</v>
      </c>
      <c r="B247" s="1">
        <v>54</v>
      </c>
      <c r="C247" s="1" t="str" cm="1">
        <f t="array" ref="C247">_xlfn.IFS(OR(B247=" ", B247="NA",NOT(ISNUMBER(B247))), "Unknown",B247&lt;18,"Underage",B247&lt;=24,"Young Adult",B247&lt;=34,"Early Career",B247&lt;=44,"Mid Career",B247&lt;=54,"Mature",B247&lt;=65,"Pre-Senior",B247&gt;65,"Senior")</f>
        <v>Mature</v>
      </c>
      <c r="D247" s="1" t="s">
        <v>18</v>
      </c>
      <c r="E247" s="1" t="s">
        <v>49</v>
      </c>
      <c r="F247" s="1">
        <v>1650000</v>
      </c>
      <c r="G247" s="1">
        <v>25</v>
      </c>
      <c r="H247" s="1" t="str" cm="1">
        <f t="array" ref="H247">_xlfn.IFS( OR(G247=" ",NOT(ISNUMBER(G247))),"Unknown",G247&lt;=33,"Low Spender",G247&lt;=66,"Medium Spender",TRUE, "High Spender")</f>
        <v>Low Spender</v>
      </c>
      <c r="I247" s="1">
        <v>1</v>
      </c>
      <c r="J247" s="1">
        <v>900</v>
      </c>
      <c r="K247" s="1">
        <v>15</v>
      </c>
      <c r="L247" s="1" t="s">
        <v>20</v>
      </c>
      <c r="N247" s="1" t="str">
        <f t="shared" si="6"/>
        <v>Higher</v>
      </c>
      <c r="O247" s="1" t="str">
        <f t="shared" si="7"/>
        <v>Mature | Low Spender | Higher</v>
      </c>
    </row>
    <row r="248" spans="1:15" x14ac:dyDescent="0.25">
      <c r="A248" s="1" t="s">
        <v>278</v>
      </c>
      <c r="B248" s="1">
        <v>49</v>
      </c>
      <c r="C248" s="1" t="str" cm="1">
        <f t="array" ref="C248">_xlfn.IFS(OR(B248=" ", B248="NA",NOT(ISNUMBER(B248))), "Unknown",B248&lt;18,"Underage",B248&lt;=24,"Young Adult",B248&lt;=34,"Early Career",B248&lt;=44,"Mid Career",B248&lt;=54,"Mature",B248&lt;=65,"Pre-Senior",B248&gt;65,"Senior")</f>
        <v>Mature</v>
      </c>
      <c r="E248" s="1" t="s">
        <v>27</v>
      </c>
      <c r="F248" s="1">
        <v>325000</v>
      </c>
      <c r="G248" s="1">
        <v>92</v>
      </c>
      <c r="H248" s="1" t="str" cm="1">
        <f t="array" ref="H248">_xlfn.IFS( OR(G248=" ",NOT(ISNUMBER(G248))),"Unknown",G248&lt;=33,"Low Spender",G248&lt;=66,"Medium Spender",TRUE, "High Spender")</f>
        <v>High Spender</v>
      </c>
      <c r="I248" s="1">
        <v>14</v>
      </c>
      <c r="J248" s="1">
        <v>1800</v>
      </c>
      <c r="K248" s="1">
        <v>48</v>
      </c>
      <c r="L248" s="1" t="s">
        <v>35</v>
      </c>
      <c r="M248" s="1" t="s">
        <v>30</v>
      </c>
      <c r="N248" s="1" t="str">
        <f t="shared" si="6"/>
        <v>Lower</v>
      </c>
      <c r="O248" s="1" t="str">
        <f t="shared" si="7"/>
        <v>Mature | High Spender | Lower</v>
      </c>
    </row>
    <row r="249" spans="1:15" x14ac:dyDescent="0.25">
      <c r="A249" s="1" t="s">
        <v>279</v>
      </c>
      <c r="B249" s="1">
        <v>50</v>
      </c>
      <c r="C249" s="1" t="str" cm="1">
        <f t="array" ref="C249">_xlfn.IFS(OR(B249=" ", B249="NA",NOT(ISNUMBER(B249))), "Unknown",B249&lt;18,"Underage",B249&lt;=24,"Young Adult",B249&lt;=34,"Early Career",B249&lt;=44,"Mid Career",B249&lt;=54,"Mature",B249&lt;=65,"Pre-Senior",B249&gt;65,"Senior")</f>
        <v>Mature</v>
      </c>
      <c r="D249" s="1" t="s">
        <v>18</v>
      </c>
      <c r="E249" s="1" t="s">
        <v>15</v>
      </c>
      <c r="F249" s="1">
        <v>525000</v>
      </c>
      <c r="G249" s="1">
        <v>58</v>
      </c>
      <c r="H249" s="1" t="str" cm="1">
        <f t="array" ref="H249">_xlfn.IFS( OR(G249=" ",NOT(ISNUMBER(G249))),"Unknown",G249&lt;=33,"Low Spender",G249&lt;=66,"Medium Spender",TRUE, "High Spender")</f>
        <v>Medium Spender</v>
      </c>
      <c r="I249" s="1">
        <v>8</v>
      </c>
      <c r="J249" s="1">
        <v>2500</v>
      </c>
      <c r="K249" s="1">
        <v>139</v>
      </c>
      <c r="L249" s="1" t="s">
        <v>35</v>
      </c>
      <c r="M249" s="1" t="s">
        <v>30</v>
      </c>
      <c r="N249" s="1" t="str">
        <f t="shared" si="6"/>
        <v>Higher</v>
      </c>
      <c r="O249" s="1" t="str">
        <f t="shared" si="7"/>
        <v>Mature | Medium Spender | Higher</v>
      </c>
    </row>
    <row r="250" spans="1:15" x14ac:dyDescent="0.25">
      <c r="A250" s="1" t="s">
        <v>280</v>
      </c>
      <c r="B250" s="1">
        <v>18</v>
      </c>
      <c r="C250" s="1" t="str" cm="1">
        <f t="array" ref="C250">_xlfn.IFS(OR(B250=" ", B250="NA",NOT(ISNUMBER(B250))), "Unknown",B250&lt;18,"Underage",B250&lt;=24,"Young Adult",B250&lt;=34,"Early Career",B250&lt;=44,"Mid Career",B250&lt;=54,"Mature",B250&lt;=65,"Pre-Senior",B250&gt;65,"Senior")</f>
        <v>Young Adult</v>
      </c>
      <c r="D250" s="1" t="s">
        <v>18</v>
      </c>
      <c r="F250" s="1">
        <v>1325000</v>
      </c>
      <c r="G250" s="1">
        <v>75</v>
      </c>
      <c r="H250" s="1" t="str" cm="1">
        <f t="array" ref="H250">_xlfn.IFS( OR(G250=" ",NOT(ISNUMBER(G250))),"Unknown",G250&lt;=33,"Low Spender",G250&lt;=66,"Medium Spender",TRUE, "High Spender")</f>
        <v>High Spender</v>
      </c>
      <c r="I250" s="1">
        <v>66</v>
      </c>
      <c r="J250" s="1">
        <v>6000</v>
      </c>
      <c r="K250" s="1">
        <v>34</v>
      </c>
      <c r="M250" s="1" t="s">
        <v>32</v>
      </c>
      <c r="N250" s="1" t="str">
        <f t="shared" si="6"/>
        <v>Higher</v>
      </c>
      <c r="O250" s="1" t="str">
        <f t="shared" si="7"/>
        <v>Young Adult | High Spender | Higher</v>
      </c>
    </row>
    <row r="251" spans="1:15" x14ac:dyDescent="0.25">
      <c r="A251" s="1" t="s">
        <v>281</v>
      </c>
      <c r="B251" s="1">
        <v>36</v>
      </c>
      <c r="C251" s="1" t="str" cm="1">
        <f t="array" ref="C251">_xlfn.IFS(OR(B251=" ", B251="NA",NOT(ISNUMBER(B251))), "Unknown",B251&lt;18,"Underage",B251&lt;=24,"Young Adult",B251&lt;=34,"Early Career",B251&lt;=44,"Mid Career",B251&lt;=54,"Mature",B251&lt;=65,"Pre-Senior",B251&gt;65,"Senior")</f>
        <v>Mid Career</v>
      </c>
      <c r="D251" s="1" t="s">
        <v>29</v>
      </c>
      <c r="E251" s="1" t="s">
        <v>49</v>
      </c>
      <c r="F251" s="1">
        <v>1650000</v>
      </c>
      <c r="G251" s="1">
        <v>33</v>
      </c>
      <c r="H251" s="1" t="str" cm="1">
        <f t="array" ref="H251">_xlfn.IFS( OR(G251=" ",NOT(ISNUMBER(G251))),"Unknown",G251&lt;=33,"Low Spender",G251&lt;=66,"Medium Spender",TRUE, "High Spender")</f>
        <v>Low Spender</v>
      </c>
      <c r="I251" s="1">
        <v>51</v>
      </c>
      <c r="J251" s="1">
        <v>8900</v>
      </c>
      <c r="K251" s="1">
        <v>355</v>
      </c>
      <c r="N251" s="1" t="str">
        <f t="shared" si="6"/>
        <v>Higher</v>
      </c>
      <c r="O251" s="1" t="str">
        <f t="shared" si="7"/>
        <v>Mid Career | Low Spender | Higher</v>
      </c>
    </row>
    <row r="252" spans="1:15" x14ac:dyDescent="0.25">
      <c r="A252" s="1" t="s">
        <v>282</v>
      </c>
      <c r="B252" s="1">
        <v>19</v>
      </c>
      <c r="C252" s="1" t="str" cm="1">
        <f t="array" ref="C252">_xlfn.IFS(OR(B252=" ", B252="NA",NOT(ISNUMBER(B252))), "Unknown",B252&lt;18,"Underage",B252&lt;=24,"Young Adult",B252&lt;=34,"Early Career",B252&lt;=44,"Mid Career",B252&lt;=54,"Mature",B252&lt;=65,"Pre-Senior",B252&gt;65,"Senior")</f>
        <v>Young Adult</v>
      </c>
      <c r="E252" s="1" t="s">
        <v>58</v>
      </c>
      <c r="F252" s="1">
        <v>500000</v>
      </c>
      <c r="G252" s="1">
        <v>88</v>
      </c>
      <c r="H252" s="1" t="str" cm="1">
        <f t="array" ref="H252">_xlfn.IFS( OR(G252=" ",NOT(ISNUMBER(G252))),"Unknown",G252&lt;=33,"Low Spender",G252&lt;=66,"Medium Spender",TRUE, "High Spender")</f>
        <v>High Spender</v>
      </c>
      <c r="I252" s="1">
        <v>79</v>
      </c>
      <c r="J252" s="1">
        <v>3300</v>
      </c>
      <c r="K252" s="1">
        <v>210</v>
      </c>
      <c r="L252" s="1" t="s">
        <v>20</v>
      </c>
      <c r="M252" s="1" t="s">
        <v>41</v>
      </c>
      <c r="N252" s="1" t="str">
        <f t="shared" si="6"/>
        <v>Lower</v>
      </c>
      <c r="O252" s="1" t="str">
        <f t="shared" si="7"/>
        <v>Young Adult | High Spender | Lower</v>
      </c>
    </row>
    <row r="253" spans="1:15" x14ac:dyDescent="0.25">
      <c r="A253" s="1" t="s">
        <v>283</v>
      </c>
      <c r="C253" s="1" t="str" cm="1">
        <f t="array" ref="C253">_xlfn.IFS(OR(B253=" ", B253="NA",NOT(ISNUMBER(B253))), "Unknown",B253&lt;18,"Underage",B253&lt;=24,"Young Adult",B253&lt;=34,"Early Career",B253&lt;=44,"Mid Career",B253&lt;=54,"Mature",B253&lt;=65,"Pre-Senior",B253&gt;65,"Senior")</f>
        <v>Unknown</v>
      </c>
      <c r="D253" s="1" t="s">
        <v>29</v>
      </c>
      <c r="F253" s="1">
        <v>1750000</v>
      </c>
      <c r="G253" s="1">
        <v>66</v>
      </c>
      <c r="H253" s="1" t="str" cm="1">
        <f t="array" ref="H253">_xlfn.IFS( OR(G253=" ",NOT(ISNUMBER(G253))),"Unknown",G253&lt;=33,"Low Spender",G253&lt;=66,"Medium Spender",TRUE, "High Spender")</f>
        <v>Medium Spender</v>
      </c>
      <c r="I253" s="1">
        <v>60</v>
      </c>
      <c r="J253" s="1">
        <v>7100</v>
      </c>
      <c r="K253" s="1">
        <v>19</v>
      </c>
      <c r="L253" s="1" t="s">
        <v>20</v>
      </c>
      <c r="M253" s="1" t="s">
        <v>30</v>
      </c>
      <c r="N253" s="1" t="str">
        <f t="shared" si="6"/>
        <v>Higher</v>
      </c>
      <c r="O253" s="1" t="str">
        <f t="shared" si="7"/>
        <v>Unknown | Medium Spender | Higher</v>
      </c>
    </row>
    <row r="254" spans="1:15" x14ac:dyDescent="0.25">
      <c r="A254" s="1" t="s">
        <v>284</v>
      </c>
      <c r="B254" s="1">
        <v>61</v>
      </c>
      <c r="C254" s="1" t="str" cm="1">
        <f t="array" ref="C254">_xlfn.IFS(OR(B254=" ", B254="NA",NOT(ISNUMBER(B254))), "Unknown",B254&lt;18,"Underage",B254&lt;=24,"Young Adult",B254&lt;=34,"Early Career",B254&lt;=44,"Mid Career",B254&lt;=54,"Mature",B254&lt;=65,"Pre-Senior",B254&gt;65,"Senior")</f>
        <v>Pre-Senior</v>
      </c>
      <c r="D254" s="1" t="s">
        <v>29</v>
      </c>
      <c r="E254" s="1" t="s">
        <v>13</v>
      </c>
      <c r="F254" s="1">
        <v>675000</v>
      </c>
      <c r="G254" s="1">
        <v>30</v>
      </c>
      <c r="H254" s="1" t="str" cm="1">
        <f t="array" ref="H254">_xlfn.IFS( OR(G254=" ",NOT(ISNUMBER(G254))),"Unknown",G254&lt;=33,"Low Spender",G254&lt;=66,"Medium Spender",TRUE, "High Spender")</f>
        <v>Low Spender</v>
      </c>
      <c r="I254" s="1">
        <v>34</v>
      </c>
      <c r="J254" s="1">
        <v>800</v>
      </c>
      <c r="K254" s="1">
        <v>196</v>
      </c>
      <c r="L254" s="1" t="s">
        <v>16</v>
      </c>
      <c r="N254" s="1" t="str">
        <f t="shared" si="6"/>
        <v>Higher</v>
      </c>
      <c r="O254" s="1" t="str">
        <f t="shared" si="7"/>
        <v>Pre-Senior | Low Spender | Higher</v>
      </c>
    </row>
    <row r="255" spans="1:15" x14ac:dyDescent="0.25">
      <c r="A255" s="1" t="s">
        <v>285</v>
      </c>
      <c r="B255" s="1">
        <v>43</v>
      </c>
      <c r="C255" s="1" t="str" cm="1">
        <f t="array" ref="C255">_xlfn.IFS(OR(B255=" ", B255="NA",NOT(ISNUMBER(B255))), "Unknown",B255&lt;18,"Underage",B255&lt;=24,"Young Adult",B255&lt;=34,"Early Career",B255&lt;=44,"Mid Career",B255&lt;=54,"Mature",B255&lt;=65,"Pre-Senior",B255&gt;65,"Senior")</f>
        <v>Mid Career</v>
      </c>
      <c r="D255" s="1" t="s">
        <v>18</v>
      </c>
      <c r="E255" s="1" t="s">
        <v>58</v>
      </c>
      <c r="F255" s="1">
        <v>200000</v>
      </c>
      <c r="G255" s="1">
        <v>81</v>
      </c>
      <c r="H255" s="1" t="str" cm="1">
        <f t="array" ref="H255">_xlfn.IFS( OR(G255=" ",NOT(ISNUMBER(G255))),"Unknown",G255&lt;=33,"Low Spender",G255&lt;=66,"Medium Spender",TRUE, "High Spender")</f>
        <v>High Spender</v>
      </c>
      <c r="I255" s="1">
        <v>36</v>
      </c>
      <c r="J255" s="1">
        <v>11700</v>
      </c>
      <c r="K255" s="1">
        <v>326</v>
      </c>
      <c r="L255" s="1" t="s">
        <v>37</v>
      </c>
      <c r="N255" s="1" t="str">
        <f t="shared" si="6"/>
        <v>Higher</v>
      </c>
      <c r="O255" s="1" t="str">
        <f t="shared" si="7"/>
        <v>Mid Career | High Spender | Higher</v>
      </c>
    </row>
    <row r="256" spans="1:15" x14ac:dyDescent="0.25">
      <c r="A256" s="1" t="s">
        <v>286</v>
      </c>
      <c r="B256" s="1">
        <v>49</v>
      </c>
      <c r="C256" s="1" t="str" cm="1">
        <f t="array" ref="C256">_xlfn.IFS(OR(B256=" ", B256="NA",NOT(ISNUMBER(B256))), "Unknown",B256&lt;18,"Underage",B256&lt;=24,"Young Adult",B256&lt;=34,"Early Career",B256&lt;=44,"Mid Career",B256&lt;=54,"Mature",B256&lt;=65,"Pre-Senior",B256&gt;65,"Senior")</f>
        <v>Mature</v>
      </c>
      <c r="D256" s="1" t="s">
        <v>12</v>
      </c>
      <c r="E256" s="1" t="s">
        <v>27</v>
      </c>
      <c r="F256" s="1">
        <v>1475000</v>
      </c>
      <c r="G256" s="1">
        <v>34</v>
      </c>
      <c r="H256" s="1" t="str" cm="1">
        <f t="array" ref="H256">_xlfn.IFS( OR(G256=" ",NOT(ISNUMBER(G256))),"Unknown",G256&lt;=33,"Low Spender",G256&lt;=66,"Medium Spender",TRUE, "High Spender")</f>
        <v>Medium Spender</v>
      </c>
      <c r="I256" s="1">
        <v>62</v>
      </c>
      <c r="J256" s="1">
        <v>6700</v>
      </c>
      <c r="K256" s="1">
        <v>115</v>
      </c>
      <c r="M256" s="1" t="s">
        <v>21</v>
      </c>
      <c r="N256" s="1" t="str">
        <f t="shared" si="6"/>
        <v>Lower</v>
      </c>
      <c r="O256" s="1" t="str">
        <f t="shared" si="7"/>
        <v>Mature | Medium Spender | Lower</v>
      </c>
    </row>
    <row r="257" spans="1:15" x14ac:dyDescent="0.25">
      <c r="A257" s="1" t="s">
        <v>287</v>
      </c>
      <c r="B257" s="1">
        <v>23</v>
      </c>
      <c r="C257" s="1" t="str" cm="1">
        <f t="array" ref="C257">_xlfn.IFS(OR(B257=" ", B257="NA",NOT(ISNUMBER(B257))), "Unknown",B257&lt;18,"Underage",B257&lt;=24,"Young Adult",B257&lt;=34,"Early Career",B257&lt;=44,"Mid Career",B257&lt;=54,"Mature",B257&lt;=65,"Pre-Senior",B257&gt;65,"Senior")</f>
        <v>Young Adult</v>
      </c>
      <c r="F257" s="1">
        <v>475000</v>
      </c>
      <c r="H257" s="1" t="str" cm="1">
        <f t="array" ref="H257">_xlfn.IFS( OR(G257=" ",NOT(ISNUMBER(G257))),"Unknown",G257&lt;=33,"Low Spender",G257&lt;=66,"Medium Spender",TRUE, "High Spender")</f>
        <v>Unknown</v>
      </c>
      <c r="I257" s="1">
        <v>1</v>
      </c>
      <c r="J257" s="1">
        <v>6100</v>
      </c>
      <c r="K257" s="1">
        <v>352</v>
      </c>
      <c r="M257" s="1" t="s">
        <v>32</v>
      </c>
      <c r="N257" s="1" t="str">
        <f t="shared" si="6"/>
        <v>Lower</v>
      </c>
      <c r="O257" s="1" t="str">
        <f t="shared" si="7"/>
        <v>Young Adult | Unknown | Lower</v>
      </c>
    </row>
    <row r="258" spans="1:15" x14ac:dyDescent="0.25">
      <c r="A258" s="1" t="s">
        <v>288</v>
      </c>
      <c r="B258" s="1">
        <v>49</v>
      </c>
      <c r="C258" s="1" t="str" cm="1">
        <f t="array" ref="C258">_xlfn.IFS(OR(B258=" ", B258="NA",NOT(ISNUMBER(B258))), "Unknown",B258&lt;18,"Underage",B258&lt;=24,"Young Adult",B258&lt;=34,"Early Career",B258&lt;=44,"Mid Career",B258&lt;=54,"Mature",B258&lt;=65,"Pre-Senior",B258&gt;65,"Senior")</f>
        <v>Mature</v>
      </c>
      <c r="D258" s="1" t="s">
        <v>18</v>
      </c>
      <c r="E258" s="1" t="s">
        <v>58</v>
      </c>
      <c r="F258" s="1">
        <v>1025000</v>
      </c>
      <c r="G258" s="1">
        <v>86</v>
      </c>
      <c r="H258" s="1" t="str" cm="1">
        <f t="array" ref="H258">_xlfn.IFS( OR(G258=" ",NOT(ISNUMBER(G258))),"Unknown",G258&lt;=33,"Low Spender",G258&lt;=66,"Medium Spender",TRUE, "High Spender")</f>
        <v>High Spender</v>
      </c>
      <c r="I258" s="1">
        <v>42</v>
      </c>
      <c r="J258" s="1">
        <v>11400</v>
      </c>
      <c r="K258" s="1">
        <v>75</v>
      </c>
      <c r="L258" s="1" t="s">
        <v>16</v>
      </c>
      <c r="N258" s="1" t="str">
        <f t="shared" ref="N258:N321" si="8">IF(OR(UPPER(TRIM(D258))="Male",UPPER(TRIM(D258))="Female"),"Higher","Lower")</f>
        <v>Higher</v>
      </c>
      <c r="O258" s="1" t="str">
        <f t="shared" ref="O258:O321" si="9">_xlfn.TEXTJOIN(" | ", TRUE, C258, H258, N258)</f>
        <v>Mature | High Spender | Higher</v>
      </c>
    </row>
    <row r="259" spans="1:15" x14ac:dyDescent="0.25">
      <c r="A259" s="1" t="s">
        <v>289</v>
      </c>
      <c r="B259" s="1" t="s">
        <v>73</v>
      </c>
      <c r="C259" s="1" t="str" cm="1">
        <f t="array" ref="C259">_xlfn.IFS(OR(B259=" ", B259="NA",NOT(ISNUMBER(B259))), "Unknown",B259&lt;18,"Underage",B259&lt;=24,"Young Adult",B259&lt;=34,"Early Career",B259&lt;=44,"Mid Career",B259&lt;=54,"Mature",B259&lt;=65,"Pre-Senior",B259&gt;65,"Senior")</f>
        <v>Unknown</v>
      </c>
      <c r="D259" s="1" t="s">
        <v>29</v>
      </c>
      <c r="E259" s="1" t="s">
        <v>23</v>
      </c>
      <c r="F259" s="1">
        <v>1800000</v>
      </c>
      <c r="G259" s="1">
        <v>69</v>
      </c>
      <c r="H259" s="1" t="str" cm="1">
        <f t="array" ref="H259">_xlfn.IFS( OR(G259=" ",NOT(ISNUMBER(G259))),"Unknown",G259&lt;=33,"Low Spender",G259&lt;=66,"Medium Spender",TRUE, "High Spender")</f>
        <v>High Spender</v>
      </c>
      <c r="I259" s="1">
        <v>1</v>
      </c>
      <c r="J259" s="1">
        <v>3000</v>
      </c>
      <c r="K259" s="1">
        <v>150</v>
      </c>
      <c r="L259" s="1" t="s">
        <v>35</v>
      </c>
      <c r="M259" s="1" t="s">
        <v>41</v>
      </c>
      <c r="N259" s="1" t="str">
        <f t="shared" si="8"/>
        <v>Higher</v>
      </c>
      <c r="O259" s="1" t="str">
        <f t="shared" si="9"/>
        <v>Unknown | High Spender | Higher</v>
      </c>
    </row>
    <row r="260" spans="1:15" x14ac:dyDescent="0.25">
      <c r="A260" s="1" t="s">
        <v>290</v>
      </c>
      <c r="B260" s="1">
        <v>21</v>
      </c>
      <c r="C260" s="1" t="str" cm="1">
        <f t="array" ref="C260">_xlfn.IFS(OR(B260=" ", B260="NA",NOT(ISNUMBER(B260))), "Unknown",B260&lt;18,"Underage",B260&lt;=24,"Young Adult",B260&lt;=34,"Early Career",B260&lt;=44,"Mid Career",B260&lt;=54,"Mature",B260&lt;=65,"Pre-Senior",B260&gt;65,"Senior")</f>
        <v>Young Adult</v>
      </c>
      <c r="D260" s="1" t="s">
        <v>29</v>
      </c>
      <c r="F260" s="1">
        <v>375000</v>
      </c>
      <c r="G260" s="1">
        <v>48</v>
      </c>
      <c r="H260" s="1" t="str" cm="1">
        <f t="array" ref="H260">_xlfn.IFS( OR(G260=" ",NOT(ISNUMBER(G260))),"Unknown",G260&lt;=33,"Low Spender",G260&lt;=66,"Medium Spender",TRUE, "High Spender")</f>
        <v>Medium Spender</v>
      </c>
      <c r="I260" s="1">
        <v>54</v>
      </c>
      <c r="J260" s="1">
        <v>2000</v>
      </c>
      <c r="K260" s="1">
        <v>36</v>
      </c>
      <c r="M260" s="1" t="s">
        <v>30</v>
      </c>
      <c r="N260" s="1" t="str">
        <f t="shared" si="8"/>
        <v>Higher</v>
      </c>
      <c r="O260" s="1" t="str">
        <f t="shared" si="9"/>
        <v>Young Adult | Medium Spender | Higher</v>
      </c>
    </row>
    <row r="261" spans="1:15" x14ac:dyDescent="0.25">
      <c r="A261" s="1" t="s">
        <v>291</v>
      </c>
      <c r="B261" s="1" t="s">
        <v>73</v>
      </c>
      <c r="C261" s="1" t="str" cm="1">
        <f t="array" ref="C261">_xlfn.IFS(OR(B261=" ", B261="NA",NOT(ISNUMBER(B261))), "Unknown",B261&lt;18,"Underage",B261&lt;=24,"Young Adult",B261&lt;=34,"Early Career",B261&lt;=44,"Mid Career",B261&lt;=54,"Mature",B261&lt;=65,"Pre-Senior",B261&gt;65,"Senior")</f>
        <v>Unknown</v>
      </c>
      <c r="F261" s="1">
        <v>1350000</v>
      </c>
      <c r="G261" s="1">
        <v>40</v>
      </c>
      <c r="H261" s="1" t="str" cm="1">
        <f t="array" ref="H261">_xlfn.IFS( OR(G261=" ",NOT(ISNUMBER(G261))),"Unknown",G261&lt;=33,"Low Spender",G261&lt;=66,"Medium Spender",TRUE, "High Spender")</f>
        <v>Medium Spender</v>
      </c>
      <c r="I261" s="1">
        <v>47</v>
      </c>
      <c r="J261" s="1">
        <v>9000</v>
      </c>
      <c r="K261" s="1">
        <v>242</v>
      </c>
      <c r="M261" s="1" t="s">
        <v>21</v>
      </c>
      <c r="N261" s="1" t="str">
        <f t="shared" si="8"/>
        <v>Lower</v>
      </c>
      <c r="O261" s="1" t="str">
        <f t="shared" si="9"/>
        <v>Unknown | Medium Spender | Lower</v>
      </c>
    </row>
    <row r="262" spans="1:15" x14ac:dyDescent="0.25">
      <c r="A262" s="1" t="s">
        <v>292</v>
      </c>
      <c r="B262" s="1">
        <v>28</v>
      </c>
      <c r="C262" s="1" t="str" cm="1">
        <f t="array" ref="C262">_xlfn.IFS(OR(B262=" ", B262="NA",NOT(ISNUMBER(B262))), "Unknown",B262&lt;18,"Underage",B262&lt;=24,"Young Adult",B262&lt;=34,"Early Career",B262&lt;=44,"Mid Career",B262&lt;=54,"Mature",B262&lt;=65,"Pre-Senior",B262&gt;65,"Senior")</f>
        <v>Early Career</v>
      </c>
      <c r="D262" s="1" t="s">
        <v>29</v>
      </c>
      <c r="E262" s="1" t="s">
        <v>23</v>
      </c>
      <c r="F262" s="1">
        <v>1750000</v>
      </c>
      <c r="G262" s="1">
        <v>51</v>
      </c>
      <c r="H262" s="1" t="str" cm="1">
        <f t="array" ref="H262">_xlfn.IFS( OR(G262=" ",NOT(ISNUMBER(G262))),"Unknown",G262&lt;=33,"Low Spender",G262&lt;=66,"Medium Spender",TRUE, "High Spender")</f>
        <v>Medium Spender</v>
      </c>
      <c r="I262" s="1">
        <v>39</v>
      </c>
      <c r="J262" s="1">
        <v>7900</v>
      </c>
      <c r="K262" s="1">
        <v>151</v>
      </c>
      <c r="L262" s="1" t="s">
        <v>20</v>
      </c>
      <c r="M262" s="1" t="s">
        <v>41</v>
      </c>
      <c r="N262" s="1" t="str">
        <f t="shared" si="8"/>
        <v>Higher</v>
      </c>
      <c r="O262" s="1" t="str">
        <f t="shared" si="9"/>
        <v>Early Career | Medium Spender | Higher</v>
      </c>
    </row>
    <row r="263" spans="1:15" x14ac:dyDescent="0.25">
      <c r="A263" s="1" t="s">
        <v>293</v>
      </c>
      <c r="B263" s="1">
        <v>34</v>
      </c>
      <c r="C263" s="1" t="str" cm="1">
        <f t="array" ref="C263">_xlfn.IFS(OR(B263=" ", B263="NA",NOT(ISNUMBER(B263))), "Unknown",B263&lt;18,"Underage",B263&lt;=24,"Young Adult",B263&lt;=34,"Early Career",B263&lt;=44,"Mid Career",B263&lt;=54,"Mature",B263&lt;=65,"Pre-Senior",B263&gt;65,"Senior")</f>
        <v>Early Career</v>
      </c>
      <c r="D263" s="1" t="s">
        <v>29</v>
      </c>
      <c r="E263" s="1" t="s">
        <v>58</v>
      </c>
      <c r="F263" s="1">
        <v>1550000</v>
      </c>
      <c r="G263" s="1">
        <v>80</v>
      </c>
      <c r="H263" s="1" t="str" cm="1">
        <f t="array" ref="H263">_xlfn.IFS( OR(G263=" ",NOT(ISNUMBER(G263))),"Unknown",G263&lt;=33,"Low Spender",G263&lt;=66,"Medium Spender",TRUE, "High Spender")</f>
        <v>High Spender</v>
      </c>
      <c r="I263" s="1">
        <v>30</v>
      </c>
      <c r="J263" s="1">
        <v>9900</v>
      </c>
      <c r="K263" s="1">
        <v>63</v>
      </c>
      <c r="L263" s="1" t="s">
        <v>16</v>
      </c>
      <c r="M263" s="1" t="s">
        <v>30</v>
      </c>
      <c r="N263" s="1" t="str">
        <f t="shared" si="8"/>
        <v>Higher</v>
      </c>
      <c r="O263" s="1" t="str">
        <f t="shared" si="9"/>
        <v>Early Career | High Spender | Higher</v>
      </c>
    </row>
    <row r="264" spans="1:15" x14ac:dyDescent="0.25">
      <c r="A264" s="1" t="s">
        <v>294</v>
      </c>
      <c r="B264" s="1">
        <v>55</v>
      </c>
      <c r="C264" s="1" t="str" cm="1">
        <f t="array" ref="C264">_xlfn.IFS(OR(B264=" ", B264="NA",NOT(ISNUMBER(B264))), "Unknown",B264&lt;18,"Underage",B264&lt;=24,"Young Adult",B264&lt;=34,"Early Career",B264&lt;=44,"Mid Career",B264&lt;=54,"Mature",B264&lt;=65,"Pre-Senior",B264&gt;65,"Senior")</f>
        <v>Pre-Senior</v>
      </c>
      <c r="E264" s="1" t="s">
        <v>19</v>
      </c>
      <c r="F264" s="1">
        <v>800000</v>
      </c>
      <c r="G264" s="1">
        <v>13</v>
      </c>
      <c r="H264" s="1" t="str" cm="1">
        <f t="array" ref="H264">_xlfn.IFS( OR(G264=" ",NOT(ISNUMBER(G264))),"Unknown",G264&lt;=33,"Low Spender",G264&lt;=66,"Medium Spender",TRUE, "High Spender")</f>
        <v>Low Spender</v>
      </c>
      <c r="I264" s="1">
        <v>7</v>
      </c>
      <c r="J264" s="1">
        <v>1200</v>
      </c>
      <c r="K264" s="1">
        <v>154</v>
      </c>
      <c r="M264" s="1" t="s">
        <v>32</v>
      </c>
      <c r="N264" s="1" t="str">
        <f t="shared" si="8"/>
        <v>Lower</v>
      </c>
      <c r="O264" s="1" t="str">
        <f t="shared" si="9"/>
        <v>Pre-Senior | Low Spender | Lower</v>
      </c>
    </row>
    <row r="265" spans="1:15" x14ac:dyDescent="0.25">
      <c r="A265" s="1" t="s">
        <v>295</v>
      </c>
      <c r="B265" s="1">
        <v>41</v>
      </c>
      <c r="C265" s="1" t="str" cm="1">
        <f t="array" ref="C265">_xlfn.IFS(OR(B265=" ", B265="NA",NOT(ISNUMBER(B265))), "Unknown",B265&lt;18,"Underage",B265&lt;=24,"Young Adult",B265&lt;=34,"Early Career",B265&lt;=44,"Mid Career",B265&lt;=54,"Mature",B265&lt;=65,"Pre-Senior",B265&gt;65,"Senior")</f>
        <v>Mid Career</v>
      </c>
      <c r="D265" s="1" t="s">
        <v>29</v>
      </c>
      <c r="E265" s="1" t="s">
        <v>34</v>
      </c>
      <c r="G265" s="1">
        <v>90</v>
      </c>
      <c r="H265" s="1" t="str" cm="1">
        <f t="array" ref="H265">_xlfn.IFS( OR(G265=" ",NOT(ISNUMBER(G265))),"Unknown",G265&lt;=33,"Low Spender",G265&lt;=66,"Medium Spender",TRUE, "High Spender")</f>
        <v>High Spender</v>
      </c>
      <c r="I265" s="1">
        <v>22</v>
      </c>
      <c r="J265" s="1">
        <v>900</v>
      </c>
      <c r="K265" s="1">
        <v>188</v>
      </c>
      <c r="M265" s="1" t="s">
        <v>41</v>
      </c>
      <c r="N265" s="1" t="str">
        <f t="shared" si="8"/>
        <v>Higher</v>
      </c>
      <c r="O265" s="1" t="str">
        <f t="shared" si="9"/>
        <v>Mid Career | High Spender | Higher</v>
      </c>
    </row>
    <row r="266" spans="1:15" x14ac:dyDescent="0.25">
      <c r="A266" s="1" t="s">
        <v>296</v>
      </c>
      <c r="B266" s="1">
        <v>22</v>
      </c>
      <c r="C266" s="1" t="str" cm="1">
        <f t="array" ref="C266">_xlfn.IFS(OR(B266=" ", B266="NA",NOT(ISNUMBER(B266))), "Unknown",B266&lt;18,"Underage",B266&lt;=24,"Young Adult",B266&lt;=34,"Early Career",B266&lt;=44,"Mid Career",B266&lt;=54,"Mature",B266&lt;=65,"Pre-Senior",B266&gt;65,"Senior")</f>
        <v>Young Adult</v>
      </c>
      <c r="D266" s="1" t="s">
        <v>29</v>
      </c>
      <c r="E266" s="1" t="s">
        <v>19</v>
      </c>
      <c r="F266" s="1">
        <v>250000</v>
      </c>
      <c r="G266" s="1">
        <v>31</v>
      </c>
      <c r="H266" s="1" t="str" cm="1">
        <f t="array" ref="H266">_xlfn.IFS( OR(G266=" ",NOT(ISNUMBER(G266))),"Unknown",G266&lt;=33,"Low Spender",G266&lt;=66,"Medium Spender",TRUE, "High Spender")</f>
        <v>Low Spender</v>
      </c>
      <c r="I266" s="1">
        <v>50</v>
      </c>
      <c r="J266" s="1">
        <v>3900</v>
      </c>
      <c r="K266" s="1">
        <v>223</v>
      </c>
      <c r="M266" s="1" t="s">
        <v>30</v>
      </c>
      <c r="N266" s="1" t="str">
        <f t="shared" si="8"/>
        <v>Higher</v>
      </c>
      <c r="O266" s="1" t="str">
        <f t="shared" si="9"/>
        <v>Young Adult | Low Spender | Higher</v>
      </c>
    </row>
    <row r="267" spans="1:15" x14ac:dyDescent="0.25">
      <c r="A267" s="1" t="s">
        <v>297</v>
      </c>
      <c r="B267" s="1">
        <v>69</v>
      </c>
      <c r="C267" s="1" t="str" cm="1">
        <f t="array" ref="C267">_xlfn.IFS(OR(B267=" ", B267="NA",NOT(ISNUMBER(B267))), "Unknown",B267&lt;18,"Underage",B267&lt;=24,"Young Adult",B267&lt;=34,"Early Career",B267&lt;=44,"Mid Career",B267&lt;=54,"Mature",B267&lt;=65,"Pre-Senior",B267&gt;65,"Senior")</f>
        <v>Senior</v>
      </c>
      <c r="D267" s="1" t="s">
        <v>18</v>
      </c>
      <c r="F267" s="1">
        <v>1900000</v>
      </c>
      <c r="G267" s="1">
        <v>39</v>
      </c>
      <c r="H267" s="1" t="str" cm="1">
        <f t="array" ref="H267">_xlfn.IFS( OR(G267=" ",NOT(ISNUMBER(G267))),"Unknown",G267&lt;=33,"Low Spender",G267&lt;=66,"Medium Spender",TRUE, "High Spender")</f>
        <v>Medium Spender</v>
      </c>
      <c r="I267" s="1">
        <v>45</v>
      </c>
      <c r="J267" s="1">
        <v>9800</v>
      </c>
      <c r="K267" s="1">
        <v>93</v>
      </c>
      <c r="L267" s="1" t="s">
        <v>37</v>
      </c>
      <c r="M267" s="1" t="s">
        <v>21</v>
      </c>
      <c r="N267" s="1" t="str">
        <f t="shared" si="8"/>
        <v>Higher</v>
      </c>
      <c r="O267" s="1" t="str">
        <f t="shared" si="9"/>
        <v>Senior | Medium Spender | Higher</v>
      </c>
    </row>
    <row r="268" spans="1:15" x14ac:dyDescent="0.25">
      <c r="A268" s="1" t="s">
        <v>298</v>
      </c>
      <c r="B268" s="1">
        <v>51</v>
      </c>
      <c r="C268" s="1" t="str" cm="1">
        <f t="array" ref="C268">_xlfn.IFS(OR(B268=" ", B268="NA",NOT(ISNUMBER(B268))), "Unknown",B268&lt;18,"Underage",B268&lt;=24,"Young Adult",B268&lt;=34,"Early Career",B268&lt;=44,"Mid Career",B268&lt;=54,"Mature",B268&lt;=65,"Pre-Senior",B268&gt;65,"Senior")</f>
        <v>Mature</v>
      </c>
      <c r="F268" s="1">
        <v>1550000</v>
      </c>
      <c r="G268" s="1">
        <v>63</v>
      </c>
      <c r="H268" s="1" t="str" cm="1">
        <f t="array" ref="H268">_xlfn.IFS( OR(G268=" ",NOT(ISNUMBER(G268))),"Unknown",G268&lt;=33,"Low Spender",G268&lt;=66,"Medium Spender",TRUE, "High Spender")</f>
        <v>Medium Spender</v>
      </c>
      <c r="I268" s="1">
        <v>74</v>
      </c>
      <c r="J268" s="1">
        <v>4700</v>
      </c>
      <c r="K268" s="1">
        <v>5</v>
      </c>
      <c r="L268" s="1" t="s">
        <v>20</v>
      </c>
      <c r="M268" s="1" t="s">
        <v>30</v>
      </c>
      <c r="N268" s="1" t="str">
        <f t="shared" si="8"/>
        <v>Lower</v>
      </c>
      <c r="O268" s="1" t="str">
        <f t="shared" si="9"/>
        <v>Mature | Medium Spender | Lower</v>
      </c>
    </row>
    <row r="269" spans="1:15" x14ac:dyDescent="0.25">
      <c r="A269" s="1" t="s">
        <v>299</v>
      </c>
      <c r="B269" s="1">
        <v>23</v>
      </c>
      <c r="C269" s="1" t="str" cm="1">
        <f t="array" ref="C269">_xlfn.IFS(OR(B269=" ", B269="NA",NOT(ISNUMBER(B269))), "Unknown",B269&lt;18,"Underage",B269&lt;=24,"Young Adult",B269&lt;=34,"Early Career",B269&lt;=44,"Mid Career",B269&lt;=54,"Mature",B269&lt;=65,"Pre-Senior",B269&gt;65,"Senior")</f>
        <v>Young Adult</v>
      </c>
      <c r="F269" s="1">
        <v>500000</v>
      </c>
      <c r="G269" s="1">
        <v>48</v>
      </c>
      <c r="H269" s="1" t="str" cm="1">
        <f t="array" ref="H269">_xlfn.IFS( OR(G269=" ",NOT(ISNUMBER(G269))),"Unknown",G269&lt;=33,"Low Spender",G269&lt;=66,"Medium Spender",TRUE, "High Spender")</f>
        <v>Medium Spender</v>
      </c>
      <c r="I269" s="1">
        <v>72</v>
      </c>
      <c r="J269" s="1">
        <v>8800</v>
      </c>
      <c r="K269" s="1">
        <v>166</v>
      </c>
      <c r="N269" s="1" t="str">
        <f t="shared" si="8"/>
        <v>Lower</v>
      </c>
      <c r="O269" s="1" t="str">
        <f t="shared" si="9"/>
        <v>Young Adult | Medium Spender | Lower</v>
      </c>
    </row>
    <row r="270" spans="1:15" x14ac:dyDescent="0.25">
      <c r="A270" s="1" t="s">
        <v>300</v>
      </c>
      <c r="B270" s="1">
        <v>39</v>
      </c>
      <c r="C270" s="1" t="str" cm="1">
        <f t="array" ref="C270">_xlfn.IFS(OR(B270=" ", B270="NA",NOT(ISNUMBER(B270))), "Unknown",B270&lt;18,"Underage",B270&lt;=24,"Young Adult",B270&lt;=34,"Early Career",B270&lt;=44,"Mid Career",B270&lt;=54,"Mature",B270&lt;=65,"Pre-Senior",B270&gt;65,"Senior")</f>
        <v>Mid Career</v>
      </c>
      <c r="G270" s="1">
        <v>87</v>
      </c>
      <c r="H270" s="1" t="str" cm="1">
        <f t="array" ref="H270">_xlfn.IFS( OR(G270=" ",NOT(ISNUMBER(G270))),"Unknown",G270&lt;=33,"Low Spender",G270&lt;=66,"Medium Spender",TRUE, "High Spender")</f>
        <v>High Spender</v>
      </c>
      <c r="I270" s="1">
        <v>10</v>
      </c>
      <c r="J270" s="1">
        <v>1800</v>
      </c>
      <c r="K270" s="1">
        <v>25</v>
      </c>
      <c r="L270" s="1" t="s">
        <v>20</v>
      </c>
      <c r="M270" s="1" t="s">
        <v>21</v>
      </c>
      <c r="N270" s="1" t="str">
        <f t="shared" si="8"/>
        <v>Lower</v>
      </c>
      <c r="O270" s="1" t="str">
        <f t="shared" si="9"/>
        <v>Mid Career | High Spender | Lower</v>
      </c>
    </row>
    <row r="271" spans="1:15" x14ac:dyDescent="0.25">
      <c r="A271" s="1" t="s">
        <v>301</v>
      </c>
      <c r="B271" s="1">
        <v>28</v>
      </c>
      <c r="C271" s="1" t="str" cm="1">
        <f t="array" ref="C271">_xlfn.IFS(OR(B271=" ", B271="NA",NOT(ISNUMBER(B271))), "Unknown",B271&lt;18,"Underage",B271&lt;=24,"Young Adult",B271&lt;=34,"Early Career",B271&lt;=44,"Mid Career",B271&lt;=54,"Mature",B271&lt;=65,"Pre-Senior",B271&gt;65,"Senior")</f>
        <v>Early Career</v>
      </c>
      <c r="D271" s="1" t="s">
        <v>18</v>
      </c>
      <c r="E271" s="1" t="s">
        <v>23</v>
      </c>
      <c r="F271" s="1">
        <v>875000</v>
      </c>
      <c r="G271" s="1">
        <v>48</v>
      </c>
      <c r="H271" s="1" t="str" cm="1">
        <f t="array" ref="H271">_xlfn.IFS( OR(G271=" ",NOT(ISNUMBER(G271))),"Unknown",G271&lt;=33,"Low Spender",G271&lt;=66,"Medium Spender",TRUE, "High Spender")</f>
        <v>Medium Spender</v>
      </c>
      <c r="I271" s="1">
        <v>14</v>
      </c>
      <c r="J271" s="1">
        <v>9000</v>
      </c>
      <c r="K271" s="1">
        <v>98</v>
      </c>
      <c r="M271" s="1" t="s">
        <v>41</v>
      </c>
      <c r="N271" s="1" t="str">
        <f t="shared" si="8"/>
        <v>Higher</v>
      </c>
      <c r="O271" s="1" t="str">
        <f t="shared" si="9"/>
        <v>Early Career | Medium Spender | Higher</v>
      </c>
    </row>
    <row r="272" spans="1:15" x14ac:dyDescent="0.25">
      <c r="A272" s="1" t="s">
        <v>302</v>
      </c>
      <c r="B272" s="1">
        <v>65</v>
      </c>
      <c r="C272" s="1" t="str" cm="1">
        <f t="array" ref="C272">_xlfn.IFS(OR(B272=" ", B272="NA",NOT(ISNUMBER(B272))), "Unknown",B272&lt;18,"Underage",B272&lt;=24,"Young Adult",B272&lt;=34,"Early Career",B272&lt;=44,"Mid Career",B272&lt;=54,"Mature",B272&lt;=65,"Pre-Senior",B272&gt;65,"Senior")</f>
        <v>Pre-Senior</v>
      </c>
      <c r="D272" s="1" t="s">
        <v>12</v>
      </c>
      <c r="E272" s="1" t="s">
        <v>34</v>
      </c>
      <c r="F272" s="1">
        <v>625000</v>
      </c>
      <c r="G272" s="1">
        <v>61</v>
      </c>
      <c r="H272" s="1" t="str" cm="1">
        <f t="array" ref="H272">_xlfn.IFS( OR(G272=" ",NOT(ISNUMBER(G272))),"Unknown",G272&lt;=33,"Low Spender",G272&lt;=66,"Medium Spender",TRUE, "High Spender")</f>
        <v>Medium Spender</v>
      </c>
      <c r="I272" s="1">
        <v>46</v>
      </c>
      <c r="J272" s="1">
        <v>11800</v>
      </c>
      <c r="K272" s="1">
        <v>268</v>
      </c>
      <c r="L272" s="1" t="s">
        <v>16</v>
      </c>
      <c r="N272" s="1" t="str">
        <f t="shared" si="8"/>
        <v>Lower</v>
      </c>
      <c r="O272" s="1" t="str">
        <f t="shared" si="9"/>
        <v>Pre-Senior | Medium Spender | Lower</v>
      </c>
    </row>
    <row r="273" spans="1:15" x14ac:dyDescent="0.25">
      <c r="A273" s="1" t="s">
        <v>303</v>
      </c>
      <c r="B273" s="1">
        <v>33</v>
      </c>
      <c r="C273" s="1" t="str" cm="1">
        <f t="array" ref="C273">_xlfn.IFS(OR(B273=" ", B273="NA",NOT(ISNUMBER(B273))), "Unknown",B273&lt;18,"Underage",B273&lt;=24,"Young Adult",B273&lt;=34,"Early Career",B273&lt;=44,"Mid Career",B273&lt;=54,"Mature",B273&lt;=65,"Pre-Senior",B273&gt;65,"Senior")</f>
        <v>Early Career</v>
      </c>
      <c r="E273" s="1" t="s">
        <v>58</v>
      </c>
      <c r="F273" s="1">
        <v>1050000</v>
      </c>
      <c r="G273" s="1">
        <v>12</v>
      </c>
      <c r="H273" s="1" t="str" cm="1">
        <f t="array" ref="H273">_xlfn.IFS( OR(G273=" ",NOT(ISNUMBER(G273))),"Unknown",G273&lt;=33,"Low Spender",G273&lt;=66,"Medium Spender",TRUE, "High Spender")</f>
        <v>Low Spender</v>
      </c>
      <c r="I273" s="1">
        <v>75</v>
      </c>
      <c r="K273" s="1">
        <v>150</v>
      </c>
      <c r="M273" s="1" t="s">
        <v>32</v>
      </c>
      <c r="N273" s="1" t="str">
        <f t="shared" si="8"/>
        <v>Lower</v>
      </c>
      <c r="O273" s="1" t="str">
        <f t="shared" si="9"/>
        <v>Early Career | Low Spender | Lower</v>
      </c>
    </row>
    <row r="274" spans="1:15" x14ac:dyDescent="0.25">
      <c r="A274" s="1" t="s">
        <v>304</v>
      </c>
      <c r="B274" s="1">
        <v>50</v>
      </c>
      <c r="C274" s="1" t="str" cm="1">
        <f t="array" ref="C274">_xlfn.IFS(OR(B274=" ", B274="NA",NOT(ISNUMBER(B274))), "Unknown",B274&lt;18,"Underage",B274&lt;=24,"Young Adult",B274&lt;=34,"Early Career",B274&lt;=44,"Mid Career",B274&lt;=54,"Mature",B274&lt;=65,"Pre-Senior",B274&gt;65,"Senior")</f>
        <v>Mature</v>
      </c>
      <c r="D274" s="1" t="s">
        <v>29</v>
      </c>
      <c r="E274" s="1" t="s">
        <v>27</v>
      </c>
      <c r="F274" s="1">
        <v>200000</v>
      </c>
      <c r="G274" s="1">
        <v>78</v>
      </c>
      <c r="H274" s="1" t="str" cm="1">
        <f t="array" ref="H274">_xlfn.IFS( OR(G274=" ",NOT(ISNUMBER(G274))),"Unknown",G274&lt;=33,"Low Spender",G274&lt;=66,"Medium Spender",TRUE, "High Spender")</f>
        <v>High Spender</v>
      </c>
      <c r="I274" s="1">
        <v>6</v>
      </c>
      <c r="J274" s="1">
        <v>1600</v>
      </c>
      <c r="K274" s="1">
        <v>252</v>
      </c>
      <c r="M274" s="1" t="s">
        <v>21</v>
      </c>
      <c r="N274" s="1" t="str">
        <f t="shared" si="8"/>
        <v>Higher</v>
      </c>
      <c r="O274" s="1" t="str">
        <f t="shared" si="9"/>
        <v>Mature | High Spender | Higher</v>
      </c>
    </row>
    <row r="275" spans="1:15" x14ac:dyDescent="0.25">
      <c r="A275" s="1" t="s">
        <v>305</v>
      </c>
      <c r="B275" s="1">
        <v>26</v>
      </c>
      <c r="C275" s="1" t="str" cm="1">
        <f t="array" ref="C275">_xlfn.IFS(OR(B275=" ", B275="NA",NOT(ISNUMBER(B275))), "Unknown",B275&lt;18,"Underage",B275&lt;=24,"Young Adult",B275&lt;=34,"Early Career",B275&lt;=44,"Mid Career",B275&lt;=54,"Mature",B275&lt;=65,"Pre-Senior",B275&gt;65,"Senior")</f>
        <v>Early Career</v>
      </c>
      <c r="D275" s="1" t="s">
        <v>29</v>
      </c>
      <c r="E275" s="1" t="s">
        <v>19</v>
      </c>
      <c r="F275" s="1">
        <v>1950000</v>
      </c>
      <c r="G275" s="1">
        <v>56</v>
      </c>
      <c r="H275" s="1" t="str" cm="1">
        <f t="array" ref="H275">_xlfn.IFS( OR(G275=" ",NOT(ISNUMBER(G275))),"Unknown",G275&lt;=33,"Low Spender",G275&lt;=66,"Medium Spender",TRUE, "High Spender")</f>
        <v>Medium Spender</v>
      </c>
      <c r="I275" s="1">
        <v>21</v>
      </c>
      <c r="J275" s="1">
        <v>1300</v>
      </c>
      <c r="K275" s="1">
        <v>84</v>
      </c>
      <c r="M275" s="1" t="s">
        <v>21</v>
      </c>
      <c r="N275" s="1" t="str">
        <f t="shared" si="8"/>
        <v>Higher</v>
      </c>
      <c r="O275" s="1" t="str">
        <f t="shared" si="9"/>
        <v>Early Career | Medium Spender | Higher</v>
      </c>
    </row>
    <row r="276" spans="1:15" x14ac:dyDescent="0.25">
      <c r="A276" s="1" t="s">
        <v>306</v>
      </c>
      <c r="B276" s="1">
        <v>23</v>
      </c>
      <c r="C276" s="1" t="str" cm="1">
        <f t="array" ref="C276">_xlfn.IFS(OR(B276=" ", B276="NA",NOT(ISNUMBER(B276))), "Unknown",B276&lt;18,"Underage",B276&lt;=24,"Young Adult",B276&lt;=34,"Early Career",B276&lt;=44,"Mid Career",B276&lt;=54,"Mature",B276&lt;=65,"Pre-Senior",B276&gt;65,"Senior")</f>
        <v>Young Adult</v>
      </c>
      <c r="E276" s="1" t="s">
        <v>19</v>
      </c>
      <c r="F276" s="1">
        <v>1150000</v>
      </c>
      <c r="G276" s="1">
        <v>18</v>
      </c>
      <c r="H276" s="1" t="str" cm="1">
        <f t="array" ref="H276">_xlfn.IFS( OR(G276=" ",NOT(ISNUMBER(G276))),"Unknown",G276&lt;=33,"Low Spender",G276&lt;=66,"Medium Spender",TRUE, "High Spender")</f>
        <v>Low Spender</v>
      </c>
      <c r="I276" s="1">
        <v>62</v>
      </c>
      <c r="J276" s="1">
        <v>8500</v>
      </c>
      <c r="K276" s="1">
        <v>285</v>
      </c>
      <c r="L276" s="1" t="s">
        <v>16</v>
      </c>
      <c r="M276" s="1" t="s">
        <v>21</v>
      </c>
      <c r="N276" s="1" t="str">
        <f t="shared" si="8"/>
        <v>Lower</v>
      </c>
      <c r="O276" s="1" t="str">
        <f t="shared" si="9"/>
        <v>Young Adult | Low Spender | Lower</v>
      </c>
    </row>
    <row r="277" spans="1:15" x14ac:dyDescent="0.25">
      <c r="A277" s="1" t="s">
        <v>307</v>
      </c>
      <c r="B277" s="1">
        <v>33</v>
      </c>
      <c r="C277" s="1" t="str" cm="1">
        <f t="array" ref="C277">_xlfn.IFS(OR(B277=" ", B277="NA",NOT(ISNUMBER(B277))), "Unknown",B277&lt;18,"Underage",B277&lt;=24,"Young Adult",B277&lt;=34,"Early Career",B277&lt;=44,"Mid Career",B277&lt;=54,"Mature",B277&lt;=65,"Pre-Senior",B277&gt;65,"Senior")</f>
        <v>Early Career</v>
      </c>
      <c r="E277" s="1" t="s">
        <v>13</v>
      </c>
      <c r="F277" s="1">
        <v>1100000</v>
      </c>
      <c r="G277" s="1">
        <v>27</v>
      </c>
      <c r="H277" s="1" t="str" cm="1">
        <f t="array" ref="H277">_xlfn.IFS( OR(G277=" ",NOT(ISNUMBER(G277))),"Unknown",G277&lt;=33,"Low Spender",G277&lt;=66,"Medium Spender",TRUE, "High Spender")</f>
        <v>Low Spender</v>
      </c>
      <c r="I277" s="1">
        <v>19</v>
      </c>
      <c r="J277" s="1">
        <v>8900</v>
      </c>
      <c r="K277" s="1">
        <v>172</v>
      </c>
      <c r="L277" s="1" t="s">
        <v>20</v>
      </c>
      <c r="M277" s="1" t="s">
        <v>30</v>
      </c>
      <c r="N277" s="1" t="str">
        <f t="shared" si="8"/>
        <v>Lower</v>
      </c>
      <c r="O277" s="1" t="str">
        <f t="shared" si="9"/>
        <v>Early Career | Low Spender | Lower</v>
      </c>
    </row>
    <row r="278" spans="1:15" x14ac:dyDescent="0.25">
      <c r="A278" s="1" t="s">
        <v>308</v>
      </c>
      <c r="B278" s="1">
        <v>46</v>
      </c>
      <c r="C278" s="1" t="str" cm="1">
        <f t="array" ref="C278">_xlfn.IFS(OR(B278=" ", B278="NA",NOT(ISNUMBER(B278))), "Unknown",B278&lt;18,"Underage",B278&lt;=24,"Young Adult",B278&lt;=34,"Early Career",B278&lt;=44,"Mid Career",B278&lt;=54,"Mature",B278&lt;=65,"Pre-Senior",B278&gt;65,"Senior")</f>
        <v>Mature</v>
      </c>
      <c r="E278" s="1" t="s">
        <v>34</v>
      </c>
      <c r="F278" s="1">
        <v>775000</v>
      </c>
      <c r="G278" s="1">
        <v>28</v>
      </c>
      <c r="H278" s="1" t="str" cm="1">
        <f t="array" ref="H278">_xlfn.IFS( OR(G278=" ",NOT(ISNUMBER(G278))),"Unknown",G278&lt;=33,"Low Spender",G278&lt;=66,"Medium Spender",TRUE, "High Spender")</f>
        <v>Low Spender</v>
      </c>
      <c r="I278" s="1">
        <v>62</v>
      </c>
      <c r="J278" s="1">
        <v>3600</v>
      </c>
      <c r="K278" s="1">
        <v>221</v>
      </c>
      <c r="L278" s="1" t="s">
        <v>20</v>
      </c>
      <c r="N278" s="1" t="str">
        <f t="shared" si="8"/>
        <v>Lower</v>
      </c>
      <c r="O278" s="1" t="str">
        <f t="shared" si="9"/>
        <v>Mature | Low Spender | Lower</v>
      </c>
    </row>
    <row r="279" spans="1:15" x14ac:dyDescent="0.25">
      <c r="A279" s="1" t="s">
        <v>309</v>
      </c>
      <c r="B279" s="1">
        <v>20</v>
      </c>
      <c r="C279" s="1" t="str" cm="1">
        <f t="array" ref="C279">_xlfn.IFS(OR(B279=" ", B279="NA",NOT(ISNUMBER(B279))), "Unknown",B279&lt;18,"Underage",B279&lt;=24,"Young Adult",B279&lt;=34,"Early Career",B279&lt;=44,"Mid Career",B279&lt;=54,"Mature",B279&lt;=65,"Pre-Senior",B279&gt;65,"Senior")</f>
        <v>Young Adult</v>
      </c>
      <c r="D279" s="1" t="s">
        <v>29</v>
      </c>
      <c r="E279" s="1" t="s">
        <v>27</v>
      </c>
      <c r="F279" s="1">
        <v>175000</v>
      </c>
      <c r="G279" s="1">
        <v>82</v>
      </c>
      <c r="H279" s="1" t="str" cm="1">
        <f t="array" ref="H279">_xlfn.IFS( OR(G279=" ",NOT(ISNUMBER(G279))),"Unknown",G279&lt;=33,"Low Spender",G279&lt;=66,"Medium Spender",TRUE, "High Spender")</f>
        <v>High Spender</v>
      </c>
      <c r="I279" s="1">
        <v>53</v>
      </c>
      <c r="J279" s="1">
        <v>6200</v>
      </c>
      <c r="K279" s="1">
        <v>109</v>
      </c>
      <c r="N279" s="1" t="str">
        <f t="shared" si="8"/>
        <v>Higher</v>
      </c>
      <c r="O279" s="1" t="str">
        <f t="shared" si="9"/>
        <v>Young Adult | High Spender | Higher</v>
      </c>
    </row>
    <row r="280" spans="1:15" x14ac:dyDescent="0.25">
      <c r="A280" s="1" t="s">
        <v>310</v>
      </c>
      <c r="B280" s="1">
        <v>37</v>
      </c>
      <c r="C280" s="1" t="str" cm="1">
        <f t="array" ref="C280">_xlfn.IFS(OR(B280=" ", B280="NA",NOT(ISNUMBER(B280))), "Unknown",B280&lt;18,"Underage",B280&lt;=24,"Young Adult",B280&lt;=34,"Early Career",B280&lt;=44,"Mid Career",B280&lt;=54,"Mature",B280&lt;=65,"Pre-Senior",B280&gt;65,"Senior")</f>
        <v>Mid Career</v>
      </c>
      <c r="D280" s="1" t="s">
        <v>18</v>
      </c>
      <c r="E280" s="1" t="s">
        <v>19</v>
      </c>
      <c r="F280" s="1">
        <v>700000</v>
      </c>
      <c r="G280" s="1">
        <v>80</v>
      </c>
      <c r="H280" s="1" t="str" cm="1">
        <f t="array" ref="H280">_xlfn.IFS( OR(G280=" ",NOT(ISNUMBER(G280))),"Unknown",G280&lt;=33,"Low Spender",G280&lt;=66,"Medium Spender",TRUE, "High Spender")</f>
        <v>High Spender</v>
      </c>
      <c r="I280" s="1">
        <v>24</v>
      </c>
      <c r="J280" s="1">
        <v>10600</v>
      </c>
      <c r="K280" s="1">
        <v>27</v>
      </c>
      <c r="M280" s="1" t="s">
        <v>32</v>
      </c>
      <c r="N280" s="1" t="str">
        <f t="shared" si="8"/>
        <v>Higher</v>
      </c>
      <c r="O280" s="1" t="str">
        <f t="shared" si="9"/>
        <v>Mid Career | High Spender | Higher</v>
      </c>
    </row>
    <row r="281" spans="1:15" x14ac:dyDescent="0.25">
      <c r="A281" s="1" t="s">
        <v>311</v>
      </c>
      <c r="B281" s="1">
        <v>53</v>
      </c>
      <c r="C281" s="1" t="str" cm="1">
        <f t="array" ref="C281">_xlfn.IFS(OR(B281=" ", B281="NA",NOT(ISNUMBER(B281))), "Unknown",B281&lt;18,"Underage",B281&lt;=24,"Young Adult",B281&lt;=34,"Early Career",B281&lt;=44,"Mid Career",B281&lt;=54,"Mature",B281&lt;=65,"Pre-Senior",B281&gt;65,"Senior")</f>
        <v>Mature</v>
      </c>
      <c r="D281" s="1" t="s">
        <v>29</v>
      </c>
      <c r="E281" s="1" t="s">
        <v>27</v>
      </c>
      <c r="F281" s="1">
        <v>700000</v>
      </c>
      <c r="G281" s="1">
        <v>52</v>
      </c>
      <c r="H281" s="1" t="str" cm="1">
        <f t="array" ref="H281">_xlfn.IFS( OR(G281=" ",NOT(ISNUMBER(G281))),"Unknown",G281&lt;=33,"Low Spender",G281&lt;=66,"Medium Spender",TRUE, "High Spender")</f>
        <v>Medium Spender</v>
      </c>
      <c r="I281" s="1">
        <v>56</v>
      </c>
      <c r="J281" s="1">
        <v>1500</v>
      </c>
      <c r="K281" s="1">
        <v>246</v>
      </c>
      <c r="L281" s="1" t="s">
        <v>16</v>
      </c>
      <c r="M281" s="1" t="s">
        <v>32</v>
      </c>
      <c r="N281" s="1" t="str">
        <f t="shared" si="8"/>
        <v>Higher</v>
      </c>
      <c r="O281" s="1" t="str">
        <f t="shared" si="9"/>
        <v>Mature | Medium Spender | Higher</v>
      </c>
    </row>
    <row r="282" spans="1:15" x14ac:dyDescent="0.25">
      <c r="A282" s="1" t="s">
        <v>312</v>
      </c>
      <c r="B282" s="1">
        <v>36</v>
      </c>
      <c r="C282" s="1" t="str" cm="1">
        <f t="array" ref="C282">_xlfn.IFS(OR(B282=" ", B282="NA",NOT(ISNUMBER(B282))), "Unknown",B282&lt;18,"Underage",B282&lt;=24,"Young Adult",B282&lt;=34,"Early Career",B282&lt;=44,"Mid Career",B282&lt;=54,"Mature",B282&lt;=65,"Pre-Senior",B282&gt;65,"Senior")</f>
        <v>Mid Career</v>
      </c>
      <c r="D282" s="1" t="s">
        <v>29</v>
      </c>
      <c r="E282" s="1" t="s">
        <v>58</v>
      </c>
      <c r="F282" s="1">
        <v>525000</v>
      </c>
      <c r="G282" s="1">
        <v>16</v>
      </c>
      <c r="H282" s="1" t="str" cm="1">
        <f t="array" ref="H282">_xlfn.IFS( OR(G282=" ",NOT(ISNUMBER(G282))),"Unknown",G282&lt;=33,"Low Spender",G282&lt;=66,"Medium Spender",TRUE, "High Spender")</f>
        <v>Low Spender</v>
      </c>
      <c r="I282" s="1">
        <v>62</v>
      </c>
      <c r="J282" s="1">
        <v>4100</v>
      </c>
      <c r="K282" s="1">
        <v>55</v>
      </c>
      <c r="L282" s="1" t="s">
        <v>35</v>
      </c>
      <c r="N282" s="1" t="str">
        <f t="shared" si="8"/>
        <v>Higher</v>
      </c>
      <c r="O282" s="1" t="str">
        <f t="shared" si="9"/>
        <v>Mid Career | Low Spender | Higher</v>
      </c>
    </row>
    <row r="283" spans="1:15" x14ac:dyDescent="0.25">
      <c r="A283" s="1" t="s">
        <v>313</v>
      </c>
      <c r="B283" s="1">
        <v>43</v>
      </c>
      <c r="C283" s="1" t="str" cm="1">
        <f t="array" ref="C283">_xlfn.IFS(OR(B283=" ", B283="NA",NOT(ISNUMBER(B283))), "Unknown",B283&lt;18,"Underage",B283&lt;=24,"Young Adult",B283&lt;=34,"Early Career",B283&lt;=44,"Mid Career",B283&lt;=54,"Mature",B283&lt;=65,"Pre-Senior",B283&gt;65,"Senior")</f>
        <v>Mid Career</v>
      </c>
      <c r="F283" s="1">
        <v>350000</v>
      </c>
      <c r="G283" s="1">
        <v>77</v>
      </c>
      <c r="H283" s="1" t="str" cm="1">
        <f t="array" ref="H283">_xlfn.IFS( OR(G283=" ",NOT(ISNUMBER(G283))),"Unknown",G283&lt;=33,"Low Spender",G283&lt;=66,"Medium Spender",TRUE, "High Spender")</f>
        <v>High Spender</v>
      </c>
      <c r="I283" s="1">
        <v>34</v>
      </c>
      <c r="J283" s="1">
        <v>4600</v>
      </c>
      <c r="K283" s="1">
        <v>133</v>
      </c>
      <c r="L283" s="1" t="s">
        <v>20</v>
      </c>
      <c r="M283" s="1" t="s">
        <v>30</v>
      </c>
      <c r="N283" s="1" t="str">
        <f t="shared" si="8"/>
        <v>Lower</v>
      </c>
      <c r="O283" s="1" t="str">
        <f t="shared" si="9"/>
        <v>Mid Career | High Spender | Lower</v>
      </c>
    </row>
    <row r="284" spans="1:15" x14ac:dyDescent="0.25">
      <c r="A284" s="1" t="s">
        <v>314</v>
      </c>
      <c r="B284" s="1">
        <v>20</v>
      </c>
      <c r="C284" s="1" t="str" cm="1">
        <f t="array" ref="C284">_xlfn.IFS(OR(B284=" ", B284="NA",NOT(ISNUMBER(B284))), "Unknown",B284&lt;18,"Underage",B284&lt;=24,"Young Adult",B284&lt;=34,"Early Career",B284&lt;=44,"Mid Career",B284&lt;=54,"Mature",B284&lt;=65,"Pre-Senior",B284&gt;65,"Senior")</f>
        <v>Young Adult</v>
      </c>
      <c r="D284" s="1" t="s">
        <v>18</v>
      </c>
      <c r="E284" s="1" t="s">
        <v>27</v>
      </c>
      <c r="F284" s="1">
        <v>450000</v>
      </c>
      <c r="G284" s="1">
        <v>58</v>
      </c>
      <c r="H284" s="1" t="str" cm="1">
        <f t="array" ref="H284">_xlfn.IFS( OR(G284=" ",NOT(ISNUMBER(G284))),"Unknown",G284&lt;=33,"Low Spender",G284&lt;=66,"Medium Spender",TRUE, "High Spender")</f>
        <v>Medium Spender</v>
      </c>
      <c r="I284" s="1">
        <v>22</v>
      </c>
      <c r="J284" s="1">
        <v>3000</v>
      </c>
      <c r="K284" s="1">
        <v>52</v>
      </c>
      <c r="L284" s="1" t="s">
        <v>35</v>
      </c>
      <c r="M284" s="1" t="s">
        <v>30</v>
      </c>
      <c r="N284" s="1" t="str">
        <f t="shared" si="8"/>
        <v>Higher</v>
      </c>
      <c r="O284" s="1" t="str">
        <f t="shared" si="9"/>
        <v>Young Adult | Medium Spender | Higher</v>
      </c>
    </row>
    <row r="285" spans="1:15" x14ac:dyDescent="0.25">
      <c r="A285" s="1" t="s">
        <v>315</v>
      </c>
      <c r="B285" s="1">
        <v>36</v>
      </c>
      <c r="C285" s="1" t="str" cm="1">
        <f t="array" ref="C285">_xlfn.IFS(OR(B285=" ", B285="NA",NOT(ISNUMBER(B285))), "Unknown",B285&lt;18,"Underage",B285&lt;=24,"Young Adult",B285&lt;=34,"Early Career",B285&lt;=44,"Mid Career",B285&lt;=54,"Mature",B285&lt;=65,"Pre-Senior",B285&gt;65,"Senior")</f>
        <v>Mid Career</v>
      </c>
      <c r="E285" s="1" t="s">
        <v>19</v>
      </c>
      <c r="F285" s="1">
        <v>825000</v>
      </c>
      <c r="G285" s="1">
        <v>93</v>
      </c>
      <c r="H285" s="1" t="str" cm="1">
        <f t="array" ref="H285">_xlfn.IFS( OR(G285=" ",NOT(ISNUMBER(G285))),"Unknown",G285&lt;=33,"Low Spender",G285&lt;=66,"Medium Spender",TRUE, "High Spender")</f>
        <v>High Spender</v>
      </c>
      <c r="I285" s="1">
        <v>68</v>
      </c>
      <c r="J285" s="1">
        <v>4200</v>
      </c>
      <c r="K285" s="1">
        <v>253</v>
      </c>
      <c r="N285" s="1" t="str">
        <f t="shared" si="8"/>
        <v>Lower</v>
      </c>
      <c r="O285" s="1" t="str">
        <f t="shared" si="9"/>
        <v>Mid Career | High Spender | Lower</v>
      </c>
    </row>
    <row r="286" spans="1:15" x14ac:dyDescent="0.25">
      <c r="A286" s="1" t="s">
        <v>316</v>
      </c>
      <c r="B286" s="1">
        <v>37</v>
      </c>
      <c r="C286" s="1" t="str" cm="1">
        <f t="array" ref="C286">_xlfn.IFS(OR(B286=" ", B286="NA",NOT(ISNUMBER(B286))), "Unknown",B286&lt;18,"Underage",B286&lt;=24,"Young Adult",B286&lt;=34,"Early Career",B286&lt;=44,"Mid Career",B286&lt;=54,"Mature",B286&lt;=65,"Pre-Senior",B286&gt;65,"Senior")</f>
        <v>Mid Career</v>
      </c>
      <c r="E286" s="1" t="s">
        <v>23</v>
      </c>
      <c r="F286" s="1">
        <v>800000</v>
      </c>
      <c r="G286" s="1">
        <v>9</v>
      </c>
      <c r="H286" s="1" t="str" cm="1">
        <f t="array" ref="H286">_xlfn.IFS( OR(G286=" ",NOT(ISNUMBER(G286))),"Unknown",G286&lt;=33,"Low Spender",G286&lt;=66,"Medium Spender",TRUE, "High Spender")</f>
        <v>Low Spender</v>
      </c>
      <c r="I286" s="1">
        <v>57</v>
      </c>
      <c r="J286" s="1">
        <v>1800</v>
      </c>
      <c r="K286" s="1">
        <v>269</v>
      </c>
      <c r="L286" s="1" t="s">
        <v>35</v>
      </c>
      <c r="N286" s="1" t="str">
        <f t="shared" si="8"/>
        <v>Lower</v>
      </c>
      <c r="O286" s="1" t="str">
        <f t="shared" si="9"/>
        <v>Mid Career | Low Spender | Lower</v>
      </c>
    </row>
    <row r="287" spans="1:15" x14ac:dyDescent="0.25">
      <c r="A287" s="1" t="s">
        <v>317</v>
      </c>
      <c r="B287" s="1">
        <v>49</v>
      </c>
      <c r="C287" s="1" t="str" cm="1">
        <f t="array" ref="C287">_xlfn.IFS(OR(B287=" ", B287="NA",NOT(ISNUMBER(B287))), "Unknown",B287&lt;18,"Underage",B287&lt;=24,"Young Adult",B287&lt;=34,"Early Career",B287&lt;=44,"Mid Career",B287&lt;=54,"Mature",B287&lt;=65,"Pre-Senior",B287&gt;65,"Senior")</f>
        <v>Mature</v>
      </c>
      <c r="E287" s="1" t="s">
        <v>34</v>
      </c>
      <c r="F287" s="1">
        <v>1400000</v>
      </c>
      <c r="G287" s="1">
        <v>26</v>
      </c>
      <c r="H287" s="1" t="str" cm="1">
        <f t="array" ref="H287">_xlfn.IFS( OR(G287=" ",NOT(ISNUMBER(G287))),"Unknown",G287&lt;=33,"Low Spender",G287&lt;=66,"Medium Spender",TRUE, "High Spender")</f>
        <v>Low Spender</v>
      </c>
      <c r="I287" s="1">
        <v>10</v>
      </c>
      <c r="J287" s="1">
        <v>5200</v>
      </c>
      <c r="K287" s="1">
        <v>298</v>
      </c>
      <c r="M287" s="1" t="s">
        <v>41</v>
      </c>
      <c r="N287" s="1" t="str">
        <f t="shared" si="8"/>
        <v>Lower</v>
      </c>
      <c r="O287" s="1" t="str">
        <f t="shared" si="9"/>
        <v>Mature | Low Spender | Lower</v>
      </c>
    </row>
    <row r="288" spans="1:15" x14ac:dyDescent="0.25">
      <c r="A288" s="1" t="s">
        <v>318</v>
      </c>
      <c r="B288" s="1">
        <v>24</v>
      </c>
      <c r="C288" s="1" t="str" cm="1">
        <f t="array" ref="C288">_xlfn.IFS(OR(B288=" ", B288="NA",NOT(ISNUMBER(B288))), "Unknown",B288&lt;18,"Underage",B288&lt;=24,"Young Adult",B288&lt;=34,"Early Career",B288&lt;=44,"Mid Career",B288&lt;=54,"Mature",B288&lt;=65,"Pre-Senior",B288&gt;65,"Senior")</f>
        <v>Young Adult</v>
      </c>
      <c r="D288" s="1" t="s">
        <v>29</v>
      </c>
      <c r="F288" s="1">
        <v>1725000</v>
      </c>
      <c r="G288" s="1">
        <v>28</v>
      </c>
      <c r="H288" s="1" t="str" cm="1">
        <f t="array" ref="H288">_xlfn.IFS( OR(G288=" ",NOT(ISNUMBER(G288))),"Unknown",G288&lt;=33,"Low Spender",G288&lt;=66,"Medium Spender",TRUE, "High Spender")</f>
        <v>Low Spender</v>
      </c>
      <c r="I288" s="1">
        <v>66</v>
      </c>
      <c r="J288" s="1">
        <v>11700</v>
      </c>
      <c r="K288" s="1">
        <v>79</v>
      </c>
      <c r="M288" s="1" t="s">
        <v>30</v>
      </c>
      <c r="N288" s="1" t="str">
        <f t="shared" si="8"/>
        <v>Higher</v>
      </c>
      <c r="O288" s="1" t="str">
        <f t="shared" si="9"/>
        <v>Young Adult | Low Spender | Higher</v>
      </c>
    </row>
    <row r="289" spans="1:15" x14ac:dyDescent="0.25">
      <c r="A289" s="1" t="s">
        <v>319</v>
      </c>
      <c r="B289" s="1">
        <v>69</v>
      </c>
      <c r="C289" s="1" t="str" cm="1">
        <f t="array" ref="C289">_xlfn.IFS(OR(B289=" ", B289="NA",NOT(ISNUMBER(B289))), "Unknown",B289&lt;18,"Underage",B289&lt;=24,"Young Adult",B289&lt;=34,"Early Career",B289&lt;=44,"Mid Career",B289&lt;=54,"Mature",B289&lt;=65,"Pre-Senior",B289&gt;65,"Senior")</f>
        <v>Senior</v>
      </c>
      <c r="D289" s="1" t="s">
        <v>29</v>
      </c>
      <c r="E289" s="1" t="s">
        <v>49</v>
      </c>
      <c r="F289" s="1">
        <v>1425000</v>
      </c>
      <c r="G289" s="1">
        <v>77</v>
      </c>
      <c r="H289" s="1" t="str" cm="1">
        <f t="array" ref="H289">_xlfn.IFS( OR(G289=" ",NOT(ISNUMBER(G289))),"Unknown",G289&lt;=33,"Low Spender",G289&lt;=66,"Medium Spender",TRUE, "High Spender")</f>
        <v>High Spender</v>
      </c>
      <c r="I289" s="1">
        <v>8</v>
      </c>
      <c r="J289" s="1">
        <v>3000</v>
      </c>
      <c r="K289" s="1">
        <v>18</v>
      </c>
      <c r="L289" s="1" t="s">
        <v>35</v>
      </c>
      <c r="M289" s="1" t="s">
        <v>21</v>
      </c>
      <c r="N289" s="1" t="str">
        <f t="shared" si="8"/>
        <v>Higher</v>
      </c>
      <c r="O289" s="1" t="str">
        <f t="shared" si="9"/>
        <v>Senior | High Spender | Higher</v>
      </c>
    </row>
    <row r="290" spans="1:15" x14ac:dyDescent="0.25">
      <c r="A290" s="1" t="s">
        <v>320</v>
      </c>
      <c r="B290" s="1">
        <v>58</v>
      </c>
      <c r="C290" s="1" t="str" cm="1">
        <f t="array" ref="C290">_xlfn.IFS(OR(B290=" ", B290="NA",NOT(ISNUMBER(B290))), "Unknown",B290&lt;18,"Underage",B290&lt;=24,"Young Adult",B290&lt;=34,"Early Career",B290&lt;=44,"Mid Career",B290&lt;=54,"Mature",B290&lt;=65,"Pre-Senior",B290&gt;65,"Senior")</f>
        <v>Pre-Senior</v>
      </c>
      <c r="E290" s="1" t="s">
        <v>15</v>
      </c>
      <c r="F290" s="1">
        <v>1075000</v>
      </c>
      <c r="G290" s="1">
        <v>36</v>
      </c>
      <c r="H290" s="1" t="str" cm="1">
        <f t="array" ref="H290">_xlfn.IFS( OR(G290=" ",NOT(ISNUMBER(G290))),"Unknown",G290&lt;=33,"Low Spender",G290&lt;=66,"Medium Spender",TRUE, "High Spender")</f>
        <v>Medium Spender</v>
      </c>
      <c r="I290" s="1">
        <v>38</v>
      </c>
      <c r="J290" s="1">
        <v>7000</v>
      </c>
      <c r="K290" s="1">
        <v>306</v>
      </c>
      <c r="M290" s="1" t="s">
        <v>32</v>
      </c>
      <c r="N290" s="1" t="str">
        <f t="shared" si="8"/>
        <v>Lower</v>
      </c>
      <c r="O290" s="1" t="str">
        <f t="shared" si="9"/>
        <v>Pre-Senior | Medium Spender | Lower</v>
      </c>
    </row>
    <row r="291" spans="1:15" x14ac:dyDescent="0.25">
      <c r="A291" s="1" t="s">
        <v>321</v>
      </c>
      <c r="B291" s="1">
        <v>50</v>
      </c>
      <c r="C291" s="1" t="str" cm="1">
        <f t="array" ref="C291">_xlfn.IFS(OR(B291=" ", B291="NA",NOT(ISNUMBER(B291))), "Unknown",B291&lt;18,"Underage",B291&lt;=24,"Young Adult",B291&lt;=34,"Early Career",B291&lt;=44,"Mid Career",B291&lt;=54,"Mature",B291&lt;=65,"Pre-Senior",B291&gt;65,"Senior")</f>
        <v>Mature</v>
      </c>
      <c r="D291" s="1" t="s">
        <v>29</v>
      </c>
      <c r="E291" s="1" t="s">
        <v>15</v>
      </c>
      <c r="F291" s="1">
        <v>1750000</v>
      </c>
      <c r="G291" s="1">
        <v>9</v>
      </c>
      <c r="H291" s="1" t="str" cm="1">
        <f t="array" ref="H291">_xlfn.IFS( OR(G291=" ",NOT(ISNUMBER(G291))),"Unknown",G291&lt;=33,"Low Spender",G291&lt;=66,"Medium Spender",TRUE, "High Spender")</f>
        <v>Low Spender</v>
      </c>
      <c r="I291" s="1">
        <v>62</v>
      </c>
      <c r="J291" s="1">
        <v>9400</v>
      </c>
      <c r="K291" s="1">
        <v>258</v>
      </c>
      <c r="L291" s="1" t="s">
        <v>20</v>
      </c>
      <c r="M291" s="1" t="s">
        <v>30</v>
      </c>
      <c r="N291" s="1" t="str">
        <f t="shared" si="8"/>
        <v>Higher</v>
      </c>
      <c r="O291" s="1" t="str">
        <f t="shared" si="9"/>
        <v>Mature | Low Spender | Higher</v>
      </c>
    </row>
    <row r="292" spans="1:15" x14ac:dyDescent="0.25">
      <c r="A292" s="1" t="s">
        <v>322</v>
      </c>
      <c r="B292" s="1">
        <v>57</v>
      </c>
      <c r="C292" s="1" t="str" cm="1">
        <f t="array" ref="C292">_xlfn.IFS(OR(B292=" ", B292="NA",NOT(ISNUMBER(B292))), "Unknown",B292&lt;18,"Underage",B292&lt;=24,"Young Adult",B292&lt;=34,"Early Career",B292&lt;=44,"Mid Career",B292&lt;=54,"Mature",B292&lt;=65,"Pre-Senior",B292&gt;65,"Senior")</f>
        <v>Pre-Senior</v>
      </c>
      <c r="D292" s="1" t="s">
        <v>29</v>
      </c>
      <c r="E292" s="1" t="s">
        <v>49</v>
      </c>
      <c r="F292" s="1">
        <v>575000</v>
      </c>
      <c r="G292" s="1">
        <v>47</v>
      </c>
      <c r="H292" s="1" t="str" cm="1">
        <f t="array" ref="H292">_xlfn.IFS( OR(G292=" ",NOT(ISNUMBER(G292))),"Unknown",G292&lt;=33,"Low Spender",G292&lt;=66,"Medium Spender",TRUE, "High Spender")</f>
        <v>Medium Spender</v>
      </c>
      <c r="I292" s="1">
        <v>28</v>
      </c>
      <c r="J292" s="1">
        <v>6200</v>
      </c>
      <c r="K292" s="1">
        <v>343</v>
      </c>
      <c r="N292" s="1" t="str">
        <f t="shared" si="8"/>
        <v>Higher</v>
      </c>
      <c r="O292" s="1" t="str">
        <f t="shared" si="9"/>
        <v>Pre-Senior | Medium Spender | Higher</v>
      </c>
    </row>
    <row r="293" spans="1:15" x14ac:dyDescent="0.25">
      <c r="A293" s="1" t="s">
        <v>323</v>
      </c>
      <c r="B293" s="1">
        <v>56</v>
      </c>
      <c r="C293" s="1" t="str" cm="1">
        <f t="array" ref="C293">_xlfn.IFS(OR(B293=" ", B293="NA",NOT(ISNUMBER(B293))), "Unknown",B293&lt;18,"Underage",B293&lt;=24,"Young Adult",B293&lt;=34,"Early Career",B293&lt;=44,"Mid Career",B293&lt;=54,"Mature",B293&lt;=65,"Pre-Senior",B293&gt;65,"Senior")</f>
        <v>Pre-Senior</v>
      </c>
      <c r="D293" s="1" t="s">
        <v>18</v>
      </c>
      <c r="E293" s="1" t="s">
        <v>27</v>
      </c>
      <c r="F293" s="1">
        <v>1700000</v>
      </c>
      <c r="G293" s="1">
        <v>78</v>
      </c>
      <c r="H293" s="1" t="str" cm="1">
        <f t="array" ref="H293">_xlfn.IFS( OR(G293=" ",NOT(ISNUMBER(G293))),"Unknown",G293&lt;=33,"Low Spender",G293&lt;=66,"Medium Spender",TRUE, "High Spender")</f>
        <v>High Spender</v>
      </c>
      <c r="I293" s="1">
        <v>10</v>
      </c>
      <c r="J293" s="1">
        <v>1400</v>
      </c>
      <c r="K293" s="1">
        <v>107</v>
      </c>
      <c r="L293" s="1" t="s">
        <v>35</v>
      </c>
      <c r="M293" s="1" t="s">
        <v>21</v>
      </c>
      <c r="N293" s="1" t="str">
        <f t="shared" si="8"/>
        <v>Higher</v>
      </c>
      <c r="O293" s="1" t="str">
        <f t="shared" si="9"/>
        <v>Pre-Senior | High Spender | Higher</v>
      </c>
    </row>
    <row r="294" spans="1:15" x14ac:dyDescent="0.25">
      <c r="A294" s="1" t="s">
        <v>324</v>
      </c>
      <c r="B294" s="1">
        <v>35</v>
      </c>
      <c r="C294" s="1" t="str" cm="1">
        <f t="array" ref="C294">_xlfn.IFS(OR(B294=" ", B294="NA",NOT(ISNUMBER(B294))), "Unknown",B294&lt;18,"Underage",B294&lt;=24,"Young Adult",B294&lt;=34,"Early Career",B294&lt;=44,"Mid Career",B294&lt;=54,"Mature",B294&lt;=65,"Pre-Senior",B294&gt;65,"Senior")</f>
        <v>Mid Career</v>
      </c>
      <c r="D294" s="1" t="s">
        <v>29</v>
      </c>
      <c r="E294" s="1" t="s">
        <v>34</v>
      </c>
      <c r="F294" s="1">
        <v>1400000</v>
      </c>
      <c r="G294" s="1">
        <v>51</v>
      </c>
      <c r="H294" s="1" t="str" cm="1">
        <f t="array" ref="H294">_xlfn.IFS( OR(G294=" ",NOT(ISNUMBER(G294))),"Unknown",G294&lt;=33,"Low Spender",G294&lt;=66,"Medium Spender",TRUE, "High Spender")</f>
        <v>Medium Spender</v>
      </c>
      <c r="I294" s="1">
        <v>45</v>
      </c>
      <c r="J294" s="1">
        <v>1800</v>
      </c>
      <c r="K294" s="1">
        <v>47</v>
      </c>
      <c r="L294" s="1" t="s">
        <v>20</v>
      </c>
      <c r="M294" s="1" t="s">
        <v>41</v>
      </c>
      <c r="N294" s="1" t="str">
        <f t="shared" si="8"/>
        <v>Higher</v>
      </c>
      <c r="O294" s="1" t="str">
        <f t="shared" si="9"/>
        <v>Mid Career | Medium Spender | Higher</v>
      </c>
    </row>
    <row r="295" spans="1:15" x14ac:dyDescent="0.25">
      <c r="A295" s="1" t="s">
        <v>325</v>
      </c>
      <c r="B295" s="1">
        <v>57</v>
      </c>
      <c r="C295" s="1" t="str" cm="1">
        <f t="array" ref="C295">_xlfn.IFS(OR(B295=" ", B295="NA",NOT(ISNUMBER(B295))), "Unknown",B295&lt;18,"Underage",B295&lt;=24,"Young Adult",B295&lt;=34,"Early Career",B295&lt;=44,"Mid Career",B295&lt;=54,"Mature",B295&lt;=65,"Pre-Senior",B295&gt;65,"Senior")</f>
        <v>Pre-Senior</v>
      </c>
      <c r="D295" s="1" t="s">
        <v>29</v>
      </c>
      <c r="E295" s="1" t="s">
        <v>27</v>
      </c>
      <c r="F295" s="1">
        <v>350000</v>
      </c>
      <c r="G295" s="1">
        <v>76</v>
      </c>
      <c r="H295" s="1" t="str" cm="1">
        <f t="array" ref="H295">_xlfn.IFS( OR(G295=" ",NOT(ISNUMBER(G295))),"Unknown",G295&lt;=33,"Low Spender",G295&lt;=66,"Medium Spender",TRUE, "High Spender")</f>
        <v>High Spender</v>
      </c>
      <c r="I295" s="1">
        <v>65</v>
      </c>
      <c r="J295" s="1">
        <v>5500</v>
      </c>
      <c r="K295" s="1">
        <v>246</v>
      </c>
      <c r="L295" s="1" t="s">
        <v>35</v>
      </c>
      <c r="N295" s="1" t="str">
        <f t="shared" si="8"/>
        <v>Higher</v>
      </c>
      <c r="O295" s="1" t="str">
        <f t="shared" si="9"/>
        <v>Pre-Senior | High Spender | Higher</v>
      </c>
    </row>
    <row r="296" spans="1:15" x14ac:dyDescent="0.25">
      <c r="A296" s="1" t="s">
        <v>326</v>
      </c>
      <c r="B296" s="1">
        <v>18</v>
      </c>
      <c r="C296" s="1" t="str" cm="1">
        <f t="array" ref="C296">_xlfn.IFS(OR(B296=" ", B296="NA",NOT(ISNUMBER(B296))), "Unknown",B296&lt;18,"Underage",B296&lt;=24,"Young Adult",B296&lt;=34,"Early Career",B296&lt;=44,"Mid Career",B296&lt;=54,"Mature",B296&lt;=65,"Pre-Senior",B296&gt;65,"Senior")</f>
        <v>Young Adult</v>
      </c>
      <c r="D296" s="1" t="s">
        <v>18</v>
      </c>
      <c r="F296" s="1">
        <v>450000</v>
      </c>
      <c r="G296" s="1">
        <v>57</v>
      </c>
      <c r="H296" s="1" t="str" cm="1">
        <f t="array" ref="H296">_xlfn.IFS( OR(G296=" ",NOT(ISNUMBER(G296))),"Unknown",G296&lt;=33,"Low Spender",G296&lt;=66,"Medium Spender",TRUE, "High Spender")</f>
        <v>Medium Spender</v>
      </c>
      <c r="I296" s="1">
        <v>67</v>
      </c>
      <c r="J296" s="1">
        <v>5600</v>
      </c>
      <c r="K296" s="1">
        <v>89</v>
      </c>
      <c r="L296" s="1" t="s">
        <v>20</v>
      </c>
      <c r="M296" s="1" t="s">
        <v>41</v>
      </c>
      <c r="N296" s="1" t="str">
        <f t="shared" si="8"/>
        <v>Higher</v>
      </c>
      <c r="O296" s="1" t="str">
        <f t="shared" si="9"/>
        <v>Young Adult | Medium Spender | Higher</v>
      </c>
    </row>
    <row r="297" spans="1:15" x14ac:dyDescent="0.25">
      <c r="A297" s="1" t="s">
        <v>327</v>
      </c>
      <c r="B297" s="1">
        <v>28</v>
      </c>
      <c r="C297" s="1" t="str" cm="1">
        <f t="array" ref="C297">_xlfn.IFS(OR(B297=" ", B297="NA",NOT(ISNUMBER(B297))), "Unknown",B297&lt;18,"Underage",B297&lt;=24,"Young Adult",B297&lt;=34,"Early Career",B297&lt;=44,"Mid Career",B297&lt;=54,"Mature",B297&lt;=65,"Pre-Senior",B297&gt;65,"Senior")</f>
        <v>Early Career</v>
      </c>
      <c r="D297" s="1" t="s">
        <v>18</v>
      </c>
      <c r="E297" s="1" t="s">
        <v>34</v>
      </c>
      <c r="F297" s="1">
        <v>1125000</v>
      </c>
      <c r="G297" s="1">
        <v>32</v>
      </c>
      <c r="H297" s="1" t="str" cm="1">
        <f t="array" ref="H297">_xlfn.IFS( OR(G297=" ",NOT(ISNUMBER(G297))),"Unknown",G297&lt;=33,"Low Spender",G297&lt;=66,"Medium Spender",TRUE, "High Spender")</f>
        <v>Low Spender</v>
      </c>
      <c r="I297" s="1">
        <v>9</v>
      </c>
      <c r="J297" s="1">
        <v>5100</v>
      </c>
      <c r="K297" s="1">
        <v>203</v>
      </c>
      <c r="M297" s="1" t="s">
        <v>21</v>
      </c>
      <c r="N297" s="1" t="str">
        <f t="shared" si="8"/>
        <v>Higher</v>
      </c>
      <c r="O297" s="1" t="str">
        <f t="shared" si="9"/>
        <v>Early Career | Low Spender | Higher</v>
      </c>
    </row>
    <row r="298" spans="1:15" x14ac:dyDescent="0.25">
      <c r="A298" s="1" t="s">
        <v>328</v>
      </c>
      <c r="B298" s="1">
        <v>45</v>
      </c>
      <c r="C298" s="1" t="str" cm="1">
        <f t="array" ref="C298">_xlfn.IFS(OR(B298=" ", B298="NA",NOT(ISNUMBER(B298))), "Unknown",B298&lt;18,"Underage",B298&lt;=24,"Young Adult",B298&lt;=34,"Early Career",B298&lt;=44,"Mid Career",B298&lt;=54,"Mature",B298&lt;=65,"Pre-Senior",B298&gt;65,"Senior")</f>
        <v>Mature</v>
      </c>
      <c r="D298" s="1" t="s">
        <v>12</v>
      </c>
      <c r="E298" s="1" t="s">
        <v>49</v>
      </c>
      <c r="F298" s="1">
        <v>1500000</v>
      </c>
      <c r="H298" s="1" t="str" cm="1">
        <f t="array" ref="H298">_xlfn.IFS( OR(G298=" ",NOT(ISNUMBER(G298))),"Unknown",G298&lt;=33,"Low Spender",G298&lt;=66,"Medium Spender",TRUE, "High Spender")</f>
        <v>Unknown</v>
      </c>
      <c r="I298" s="1">
        <v>5</v>
      </c>
      <c r="J298" s="1">
        <v>3800</v>
      </c>
      <c r="K298" s="1">
        <v>240</v>
      </c>
      <c r="M298" s="1" t="s">
        <v>21</v>
      </c>
      <c r="N298" s="1" t="str">
        <f t="shared" si="8"/>
        <v>Lower</v>
      </c>
      <c r="O298" s="1" t="str">
        <f t="shared" si="9"/>
        <v>Mature | Unknown | Lower</v>
      </c>
    </row>
    <row r="299" spans="1:15" x14ac:dyDescent="0.25">
      <c r="A299" s="1" t="s">
        <v>329</v>
      </c>
      <c r="B299" s="1">
        <v>42</v>
      </c>
      <c r="C299" s="1" t="str" cm="1">
        <f t="array" ref="C299">_xlfn.IFS(OR(B299=" ", B299="NA",NOT(ISNUMBER(B299))), "Unknown",B299&lt;18,"Underage",B299&lt;=24,"Young Adult",B299&lt;=34,"Early Career",B299&lt;=44,"Mid Career",B299&lt;=54,"Mature",B299&lt;=65,"Pre-Senior",B299&gt;65,"Senior")</f>
        <v>Mid Career</v>
      </c>
      <c r="E299" s="1" t="s">
        <v>27</v>
      </c>
      <c r="F299" s="1">
        <v>1200000</v>
      </c>
      <c r="G299" s="1">
        <v>67</v>
      </c>
      <c r="H299" s="1" t="str" cm="1">
        <f t="array" ref="H299">_xlfn.IFS( OR(G299=" ",NOT(ISNUMBER(G299))),"Unknown",G299&lt;=33,"Low Spender",G299&lt;=66,"Medium Spender",TRUE, "High Spender")</f>
        <v>High Spender</v>
      </c>
      <c r="I299" s="1">
        <v>10</v>
      </c>
      <c r="J299" s="1">
        <v>6400</v>
      </c>
      <c r="K299" s="1">
        <v>268</v>
      </c>
      <c r="N299" s="1" t="str">
        <f t="shared" si="8"/>
        <v>Lower</v>
      </c>
      <c r="O299" s="1" t="str">
        <f t="shared" si="9"/>
        <v>Mid Career | High Spender | Lower</v>
      </c>
    </row>
    <row r="300" spans="1:15" x14ac:dyDescent="0.25">
      <c r="A300" s="1" t="s">
        <v>330</v>
      </c>
      <c r="B300" s="1">
        <v>67</v>
      </c>
      <c r="C300" s="1" t="str" cm="1">
        <f t="array" ref="C300">_xlfn.IFS(OR(B300=" ", B300="NA",NOT(ISNUMBER(B300))), "Unknown",B300&lt;18,"Underage",B300&lt;=24,"Young Adult",B300&lt;=34,"Early Career",B300&lt;=44,"Mid Career",B300&lt;=54,"Mature",B300&lt;=65,"Pre-Senior",B300&gt;65,"Senior")</f>
        <v>Senior</v>
      </c>
      <c r="E300" s="1" t="s">
        <v>13</v>
      </c>
      <c r="F300" s="1">
        <v>1225000</v>
      </c>
      <c r="G300" s="1">
        <v>57</v>
      </c>
      <c r="H300" s="1" t="str" cm="1">
        <f t="array" ref="H300">_xlfn.IFS( OR(G300=" ",NOT(ISNUMBER(G300))),"Unknown",G300&lt;=33,"Low Spender",G300&lt;=66,"Medium Spender",TRUE, "High Spender")</f>
        <v>Medium Spender</v>
      </c>
      <c r="I300" s="1">
        <v>12</v>
      </c>
      <c r="J300" s="1">
        <v>8600</v>
      </c>
      <c r="K300" s="1">
        <v>13</v>
      </c>
      <c r="N300" s="1" t="str">
        <f t="shared" si="8"/>
        <v>Lower</v>
      </c>
      <c r="O300" s="1" t="str">
        <f t="shared" si="9"/>
        <v>Senior | Medium Spender | Lower</v>
      </c>
    </row>
    <row r="301" spans="1:15" x14ac:dyDescent="0.25">
      <c r="A301" s="1" t="s">
        <v>331</v>
      </c>
      <c r="B301" s="1">
        <v>40</v>
      </c>
      <c r="C301" s="1" t="str" cm="1">
        <f t="array" ref="C301">_xlfn.IFS(OR(B301=" ", B301="NA",NOT(ISNUMBER(B301))), "Unknown",B301&lt;18,"Underage",B301&lt;=24,"Young Adult",B301&lt;=34,"Early Career",B301&lt;=44,"Mid Career",B301&lt;=54,"Mature",B301&lt;=65,"Pre-Senior",B301&gt;65,"Senior")</f>
        <v>Mid Career</v>
      </c>
      <c r="E301" s="1" t="s">
        <v>19</v>
      </c>
      <c r="F301" s="1">
        <v>1825000</v>
      </c>
      <c r="G301" s="1">
        <v>54</v>
      </c>
      <c r="H301" s="1" t="str" cm="1">
        <f t="array" ref="H301">_xlfn.IFS( OR(G301=" ",NOT(ISNUMBER(G301))),"Unknown",G301&lt;=33,"Low Spender",G301&lt;=66,"Medium Spender",TRUE, "High Spender")</f>
        <v>Medium Spender</v>
      </c>
      <c r="I301" s="1">
        <v>58</v>
      </c>
      <c r="J301" s="1">
        <v>2800</v>
      </c>
      <c r="K301" s="1">
        <v>137</v>
      </c>
      <c r="L301" s="1" t="s">
        <v>16</v>
      </c>
      <c r="N301" s="1" t="str">
        <f t="shared" si="8"/>
        <v>Lower</v>
      </c>
      <c r="O301" s="1" t="str">
        <f t="shared" si="9"/>
        <v>Mid Career | Medium Spender | Lower</v>
      </c>
    </row>
    <row r="302" spans="1:15" x14ac:dyDescent="0.25">
      <c r="A302" s="1" t="s">
        <v>332</v>
      </c>
      <c r="B302" s="1">
        <v>48</v>
      </c>
      <c r="C302" s="1" t="str" cm="1">
        <f t="array" ref="C302">_xlfn.IFS(OR(B302=" ", B302="NA",NOT(ISNUMBER(B302))), "Unknown",B302&lt;18,"Underage",B302&lt;=24,"Young Adult",B302&lt;=34,"Early Career",B302&lt;=44,"Mid Career",B302&lt;=54,"Mature",B302&lt;=65,"Pre-Senior",B302&gt;65,"Senior")</f>
        <v>Mature</v>
      </c>
      <c r="D302" s="1" t="s">
        <v>29</v>
      </c>
      <c r="E302" s="1" t="s">
        <v>23</v>
      </c>
      <c r="F302" s="1">
        <v>950000</v>
      </c>
      <c r="G302" s="1">
        <v>16</v>
      </c>
      <c r="H302" s="1" t="str" cm="1">
        <f t="array" ref="H302">_xlfn.IFS( OR(G302=" ",NOT(ISNUMBER(G302))),"Unknown",G302&lt;=33,"Low Spender",G302&lt;=66,"Medium Spender",TRUE, "High Spender")</f>
        <v>Low Spender</v>
      </c>
      <c r="I302" s="1">
        <v>21</v>
      </c>
      <c r="J302" s="1">
        <v>5800</v>
      </c>
      <c r="K302" s="1">
        <v>315</v>
      </c>
      <c r="L302" s="1" t="s">
        <v>20</v>
      </c>
      <c r="M302" s="1" t="s">
        <v>32</v>
      </c>
      <c r="N302" s="1" t="str">
        <f t="shared" si="8"/>
        <v>Higher</v>
      </c>
      <c r="O302" s="1" t="str">
        <f t="shared" si="9"/>
        <v>Mature | Low Spender | Higher</v>
      </c>
    </row>
    <row r="303" spans="1:15" x14ac:dyDescent="0.25">
      <c r="A303" s="1" t="s">
        <v>333</v>
      </c>
      <c r="B303" s="1">
        <v>47</v>
      </c>
      <c r="C303" s="1" t="str" cm="1">
        <f t="array" ref="C303">_xlfn.IFS(OR(B303=" ", B303="NA",NOT(ISNUMBER(B303))), "Unknown",B303&lt;18,"Underage",B303&lt;=24,"Young Adult",B303&lt;=34,"Early Career",B303&lt;=44,"Mid Career",B303&lt;=54,"Mature",B303&lt;=65,"Pre-Senior",B303&gt;65,"Senior")</f>
        <v>Mature</v>
      </c>
      <c r="D303" s="1" t="s">
        <v>29</v>
      </c>
      <c r="F303" s="1">
        <v>725000</v>
      </c>
      <c r="G303" s="1">
        <v>62</v>
      </c>
      <c r="H303" s="1" t="str" cm="1">
        <f t="array" ref="H303">_xlfn.IFS( OR(G303=" ",NOT(ISNUMBER(G303))),"Unknown",G303&lt;=33,"Low Spender",G303&lt;=66,"Medium Spender",TRUE, "High Spender")</f>
        <v>Medium Spender</v>
      </c>
      <c r="I303" s="1">
        <v>21</v>
      </c>
      <c r="J303" s="1">
        <v>9200</v>
      </c>
      <c r="K303" s="1">
        <v>173</v>
      </c>
      <c r="L303" s="1" t="s">
        <v>20</v>
      </c>
      <c r="N303" s="1" t="str">
        <f t="shared" si="8"/>
        <v>Higher</v>
      </c>
      <c r="O303" s="1" t="str">
        <f t="shared" si="9"/>
        <v>Mature | Medium Spender | Higher</v>
      </c>
    </row>
    <row r="304" spans="1:15" x14ac:dyDescent="0.25">
      <c r="A304" s="1" t="s">
        <v>334</v>
      </c>
      <c r="B304" s="1">
        <v>59</v>
      </c>
      <c r="C304" s="1" t="str" cm="1">
        <f t="array" ref="C304">_xlfn.IFS(OR(B304=" ", B304="NA",NOT(ISNUMBER(B304))), "Unknown",B304&lt;18,"Underage",B304&lt;=24,"Young Adult",B304&lt;=34,"Early Career",B304&lt;=44,"Mid Career",B304&lt;=54,"Mature",B304&lt;=65,"Pre-Senior",B304&gt;65,"Senior")</f>
        <v>Pre-Senior</v>
      </c>
      <c r="D304" s="1" t="s">
        <v>18</v>
      </c>
      <c r="E304" s="1" t="s">
        <v>23</v>
      </c>
      <c r="F304" s="1">
        <v>1025000</v>
      </c>
      <c r="G304" s="1">
        <v>84</v>
      </c>
      <c r="H304" s="1" t="str" cm="1">
        <f t="array" ref="H304">_xlfn.IFS( OR(G304=" ",NOT(ISNUMBER(G304))),"Unknown",G304&lt;=33,"Low Spender",G304&lt;=66,"Medium Spender",TRUE, "High Spender")</f>
        <v>High Spender</v>
      </c>
      <c r="I304" s="1">
        <v>65</v>
      </c>
      <c r="J304" s="1">
        <v>2400</v>
      </c>
      <c r="K304" s="1">
        <v>230</v>
      </c>
      <c r="L304" s="1" t="s">
        <v>35</v>
      </c>
      <c r="N304" s="1" t="str">
        <f t="shared" si="8"/>
        <v>Higher</v>
      </c>
      <c r="O304" s="1" t="str">
        <f t="shared" si="9"/>
        <v>Pre-Senior | High Spender | Higher</v>
      </c>
    </row>
    <row r="305" spans="1:15" x14ac:dyDescent="0.25">
      <c r="A305" s="1" t="s">
        <v>335</v>
      </c>
      <c r="B305" s="1">
        <v>52</v>
      </c>
      <c r="C305" s="1" t="str" cm="1">
        <f t="array" ref="C305">_xlfn.IFS(OR(B305=" ", B305="NA",NOT(ISNUMBER(B305))), "Unknown",B305&lt;18,"Underage",B305&lt;=24,"Young Adult",B305&lt;=34,"Early Career",B305&lt;=44,"Mid Career",B305&lt;=54,"Mature",B305&lt;=65,"Pre-Senior",B305&gt;65,"Senior")</f>
        <v>Mature</v>
      </c>
      <c r="F305" s="1">
        <v>375000</v>
      </c>
      <c r="G305" s="1">
        <v>96</v>
      </c>
      <c r="H305" s="1" t="str" cm="1">
        <f t="array" ref="H305">_xlfn.IFS( OR(G305=" ",NOT(ISNUMBER(G305))),"Unknown",G305&lt;=33,"Low Spender",G305&lt;=66,"Medium Spender",TRUE, "High Spender")</f>
        <v>High Spender</v>
      </c>
      <c r="I305" s="1">
        <v>3</v>
      </c>
      <c r="J305" s="1">
        <v>7500</v>
      </c>
      <c r="K305" s="1">
        <v>198</v>
      </c>
      <c r="M305" s="1" t="s">
        <v>32</v>
      </c>
      <c r="N305" s="1" t="str">
        <f t="shared" si="8"/>
        <v>Lower</v>
      </c>
      <c r="O305" s="1" t="str">
        <f t="shared" si="9"/>
        <v>Mature | High Spender | Lower</v>
      </c>
    </row>
    <row r="306" spans="1:15" x14ac:dyDescent="0.25">
      <c r="A306" s="1" t="s">
        <v>336</v>
      </c>
      <c r="B306" s="1">
        <v>24</v>
      </c>
      <c r="C306" s="1" t="str" cm="1">
        <f t="array" ref="C306">_xlfn.IFS(OR(B306=" ", B306="NA",NOT(ISNUMBER(B306))), "Unknown",B306&lt;18,"Underage",B306&lt;=24,"Young Adult",B306&lt;=34,"Early Career",B306&lt;=44,"Mid Career",B306&lt;=54,"Mature",B306&lt;=65,"Pre-Senior",B306&gt;65,"Senior")</f>
        <v>Young Adult</v>
      </c>
      <c r="D306" s="1" t="s">
        <v>29</v>
      </c>
      <c r="E306" s="1" t="s">
        <v>27</v>
      </c>
      <c r="F306" s="1">
        <v>625000</v>
      </c>
      <c r="G306" s="1">
        <v>56</v>
      </c>
      <c r="H306" s="1" t="str" cm="1">
        <f t="array" ref="H306">_xlfn.IFS( OR(G306=" ",NOT(ISNUMBER(G306))),"Unknown",G306&lt;=33,"Low Spender",G306&lt;=66,"Medium Spender",TRUE, "High Spender")</f>
        <v>Medium Spender</v>
      </c>
      <c r="I306" s="1">
        <v>69</v>
      </c>
      <c r="J306" s="1">
        <v>7100</v>
      </c>
      <c r="K306" s="1">
        <v>243</v>
      </c>
      <c r="L306" s="1" t="s">
        <v>37</v>
      </c>
      <c r="M306" s="1" t="s">
        <v>41</v>
      </c>
      <c r="N306" s="1" t="str">
        <f t="shared" si="8"/>
        <v>Higher</v>
      </c>
      <c r="O306" s="1" t="str">
        <f t="shared" si="9"/>
        <v>Young Adult | Medium Spender | Higher</v>
      </c>
    </row>
    <row r="307" spans="1:15" x14ac:dyDescent="0.25">
      <c r="A307" s="1" t="s">
        <v>337</v>
      </c>
      <c r="B307" s="1">
        <v>33</v>
      </c>
      <c r="C307" s="1" t="str" cm="1">
        <f t="array" ref="C307">_xlfn.IFS(OR(B307=" ", B307="NA",NOT(ISNUMBER(B307))), "Unknown",B307&lt;18,"Underage",B307&lt;=24,"Young Adult",B307&lt;=34,"Early Career",B307&lt;=44,"Mid Career",B307&lt;=54,"Mature",B307&lt;=65,"Pre-Senior",B307&gt;65,"Senior")</f>
        <v>Early Career</v>
      </c>
      <c r="D307" s="1" t="s">
        <v>18</v>
      </c>
      <c r="E307" s="1" t="s">
        <v>58</v>
      </c>
      <c r="G307" s="1">
        <v>23</v>
      </c>
      <c r="H307" s="1" t="str" cm="1">
        <f t="array" ref="H307">_xlfn.IFS( OR(G307=" ",NOT(ISNUMBER(G307))),"Unknown",G307&lt;=33,"Low Spender",G307&lt;=66,"Medium Spender",TRUE, "High Spender")</f>
        <v>Low Spender</v>
      </c>
      <c r="I307" s="1">
        <v>64</v>
      </c>
      <c r="J307" s="1">
        <v>8300</v>
      </c>
      <c r="K307" s="1">
        <v>43</v>
      </c>
      <c r="M307" s="1" t="s">
        <v>21</v>
      </c>
      <c r="N307" s="1" t="str">
        <f t="shared" si="8"/>
        <v>Higher</v>
      </c>
      <c r="O307" s="1" t="str">
        <f t="shared" si="9"/>
        <v>Early Career | Low Spender | Higher</v>
      </c>
    </row>
    <row r="308" spans="1:15" x14ac:dyDescent="0.25">
      <c r="A308" s="1" t="s">
        <v>338</v>
      </c>
      <c r="B308" s="1">
        <v>43</v>
      </c>
      <c r="C308" s="1" t="str" cm="1">
        <f t="array" ref="C308">_xlfn.IFS(OR(B308=" ", B308="NA",NOT(ISNUMBER(B308))), "Unknown",B308&lt;18,"Underage",B308&lt;=24,"Young Adult",B308&lt;=34,"Early Career",B308&lt;=44,"Mid Career",B308&lt;=54,"Mature",B308&lt;=65,"Pre-Senior",B308&gt;65,"Senior")</f>
        <v>Mid Career</v>
      </c>
      <c r="D308" s="1" t="s">
        <v>29</v>
      </c>
      <c r="E308" s="1" t="s">
        <v>34</v>
      </c>
      <c r="F308" s="1">
        <v>425000</v>
      </c>
      <c r="G308" s="1">
        <v>17</v>
      </c>
      <c r="H308" s="1" t="str" cm="1">
        <f t="array" ref="H308">_xlfn.IFS( OR(G308=" ",NOT(ISNUMBER(G308))),"Unknown",G308&lt;=33,"Low Spender",G308&lt;=66,"Medium Spender",TRUE, "High Spender")</f>
        <v>Low Spender</v>
      </c>
      <c r="I308" s="1">
        <v>49</v>
      </c>
      <c r="J308" s="1">
        <v>5100</v>
      </c>
      <c r="K308" s="1">
        <v>330</v>
      </c>
      <c r="L308" s="1" t="s">
        <v>37</v>
      </c>
      <c r="M308" s="1" t="s">
        <v>41</v>
      </c>
      <c r="N308" s="1" t="str">
        <f t="shared" si="8"/>
        <v>Higher</v>
      </c>
      <c r="O308" s="1" t="str">
        <f t="shared" si="9"/>
        <v>Mid Career | Low Spender | Higher</v>
      </c>
    </row>
    <row r="309" spans="1:15" x14ac:dyDescent="0.25">
      <c r="A309" s="1" t="s">
        <v>339</v>
      </c>
      <c r="B309" s="1">
        <v>65</v>
      </c>
      <c r="C309" s="1" t="str" cm="1">
        <f t="array" ref="C309">_xlfn.IFS(OR(B309=" ", B309="NA",NOT(ISNUMBER(B309))), "Unknown",B309&lt;18,"Underage",B309&lt;=24,"Young Adult",B309&lt;=34,"Early Career",B309&lt;=44,"Mid Career",B309&lt;=54,"Mature",B309&lt;=65,"Pre-Senior",B309&gt;65,"Senior")</f>
        <v>Pre-Senior</v>
      </c>
      <c r="E309" s="1" t="s">
        <v>27</v>
      </c>
      <c r="F309" s="1">
        <v>1675000</v>
      </c>
      <c r="G309" s="1">
        <v>80</v>
      </c>
      <c r="H309" s="1" t="str" cm="1">
        <f t="array" ref="H309">_xlfn.IFS( OR(G309=" ",NOT(ISNUMBER(G309))),"Unknown",G309&lt;=33,"Low Spender",G309&lt;=66,"Medium Spender",TRUE, "High Spender")</f>
        <v>High Spender</v>
      </c>
      <c r="I309" s="1">
        <v>72</v>
      </c>
      <c r="J309" s="1">
        <v>10000</v>
      </c>
      <c r="K309" s="1">
        <v>279</v>
      </c>
      <c r="L309" s="1" t="s">
        <v>16</v>
      </c>
      <c r="N309" s="1" t="str">
        <f t="shared" si="8"/>
        <v>Lower</v>
      </c>
      <c r="O309" s="1" t="str">
        <f t="shared" si="9"/>
        <v>Pre-Senior | High Spender | Lower</v>
      </c>
    </row>
    <row r="310" spans="1:15" x14ac:dyDescent="0.25">
      <c r="A310" s="1" t="s">
        <v>340</v>
      </c>
      <c r="B310" s="1">
        <v>69</v>
      </c>
      <c r="C310" s="1" t="str" cm="1">
        <f t="array" ref="C310">_xlfn.IFS(OR(B310=" ", B310="NA",NOT(ISNUMBER(B310))), "Unknown",B310&lt;18,"Underage",B310&lt;=24,"Young Adult",B310&lt;=34,"Early Career",B310&lt;=44,"Mid Career",B310&lt;=54,"Mature",B310&lt;=65,"Pre-Senior",B310&gt;65,"Senior")</f>
        <v>Senior</v>
      </c>
      <c r="D310" s="1" t="s">
        <v>18</v>
      </c>
      <c r="E310" s="1" t="s">
        <v>34</v>
      </c>
      <c r="F310" s="1">
        <v>575000</v>
      </c>
      <c r="G310" s="1">
        <v>38</v>
      </c>
      <c r="H310" s="1" t="str" cm="1">
        <f t="array" ref="H310">_xlfn.IFS( OR(G310=" ",NOT(ISNUMBER(G310))),"Unknown",G310&lt;=33,"Low Spender",G310&lt;=66,"Medium Spender",TRUE, "High Spender")</f>
        <v>Medium Spender</v>
      </c>
      <c r="I310" s="1">
        <v>17</v>
      </c>
      <c r="J310" s="1">
        <v>400</v>
      </c>
      <c r="K310" s="1">
        <v>79</v>
      </c>
      <c r="M310" s="1" t="s">
        <v>30</v>
      </c>
      <c r="N310" s="1" t="str">
        <f t="shared" si="8"/>
        <v>Higher</v>
      </c>
      <c r="O310" s="1" t="str">
        <f t="shared" si="9"/>
        <v>Senior | Medium Spender | Higher</v>
      </c>
    </row>
    <row r="311" spans="1:15" x14ac:dyDescent="0.25">
      <c r="A311" s="1" t="s">
        <v>341</v>
      </c>
      <c r="B311" s="1">
        <v>66</v>
      </c>
      <c r="C311" s="1" t="str" cm="1">
        <f t="array" ref="C311">_xlfn.IFS(OR(B311=" ", B311="NA",NOT(ISNUMBER(B311))), "Unknown",B311&lt;18,"Underage",B311&lt;=24,"Young Adult",B311&lt;=34,"Early Career",B311&lt;=44,"Mid Career",B311&lt;=54,"Mature",B311&lt;=65,"Pre-Senior",B311&gt;65,"Senior")</f>
        <v>Senior</v>
      </c>
      <c r="F311" s="1">
        <v>1700000</v>
      </c>
      <c r="G311" s="1">
        <v>72</v>
      </c>
      <c r="H311" s="1" t="str" cm="1">
        <f t="array" ref="H311">_xlfn.IFS( OR(G311=" ",NOT(ISNUMBER(G311))),"Unknown",G311&lt;=33,"Low Spender",G311&lt;=66,"Medium Spender",TRUE, "High Spender")</f>
        <v>High Spender</v>
      </c>
      <c r="I311" s="1">
        <v>73</v>
      </c>
      <c r="J311" s="1">
        <v>5500</v>
      </c>
      <c r="K311" s="1">
        <v>279</v>
      </c>
      <c r="L311" s="1" t="s">
        <v>20</v>
      </c>
      <c r="N311" s="1" t="str">
        <f t="shared" si="8"/>
        <v>Lower</v>
      </c>
      <c r="O311" s="1" t="str">
        <f t="shared" si="9"/>
        <v>Senior | High Spender | Lower</v>
      </c>
    </row>
    <row r="312" spans="1:15" x14ac:dyDescent="0.25">
      <c r="A312" s="1" t="s">
        <v>342</v>
      </c>
      <c r="B312" s="1">
        <v>19</v>
      </c>
      <c r="C312" s="1" t="str" cm="1">
        <f t="array" ref="C312">_xlfn.IFS(OR(B312=" ", B312="NA",NOT(ISNUMBER(B312))), "Unknown",B312&lt;18,"Underage",B312&lt;=24,"Young Adult",B312&lt;=34,"Early Career",B312&lt;=44,"Mid Career",B312&lt;=54,"Mature",B312&lt;=65,"Pre-Senior",B312&gt;65,"Senior")</f>
        <v>Young Adult</v>
      </c>
      <c r="E312" s="1" t="s">
        <v>13</v>
      </c>
      <c r="F312" s="1">
        <v>750000</v>
      </c>
      <c r="G312" s="1">
        <v>83</v>
      </c>
      <c r="H312" s="1" t="str" cm="1">
        <f t="array" ref="H312">_xlfn.IFS( OR(G312=" ",NOT(ISNUMBER(G312))),"Unknown",G312&lt;=33,"Low Spender",G312&lt;=66,"Medium Spender",TRUE, "High Spender")</f>
        <v>High Spender</v>
      </c>
      <c r="I312" s="1">
        <v>32</v>
      </c>
      <c r="K312" s="1">
        <v>232</v>
      </c>
      <c r="L312" s="1" t="s">
        <v>37</v>
      </c>
      <c r="M312" s="1" t="s">
        <v>30</v>
      </c>
      <c r="N312" s="1" t="str">
        <f t="shared" si="8"/>
        <v>Lower</v>
      </c>
      <c r="O312" s="1" t="str">
        <f t="shared" si="9"/>
        <v>Young Adult | High Spender | Lower</v>
      </c>
    </row>
    <row r="313" spans="1:15" x14ac:dyDescent="0.25">
      <c r="A313" s="1" t="s">
        <v>343</v>
      </c>
      <c r="B313" s="1">
        <v>18</v>
      </c>
      <c r="C313" s="1" t="str" cm="1">
        <f t="array" ref="C313">_xlfn.IFS(OR(B313=" ", B313="NA",NOT(ISNUMBER(B313))), "Unknown",B313&lt;18,"Underage",B313&lt;=24,"Young Adult",B313&lt;=34,"Early Career",B313&lt;=44,"Mid Career",B313&lt;=54,"Mature",B313&lt;=65,"Pre-Senior",B313&gt;65,"Senior")</f>
        <v>Young Adult</v>
      </c>
      <c r="D313" s="1" t="s">
        <v>12</v>
      </c>
      <c r="E313" s="1" t="s">
        <v>23</v>
      </c>
      <c r="F313" s="1">
        <v>425000</v>
      </c>
      <c r="G313" s="1">
        <v>30</v>
      </c>
      <c r="H313" s="1" t="str" cm="1">
        <f t="array" ref="H313">_xlfn.IFS( OR(G313=" ",NOT(ISNUMBER(G313))),"Unknown",G313&lt;=33,"Low Spender",G313&lt;=66,"Medium Spender",TRUE, "High Spender")</f>
        <v>Low Spender</v>
      </c>
      <c r="I313" s="1">
        <v>70</v>
      </c>
      <c r="J313" s="1">
        <v>900</v>
      </c>
      <c r="K313" s="1">
        <v>101</v>
      </c>
      <c r="L313" s="1" t="s">
        <v>16</v>
      </c>
      <c r="M313" s="1" t="s">
        <v>21</v>
      </c>
      <c r="N313" s="1" t="str">
        <f t="shared" si="8"/>
        <v>Lower</v>
      </c>
      <c r="O313" s="1" t="str">
        <f t="shared" si="9"/>
        <v>Young Adult | Low Spender | Lower</v>
      </c>
    </row>
    <row r="314" spans="1:15" x14ac:dyDescent="0.25">
      <c r="A314" s="1" t="s">
        <v>344</v>
      </c>
      <c r="B314" s="1">
        <v>65</v>
      </c>
      <c r="C314" s="1" t="str" cm="1">
        <f t="array" ref="C314">_xlfn.IFS(OR(B314=" ", B314="NA",NOT(ISNUMBER(B314))), "Unknown",B314&lt;18,"Underage",B314&lt;=24,"Young Adult",B314&lt;=34,"Early Career",B314&lt;=44,"Mid Career",B314&lt;=54,"Mature",B314&lt;=65,"Pre-Senior",B314&gt;65,"Senior")</f>
        <v>Pre-Senior</v>
      </c>
      <c r="D314" s="1" t="s">
        <v>12</v>
      </c>
      <c r="E314" s="1" t="s">
        <v>19</v>
      </c>
      <c r="F314" s="1">
        <v>650000</v>
      </c>
      <c r="G314" s="1">
        <v>58</v>
      </c>
      <c r="H314" s="1" t="str" cm="1">
        <f t="array" ref="H314">_xlfn.IFS( OR(G314=" ",NOT(ISNUMBER(G314))),"Unknown",G314&lt;=33,"Low Spender",G314&lt;=66,"Medium Spender",TRUE, "High Spender")</f>
        <v>Medium Spender</v>
      </c>
      <c r="I314" s="1">
        <v>21</v>
      </c>
      <c r="J314" s="1">
        <v>10200</v>
      </c>
      <c r="K314" s="1">
        <v>162</v>
      </c>
      <c r="M314" s="1" t="s">
        <v>21</v>
      </c>
      <c r="N314" s="1" t="str">
        <f t="shared" si="8"/>
        <v>Lower</v>
      </c>
      <c r="O314" s="1" t="str">
        <f t="shared" si="9"/>
        <v>Pre-Senior | Medium Spender | Lower</v>
      </c>
    </row>
    <row r="315" spans="1:15" x14ac:dyDescent="0.25">
      <c r="A315" s="1" t="s">
        <v>345</v>
      </c>
      <c r="B315" s="1">
        <v>29</v>
      </c>
      <c r="C315" s="1" t="str" cm="1">
        <f t="array" ref="C315">_xlfn.IFS(OR(B315=" ", B315="NA",NOT(ISNUMBER(B315))), "Unknown",B315&lt;18,"Underage",B315&lt;=24,"Young Adult",B315&lt;=34,"Early Career",B315&lt;=44,"Mid Career",B315&lt;=54,"Mature",B315&lt;=65,"Pre-Senior",B315&gt;65,"Senior")</f>
        <v>Early Career</v>
      </c>
      <c r="D315" s="1" t="s">
        <v>18</v>
      </c>
      <c r="F315" s="1">
        <v>750000</v>
      </c>
      <c r="G315" s="1">
        <v>98</v>
      </c>
      <c r="H315" s="1" t="str" cm="1">
        <f t="array" ref="H315">_xlfn.IFS( OR(G315=" ",NOT(ISNUMBER(G315))),"Unknown",G315&lt;=33,"Low Spender",G315&lt;=66,"Medium Spender",TRUE, "High Spender")</f>
        <v>High Spender</v>
      </c>
      <c r="I315" s="1">
        <v>7</v>
      </c>
      <c r="J315" s="1">
        <v>7900</v>
      </c>
      <c r="K315" s="1">
        <v>144</v>
      </c>
      <c r="L315" s="1" t="s">
        <v>16</v>
      </c>
      <c r="N315" s="1" t="str">
        <f t="shared" si="8"/>
        <v>Higher</v>
      </c>
      <c r="O315" s="1" t="str">
        <f t="shared" si="9"/>
        <v>Early Career | High Spender | Higher</v>
      </c>
    </row>
    <row r="316" spans="1:15" x14ac:dyDescent="0.25">
      <c r="A316" s="1" t="s">
        <v>346</v>
      </c>
      <c r="B316" s="1">
        <v>22</v>
      </c>
      <c r="C316" s="1" t="str" cm="1">
        <f t="array" ref="C316">_xlfn.IFS(OR(B316=" ", B316="NA",NOT(ISNUMBER(B316))), "Unknown",B316&lt;18,"Underage",B316&lt;=24,"Young Adult",B316&lt;=34,"Early Career",B316&lt;=44,"Mid Career",B316&lt;=54,"Mature",B316&lt;=65,"Pre-Senior",B316&gt;65,"Senior")</f>
        <v>Young Adult</v>
      </c>
      <c r="D316" s="1" t="s">
        <v>29</v>
      </c>
      <c r="F316" s="1">
        <v>400000</v>
      </c>
      <c r="G316" s="1">
        <v>78</v>
      </c>
      <c r="H316" s="1" t="str" cm="1">
        <f t="array" ref="H316">_xlfn.IFS( OR(G316=" ",NOT(ISNUMBER(G316))),"Unknown",G316&lt;=33,"Low Spender",G316&lt;=66,"Medium Spender",TRUE, "High Spender")</f>
        <v>High Spender</v>
      </c>
      <c r="I316" s="1">
        <v>7</v>
      </c>
      <c r="J316" s="1">
        <v>2200</v>
      </c>
      <c r="K316" s="1">
        <v>109</v>
      </c>
      <c r="M316" s="1" t="s">
        <v>21</v>
      </c>
      <c r="N316" s="1" t="str">
        <f t="shared" si="8"/>
        <v>Higher</v>
      </c>
      <c r="O316" s="1" t="str">
        <f t="shared" si="9"/>
        <v>Young Adult | High Spender | Higher</v>
      </c>
    </row>
    <row r="317" spans="1:15" x14ac:dyDescent="0.25">
      <c r="A317" s="1" t="s">
        <v>347</v>
      </c>
      <c r="B317" s="1">
        <v>54</v>
      </c>
      <c r="C317" s="1" t="str" cm="1">
        <f t="array" ref="C317">_xlfn.IFS(OR(B317=" ", B317="NA",NOT(ISNUMBER(B317))), "Unknown",B317&lt;18,"Underage",B317&lt;=24,"Young Adult",B317&lt;=34,"Early Career",B317&lt;=44,"Mid Career",B317&lt;=54,"Mature",B317&lt;=65,"Pre-Senior",B317&gt;65,"Senior")</f>
        <v>Mature</v>
      </c>
      <c r="E317" s="1" t="s">
        <v>23</v>
      </c>
      <c r="F317" s="1">
        <v>1725000</v>
      </c>
      <c r="G317" s="1">
        <v>22</v>
      </c>
      <c r="H317" s="1" t="str" cm="1">
        <f t="array" ref="H317">_xlfn.IFS( OR(G317=" ",NOT(ISNUMBER(G317))),"Unknown",G317&lt;=33,"Low Spender",G317&lt;=66,"Medium Spender",TRUE, "High Spender")</f>
        <v>Low Spender</v>
      </c>
      <c r="I317" s="1">
        <v>27</v>
      </c>
      <c r="J317" s="1">
        <v>9600</v>
      </c>
      <c r="K317" s="1">
        <v>233</v>
      </c>
      <c r="L317" s="1" t="s">
        <v>37</v>
      </c>
      <c r="M317" s="1" t="s">
        <v>32</v>
      </c>
      <c r="N317" s="1" t="str">
        <f t="shared" si="8"/>
        <v>Lower</v>
      </c>
      <c r="O317" s="1" t="str">
        <f t="shared" si="9"/>
        <v>Mature | Low Spender | Lower</v>
      </c>
    </row>
    <row r="318" spans="1:15" x14ac:dyDescent="0.25">
      <c r="A318" s="1" t="s">
        <v>348</v>
      </c>
      <c r="B318" s="1">
        <v>49</v>
      </c>
      <c r="C318" s="1" t="str" cm="1">
        <f t="array" ref="C318">_xlfn.IFS(OR(B318=" ", B318="NA",NOT(ISNUMBER(B318))), "Unknown",B318&lt;18,"Underage",B318&lt;=24,"Young Adult",B318&lt;=34,"Early Career",B318&lt;=44,"Mid Career",B318&lt;=54,"Mature",B318&lt;=65,"Pre-Senior",B318&gt;65,"Senior")</f>
        <v>Mature</v>
      </c>
      <c r="D318" s="1" t="s">
        <v>29</v>
      </c>
      <c r="F318" s="1">
        <v>1950000</v>
      </c>
      <c r="G318" s="1">
        <v>17</v>
      </c>
      <c r="H318" s="1" t="str" cm="1">
        <f t="array" ref="H318">_xlfn.IFS( OR(G318=" ",NOT(ISNUMBER(G318))),"Unknown",G318&lt;=33,"Low Spender",G318&lt;=66,"Medium Spender",TRUE, "High Spender")</f>
        <v>Low Spender</v>
      </c>
      <c r="I318" s="1">
        <v>8</v>
      </c>
      <c r="J318" s="1">
        <v>3200</v>
      </c>
      <c r="K318" s="1">
        <v>111</v>
      </c>
      <c r="L318" s="1" t="s">
        <v>35</v>
      </c>
      <c r="M318" s="1" t="s">
        <v>32</v>
      </c>
      <c r="N318" s="1" t="str">
        <f t="shared" si="8"/>
        <v>Higher</v>
      </c>
      <c r="O318" s="1" t="str">
        <f t="shared" si="9"/>
        <v>Mature | Low Spender | Higher</v>
      </c>
    </row>
    <row r="319" spans="1:15" x14ac:dyDescent="0.25">
      <c r="A319" s="1" t="s">
        <v>349</v>
      </c>
      <c r="B319" s="1" t="s">
        <v>73</v>
      </c>
      <c r="C319" s="1" t="str" cm="1">
        <f t="array" ref="C319">_xlfn.IFS(OR(B319=" ", B319="NA",NOT(ISNUMBER(B319))), "Unknown",B319&lt;18,"Underage",B319&lt;=24,"Young Adult",B319&lt;=34,"Early Career",B319&lt;=44,"Mid Career",B319&lt;=54,"Mature",B319&lt;=65,"Pre-Senior",B319&gt;65,"Senior")</f>
        <v>Unknown</v>
      </c>
      <c r="D319" s="1" t="s">
        <v>29</v>
      </c>
      <c r="E319" s="1" t="s">
        <v>58</v>
      </c>
      <c r="F319" s="1">
        <v>1375000</v>
      </c>
      <c r="G319" s="1">
        <v>15</v>
      </c>
      <c r="H319" s="1" t="str" cm="1">
        <f t="array" ref="H319">_xlfn.IFS( OR(G319=" ",NOT(ISNUMBER(G319))),"Unknown",G319&lt;=33,"Low Spender",G319&lt;=66,"Medium Spender",TRUE, "High Spender")</f>
        <v>Low Spender</v>
      </c>
      <c r="I319" s="1">
        <v>73</v>
      </c>
      <c r="J319" s="1">
        <v>7700</v>
      </c>
      <c r="K319" s="1">
        <v>232</v>
      </c>
      <c r="L319" s="1" t="s">
        <v>35</v>
      </c>
      <c r="M319" s="1" t="s">
        <v>30</v>
      </c>
      <c r="N319" s="1" t="str">
        <f t="shared" si="8"/>
        <v>Higher</v>
      </c>
      <c r="O319" s="1" t="str">
        <f t="shared" si="9"/>
        <v>Unknown | Low Spender | Higher</v>
      </c>
    </row>
    <row r="320" spans="1:15" x14ac:dyDescent="0.25">
      <c r="A320" s="1" t="s">
        <v>350</v>
      </c>
      <c r="B320" s="1">
        <v>26</v>
      </c>
      <c r="C320" s="1" t="str" cm="1">
        <f t="array" ref="C320">_xlfn.IFS(OR(B320=" ", B320="NA",NOT(ISNUMBER(B320))), "Unknown",B320&lt;18,"Underage",B320&lt;=24,"Young Adult",B320&lt;=34,"Early Career",B320&lt;=44,"Mid Career",B320&lt;=54,"Mature",B320&lt;=65,"Pre-Senior",B320&gt;65,"Senior")</f>
        <v>Early Career</v>
      </c>
      <c r="D320" s="1" t="s">
        <v>18</v>
      </c>
      <c r="E320" s="1" t="s">
        <v>58</v>
      </c>
      <c r="F320" s="1">
        <v>1675000</v>
      </c>
      <c r="G320" s="1">
        <v>48</v>
      </c>
      <c r="H320" s="1" t="str" cm="1">
        <f t="array" ref="H320">_xlfn.IFS( OR(G320=" ",NOT(ISNUMBER(G320))),"Unknown",G320&lt;=33,"Low Spender",G320&lt;=66,"Medium Spender",TRUE, "High Spender")</f>
        <v>Medium Spender</v>
      </c>
      <c r="I320" s="1">
        <v>28</v>
      </c>
      <c r="J320" s="1">
        <v>9700</v>
      </c>
      <c r="K320" s="1">
        <v>238</v>
      </c>
      <c r="M320" s="1" t="s">
        <v>41</v>
      </c>
      <c r="N320" s="1" t="str">
        <f t="shared" si="8"/>
        <v>Higher</v>
      </c>
      <c r="O320" s="1" t="str">
        <f t="shared" si="9"/>
        <v>Early Career | Medium Spender | Higher</v>
      </c>
    </row>
    <row r="321" spans="1:15" x14ac:dyDescent="0.25">
      <c r="A321" s="1" t="s">
        <v>351</v>
      </c>
      <c r="B321" s="1">
        <v>58</v>
      </c>
      <c r="C321" s="1" t="str" cm="1">
        <f t="array" ref="C321">_xlfn.IFS(OR(B321=" ", B321="NA",NOT(ISNUMBER(B321))), "Unknown",B321&lt;18,"Underage",B321&lt;=24,"Young Adult",B321&lt;=34,"Early Career",B321&lt;=44,"Mid Career",B321&lt;=54,"Mature",B321&lt;=65,"Pre-Senior",B321&gt;65,"Senior")</f>
        <v>Pre-Senior</v>
      </c>
      <c r="D321" s="1" t="s">
        <v>29</v>
      </c>
      <c r="E321" s="1" t="s">
        <v>15</v>
      </c>
      <c r="F321" s="1">
        <v>1350000</v>
      </c>
      <c r="G321" s="1">
        <v>32</v>
      </c>
      <c r="H321" s="1" t="str" cm="1">
        <f t="array" ref="H321">_xlfn.IFS( OR(G321=" ",NOT(ISNUMBER(G321))),"Unknown",G321&lt;=33,"Low Spender",G321&lt;=66,"Medium Spender",TRUE, "High Spender")</f>
        <v>Low Spender</v>
      </c>
      <c r="I321" s="1">
        <v>79</v>
      </c>
      <c r="J321" s="1">
        <v>6900</v>
      </c>
      <c r="K321" s="1">
        <v>197</v>
      </c>
      <c r="L321" s="1" t="s">
        <v>16</v>
      </c>
      <c r="N321" s="1" t="str">
        <f t="shared" si="8"/>
        <v>Higher</v>
      </c>
      <c r="O321" s="1" t="str">
        <f t="shared" si="9"/>
        <v>Pre-Senior | Low Spender | Higher</v>
      </c>
    </row>
    <row r="322" spans="1:15" x14ac:dyDescent="0.25">
      <c r="A322" s="1" t="s">
        <v>352</v>
      </c>
      <c r="B322" s="1">
        <v>52</v>
      </c>
      <c r="C322" s="1" t="str" cm="1">
        <f t="array" ref="C322">_xlfn.IFS(OR(B322=" ", B322="NA",NOT(ISNUMBER(B322))), "Unknown",B322&lt;18,"Underage",B322&lt;=24,"Young Adult",B322&lt;=34,"Early Career",B322&lt;=44,"Mid Career",B322&lt;=54,"Mature",B322&lt;=65,"Pre-Senior",B322&gt;65,"Senior")</f>
        <v>Mature</v>
      </c>
      <c r="E322" s="1" t="s">
        <v>15</v>
      </c>
      <c r="F322" s="1">
        <v>475000</v>
      </c>
      <c r="G322" s="1">
        <v>77</v>
      </c>
      <c r="H322" s="1" t="str" cm="1">
        <f t="array" ref="H322">_xlfn.IFS( OR(G322=" ",NOT(ISNUMBER(G322))),"Unknown",G322&lt;=33,"Low Spender",G322&lt;=66,"Medium Spender",TRUE, "High Spender")</f>
        <v>High Spender</v>
      </c>
      <c r="I322" s="1">
        <v>66</v>
      </c>
      <c r="J322" s="1">
        <v>6100</v>
      </c>
      <c r="K322" s="1">
        <v>273</v>
      </c>
      <c r="L322" s="1" t="s">
        <v>20</v>
      </c>
      <c r="M322" s="1" t="s">
        <v>41</v>
      </c>
      <c r="N322" s="1" t="str">
        <f t="shared" ref="N322:N385" si="10">IF(OR(UPPER(TRIM(D322))="Male",UPPER(TRIM(D322))="Female"),"Higher","Lower")</f>
        <v>Lower</v>
      </c>
      <c r="O322" s="1" t="str">
        <f t="shared" ref="O322:O385" si="11">_xlfn.TEXTJOIN(" | ", TRUE, C322, H322, N322)</f>
        <v>Mature | High Spender | Lower</v>
      </c>
    </row>
    <row r="323" spans="1:15" x14ac:dyDescent="0.25">
      <c r="A323" s="1" t="s">
        <v>353</v>
      </c>
      <c r="B323" s="1">
        <v>36</v>
      </c>
      <c r="C323" s="1" t="str" cm="1">
        <f t="array" ref="C323">_xlfn.IFS(OR(B323=" ", B323="NA",NOT(ISNUMBER(B323))), "Unknown",B323&lt;18,"Underage",B323&lt;=24,"Young Adult",B323&lt;=34,"Early Career",B323&lt;=44,"Mid Career",B323&lt;=54,"Mature",B323&lt;=65,"Pre-Senior",B323&gt;65,"Senior")</f>
        <v>Mid Career</v>
      </c>
      <c r="D323" s="1" t="s">
        <v>29</v>
      </c>
      <c r="E323" s="1" t="s">
        <v>58</v>
      </c>
      <c r="F323" s="1">
        <v>150000</v>
      </c>
      <c r="G323" s="1">
        <v>85</v>
      </c>
      <c r="H323" s="1" t="str" cm="1">
        <f t="array" ref="H323">_xlfn.IFS( OR(G323=" ",NOT(ISNUMBER(G323))),"Unknown",G323&lt;=33,"Low Spender",G323&lt;=66,"Medium Spender",TRUE, "High Spender")</f>
        <v>High Spender</v>
      </c>
      <c r="I323" s="1">
        <v>71</v>
      </c>
      <c r="J323" s="1">
        <v>6800</v>
      </c>
      <c r="K323" s="1">
        <v>86</v>
      </c>
      <c r="L323" s="1" t="s">
        <v>37</v>
      </c>
      <c r="M323" s="1" t="s">
        <v>30</v>
      </c>
      <c r="N323" s="1" t="str">
        <f t="shared" si="10"/>
        <v>Higher</v>
      </c>
      <c r="O323" s="1" t="str">
        <f t="shared" si="11"/>
        <v>Mid Career | High Spender | Higher</v>
      </c>
    </row>
    <row r="324" spans="1:15" x14ac:dyDescent="0.25">
      <c r="A324" s="1" t="s">
        <v>354</v>
      </c>
      <c r="B324" s="1">
        <v>65</v>
      </c>
      <c r="C324" s="1" t="str" cm="1">
        <f t="array" ref="C324">_xlfn.IFS(OR(B324=" ", B324="NA",NOT(ISNUMBER(B324))), "Unknown",B324&lt;18,"Underage",B324&lt;=24,"Young Adult",B324&lt;=34,"Early Career",B324&lt;=44,"Mid Career",B324&lt;=54,"Mature",B324&lt;=65,"Pre-Senior",B324&gt;65,"Senior")</f>
        <v>Pre-Senior</v>
      </c>
      <c r="D324" s="1" t="s">
        <v>12</v>
      </c>
      <c r="E324" s="1" t="s">
        <v>49</v>
      </c>
      <c r="F324" s="1">
        <v>750000</v>
      </c>
      <c r="G324" s="1">
        <v>40</v>
      </c>
      <c r="H324" s="1" t="str" cm="1">
        <f t="array" ref="H324">_xlfn.IFS( OR(G324=" ",NOT(ISNUMBER(G324))),"Unknown",G324&lt;=33,"Low Spender",G324&lt;=66,"Medium Spender",TRUE, "High Spender")</f>
        <v>Medium Spender</v>
      </c>
      <c r="I324" s="1">
        <v>47</v>
      </c>
      <c r="J324" s="1">
        <v>11400</v>
      </c>
      <c r="K324" s="1">
        <v>295</v>
      </c>
      <c r="L324" s="1" t="s">
        <v>35</v>
      </c>
      <c r="M324" s="1" t="s">
        <v>32</v>
      </c>
      <c r="N324" s="1" t="str">
        <f t="shared" si="10"/>
        <v>Lower</v>
      </c>
      <c r="O324" s="1" t="str">
        <f t="shared" si="11"/>
        <v>Pre-Senior | Medium Spender | Lower</v>
      </c>
    </row>
    <row r="325" spans="1:15" x14ac:dyDescent="0.25">
      <c r="A325" s="1" t="s">
        <v>355</v>
      </c>
      <c r="B325" s="1">
        <v>33</v>
      </c>
      <c r="C325" s="1" t="str" cm="1">
        <f t="array" ref="C325">_xlfn.IFS(OR(B325=" ", B325="NA",NOT(ISNUMBER(B325))), "Unknown",B325&lt;18,"Underage",B325&lt;=24,"Young Adult",B325&lt;=34,"Early Career",B325&lt;=44,"Mid Career",B325&lt;=54,"Mature",B325&lt;=65,"Pre-Senior",B325&gt;65,"Senior")</f>
        <v>Early Career</v>
      </c>
      <c r="D325" s="1" t="s">
        <v>29</v>
      </c>
      <c r="E325" s="1" t="s">
        <v>13</v>
      </c>
      <c r="F325" s="1">
        <v>1600000</v>
      </c>
      <c r="G325" s="1">
        <v>97</v>
      </c>
      <c r="H325" s="1" t="str" cm="1">
        <f t="array" ref="H325">_xlfn.IFS( OR(G325=" ",NOT(ISNUMBER(G325))),"Unknown",G325&lt;=33,"Low Spender",G325&lt;=66,"Medium Spender",TRUE, "High Spender")</f>
        <v>High Spender</v>
      </c>
      <c r="I325" s="1">
        <v>10</v>
      </c>
      <c r="J325" s="1">
        <v>500</v>
      </c>
      <c r="K325" s="1">
        <v>41</v>
      </c>
      <c r="L325" s="1" t="s">
        <v>35</v>
      </c>
      <c r="N325" s="1" t="str">
        <f t="shared" si="10"/>
        <v>Higher</v>
      </c>
      <c r="O325" s="1" t="str">
        <f t="shared" si="11"/>
        <v>Early Career | High Spender | Higher</v>
      </c>
    </row>
    <row r="326" spans="1:15" x14ac:dyDescent="0.25">
      <c r="A326" s="1" t="s">
        <v>356</v>
      </c>
      <c r="B326" s="1">
        <v>20</v>
      </c>
      <c r="C326" s="1" t="str" cm="1">
        <f t="array" ref="C326">_xlfn.IFS(OR(B326=" ", B326="NA",NOT(ISNUMBER(B326))), "Unknown",B326&lt;18,"Underage",B326&lt;=24,"Young Adult",B326&lt;=34,"Early Career",B326&lt;=44,"Mid Career",B326&lt;=54,"Mature",B326&lt;=65,"Pre-Senior",B326&gt;65,"Senior")</f>
        <v>Young Adult</v>
      </c>
      <c r="D326" s="1" t="s">
        <v>29</v>
      </c>
      <c r="E326" s="1" t="s">
        <v>34</v>
      </c>
      <c r="F326" s="1">
        <v>1925000</v>
      </c>
      <c r="G326" s="1">
        <v>57</v>
      </c>
      <c r="H326" s="1" t="str" cm="1">
        <f t="array" ref="H326">_xlfn.IFS( OR(G326=" ",NOT(ISNUMBER(G326))),"Unknown",G326&lt;=33,"Low Spender",G326&lt;=66,"Medium Spender",TRUE, "High Spender")</f>
        <v>Medium Spender</v>
      </c>
      <c r="I326" s="1">
        <v>33</v>
      </c>
      <c r="J326" s="1">
        <v>5800</v>
      </c>
      <c r="K326" s="1">
        <v>48</v>
      </c>
      <c r="L326" s="1" t="s">
        <v>16</v>
      </c>
      <c r="N326" s="1" t="str">
        <f t="shared" si="10"/>
        <v>Higher</v>
      </c>
      <c r="O326" s="1" t="str">
        <f t="shared" si="11"/>
        <v>Young Adult | Medium Spender | Higher</v>
      </c>
    </row>
    <row r="327" spans="1:15" x14ac:dyDescent="0.25">
      <c r="A327" s="1" t="s">
        <v>357</v>
      </c>
      <c r="B327" s="1">
        <v>37</v>
      </c>
      <c r="C327" s="1" t="str" cm="1">
        <f t="array" ref="C327">_xlfn.IFS(OR(B327=" ", B327="NA",NOT(ISNUMBER(B327))), "Unknown",B327&lt;18,"Underage",B327&lt;=24,"Young Adult",B327&lt;=34,"Early Career",B327&lt;=44,"Mid Career",B327&lt;=54,"Mature",B327&lt;=65,"Pre-Senior",B327&gt;65,"Senior")</f>
        <v>Mid Career</v>
      </c>
      <c r="D327" s="1" t="s">
        <v>29</v>
      </c>
      <c r="E327" s="1" t="s">
        <v>13</v>
      </c>
      <c r="F327" s="1">
        <v>1850000</v>
      </c>
      <c r="G327" s="1">
        <v>58</v>
      </c>
      <c r="H327" s="1" t="str" cm="1">
        <f t="array" ref="H327">_xlfn.IFS( OR(G327=" ",NOT(ISNUMBER(G327))),"Unknown",G327&lt;=33,"Low Spender",G327&lt;=66,"Medium Spender",TRUE, "High Spender")</f>
        <v>Medium Spender</v>
      </c>
      <c r="I327" s="1">
        <v>7</v>
      </c>
      <c r="J327" s="1">
        <v>8100</v>
      </c>
      <c r="K327" s="1">
        <v>77</v>
      </c>
      <c r="L327" s="1" t="s">
        <v>35</v>
      </c>
      <c r="M327" s="1" t="s">
        <v>30</v>
      </c>
      <c r="N327" s="1" t="str">
        <f t="shared" si="10"/>
        <v>Higher</v>
      </c>
      <c r="O327" s="1" t="str">
        <f t="shared" si="11"/>
        <v>Mid Career | Medium Spender | Higher</v>
      </c>
    </row>
    <row r="328" spans="1:15" x14ac:dyDescent="0.25">
      <c r="A328" s="1" t="s">
        <v>358</v>
      </c>
      <c r="B328" s="1">
        <v>41</v>
      </c>
      <c r="C328" s="1" t="str" cm="1">
        <f t="array" ref="C328">_xlfn.IFS(OR(B328=" ", B328="NA",NOT(ISNUMBER(B328))), "Unknown",B328&lt;18,"Underage",B328&lt;=24,"Young Adult",B328&lt;=34,"Early Career",B328&lt;=44,"Mid Career",B328&lt;=54,"Mature",B328&lt;=65,"Pre-Senior",B328&gt;65,"Senior")</f>
        <v>Mid Career</v>
      </c>
      <c r="F328" s="1">
        <v>250000</v>
      </c>
      <c r="G328" s="1">
        <v>91</v>
      </c>
      <c r="H328" s="1" t="str" cm="1">
        <f t="array" ref="H328">_xlfn.IFS( OR(G328=" ",NOT(ISNUMBER(G328))),"Unknown",G328&lt;=33,"Low Spender",G328&lt;=66,"Medium Spender",TRUE, "High Spender")</f>
        <v>High Spender</v>
      </c>
      <c r="I328" s="1">
        <v>3</v>
      </c>
      <c r="J328" s="1">
        <v>1900</v>
      </c>
      <c r="K328" s="1">
        <v>178</v>
      </c>
      <c r="L328" s="1" t="s">
        <v>16</v>
      </c>
      <c r="M328" s="1" t="s">
        <v>41</v>
      </c>
      <c r="N328" s="1" t="str">
        <f t="shared" si="10"/>
        <v>Lower</v>
      </c>
      <c r="O328" s="1" t="str">
        <f t="shared" si="11"/>
        <v>Mid Career | High Spender | Lower</v>
      </c>
    </row>
    <row r="329" spans="1:15" x14ac:dyDescent="0.25">
      <c r="A329" s="1" t="s">
        <v>359</v>
      </c>
      <c r="C329" s="1" t="str" cm="1">
        <f t="array" ref="C329">_xlfn.IFS(OR(B329=" ", B329="NA",NOT(ISNUMBER(B329))), "Unknown",B329&lt;18,"Underage",B329&lt;=24,"Young Adult",B329&lt;=34,"Early Career",B329&lt;=44,"Mid Career",B329&lt;=54,"Mature",B329&lt;=65,"Pre-Senior",B329&gt;65,"Senior")</f>
        <v>Unknown</v>
      </c>
      <c r="F329" s="1">
        <v>600000</v>
      </c>
      <c r="G329" s="1">
        <v>99</v>
      </c>
      <c r="H329" s="1" t="str" cm="1">
        <f t="array" ref="H329">_xlfn.IFS( OR(G329=" ",NOT(ISNUMBER(G329))),"Unknown",G329&lt;=33,"Low Spender",G329&lt;=66,"Medium Spender",TRUE, "High Spender")</f>
        <v>High Spender</v>
      </c>
      <c r="I329" s="1">
        <v>14</v>
      </c>
      <c r="J329" s="1">
        <v>11400</v>
      </c>
      <c r="K329" s="1">
        <v>257</v>
      </c>
      <c r="L329" s="1" t="s">
        <v>37</v>
      </c>
      <c r="M329" s="1" t="s">
        <v>30</v>
      </c>
      <c r="N329" s="1" t="str">
        <f t="shared" si="10"/>
        <v>Lower</v>
      </c>
      <c r="O329" s="1" t="str">
        <f t="shared" si="11"/>
        <v>Unknown | High Spender | Lower</v>
      </c>
    </row>
    <row r="330" spans="1:15" x14ac:dyDescent="0.25">
      <c r="A330" s="1" t="s">
        <v>360</v>
      </c>
      <c r="B330" s="1">
        <v>50</v>
      </c>
      <c r="C330" s="1" t="str" cm="1">
        <f t="array" ref="C330">_xlfn.IFS(OR(B330=" ", B330="NA",NOT(ISNUMBER(B330))), "Unknown",B330&lt;18,"Underage",B330&lt;=24,"Young Adult",B330&lt;=34,"Early Career",B330&lt;=44,"Mid Career",B330&lt;=54,"Mature",B330&lt;=65,"Pre-Senior",B330&gt;65,"Senior")</f>
        <v>Mature</v>
      </c>
      <c r="D330" s="1" t="s">
        <v>29</v>
      </c>
      <c r="E330" s="1" t="s">
        <v>19</v>
      </c>
      <c r="F330" s="1">
        <v>700000</v>
      </c>
      <c r="G330" s="1">
        <v>16</v>
      </c>
      <c r="H330" s="1" t="str" cm="1">
        <f t="array" ref="H330">_xlfn.IFS( OR(G330=" ",NOT(ISNUMBER(G330))),"Unknown",G330&lt;=33,"Low Spender",G330&lt;=66,"Medium Spender",TRUE, "High Spender")</f>
        <v>Low Spender</v>
      </c>
      <c r="I330" s="1">
        <v>44</v>
      </c>
      <c r="J330" s="1">
        <v>5400</v>
      </c>
      <c r="K330" s="1">
        <v>117</v>
      </c>
      <c r="L330" s="1" t="s">
        <v>16</v>
      </c>
      <c r="M330" s="1" t="s">
        <v>30</v>
      </c>
      <c r="N330" s="1" t="str">
        <f t="shared" si="10"/>
        <v>Higher</v>
      </c>
      <c r="O330" s="1" t="str">
        <f t="shared" si="11"/>
        <v>Mature | Low Spender | Higher</v>
      </c>
    </row>
    <row r="331" spans="1:15" x14ac:dyDescent="0.25">
      <c r="A331" s="1" t="s">
        <v>361</v>
      </c>
      <c r="B331" s="1">
        <v>41</v>
      </c>
      <c r="C331" s="1" t="str" cm="1">
        <f t="array" ref="C331">_xlfn.IFS(OR(B331=" ", B331="NA",NOT(ISNUMBER(B331))), "Unknown",B331&lt;18,"Underage",B331&lt;=24,"Young Adult",B331&lt;=34,"Early Career",B331&lt;=44,"Mid Career",B331&lt;=54,"Mature",B331&lt;=65,"Pre-Senior",B331&gt;65,"Senior")</f>
        <v>Mid Career</v>
      </c>
      <c r="D331" s="1" t="s">
        <v>18</v>
      </c>
      <c r="F331" s="1">
        <v>350000</v>
      </c>
      <c r="G331" s="1">
        <v>28</v>
      </c>
      <c r="H331" s="1" t="str" cm="1">
        <f t="array" ref="H331">_xlfn.IFS( OR(G331=" ",NOT(ISNUMBER(G331))),"Unknown",G331&lt;=33,"Low Spender",G331&lt;=66,"Medium Spender",TRUE, "High Spender")</f>
        <v>Low Spender</v>
      </c>
      <c r="I331" s="1">
        <v>46</v>
      </c>
      <c r="J331" s="1">
        <v>900</v>
      </c>
      <c r="K331" s="1">
        <v>19</v>
      </c>
      <c r="L331" s="1" t="s">
        <v>35</v>
      </c>
      <c r="M331" s="1" t="s">
        <v>21</v>
      </c>
      <c r="N331" s="1" t="str">
        <f t="shared" si="10"/>
        <v>Higher</v>
      </c>
      <c r="O331" s="1" t="str">
        <f t="shared" si="11"/>
        <v>Mid Career | Low Spender | Higher</v>
      </c>
    </row>
    <row r="332" spans="1:15" x14ac:dyDescent="0.25">
      <c r="A332" s="1" t="s">
        <v>362</v>
      </c>
      <c r="B332" s="1">
        <v>69</v>
      </c>
      <c r="C332" s="1" t="str" cm="1">
        <f t="array" ref="C332">_xlfn.IFS(OR(B332=" ", B332="NA",NOT(ISNUMBER(B332))), "Unknown",B332&lt;18,"Underage",B332&lt;=24,"Young Adult",B332&lt;=34,"Early Career",B332&lt;=44,"Mid Career",B332&lt;=54,"Mature",B332&lt;=65,"Pre-Senior",B332&gt;65,"Senior")</f>
        <v>Senior</v>
      </c>
      <c r="D332" s="1" t="s">
        <v>29</v>
      </c>
      <c r="E332" s="1" t="s">
        <v>13</v>
      </c>
      <c r="F332" s="1">
        <v>1375000</v>
      </c>
      <c r="G332" s="1">
        <v>98</v>
      </c>
      <c r="H332" s="1" t="str" cm="1">
        <f t="array" ref="H332">_xlfn.IFS( OR(G332=" ",NOT(ISNUMBER(G332))),"Unknown",G332&lt;=33,"Low Spender",G332&lt;=66,"Medium Spender",TRUE, "High Spender")</f>
        <v>High Spender</v>
      </c>
      <c r="I332" s="1">
        <v>61</v>
      </c>
      <c r="J332" s="1">
        <v>11400</v>
      </c>
      <c r="K332" s="1">
        <v>59</v>
      </c>
      <c r="L332" s="1" t="s">
        <v>16</v>
      </c>
      <c r="M332" s="1" t="s">
        <v>32</v>
      </c>
      <c r="N332" s="1" t="str">
        <f t="shared" si="10"/>
        <v>Higher</v>
      </c>
      <c r="O332" s="1" t="str">
        <f t="shared" si="11"/>
        <v>Senior | High Spender | Higher</v>
      </c>
    </row>
    <row r="333" spans="1:15" x14ac:dyDescent="0.25">
      <c r="A333" s="1" t="s">
        <v>363</v>
      </c>
      <c r="B333" s="1">
        <v>28</v>
      </c>
      <c r="C333" s="1" t="str" cm="1">
        <f t="array" ref="C333">_xlfn.IFS(OR(B333=" ", B333="NA",NOT(ISNUMBER(B333))), "Unknown",B333&lt;18,"Underage",B333&lt;=24,"Young Adult",B333&lt;=34,"Early Career",B333&lt;=44,"Mid Career",B333&lt;=54,"Mature",B333&lt;=65,"Pre-Senior",B333&gt;65,"Senior")</f>
        <v>Early Career</v>
      </c>
      <c r="D333" s="1" t="s">
        <v>18</v>
      </c>
      <c r="E333" s="1" t="s">
        <v>58</v>
      </c>
      <c r="F333" s="1">
        <v>525000</v>
      </c>
      <c r="G333" s="1">
        <v>1</v>
      </c>
      <c r="H333" s="1" t="str" cm="1">
        <f t="array" ref="H333">_xlfn.IFS( OR(G333=" ",NOT(ISNUMBER(G333))),"Unknown",G333&lt;=33,"Low Spender",G333&lt;=66,"Medium Spender",TRUE, "High Spender")</f>
        <v>Low Spender</v>
      </c>
      <c r="I333" s="1">
        <v>36</v>
      </c>
      <c r="J333" s="1">
        <v>700</v>
      </c>
      <c r="K333" s="1">
        <v>196</v>
      </c>
      <c r="L333" s="1" t="s">
        <v>35</v>
      </c>
      <c r="N333" s="1" t="str">
        <f t="shared" si="10"/>
        <v>Higher</v>
      </c>
      <c r="O333" s="1" t="str">
        <f t="shared" si="11"/>
        <v>Early Career | Low Spender | Higher</v>
      </c>
    </row>
    <row r="334" spans="1:15" x14ac:dyDescent="0.25">
      <c r="A334" s="1" t="s">
        <v>364</v>
      </c>
      <c r="B334" s="1">
        <v>66</v>
      </c>
      <c r="C334" s="1" t="str" cm="1">
        <f t="array" ref="C334">_xlfn.IFS(OR(B334=" ", B334="NA",NOT(ISNUMBER(B334))), "Unknown",B334&lt;18,"Underage",B334&lt;=24,"Young Adult",B334&lt;=34,"Early Career",B334&lt;=44,"Mid Career",B334&lt;=54,"Mature",B334&lt;=65,"Pre-Senior",B334&gt;65,"Senior")</f>
        <v>Senior</v>
      </c>
      <c r="D334" s="1" t="s">
        <v>18</v>
      </c>
      <c r="E334" s="1" t="s">
        <v>23</v>
      </c>
      <c r="F334" s="1">
        <v>950000</v>
      </c>
      <c r="G334" s="1">
        <v>41</v>
      </c>
      <c r="H334" s="1" t="str" cm="1">
        <f t="array" ref="H334">_xlfn.IFS( OR(G334=" ",NOT(ISNUMBER(G334))),"Unknown",G334&lt;=33,"Low Spender",G334&lt;=66,"Medium Spender",TRUE, "High Spender")</f>
        <v>Medium Spender</v>
      </c>
      <c r="I334" s="1">
        <v>13</v>
      </c>
      <c r="J334" s="1">
        <v>10000</v>
      </c>
      <c r="K334" s="1">
        <v>107</v>
      </c>
      <c r="M334" s="1" t="s">
        <v>21</v>
      </c>
      <c r="N334" s="1" t="str">
        <f t="shared" si="10"/>
        <v>Higher</v>
      </c>
      <c r="O334" s="1" t="str">
        <f t="shared" si="11"/>
        <v>Senior | Medium Spender | Higher</v>
      </c>
    </row>
    <row r="335" spans="1:15" x14ac:dyDescent="0.25">
      <c r="A335" s="1" t="s">
        <v>365</v>
      </c>
      <c r="B335" s="1">
        <v>25</v>
      </c>
      <c r="C335" s="1" t="str" cm="1">
        <f t="array" ref="C335">_xlfn.IFS(OR(B335=" ", B335="NA",NOT(ISNUMBER(B335))), "Unknown",B335&lt;18,"Underage",B335&lt;=24,"Young Adult",B335&lt;=34,"Early Career",B335&lt;=44,"Mid Career",B335&lt;=54,"Mature",B335&lt;=65,"Pre-Senior",B335&gt;65,"Senior")</f>
        <v>Early Career</v>
      </c>
      <c r="D335" s="1" t="s">
        <v>18</v>
      </c>
      <c r="F335" s="1">
        <v>175000</v>
      </c>
      <c r="G335" s="1">
        <v>48</v>
      </c>
      <c r="H335" s="1" t="str" cm="1">
        <f t="array" ref="H335">_xlfn.IFS( OR(G335=" ",NOT(ISNUMBER(G335))),"Unknown",G335&lt;=33,"Low Spender",G335&lt;=66,"Medium Spender",TRUE, "High Spender")</f>
        <v>Medium Spender</v>
      </c>
      <c r="I335" s="1">
        <v>16</v>
      </c>
      <c r="J335" s="1">
        <v>9900</v>
      </c>
      <c r="K335" s="1">
        <v>284</v>
      </c>
      <c r="M335" s="1" t="s">
        <v>32</v>
      </c>
      <c r="N335" s="1" t="str">
        <f t="shared" si="10"/>
        <v>Higher</v>
      </c>
      <c r="O335" s="1" t="str">
        <f t="shared" si="11"/>
        <v>Early Career | Medium Spender | Higher</v>
      </c>
    </row>
    <row r="336" spans="1:15" x14ac:dyDescent="0.25">
      <c r="A336" s="1" t="s">
        <v>366</v>
      </c>
      <c r="B336" s="1">
        <v>53</v>
      </c>
      <c r="C336" s="1" t="str" cm="1">
        <f t="array" ref="C336">_xlfn.IFS(OR(B336=" ", B336="NA",NOT(ISNUMBER(B336))), "Unknown",B336&lt;18,"Underage",B336&lt;=24,"Young Adult",B336&lt;=34,"Early Career",B336&lt;=44,"Mid Career",B336&lt;=54,"Mature",B336&lt;=65,"Pre-Senior",B336&gt;65,"Senior")</f>
        <v>Mature</v>
      </c>
      <c r="D336" s="1" t="s">
        <v>29</v>
      </c>
      <c r="E336" s="1" t="s">
        <v>58</v>
      </c>
      <c r="F336" s="1">
        <v>475000</v>
      </c>
      <c r="G336" s="1">
        <v>31</v>
      </c>
      <c r="H336" s="1" t="str" cm="1">
        <f t="array" ref="H336">_xlfn.IFS( OR(G336=" ",NOT(ISNUMBER(G336))),"Unknown",G336&lt;=33,"Low Spender",G336&lt;=66,"Medium Spender",TRUE, "High Spender")</f>
        <v>Low Spender</v>
      </c>
      <c r="J336" s="1">
        <v>5600</v>
      </c>
      <c r="K336" s="1">
        <v>34</v>
      </c>
      <c r="L336" s="1" t="s">
        <v>35</v>
      </c>
      <c r="M336" s="1" t="s">
        <v>30</v>
      </c>
      <c r="N336" s="1" t="str">
        <f t="shared" si="10"/>
        <v>Higher</v>
      </c>
      <c r="O336" s="1" t="str">
        <f t="shared" si="11"/>
        <v>Mature | Low Spender | Higher</v>
      </c>
    </row>
    <row r="337" spans="1:15" x14ac:dyDescent="0.25">
      <c r="A337" s="1" t="s">
        <v>367</v>
      </c>
      <c r="B337" s="1">
        <v>55</v>
      </c>
      <c r="C337" s="1" t="str" cm="1">
        <f t="array" ref="C337">_xlfn.IFS(OR(B337=" ", B337="NA",NOT(ISNUMBER(B337))), "Unknown",B337&lt;18,"Underage",B337&lt;=24,"Young Adult",B337&lt;=34,"Early Career",B337&lt;=44,"Mid Career",B337&lt;=54,"Mature",B337&lt;=65,"Pre-Senior",B337&gt;65,"Senior")</f>
        <v>Pre-Senior</v>
      </c>
      <c r="D337" s="1" t="s">
        <v>12</v>
      </c>
      <c r="E337" s="1" t="s">
        <v>13</v>
      </c>
      <c r="F337" s="1">
        <v>150000</v>
      </c>
      <c r="G337" s="1">
        <v>36</v>
      </c>
      <c r="H337" s="1" t="str" cm="1">
        <f t="array" ref="H337">_xlfn.IFS( OR(G337=" ",NOT(ISNUMBER(G337))),"Unknown",G337&lt;=33,"Low Spender",G337&lt;=66,"Medium Spender",TRUE, "High Spender")</f>
        <v>Medium Spender</v>
      </c>
      <c r="I337" s="1">
        <v>5</v>
      </c>
      <c r="J337" s="1">
        <v>6300</v>
      </c>
      <c r="K337" s="1">
        <v>295</v>
      </c>
      <c r="L337" s="1" t="s">
        <v>35</v>
      </c>
      <c r="M337" s="1" t="s">
        <v>32</v>
      </c>
      <c r="N337" s="1" t="str">
        <f t="shared" si="10"/>
        <v>Lower</v>
      </c>
      <c r="O337" s="1" t="str">
        <f t="shared" si="11"/>
        <v>Pre-Senior | Medium Spender | Lower</v>
      </c>
    </row>
    <row r="338" spans="1:15" x14ac:dyDescent="0.25">
      <c r="A338" s="1" t="s">
        <v>368</v>
      </c>
      <c r="B338" s="1">
        <v>57</v>
      </c>
      <c r="C338" s="1" t="str" cm="1">
        <f t="array" ref="C338">_xlfn.IFS(OR(B338=" ", B338="NA",NOT(ISNUMBER(B338))), "Unknown",B338&lt;18,"Underage",B338&lt;=24,"Young Adult",B338&lt;=34,"Early Career",B338&lt;=44,"Mid Career",B338&lt;=54,"Mature",B338&lt;=65,"Pre-Senior",B338&gt;65,"Senior")</f>
        <v>Pre-Senior</v>
      </c>
      <c r="E338" s="1" t="s">
        <v>23</v>
      </c>
      <c r="F338" s="1">
        <v>1575000</v>
      </c>
      <c r="G338" s="1">
        <v>33</v>
      </c>
      <c r="H338" s="1" t="str" cm="1">
        <f t="array" ref="H338">_xlfn.IFS( OR(G338=" ",NOT(ISNUMBER(G338))),"Unknown",G338&lt;=33,"Low Spender",G338&lt;=66,"Medium Spender",TRUE, "High Spender")</f>
        <v>Low Spender</v>
      </c>
      <c r="I338" s="1">
        <v>38</v>
      </c>
      <c r="J338" s="1">
        <v>11100</v>
      </c>
      <c r="K338" s="1">
        <v>251</v>
      </c>
      <c r="L338" s="1" t="s">
        <v>35</v>
      </c>
      <c r="M338" s="1" t="s">
        <v>41</v>
      </c>
      <c r="N338" s="1" t="str">
        <f t="shared" si="10"/>
        <v>Lower</v>
      </c>
      <c r="O338" s="1" t="str">
        <f t="shared" si="11"/>
        <v>Pre-Senior | Low Spender | Lower</v>
      </c>
    </row>
    <row r="339" spans="1:15" x14ac:dyDescent="0.25">
      <c r="A339" s="1" t="s">
        <v>369</v>
      </c>
      <c r="B339" s="1">
        <v>37</v>
      </c>
      <c r="C339" s="1" t="str" cm="1">
        <f t="array" ref="C339">_xlfn.IFS(OR(B339=" ", B339="NA",NOT(ISNUMBER(B339))), "Unknown",B339&lt;18,"Underage",B339&lt;=24,"Young Adult",B339&lt;=34,"Early Career",B339&lt;=44,"Mid Career",B339&lt;=54,"Mature",B339&lt;=65,"Pre-Senior",B339&gt;65,"Senior")</f>
        <v>Mid Career</v>
      </c>
      <c r="E339" s="1" t="s">
        <v>19</v>
      </c>
      <c r="F339" s="1">
        <v>525000</v>
      </c>
      <c r="G339" s="1">
        <v>33</v>
      </c>
      <c r="H339" s="1" t="str" cm="1">
        <f t="array" ref="H339">_xlfn.IFS( OR(G339=" ",NOT(ISNUMBER(G339))),"Unknown",G339&lt;=33,"Low Spender",G339&lt;=66,"Medium Spender",TRUE, "High Spender")</f>
        <v>Low Spender</v>
      </c>
      <c r="I339" s="1">
        <v>50</v>
      </c>
      <c r="J339" s="1">
        <v>1800</v>
      </c>
      <c r="K339" s="1">
        <v>126</v>
      </c>
      <c r="N339" s="1" t="str">
        <f t="shared" si="10"/>
        <v>Lower</v>
      </c>
      <c r="O339" s="1" t="str">
        <f t="shared" si="11"/>
        <v>Mid Career | Low Spender | Lower</v>
      </c>
    </row>
    <row r="340" spans="1:15" x14ac:dyDescent="0.25">
      <c r="A340" s="1" t="s">
        <v>370</v>
      </c>
      <c r="B340" s="1">
        <v>52</v>
      </c>
      <c r="C340" s="1" t="str" cm="1">
        <f t="array" ref="C340">_xlfn.IFS(OR(B340=" ", B340="NA",NOT(ISNUMBER(B340))), "Unknown",B340&lt;18,"Underage",B340&lt;=24,"Young Adult",B340&lt;=34,"Early Career",B340&lt;=44,"Mid Career",B340&lt;=54,"Mature",B340&lt;=65,"Pre-Senior",B340&gt;65,"Senior")</f>
        <v>Mature</v>
      </c>
      <c r="D340" s="1" t="s">
        <v>29</v>
      </c>
      <c r="E340" s="1" t="s">
        <v>13</v>
      </c>
      <c r="F340" s="1">
        <v>1300000</v>
      </c>
      <c r="G340" s="1">
        <v>82</v>
      </c>
      <c r="H340" s="1" t="str" cm="1">
        <f t="array" ref="H340">_xlfn.IFS( OR(G340=" ",NOT(ISNUMBER(G340))),"Unknown",G340&lt;=33,"Low Spender",G340&lt;=66,"Medium Spender",TRUE, "High Spender")</f>
        <v>High Spender</v>
      </c>
      <c r="I340" s="1">
        <v>38</v>
      </c>
      <c r="J340" s="1">
        <v>10300</v>
      </c>
      <c r="K340" s="1">
        <v>339</v>
      </c>
      <c r="M340" s="1" t="s">
        <v>21</v>
      </c>
      <c r="N340" s="1" t="str">
        <f t="shared" si="10"/>
        <v>Higher</v>
      </c>
      <c r="O340" s="1" t="str">
        <f t="shared" si="11"/>
        <v>Mature | High Spender | Higher</v>
      </c>
    </row>
    <row r="341" spans="1:15" x14ac:dyDescent="0.25">
      <c r="A341" s="1" t="s">
        <v>371</v>
      </c>
      <c r="B341" s="1">
        <v>65</v>
      </c>
      <c r="C341" s="1" t="str" cm="1">
        <f t="array" ref="C341">_xlfn.IFS(OR(B341=" ", B341="NA",NOT(ISNUMBER(B341))), "Unknown",B341&lt;18,"Underage",B341&lt;=24,"Young Adult",B341&lt;=34,"Early Career",B341&lt;=44,"Mid Career",B341&lt;=54,"Mature",B341&lt;=65,"Pre-Senior",B341&gt;65,"Senior")</f>
        <v>Pre-Senior</v>
      </c>
      <c r="E341" s="1" t="s">
        <v>34</v>
      </c>
      <c r="F341" s="1">
        <v>1225000</v>
      </c>
      <c r="G341" s="1">
        <v>23</v>
      </c>
      <c r="H341" s="1" t="str" cm="1">
        <f t="array" ref="H341">_xlfn.IFS( OR(G341=" ",NOT(ISNUMBER(G341))),"Unknown",G341&lt;=33,"Low Spender",G341&lt;=66,"Medium Spender",TRUE, "High Spender")</f>
        <v>Low Spender</v>
      </c>
      <c r="I341" s="1">
        <v>56</v>
      </c>
      <c r="J341" s="1">
        <v>6900</v>
      </c>
      <c r="K341" s="1">
        <v>106</v>
      </c>
      <c r="L341" s="1" t="s">
        <v>20</v>
      </c>
      <c r="N341" s="1" t="str">
        <f t="shared" si="10"/>
        <v>Lower</v>
      </c>
      <c r="O341" s="1" t="str">
        <f t="shared" si="11"/>
        <v>Pre-Senior | Low Spender | Lower</v>
      </c>
    </row>
    <row r="342" spans="1:15" x14ac:dyDescent="0.25">
      <c r="A342" s="1" t="s">
        <v>372</v>
      </c>
      <c r="B342" s="1">
        <v>42</v>
      </c>
      <c r="C342" s="1" t="str" cm="1">
        <f t="array" ref="C342">_xlfn.IFS(OR(B342=" ", B342="NA",NOT(ISNUMBER(B342))), "Unknown",B342&lt;18,"Underage",B342&lt;=24,"Young Adult",B342&lt;=34,"Early Career",B342&lt;=44,"Mid Career",B342&lt;=54,"Mature",B342&lt;=65,"Pre-Senior",B342&gt;65,"Senior")</f>
        <v>Mid Career</v>
      </c>
      <c r="E342" s="1" t="s">
        <v>27</v>
      </c>
      <c r="F342" s="1">
        <v>475000</v>
      </c>
      <c r="G342" s="1">
        <v>60</v>
      </c>
      <c r="H342" s="1" t="str" cm="1">
        <f t="array" ref="H342">_xlfn.IFS( OR(G342=" ",NOT(ISNUMBER(G342))),"Unknown",G342&lt;=33,"Low Spender",G342&lt;=66,"Medium Spender",TRUE, "High Spender")</f>
        <v>Medium Spender</v>
      </c>
      <c r="I342" s="1">
        <v>63</v>
      </c>
      <c r="J342" s="1">
        <v>6100</v>
      </c>
      <c r="K342" s="1">
        <v>180</v>
      </c>
      <c r="L342" s="1" t="s">
        <v>35</v>
      </c>
      <c r="M342" s="1" t="s">
        <v>30</v>
      </c>
      <c r="N342" s="1" t="str">
        <f t="shared" si="10"/>
        <v>Lower</v>
      </c>
      <c r="O342" s="1" t="str">
        <f t="shared" si="11"/>
        <v>Mid Career | Medium Spender | Lower</v>
      </c>
    </row>
    <row r="343" spans="1:15" x14ac:dyDescent="0.25">
      <c r="A343" s="1" t="s">
        <v>373</v>
      </c>
      <c r="B343" s="1">
        <v>52</v>
      </c>
      <c r="C343" s="1" t="str" cm="1">
        <f t="array" ref="C343">_xlfn.IFS(OR(B343=" ", B343="NA",NOT(ISNUMBER(B343))), "Unknown",B343&lt;18,"Underage",B343&lt;=24,"Young Adult",B343&lt;=34,"Early Career",B343&lt;=44,"Mid Career",B343&lt;=54,"Mature",B343&lt;=65,"Pre-Senior",B343&gt;65,"Senior")</f>
        <v>Mature</v>
      </c>
      <c r="E343" s="1" t="s">
        <v>23</v>
      </c>
      <c r="F343" s="1">
        <v>725000</v>
      </c>
      <c r="G343" s="1">
        <v>87</v>
      </c>
      <c r="H343" s="1" t="str" cm="1">
        <f t="array" ref="H343">_xlfn.IFS( OR(G343=" ",NOT(ISNUMBER(G343))),"Unknown",G343&lt;=33,"Low Spender",G343&lt;=66,"Medium Spender",TRUE, "High Spender")</f>
        <v>High Spender</v>
      </c>
      <c r="I343" s="1">
        <v>48</v>
      </c>
      <c r="J343" s="1">
        <v>4900</v>
      </c>
      <c r="K343" s="1">
        <v>110</v>
      </c>
      <c r="L343" s="1" t="s">
        <v>20</v>
      </c>
      <c r="M343" s="1" t="s">
        <v>41</v>
      </c>
      <c r="N343" s="1" t="str">
        <f t="shared" si="10"/>
        <v>Lower</v>
      </c>
      <c r="O343" s="1" t="str">
        <f t="shared" si="11"/>
        <v>Mature | High Spender | Lower</v>
      </c>
    </row>
    <row r="344" spans="1:15" x14ac:dyDescent="0.25">
      <c r="A344" s="1" t="s">
        <v>374</v>
      </c>
      <c r="B344" s="1">
        <v>42</v>
      </c>
      <c r="C344" s="1" t="str" cm="1">
        <f t="array" ref="C344">_xlfn.IFS(OR(B344=" ", B344="NA",NOT(ISNUMBER(B344))), "Unknown",B344&lt;18,"Underage",B344&lt;=24,"Young Adult",B344&lt;=34,"Early Career",B344&lt;=44,"Mid Career",B344&lt;=54,"Mature",B344&lt;=65,"Pre-Senior",B344&gt;65,"Senior")</f>
        <v>Mid Career</v>
      </c>
      <c r="D344" s="1" t="s">
        <v>12</v>
      </c>
      <c r="E344" s="1" t="s">
        <v>13</v>
      </c>
      <c r="F344" s="1">
        <v>1500000</v>
      </c>
      <c r="G344" s="1">
        <v>79</v>
      </c>
      <c r="H344" s="1" t="str" cm="1">
        <f t="array" ref="H344">_xlfn.IFS( OR(G344=" ",NOT(ISNUMBER(G344))),"Unknown",G344&lt;=33,"Low Spender",G344&lt;=66,"Medium Spender",TRUE, "High Spender")</f>
        <v>High Spender</v>
      </c>
      <c r="I344" s="1">
        <v>59</v>
      </c>
      <c r="J344" s="1">
        <v>5000</v>
      </c>
      <c r="K344" s="1">
        <v>228</v>
      </c>
      <c r="L344" s="1" t="s">
        <v>37</v>
      </c>
      <c r="M344" s="1" t="s">
        <v>32</v>
      </c>
      <c r="N344" s="1" t="str">
        <f t="shared" si="10"/>
        <v>Lower</v>
      </c>
      <c r="O344" s="1" t="str">
        <f t="shared" si="11"/>
        <v>Mid Career | High Spender | Lower</v>
      </c>
    </row>
    <row r="345" spans="1:15" x14ac:dyDescent="0.25">
      <c r="A345" s="1" t="s">
        <v>375</v>
      </c>
      <c r="B345" s="1">
        <v>46</v>
      </c>
      <c r="C345" s="1" t="str" cm="1">
        <f t="array" ref="C345">_xlfn.IFS(OR(B345=" ", B345="NA",NOT(ISNUMBER(B345))), "Unknown",B345&lt;18,"Underage",B345&lt;=24,"Young Adult",B345&lt;=34,"Early Career",B345&lt;=44,"Mid Career",B345&lt;=54,"Mature",B345&lt;=65,"Pre-Senior",B345&gt;65,"Senior")</f>
        <v>Mature</v>
      </c>
      <c r="E345" s="1" t="s">
        <v>58</v>
      </c>
      <c r="F345" s="1">
        <v>500000</v>
      </c>
      <c r="G345" s="1">
        <v>90</v>
      </c>
      <c r="H345" s="1" t="str" cm="1">
        <f t="array" ref="H345">_xlfn.IFS( OR(G345=" ",NOT(ISNUMBER(G345))),"Unknown",G345&lt;=33,"Low Spender",G345&lt;=66,"Medium Spender",TRUE, "High Spender")</f>
        <v>High Spender</v>
      </c>
      <c r="I345" s="1">
        <v>77</v>
      </c>
      <c r="J345" s="1">
        <v>10900</v>
      </c>
      <c r="K345" s="1">
        <v>121</v>
      </c>
      <c r="M345" s="1" t="s">
        <v>32</v>
      </c>
      <c r="N345" s="1" t="str">
        <f t="shared" si="10"/>
        <v>Lower</v>
      </c>
      <c r="O345" s="1" t="str">
        <f t="shared" si="11"/>
        <v>Mature | High Spender | Lower</v>
      </c>
    </row>
    <row r="346" spans="1:15" x14ac:dyDescent="0.25">
      <c r="A346" s="1" t="s">
        <v>376</v>
      </c>
      <c r="B346" s="1">
        <v>35</v>
      </c>
      <c r="C346" s="1" t="str" cm="1">
        <f t="array" ref="C346">_xlfn.IFS(OR(B346=" ", B346="NA",NOT(ISNUMBER(B346))), "Unknown",B346&lt;18,"Underage",B346&lt;=24,"Young Adult",B346&lt;=34,"Early Career",B346&lt;=44,"Mid Career",B346&lt;=54,"Mature",B346&lt;=65,"Pre-Senior",B346&gt;65,"Senior")</f>
        <v>Mid Career</v>
      </c>
      <c r="D346" s="1" t="s">
        <v>29</v>
      </c>
      <c r="E346" s="1" t="s">
        <v>34</v>
      </c>
      <c r="F346" s="1">
        <v>1925000</v>
      </c>
      <c r="G346" s="1">
        <v>30</v>
      </c>
      <c r="H346" s="1" t="str" cm="1">
        <f t="array" ref="H346">_xlfn.IFS( OR(G346=" ",NOT(ISNUMBER(G346))),"Unknown",G346&lt;=33,"Low Spender",G346&lt;=66,"Medium Spender",TRUE, "High Spender")</f>
        <v>Low Spender</v>
      </c>
      <c r="I346" s="1">
        <v>44</v>
      </c>
      <c r="J346" s="1">
        <v>11700</v>
      </c>
      <c r="K346" s="1">
        <v>107</v>
      </c>
      <c r="L346" s="1" t="s">
        <v>16</v>
      </c>
      <c r="M346" s="1" t="s">
        <v>41</v>
      </c>
      <c r="N346" s="1" t="str">
        <f t="shared" si="10"/>
        <v>Higher</v>
      </c>
      <c r="O346" s="1" t="str">
        <f t="shared" si="11"/>
        <v>Mid Career | Low Spender | Higher</v>
      </c>
    </row>
    <row r="347" spans="1:15" x14ac:dyDescent="0.25">
      <c r="A347" s="1" t="s">
        <v>377</v>
      </c>
      <c r="B347" s="1">
        <v>63</v>
      </c>
      <c r="C347" s="1" t="str" cm="1">
        <f t="array" ref="C347">_xlfn.IFS(OR(B347=" ", B347="NA",NOT(ISNUMBER(B347))), "Unknown",B347&lt;18,"Underage",B347&lt;=24,"Young Adult",B347&lt;=34,"Early Career",B347&lt;=44,"Mid Career",B347&lt;=54,"Mature",B347&lt;=65,"Pre-Senior",B347&gt;65,"Senior")</f>
        <v>Pre-Senior</v>
      </c>
      <c r="E347" s="1" t="s">
        <v>49</v>
      </c>
      <c r="F347" s="1">
        <v>975000</v>
      </c>
      <c r="G347" s="1">
        <v>89</v>
      </c>
      <c r="H347" s="1" t="str" cm="1">
        <f t="array" ref="H347">_xlfn.IFS( OR(G347=" ",NOT(ISNUMBER(G347))),"Unknown",G347&lt;=33,"Low Spender",G347&lt;=66,"Medium Spender",TRUE, "High Spender")</f>
        <v>High Spender</v>
      </c>
      <c r="I347" s="1">
        <v>55</v>
      </c>
      <c r="J347" s="1">
        <v>6600</v>
      </c>
      <c r="K347" s="1">
        <v>131</v>
      </c>
      <c r="L347" s="1" t="s">
        <v>20</v>
      </c>
      <c r="M347" s="1" t="s">
        <v>32</v>
      </c>
      <c r="N347" s="1" t="str">
        <f t="shared" si="10"/>
        <v>Lower</v>
      </c>
      <c r="O347" s="1" t="str">
        <f t="shared" si="11"/>
        <v>Pre-Senior | High Spender | Lower</v>
      </c>
    </row>
    <row r="348" spans="1:15" x14ac:dyDescent="0.25">
      <c r="A348" s="1" t="s">
        <v>378</v>
      </c>
      <c r="B348" s="1">
        <v>35</v>
      </c>
      <c r="C348" s="1" t="str" cm="1">
        <f t="array" ref="C348">_xlfn.IFS(OR(B348=" ", B348="NA",NOT(ISNUMBER(B348))), "Unknown",B348&lt;18,"Underage",B348&lt;=24,"Young Adult",B348&lt;=34,"Early Career",B348&lt;=44,"Mid Career",B348&lt;=54,"Mature",B348&lt;=65,"Pre-Senior",B348&gt;65,"Senior")</f>
        <v>Mid Career</v>
      </c>
      <c r="D348" s="1" t="s">
        <v>18</v>
      </c>
      <c r="E348" s="1" t="s">
        <v>23</v>
      </c>
      <c r="F348" s="1">
        <v>175000</v>
      </c>
      <c r="G348" s="1">
        <v>45</v>
      </c>
      <c r="H348" s="1" t="str" cm="1">
        <f t="array" ref="H348">_xlfn.IFS( OR(G348=" ",NOT(ISNUMBER(G348))),"Unknown",G348&lt;=33,"Low Spender",G348&lt;=66,"Medium Spender",TRUE, "High Spender")</f>
        <v>Medium Spender</v>
      </c>
      <c r="I348" s="1">
        <v>55</v>
      </c>
      <c r="J348" s="1">
        <v>5200</v>
      </c>
      <c r="K348" s="1">
        <v>23</v>
      </c>
      <c r="M348" s="1" t="s">
        <v>21</v>
      </c>
      <c r="N348" s="1" t="str">
        <f t="shared" si="10"/>
        <v>Higher</v>
      </c>
      <c r="O348" s="1" t="str">
        <f t="shared" si="11"/>
        <v>Mid Career | Medium Spender | Higher</v>
      </c>
    </row>
    <row r="349" spans="1:15" x14ac:dyDescent="0.25">
      <c r="A349" s="1" t="s">
        <v>379</v>
      </c>
      <c r="B349" s="1">
        <v>19</v>
      </c>
      <c r="C349" s="1" t="str" cm="1">
        <f t="array" ref="C349">_xlfn.IFS(OR(B349=" ", B349="NA",NOT(ISNUMBER(B349))), "Unknown",B349&lt;18,"Underage",B349&lt;=24,"Young Adult",B349&lt;=34,"Early Career",B349&lt;=44,"Mid Career",B349&lt;=54,"Mature",B349&lt;=65,"Pre-Senior",B349&gt;65,"Senior")</f>
        <v>Young Adult</v>
      </c>
      <c r="D349" s="1" t="s">
        <v>29</v>
      </c>
      <c r="E349" s="1" t="s">
        <v>34</v>
      </c>
      <c r="F349" s="1">
        <v>800000</v>
      </c>
      <c r="G349" s="1">
        <v>80</v>
      </c>
      <c r="H349" s="1" t="str" cm="1">
        <f t="array" ref="H349">_xlfn.IFS( OR(G349=" ",NOT(ISNUMBER(G349))),"Unknown",G349&lt;=33,"Low Spender",G349&lt;=66,"Medium Spender",TRUE, "High Spender")</f>
        <v>High Spender</v>
      </c>
      <c r="I349" s="1">
        <v>1</v>
      </c>
      <c r="J349" s="1">
        <v>8700</v>
      </c>
      <c r="K349" s="1">
        <v>145</v>
      </c>
      <c r="L349" s="1" t="s">
        <v>37</v>
      </c>
      <c r="N349" s="1" t="str">
        <f t="shared" si="10"/>
        <v>Higher</v>
      </c>
      <c r="O349" s="1" t="str">
        <f t="shared" si="11"/>
        <v>Young Adult | High Spender | Higher</v>
      </c>
    </row>
    <row r="350" spans="1:15" x14ac:dyDescent="0.25">
      <c r="A350" s="1" t="s">
        <v>380</v>
      </c>
      <c r="C350" s="1" t="str" cm="1">
        <f t="array" ref="C350">_xlfn.IFS(OR(B350=" ", B350="NA",NOT(ISNUMBER(B350))), "Unknown",B350&lt;18,"Underage",B350&lt;=24,"Young Adult",B350&lt;=34,"Early Career",B350&lt;=44,"Mid Career",B350&lt;=54,"Mature",B350&lt;=65,"Pre-Senior",B350&gt;65,"Senior")</f>
        <v>Unknown</v>
      </c>
      <c r="D350" s="1" t="s">
        <v>29</v>
      </c>
      <c r="E350" s="1" t="s">
        <v>58</v>
      </c>
      <c r="F350" s="1">
        <v>1975000</v>
      </c>
      <c r="G350" s="1">
        <v>39</v>
      </c>
      <c r="H350" s="1" t="str" cm="1">
        <f t="array" ref="H350">_xlfn.IFS( OR(G350=" ",NOT(ISNUMBER(G350))),"Unknown",G350&lt;=33,"Low Spender",G350&lt;=66,"Medium Spender",TRUE, "High Spender")</f>
        <v>Medium Spender</v>
      </c>
      <c r="I350" s="1">
        <v>8</v>
      </c>
      <c r="J350" s="1">
        <v>4300</v>
      </c>
      <c r="K350" s="1">
        <v>327</v>
      </c>
      <c r="M350" s="1" t="s">
        <v>32</v>
      </c>
      <c r="N350" s="1" t="str">
        <f t="shared" si="10"/>
        <v>Higher</v>
      </c>
      <c r="O350" s="1" t="str">
        <f t="shared" si="11"/>
        <v>Unknown | Medium Spender | Higher</v>
      </c>
    </row>
    <row r="351" spans="1:15" x14ac:dyDescent="0.25">
      <c r="A351" s="1" t="s">
        <v>381</v>
      </c>
      <c r="B351" s="1">
        <v>52</v>
      </c>
      <c r="C351" s="1" t="str" cm="1">
        <f t="array" ref="C351">_xlfn.IFS(OR(B351=" ", B351="NA",NOT(ISNUMBER(B351))), "Unknown",B351&lt;18,"Underage",B351&lt;=24,"Young Adult",B351&lt;=34,"Early Career",B351&lt;=44,"Mid Career",B351&lt;=54,"Mature",B351&lt;=65,"Pre-Senior",B351&gt;65,"Senior")</f>
        <v>Mature</v>
      </c>
      <c r="E351" s="1" t="s">
        <v>13</v>
      </c>
      <c r="F351" s="1">
        <v>1925000</v>
      </c>
      <c r="G351" s="1">
        <v>45</v>
      </c>
      <c r="H351" s="1" t="str" cm="1">
        <f t="array" ref="H351">_xlfn.IFS( OR(G351=" ",NOT(ISNUMBER(G351))),"Unknown",G351&lt;=33,"Low Spender",G351&lt;=66,"Medium Spender",TRUE, "High Spender")</f>
        <v>Medium Spender</v>
      </c>
      <c r="I351" s="1">
        <v>4</v>
      </c>
      <c r="J351" s="1">
        <v>7400</v>
      </c>
      <c r="K351" s="1">
        <v>154</v>
      </c>
      <c r="L351" s="1" t="s">
        <v>16</v>
      </c>
      <c r="M351" s="1" t="s">
        <v>30</v>
      </c>
      <c r="N351" s="1" t="str">
        <f t="shared" si="10"/>
        <v>Lower</v>
      </c>
      <c r="O351" s="1" t="str">
        <f t="shared" si="11"/>
        <v>Mature | Medium Spender | Lower</v>
      </c>
    </row>
    <row r="352" spans="1:15" x14ac:dyDescent="0.25">
      <c r="A352" s="1" t="s">
        <v>382</v>
      </c>
      <c r="B352" s="1">
        <v>33</v>
      </c>
      <c r="C352" s="1" t="str" cm="1">
        <f t="array" ref="C352">_xlfn.IFS(OR(B352=" ", B352="NA",NOT(ISNUMBER(B352))), "Unknown",B352&lt;18,"Underage",B352&lt;=24,"Young Adult",B352&lt;=34,"Early Career",B352&lt;=44,"Mid Career",B352&lt;=54,"Mature",B352&lt;=65,"Pre-Senior",B352&gt;65,"Senior")</f>
        <v>Early Career</v>
      </c>
      <c r="D352" s="1" t="s">
        <v>18</v>
      </c>
      <c r="F352" s="1">
        <v>700000</v>
      </c>
      <c r="G352" s="1">
        <v>78</v>
      </c>
      <c r="H352" s="1" t="str" cm="1">
        <f t="array" ref="H352">_xlfn.IFS( OR(G352=" ",NOT(ISNUMBER(G352))),"Unknown",G352&lt;=33,"Low Spender",G352&lt;=66,"Medium Spender",TRUE, "High Spender")</f>
        <v>High Spender</v>
      </c>
      <c r="I352" s="1">
        <v>53</v>
      </c>
      <c r="J352" s="1">
        <v>2400</v>
      </c>
      <c r="K352" s="1">
        <v>107</v>
      </c>
      <c r="L352" s="1" t="s">
        <v>35</v>
      </c>
      <c r="M352" s="1" t="s">
        <v>32</v>
      </c>
      <c r="N352" s="1" t="str">
        <f t="shared" si="10"/>
        <v>Higher</v>
      </c>
      <c r="O352" s="1" t="str">
        <f t="shared" si="11"/>
        <v>Early Career | High Spender | Higher</v>
      </c>
    </row>
    <row r="353" spans="1:15" x14ac:dyDescent="0.25">
      <c r="A353" s="1" t="s">
        <v>383</v>
      </c>
      <c r="B353" s="1">
        <v>58</v>
      </c>
      <c r="C353" s="1" t="str" cm="1">
        <f t="array" ref="C353">_xlfn.IFS(OR(B353=" ", B353="NA",NOT(ISNUMBER(B353))), "Unknown",B353&lt;18,"Underage",B353&lt;=24,"Young Adult",B353&lt;=34,"Early Career",B353&lt;=44,"Mid Career",B353&lt;=54,"Mature",B353&lt;=65,"Pre-Senior",B353&gt;65,"Senior")</f>
        <v>Pre-Senior</v>
      </c>
      <c r="D353" s="1" t="s">
        <v>12</v>
      </c>
      <c r="E353" s="1" t="s">
        <v>19</v>
      </c>
      <c r="F353" s="1">
        <v>1825000</v>
      </c>
      <c r="G353" s="1">
        <v>81</v>
      </c>
      <c r="H353" s="1" t="str" cm="1">
        <f t="array" ref="H353">_xlfn.IFS( OR(G353=" ",NOT(ISNUMBER(G353))),"Unknown",G353&lt;=33,"Low Spender",G353&lt;=66,"Medium Spender",TRUE, "High Spender")</f>
        <v>High Spender</v>
      </c>
      <c r="I353" s="1">
        <v>58</v>
      </c>
      <c r="J353" s="1">
        <v>11700</v>
      </c>
      <c r="K353" s="1">
        <v>146</v>
      </c>
      <c r="L353" s="1" t="s">
        <v>35</v>
      </c>
      <c r="N353" s="1" t="str">
        <f t="shared" si="10"/>
        <v>Lower</v>
      </c>
      <c r="O353" s="1" t="str">
        <f t="shared" si="11"/>
        <v>Pre-Senior | High Spender | Lower</v>
      </c>
    </row>
    <row r="354" spans="1:15" x14ac:dyDescent="0.25">
      <c r="A354" s="1" t="s">
        <v>384</v>
      </c>
      <c r="B354" s="1">
        <v>53</v>
      </c>
      <c r="C354" s="1" t="str" cm="1">
        <f t="array" ref="C354">_xlfn.IFS(OR(B354=" ", B354="NA",NOT(ISNUMBER(B354))), "Unknown",B354&lt;18,"Underage",B354&lt;=24,"Young Adult",B354&lt;=34,"Early Career",B354&lt;=44,"Mid Career",B354&lt;=54,"Mature",B354&lt;=65,"Pre-Senior",B354&gt;65,"Senior")</f>
        <v>Mature</v>
      </c>
      <c r="F354" s="1">
        <v>475000</v>
      </c>
      <c r="G354" s="1">
        <v>12</v>
      </c>
      <c r="H354" s="1" t="str" cm="1">
        <f t="array" ref="H354">_xlfn.IFS( OR(G354=" ",NOT(ISNUMBER(G354))),"Unknown",G354&lt;=33,"Low Spender",G354&lt;=66,"Medium Spender",TRUE, "High Spender")</f>
        <v>Low Spender</v>
      </c>
      <c r="I354" s="1">
        <v>37</v>
      </c>
      <c r="J354" s="1">
        <v>5600</v>
      </c>
      <c r="K354" s="1">
        <v>252</v>
      </c>
      <c r="L354" s="1" t="s">
        <v>35</v>
      </c>
      <c r="M354" s="1" t="s">
        <v>30</v>
      </c>
      <c r="N354" s="1" t="str">
        <f t="shared" si="10"/>
        <v>Lower</v>
      </c>
      <c r="O354" s="1" t="str">
        <f t="shared" si="11"/>
        <v>Mature | Low Spender | Lower</v>
      </c>
    </row>
    <row r="355" spans="1:15" x14ac:dyDescent="0.25">
      <c r="A355" s="1" t="s">
        <v>385</v>
      </c>
      <c r="B355" s="1">
        <v>50</v>
      </c>
      <c r="C355" s="1" t="str" cm="1">
        <f t="array" ref="C355">_xlfn.IFS(OR(B355=" ", B355="NA",NOT(ISNUMBER(B355))), "Unknown",B355&lt;18,"Underage",B355&lt;=24,"Young Adult",B355&lt;=34,"Early Career",B355&lt;=44,"Mid Career",B355&lt;=54,"Mature",B355&lt;=65,"Pre-Senior",B355&gt;65,"Senior")</f>
        <v>Mature</v>
      </c>
      <c r="D355" s="1" t="s">
        <v>12</v>
      </c>
      <c r="E355" s="1" t="s">
        <v>27</v>
      </c>
      <c r="F355" s="1">
        <v>1700000</v>
      </c>
      <c r="G355" s="1">
        <v>93</v>
      </c>
      <c r="H355" s="1" t="str" cm="1">
        <f t="array" ref="H355">_xlfn.IFS( OR(G355=" ",NOT(ISNUMBER(G355))),"Unknown",G355&lt;=33,"Low Spender",G355&lt;=66,"Medium Spender",TRUE, "High Spender")</f>
        <v>High Spender</v>
      </c>
      <c r="I355" s="1">
        <v>49</v>
      </c>
      <c r="J355" s="1">
        <v>700</v>
      </c>
      <c r="K355" s="1">
        <v>302</v>
      </c>
      <c r="M355" s="1" t="s">
        <v>32</v>
      </c>
      <c r="N355" s="1" t="str">
        <f t="shared" si="10"/>
        <v>Lower</v>
      </c>
      <c r="O355" s="1" t="str">
        <f t="shared" si="11"/>
        <v>Mature | High Spender | Lower</v>
      </c>
    </row>
    <row r="356" spans="1:15" x14ac:dyDescent="0.25">
      <c r="A356" s="1" t="s">
        <v>386</v>
      </c>
      <c r="B356" s="1">
        <v>21</v>
      </c>
      <c r="C356" s="1" t="str" cm="1">
        <f t="array" ref="C356">_xlfn.IFS(OR(B356=" ", B356="NA",NOT(ISNUMBER(B356))), "Unknown",B356&lt;18,"Underage",B356&lt;=24,"Young Adult",B356&lt;=34,"Early Career",B356&lt;=44,"Mid Career",B356&lt;=54,"Mature",B356&lt;=65,"Pre-Senior",B356&gt;65,"Senior")</f>
        <v>Young Adult</v>
      </c>
      <c r="D356" s="1" t="s">
        <v>12</v>
      </c>
      <c r="E356" s="1" t="s">
        <v>34</v>
      </c>
      <c r="F356" s="1">
        <v>1750000</v>
      </c>
      <c r="G356" s="1">
        <v>32</v>
      </c>
      <c r="H356" s="1" t="str" cm="1">
        <f t="array" ref="H356">_xlfn.IFS( OR(G356=" ",NOT(ISNUMBER(G356))),"Unknown",G356&lt;=33,"Low Spender",G356&lt;=66,"Medium Spender",TRUE, "High Spender")</f>
        <v>Low Spender</v>
      </c>
      <c r="I356" s="1">
        <v>67</v>
      </c>
      <c r="J356" s="1">
        <v>1900</v>
      </c>
      <c r="K356" s="1">
        <v>70</v>
      </c>
      <c r="M356" s="1" t="s">
        <v>32</v>
      </c>
      <c r="N356" s="1" t="str">
        <f t="shared" si="10"/>
        <v>Lower</v>
      </c>
      <c r="O356" s="1" t="str">
        <f t="shared" si="11"/>
        <v>Young Adult | Low Spender | Lower</v>
      </c>
    </row>
    <row r="357" spans="1:15" x14ac:dyDescent="0.25">
      <c r="A357" s="1" t="s">
        <v>387</v>
      </c>
      <c r="B357" s="1">
        <v>50</v>
      </c>
      <c r="C357" s="1" t="str" cm="1">
        <f t="array" ref="C357">_xlfn.IFS(OR(B357=" ", B357="NA",NOT(ISNUMBER(B357))), "Unknown",B357&lt;18,"Underage",B357&lt;=24,"Young Adult",B357&lt;=34,"Early Career",B357&lt;=44,"Mid Career",B357&lt;=54,"Mature",B357&lt;=65,"Pre-Senior",B357&gt;65,"Senior")</f>
        <v>Mature</v>
      </c>
      <c r="D357" s="1" t="s">
        <v>18</v>
      </c>
      <c r="E357" s="1" t="s">
        <v>27</v>
      </c>
      <c r="F357" s="1">
        <v>1825000</v>
      </c>
      <c r="G357" s="1">
        <v>56</v>
      </c>
      <c r="H357" s="1" t="str" cm="1">
        <f t="array" ref="H357">_xlfn.IFS( OR(G357=" ",NOT(ISNUMBER(G357))),"Unknown",G357&lt;=33,"Low Spender",G357&lt;=66,"Medium Spender",TRUE, "High Spender")</f>
        <v>Medium Spender</v>
      </c>
      <c r="I357" s="1">
        <v>19</v>
      </c>
      <c r="J357" s="1">
        <v>10300</v>
      </c>
      <c r="K357" s="1">
        <v>31</v>
      </c>
      <c r="M357" s="1" t="s">
        <v>30</v>
      </c>
      <c r="N357" s="1" t="str">
        <f t="shared" si="10"/>
        <v>Higher</v>
      </c>
      <c r="O357" s="1" t="str">
        <f t="shared" si="11"/>
        <v>Mature | Medium Spender | Higher</v>
      </c>
    </row>
    <row r="358" spans="1:15" x14ac:dyDescent="0.25">
      <c r="A358" s="1" t="s">
        <v>388</v>
      </c>
      <c r="B358" s="1">
        <v>31</v>
      </c>
      <c r="C358" s="1" t="str" cm="1">
        <f t="array" ref="C358">_xlfn.IFS(OR(B358=" ", B358="NA",NOT(ISNUMBER(B358))), "Unknown",B358&lt;18,"Underage",B358&lt;=24,"Young Adult",B358&lt;=34,"Early Career",B358&lt;=44,"Mid Career",B358&lt;=54,"Mature",B358&lt;=65,"Pre-Senior",B358&gt;65,"Senior")</f>
        <v>Early Career</v>
      </c>
      <c r="D358" s="1" t="s">
        <v>12</v>
      </c>
      <c r="E358" s="1" t="s">
        <v>19</v>
      </c>
      <c r="F358" s="1">
        <v>1700000</v>
      </c>
      <c r="G358" s="1">
        <v>24</v>
      </c>
      <c r="H358" s="1" t="str" cm="1">
        <f t="array" ref="H358">_xlfn.IFS( OR(G358=" ",NOT(ISNUMBER(G358))),"Unknown",G358&lt;=33,"Low Spender",G358&lt;=66,"Medium Spender",TRUE, "High Spender")</f>
        <v>Low Spender</v>
      </c>
      <c r="I358" s="1">
        <v>1</v>
      </c>
      <c r="J358" s="1">
        <v>8000</v>
      </c>
      <c r="K358" s="1">
        <v>93</v>
      </c>
      <c r="M358" s="1" t="s">
        <v>21</v>
      </c>
      <c r="N358" s="1" t="str">
        <f t="shared" si="10"/>
        <v>Lower</v>
      </c>
      <c r="O358" s="1" t="str">
        <f t="shared" si="11"/>
        <v>Early Career | Low Spender | Lower</v>
      </c>
    </row>
    <row r="359" spans="1:15" x14ac:dyDescent="0.25">
      <c r="A359" s="1" t="s">
        <v>389</v>
      </c>
      <c r="B359" s="1">
        <v>38</v>
      </c>
      <c r="C359" s="1" t="str" cm="1">
        <f t="array" ref="C359">_xlfn.IFS(OR(B359=" ", B359="NA",NOT(ISNUMBER(B359))), "Unknown",B359&lt;18,"Underage",B359&lt;=24,"Young Adult",B359&lt;=34,"Early Career",B359&lt;=44,"Mid Career",B359&lt;=54,"Mature",B359&lt;=65,"Pre-Senior",B359&gt;65,"Senior")</f>
        <v>Mid Career</v>
      </c>
      <c r="D359" s="1" t="s">
        <v>29</v>
      </c>
      <c r="E359" s="1" t="s">
        <v>34</v>
      </c>
      <c r="F359" s="1">
        <v>1725000</v>
      </c>
      <c r="G359" s="1">
        <v>13</v>
      </c>
      <c r="H359" s="1" t="str" cm="1">
        <f t="array" ref="H359">_xlfn.IFS( OR(G359=" ",NOT(ISNUMBER(G359))),"Unknown",G359&lt;=33,"Low Spender",G359&lt;=66,"Medium Spender",TRUE, "High Spender")</f>
        <v>Low Spender</v>
      </c>
      <c r="I359" s="1">
        <v>29</v>
      </c>
      <c r="J359" s="1">
        <v>10500</v>
      </c>
      <c r="K359" s="1">
        <v>137</v>
      </c>
      <c r="L359" s="1" t="s">
        <v>37</v>
      </c>
      <c r="N359" s="1" t="str">
        <f t="shared" si="10"/>
        <v>Higher</v>
      </c>
      <c r="O359" s="1" t="str">
        <f t="shared" si="11"/>
        <v>Mid Career | Low Spender | Higher</v>
      </c>
    </row>
    <row r="360" spans="1:15" x14ac:dyDescent="0.25">
      <c r="A360" s="1" t="s">
        <v>390</v>
      </c>
      <c r="B360" s="1">
        <v>65</v>
      </c>
      <c r="C360" s="1" t="str" cm="1">
        <f t="array" ref="C360">_xlfn.IFS(OR(B360=" ", B360="NA",NOT(ISNUMBER(B360))), "Unknown",B360&lt;18,"Underage",B360&lt;=24,"Young Adult",B360&lt;=34,"Early Career",B360&lt;=44,"Mid Career",B360&lt;=54,"Mature",B360&lt;=65,"Pre-Senior",B360&gt;65,"Senior")</f>
        <v>Pre-Senior</v>
      </c>
      <c r="D360" s="1" t="s">
        <v>18</v>
      </c>
      <c r="E360" s="1" t="s">
        <v>15</v>
      </c>
      <c r="F360" s="1">
        <v>925000</v>
      </c>
      <c r="G360" s="1">
        <v>20</v>
      </c>
      <c r="H360" s="1" t="str" cm="1">
        <f t="array" ref="H360">_xlfn.IFS( OR(G360=" ",NOT(ISNUMBER(G360))),"Unknown",G360&lt;=33,"Low Spender",G360&lt;=66,"Medium Spender",TRUE, "High Spender")</f>
        <v>Low Spender</v>
      </c>
      <c r="I360" s="1">
        <v>33</v>
      </c>
      <c r="J360" s="1">
        <v>4300</v>
      </c>
      <c r="K360" s="1">
        <v>163</v>
      </c>
      <c r="N360" s="1" t="str">
        <f t="shared" si="10"/>
        <v>Higher</v>
      </c>
      <c r="O360" s="1" t="str">
        <f t="shared" si="11"/>
        <v>Pre-Senior | Low Spender | Higher</v>
      </c>
    </row>
    <row r="361" spans="1:15" x14ac:dyDescent="0.25">
      <c r="A361" s="1" t="s">
        <v>391</v>
      </c>
      <c r="B361" s="1">
        <v>37</v>
      </c>
      <c r="C361" s="1" t="str" cm="1">
        <f t="array" ref="C361">_xlfn.IFS(OR(B361=" ", B361="NA",NOT(ISNUMBER(B361))), "Unknown",B361&lt;18,"Underage",B361&lt;=24,"Young Adult",B361&lt;=34,"Early Career",B361&lt;=44,"Mid Career",B361&lt;=54,"Mature",B361&lt;=65,"Pre-Senior",B361&gt;65,"Senior")</f>
        <v>Mid Career</v>
      </c>
      <c r="D361" s="1" t="s">
        <v>29</v>
      </c>
      <c r="E361" s="1" t="s">
        <v>58</v>
      </c>
      <c r="F361" s="1">
        <v>450000</v>
      </c>
      <c r="G361" s="1">
        <v>79</v>
      </c>
      <c r="H361" s="1" t="str" cm="1">
        <f t="array" ref="H361">_xlfn.IFS( OR(G361=" ",NOT(ISNUMBER(G361))),"Unknown",G361&lt;=33,"Low Spender",G361&lt;=66,"Medium Spender",TRUE, "High Spender")</f>
        <v>High Spender</v>
      </c>
      <c r="I361" s="1">
        <v>52</v>
      </c>
      <c r="J361" s="1">
        <v>9400</v>
      </c>
      <c r="K361" s="1">
        <v>81</v>
      </c>
      <c r="L361" s="1" t="s">
        <v>37</v>
      </c>
      <c r="M361" s="1" t="s">
        <v>21</v>
      </c>
      <c r="N361" s="1" t="str">
        <f t="shared" si="10"/>
        <v>Higher</v>
      </c>
      <c r="O361" s="1" t="str">
        <f t="shared" si="11"/>
        <v>Mid Career | High Spender | Higher</v>
      </c>
    </row>
    <row r="362" spans="1:15" x14ac:dyDescent="0.25">
      <c r="A362" s="1" t="s">
        <v>392</v>
      </c>
      <c r="B362" s="1">
        <v>25</v>
      </c>
      <c r="C362" s="1" t="str" cm="1">
        <f t="array" ref="C362">_xlfn.IFS(OR(B362=" ", B362="NA",NOT(ISNUMBER(B362))), "Unknown",B362&lt;18,"Underage",B362&lt;=24,"Young Adult",B362&lt;=34,"Early Career",B362&lt;=44,"Mid Career",B362&lt;=54,"Mature",B362&lt;=65,"Pre-Senior",B362&gt;65,"Senior")</f>
        <v>Early Career</v>
      </c>
      <c r="D362" s="1" t="s">
        <v>12</v>
      </c>
      <c r="E362" s="1" t="s">
        <v>34</v>
      </c>
      <c r="F362" s="1">
        <v>1775000</v>
      </c>
      <c r="G362" s="1">
        <v>56</v>
      </c>
      <c r="H362" s="1" t="str" cm="1">
        <f t="array" ref="H362">_xlfn.IFS( OR(G362=" ",NOT(ISNUMBER(G362))),"Unknown",G362&lt;=33,"Low Spender",G362&lt;=66,"Medium Spender",TRUE, "High Spender")</f>
        <v>Medium Spender</v>
      </c>
      <c r="I362" s="1">
        <v>41</v>
      </c>
      <c r="J362" s="1">
        <v>9700</v>
      </c>
      <c r="K362" s="1">
        <v>316</v>
      </c>
      <c r="L362" s="1" t="s">
        <v>35</v>
      </c>
      <c r="M362" s="1" t="s">
        <v>32</v>
      </c>
      <c r="N362" s="1" t="str">
        <f t="shared" si="10"/>
        <v>Lower</v>
      </c>
      <c r="O362" s="1" t="str">
        <f t="shared" si="11"/>
        <v>Early Career | Medium Spender | Lower</v>
      </c>
    </row>
    <row r="363" spans="1:15" x14ac:dyDescent="0.25">
      <c r="A363" s="1" t="s">
        <v>393</v>
      </c>
      <c r="B363" s="1">
        <v>24</v>
      </c>
      <c r="C363" s="1" t="str" cm="1">
        <f t="array" ref="C363">_xlfn.IFS(OR(B363=" ", B363="NA",NOT(ISNUMBER(B363))), "Unknown",B363&lt;18,"Underage",B363&lt;=24,"Young Adult",B363&lt;=34,"Early Career",B363&lt;=44,"Mid Career",B363&lt;=54,"Mature",B363&lt;=65,"Pre-Senior",B363&gt;65,"Senior")</f>
        <v>Young Adult</v>
      </c>
      <c r="D363" s="1" t="s">
        <v>12</v>
      </c>
      <c r="E363" s="1" t="s">
        <v>58</v>
      </c>
      <c r="F363" s="1">
        <v>600000</v>
      </c>
      <c r="G363" s="1">
        <v>53</v>
      </c>
      <c r="H363" s="1" t="str" cm="1">
        <f t="array" ref="H363">_xlfn.IFS( OR(G363=" ",NOT(ISNUMBER(G363))),"Unknown",G363&lt;=33,"Low Spender",G363&lt;=66,"Medium Spender",TRUE, "High Spender")</f>
        <v>Medium Spender</v>
      </c>
      <c r="I363" s="1">
        <v>23</v>
      </c>
      <c r="J363" s="1">
        <v>8300</v>
      </c>
      <c r="K363" s="1">
        <v>76</v>
      </c>
      <c r="L363" s="1" t="s">
        <v>16</v>
      </c>
      <c r="N363" s="1" t="str">
        <f t="shared" si="10"/>
        <v>Lower</v>
      </c>
      <c r="O363" s="1" t="str">
        <f t="shared" si="11"/>
        <v>Young Adult | Medium Spender | Lower</v>
      </c>
    </row>
    <row r="364" spans="1:15" x14ac:dyDescent="0.25">
      <c r="A364" s="1" t="s">
        <v>394</v>
      </c>
      <c r="B364" s="1">
        <v>20</v>
      </c>
      <c r="C364" s="1" t="str" cm="1">
        <f t="array" ref="C364">_xlfn.IFS(OR(B364=" ", B364="NA",NOT(ISNUMBER(B364))), "Unknown",B364&lt;18,"Underage",B364&lt;=24,"Young Adult",B364&lt;=34,"Early Career",B364&lt;=44,"Mid Career",B364&lt;=54,"Mature",B364&lt;=65,"Pre-Senior",B364&gt;65,"Senior")</f>
        <v>Young Adult</v>
      </c>
      <c r="D364" s="1" t="s">
        <v>29</v>
      </c>
      <c r="F364" s="1">
        <v>725000</v>
      </c>
      <c r="G364" s="1">
        <v>68</v>
      </c>
      <c r="H364" s="1" t="str" cm="1">
        <f t="array" ref="H364">_xlfn.IFS( OR(G364=" ",NOT(ISNUMBER(G364))),"Unknown",G364&lt;=33,"Low Spender",G364&lt;=66,"Medium Spender",TRUE, "High Spender")</f>
        <v>High Spender</v>
      </c>
      <c r="I364" s="1">
        <v>5</v>
      </c>
      <c r="J364" s="1">
        <v>3700</v>
      </c>
      <c r="K364" s="1">
        <v>63</v>
      </c>
      <c r="M364" s="1" t="s">
        <v>21</v>
      </c>
      <c r="N364" s="1" t="str">
        <f t="shared" si="10"/>
        <v>Higher</v>
      </c>
      <c r="O364" s="1" t="str">
        <f t="shared" si="11"/>
        <v>Young Adult | High Spender | Higher</v>
      </c>
    </row>
    <row r="365" spans="1:15" x14ac:dyDescent="0.25">
      <c r="A365" s="1" t="s">
        <v>395</v>
      </c>
      <c r="B365" s="1">
        <v>34</v>
      </c>
      <c r="C365" s="1" t="str" cm="1">
        <f t="array" ref="C365">_xlfn.IFS(OR(B365=" ", B365="NA",NOT(ISNUMBER(B365))), "Unknown",B365&lt;18,"Underage",B365&lt;=24,"Young Adult",B365&lt;=34,"Early Career",B365&lt;=44,"Mid Career",B365&lt;=54,"Mature",B365&lt;=65,"Pre-Senior",B365&gt;65,"Senior")</f>
        <v>Early Career</v>
      </c>
      <c r="D365" s="1" t="s">
        <v>12</v>
      </c>
      <c r="F365" s="1">
        <v>400000</v>
      </c>
      <c r="G365" s="1">
        <v>54</v>
      </c>
      <c r="H365" s="1" t="str" cm="1">
        <f t="array" ref="H365">_xlfn.IFS( OR(G365=" ",NOT(ISNUMBER(G365))),"Unknown",G365&lt;=33,"Low Spender",G365&lt;=66,"Medium Spender",TRUE, "High Spender")</f>
        <v>Medium Spender</v>
      </c>
      <c r="I365" s="1">
        <v>71</v>
      </c>
      <c r="J365" s="1">
        <v>4200</v>
      </c>
      <c r="K365" s="1">
        <v>100</v>
      </c>
      <c r="M365" s="1" t="s">
        <v>21</v>
      </c>
      <c r="N365" s="1" t="str">
        <f t="shared" si="10"/>
        <v>Lower</v>
      </c>
      <c r="O365" s="1" t="str">
        <f t="shared" si="11"/>
        <v>Early Career | Medium Spender | Lower</v>
      </c>
    </row>
    <row r="366" spans="1:15" x14ac:dyDescent="0.25">
      <c r="A366" s="1" t="s">
        <v>396</v>
      </c>
      <c r="B366" s="1">
        <v>50</v>
      </c>
      <c r="C366" s="1" t="str" cm="1">
        <f t="array" ref="C366">_xlfn.IFS(OR(B366=" ", B366="NA",NOT(ISNUMBER(B366))), "Unknown",B366&lt;18,"Underage",B366&lt;=24,"Young Adult",B366&lt;=34,"Early Career",B366&lt;=44,"Mid Career",B366&lt;=54,"Mature",B366&lt;=65,"Pre-Senior",B366&gt;65,"Senior")</f>
        <v>Mature</v>
      </c>
      <c r="D366" s="1" t="s">
        <v>29</v>
      </c>
      <c r="E366" s="1" t="s">
        <v>23</v>
      </c>
      <c r="F366" s="1">
        <v>1600000</v>
      </c>
      <c r="G366" s="1">
        <v>34</v>
      </c>
      <c r="H366" s="1" t="str" cm="1">
        <f t="array" ref="H366">_xlfn.IFS( OR(G366=" ",NOT(ISNUMBER(G366))),"Unknown",G366&lt;=33,"Low Spender",G366&lt;=66,"Medium Spender",TRUE, "High Spender")</f>
        <v>Medium Spender</v>
      </c>
      <c r="I366" s="1">
        <v>57</v>
      </c>
      <c r="J366" s="1">
        <v>2400</v>
      </c>
      <c r="K366" s="1">
        <v>48</v>
      </c>
      <c r="L366" s="1" t="s">
        <v>16</v>
      </c>
      <c r="N366" s="1" t="str">
        <f t="shared" si="10"/>
        <v>Higher</v>
      </c>
      <c r="O366" s="1" t="str">
        <f t="shared" si="11"/>
        <v>Mature | Medium Spender | Higher</v>
      </c>
    </row>
    <row r="367" spans="1:15" x14ac:dyDescent="0.25">
      <c r="A367" s="1" t="s">
        <v>397</v>
      </c>
      <c r="B367" s="1">
        <v>65</v>
      </c>
      <c r="C367" s="1" t="str" cm="1">
        <f t="array" ref="C367">_xlfn.IFS(OR(B367=" ", B367="NA",NOT(ISNUMBER(B367))), "Unknown",B367&lt;18,"Underage",B367&lt;=24,"Young Adult",B367&lt;=34,"Early Career",B367&lt;=44,"Mid Career",B367&lt;=54,"Mature",B367&lt;=65,"Pre-Senior",B367&gt;65,"Senior")</f>
        <v>Pre-Senior</v>
      </c>
      <c r="D367" s="1" t="s">
        <v>18</v>
      </c>
      <c r="F367" s="1">
        <v>500000</v>
      </c>
      <c r="G367" s="1">
        <v>28</v>
      </c>
      <c r="H367" s="1" t="str" cm="1">
        <f t="array" ref="H367">_xlfn.IFS( OR(G367=" ",NOT(ISNUMBER(G367))),"Unknown",G367&lt;=33,"Low Spender",G367&lt;=66,"Medium Spender",TRUE, "High Spender")</f>
        <v>Low Spender</v>
      </c>
      <c r="I367" s="1">
        <v>6</v>
      </c>
      <c r="J367" s="1">
        <v>11100</v>
      </c>
      <c r="K367" s="1">
        <v>74</v>
      </c>
      <c r="L367" s="1" t="s">
        <v>37</v>
      </c>
      <c r="M367" s="1" t="s">
        <v>30</v>
      </c>
      <c r="N367" s="1" t="str">
        <f t="shared" si="10"/>
        <v>Higher</v>
      </c>
      <c r="O367" s="1" t="str">
        <f t="shared" si="11"/>
        <v>Pre-Senior | Low Spender | Higher</v>
      </c>
    </row>
    <row r="368" spans="1:15" x14ac:dyDescent="0.25">
      <c r="A368" s="1" t="s">
        <v>398</v>
      </c>
      <c r="B368" s="1">
        <v>29</v>
      </c>
      <c r="C368" s="1" t="str" cm="1">
        <f t="array" ref="C368">_xlfn.IFS(OR(B368=" ", B368="NA",NOT(ISNUMBER(B368))), "Unknown",B368&lt;18,"Underage",B368&lt;=24,"Young Adult",B368&lt;=34,"Early Career",B368&lt;=44,"Mid Career",B368&lt;=54,"Mature",B368&lt;=65,"Pre-Senior",B368&gt;65,"Senior")</f>
        <v>Early Career</v>
      </c>
      <c r="D368" s="1" t="s">
        <v>29</v>
      </c>
      <c r="E368" s="1" t="s">
        <v>13</v>
      </c>
      <c r="F368" s="1">
        <v>375000</v>
      </c>
      <c r="G368" s="1">
        <v>50</v>
      </c>
      <c r="H368" s="1" t="str" cm="1">
        <f t="array" ref="H368">_xlfn.IFS( OR(G368=" ",NOT(ISNUMBER(G368))),"Unknown",G368&lt;=33,"Low Spender",G368&lt;=66,"Medium Spender",TRUE, "High Spender")</f>
        <v>Medium Spender</v>
      </c>
      <c r="I368" s="1">
        <v>49</v>
      </c>
      <c r="J368" s="1">
        <v>5000</v>
      </c>
      <c r="K368" s="1">
        <v>314</v>
      </c>
      <c r="M368" s="1" t="s">
        <v>41</v>
      </c>
      <c r="N368" s="1" t="str">
        <f t="shared" si="10"/>
        <v>Higher</v>
      </c>
      <c r="O368" s="1" t="str">
        <f t="shared" si="11"/>
        <v>Early Career | Medium Spender | Higher</v>
      </c>
    </row>
    <row r="369" spans="1:15" x14ac:dyDescent="0.25">
      <c r="A369" s="1" t="s">
        <v>399</v>
      </c>
      <c r="B369" s="1">
        <v>68</v>
      </c>
      <c r="C369" s="1" t="str" cm="1">
        <f t="array" ref="C369">_xlfn.IFS(OR(B369=" ", B369="NA",NOT(ISNUMBER(B369))), "Unknown",B369&lt;18,"Underage",B369&lt;=24,"Young Adult",B369&lt;=34,"Early Career",B369&lt;=44,"Mid Career",B369&lt;=54,"Mature",B369&lt;=65,"Pre-Senior",B369&gt;65,"Senior")</f>
        <v>Senior</v>
      </c>
      <c r="D369" s="1" t="s">
        <v>29</v>
      </c>
      <c r="E369" s="1" t="s">
        <v>23</v>
      </c>
      <c r="F369" s="1">
        <v>1150000</v>
      </c>
      <c r="G369" s="1">
        <v>2</v>
      </c>
      <c r="H369" s="1" t="str" cm="1">
        <f t="array" ref="H369">_xlfn.IFS( OR(G369=" ",NOT(ISNUMBER(G369))),"Unknown",G369&lt;=33,"Low Spender",G369&lt;=66,"Medium Spender",TRUE, "High Spender")</f>
        <v>Low Spender</v>
      </c>
      <c r="I369" s="1">
        <v>22</v>
      </c>
      <c r="J369" s="1">
        <v>5500</v>
      </c>
      <c r="K369" s="1">
        <v>192</v>
      </c>
      <c r="L369" s="1" t="s">
        <v>37</v>
      </c>
      <c r="M369" s="1" t="s">
        <v>30</v>
      </c>
      <c r="N369" s="1" t="str">
        <f t="shared" si="10"/>
        <v>Higher</v>
      </c>
      <c r="O369" s="1" t="str">
        <f t="shared" si="11"/>
        <v>Senior | Low Spender | Higher</v>
      </c>
    </row>
    <row r="370" spans="1:15" x14ac:dyDescent="0.25">
      <c r="A370" s="1" t="s">
        <v>400</v>
      </c>
      <c r="B370" s="1">
        <v>39</v>
      </c>
      <c r="C370" s="1" t="str" cm="1">
        <f t="array" ref="C370">_xlfn.IFS(OR(B370=" ", B370="NA",NOT(ISNUMBER(B370))), "Unknown",B370&lt;18,"Underage",B370&lt;=24,"Young Adult",B370&lt;=34,"Early Career",B370&lt;=44,"Mid Career",B370&lt;=54,"Mature",B370&lt;=65,"Pre-Senior",B370&gt;65,"Senior")</f>
        <v>Mid Career</v>
      </c>
      <c r="D370" s="1" t="s">
        <v>18</v>
      </c>
      <c r="E370" s="1" t="s">
        <v>23</v>
      </c>
      <c r="F370" s="1">
        <v>800000</v>
      </c>
      <c r="G370" s="1">
        <v>94</v>
      </c>
      <c r="H370" s="1" t="str" cm="1">
        <f t="array" ref="H370">_xlfn.IFS( OR(G370=" ",NOT(ISNUMBER(G370))),"Unknown",G370&lt;=33,"Low Spender",G370&lt;=66,"Medium Spender",TRUE, "High Spender")</f>
        <v>High Spender</v>
      </c>
      <c r="I370" s="1">
        <v>77</v>
      </c>
      <c r="J370" s="1">
        <v>9500</v>
      </c>
      <c r="K370" s="1">
        <v>30</v>
      </c>
      <c r="L370" s="1" t="s">
        <v>37</v>
      </c>
      <c r="M370" s="1" t="s">
        <v>32</v>
      </c>
      <c r="N370" s="1" t="str">
        <f t="shared" si="10"/>
        <v>Higher</v>
      </c>
      <c r="O370" s="1" t="str">
        <f t="shared" si="11"/>
        <v>Mid Career | High Spender | Higher</v>
      </c>
    </row>
    <row r="371" spans="1:15" x14ac:dyDescent="0.25">
      <c r="A371" s="1" t="s">
        <v>401</v>
      </c>
      <c r="B371" s="1" t="s">
        <v>73</v>
      </c>
      <c r="C371" s="1" t="str" cm="1">
        <f t="array" ref="C371">_xlfn.IFS(OR(B371=" ", B371="NA",NOT(ISNUMBER(B371))), "Unknown",B371&lt;18,"Underage",B371&lt;=24,"Young Adult",B371&lt;=34,"Early Career",B371&lt;=44,"Mid Career",B371&lt;=54,"Mature",B371&lt;=65,"Pre-Senior",B371&gt;65,"Senior")</f>
        <v>Unknown</v>
      </c>
      <c r="D371" s="1" t="s">
        <v>29</v>
      </c>
      <c r="E371" s="1" t="s">
        <v>49</v>
      </c>
      <c r="F371" s="1">
        <v>1625000</v>
      </c>
      <c r="G371" s="1">
        <v>26</v>
      </c>
      <c r="H371" s="1" t="str" cm="1">
        <f t="array" ref="H371">_xlfn.IFS( OR(G371=" ",NOT(ISNUMBER(G371))),"Unknown",G371&lt;=33,"Low Spender",G371&lt;=66,"Medium Spender",TRUE, "High Spender")</f>
        <v>Low Spender</v>
      </c>
      <c r="I371" s="1">
        <v>76</v>
      </c>
      <c r="J371" s="1">
        <v>1200</v>
      </c>
      <c r="K371" s="1">
        <v>157</v>
      </c>
      <c r="L371" s="1" t="s">
        <v>20</v>
      </c>
      <c r="M371" s="1" t="s">
        <v>30</v>
      </c>
      <c r="N371" s="1" t="str">
        <f t="shared" si="10"/>
        <v>Higher</v>
      </c>
      <c r="O371" s="1" t="str">
        <f t="shared" si="11"/>
        <v>Unknown | Low Spender | Higher</v>
      </c>
    </row>
    <row r="372" spans="1:15" x14ac:dyDescent="0.25">
      <c r="A372" s="1" t="s">
        <v>402</v>
      </c>
      <c r="B372" s="1">
        <v>39</v>
      </c>
      <c r="C372" s="1" t="str" cm="1">
        <f t="array" ref="C372">_xlfn.IFS(OR(B372=" ", B372="NA",NOT(ISNUMBER(B372))), "Unknown",B372&lt;18,"Underage",B372&lt;=24,"Young Adult",B372&lt;=34,"Early Career",B372&lt;=44,"Mid Career",B372&lt;=54,"Mature",B372&lt;=65,"Pre-Senior",B372&gt;65,"Senior")</f>
        <v>Mid Career</v>
      </c>
      <c r="D372" s="1" t="s">
        <v>12</v>
      </c>
      <c r="E372" s="1" t="s">
        <v>23</v>
      </c>
      <c r="F372" s="1">
        <v>1950000</v>
      </c>
      <c r="G372" s="1">
        <v>51</v>
      </c>
      <c r="H372" s="1" t="str" cm="1">
        <f t="array" ref="H372">_xlfn.IFS( OR(G372=" ",NOT(ISNUMBER(G372))),"Unknown",G372&lt;=33,"Low Spender",G372&lt;=66,"Medium Spender",TRUE, "High Spender")</f>
        <v>Medium Spender</v>
      </c>
      <c r="I372" s="1">
        <v>4</v>
      </c>
      <c r="J372" s="1">
        <v>2000</v>
      </c>
      <c r="K372" s="1">
        <v>266</v>
      </c>
      <c r="N372" s="1" t="str">
        <f t="shared" si="10"/>
        <v>Lower</v>
      </c>
      <c r="O372" s="1" t="str">
        <f t="shared" si="11"/>
        <v>Mid Career | Medium Spender | Lower</v>
      </c>
    </row>
    <row r="373" spans="1:15" x14ac:dyDescent="0.25">
      <c r="A373" s="1" t="s">
        <v>403</v>
      </c>
      <c r="B373" s="1">
        <v>63</v>
      </c>
      <c r="C373" s="1" t="str" cm="1">
        <f t="array" ref="C373">_xlfn.IFS(OR(B373=" ", B373="NA",NOT(ISNUMBER(B373))), "Unknown",B373&lt;18,"Underage",B373&lt;=24,"Young Adult",B373&lt;=34,"Early Career",B373&lt;=44,"Mid Career",B373&lt;=54,"Mature",B373&lt;=65,"Pre-Senior",B373&gt;65,"Senior")</f>
        <v>Pre-Senior</v>
      </c>
      <c r="E373" s="1" t="s">
        <v>19</v>
      </c>
      <c r="F373" s="1">
        <v>1425000</v>
      </c>
      <c r="G373" s="1">
        <v>47</v>
      </c>
      <c r="H373" s="1" t="str" cm="1">
        <f t="array" ref="H373">_xlfn.IFS( OR(G373=" ",NOT(ISNUMBER(G373))),"Unknown",G373&lt;=33,"Low Spender",G373&lt;=66,"Medium Spender",TRUE, "High Spender")</f>
        <v>Medium Spender</v>
      </c>
      <c r="I373" s="1">
        <v>72</v>
      </c>
      <c r="J373" s="1">
        <v>10100</v>
      </c>
      <c r="K373" s="1">
        <v>256</v>
      </c>
      <c r="L373" s="1" t="s">
        <v>37</v>
      </c>
      <c r="M373" s="1" t="s">
        <v>41</v>
      </c>
      <c r="N373" s="1" t="str">
        <f t="shared" si="10"/>
        <v>Lower</v>
      </c>
      <c r="O373" s="1" t="str">
        <f t="shared" si="11"/>
        <v>Pre-Senior | Medium Spender | Lower</v>
      </c>
    </row>
    <row r="374" spans="1:15" x14ac:dyDescent="0.25">
      <c r="A374" s="1" t="s">
        <v>404</v>
      </c>
      <c r="B374" s="1">
        <v>47</v>
      </c>
      <c r="C374" s="1" t="str" cm="1">
        <f t="array" ref="C374">_xlfn.IFS(OR(B374=" ", B374="NA",NOT(ISNUMBER(B374))), "Unknown",B374&lt;18,"Underage",B374&lt;=24,"Young Adult",B374&lt;=34,"Early Career",B374&lt;=44,"Mid Career",B374&lt;=54,"Mature",B374&lt;=65,"Pre-Senior",B374&gt;65,"Senior")</f>
        <v>Mature</v>
      </c>
      <c r="F374" s="1">
        <v>825000</v>
      </c>
      <c r="G374" s="1">
        <v>26</v>
      </c>
      <c r="H374" s="1" t="str" cm="1">
        <f t="array" ref="H374">_xlfn.IFS( OR(G374=" ",NOT(ISNUMBER(G374))),"Unknown",G374&lt;=33,"Low Spender",G374&lt;=66,"Medium Spender",TRUE, "High Spender")</f>
        <v>Low Spender</v>
      </c>
      <c r="I374" s="1">
        <v>64</v>
      </c>
      <c r="J374" s="1">
        <v>11000</v>
      </c>
      <c r="K374" s="1">
        <v>39</v>
      </c>
      <c r="L374" s="1" t="s">
        <v>35</v>
      </c>
      <c r="M374" s="1" t="s">
        <v>41</v>
      </c>
      <c r="N374" s="1" t="str">
        <f t="shared" si="10"/>
        <v>Lower</v>
      </c>
      <c r="O374" s="1" t="str">
        <f t="shared" si="11"/>
        <v>Mature | Low Spender | Lower</v>
      </c>
    </row>
    <row r="375" spans="1:15" x14ac:dyDescent="0.25">
      <c r="A375" s="1" t="s">
        <v>405</v>
      </c>
      <c r="B375" s="1">
        <v>55</v>
      </c>
      <c r="C375" s="1" t="str" cm="1">
        <f t="array" ref="C375">_xlfn.IFS(OR(B375=" ", B375="NA",NOT(ISNUMBER(B375))), "Unknown",B375&lt;18,"Underage",B375&lt;=24,"Young Adult",B375&lt;=34,"Early Career",B375&lt;=44,"Mid Career",B375&lt;=54,"Mature",B375&lt;=65,"Pre-Senior",B375&gt;65,"Senior")</f>
        <v>Pre-Senior</v>
      </c>
      <c r="D375" s="1" t="s">
        <v>18</v>
      </c>
      <c r="F375" s="1">
        <v>1750000</v>
      </c>
      <c r="G375" s="1">
        <v>84</v>
      </c>
      <c r="H375" s="1" t="str" cm="1">
        <f t="array" ref="H375">_xlfn.IFS( OR(G375=" ",NOT(ISNUMBER(G375))),"Unknown",G375&lt;=33,"Low Spender",G375&lt;=66,"Medium Spender",TRUE, "High Spender")</f>
        <v>High Spender</v>
      </c>
      <c r="I375" s="1">
        <v>37</v>
      </c>
      <c r="J375" s="1">
        <v>8200</v>
      </c>
      <c r="K375" s="1">
        <v>55</v>
      </c>
      <c r="L375" s="1" t="s">
        <v>37</v>
      </c>
      <c r="M375" s="1" t="s">
        <v>21</v>
      </c>
      <c r="N375" s="1" t="str">
        <f t="shared" si="10"/>
        <v>Higher</v>
      </c>
      <c r="O375" s="1" t="str">
        <f t="shared" si="11"/>
        <v>Pre-Senior | High Spender | Higher</v>
      </c>
    </row>
    <row r="376" spans="1:15" x14ac:dyDescent="0.25">
      <c r="A376" s="1" t="s">
        <v>406</v>
      </c>
      <c r="B376" s="1">
        <v>55</v>
      </c>
      <c r="C376" s="1" t="str" cm="1">
        <f t="array" ref="C376">_xlfn.IFS(OR(B376=" ", B376="NA",NOT(ISNUMBER(B376))), "Unknown",B376&lt;18,"Underage",B376&lt;=24,"Young Adult",B376&lt;=34,"Early Career",B376&lt;=44,"Mid Career",B376&lt;=54,"Mature",B376&lt;=65,"Pre-Senior",B376&gt;65,"Senior")</f>
        <v>Pre-Senior</v>
      </c>
      <c r="E376" s="1" t="s">
        <v>58</v>
      </c>
      <c r="F376" s="1">
        <v>550000</v>
      </c>
      <c r="G376" s="1">
        <v>92</v>
      </c>
      <c r="H376" s="1" t="str" cm="1">
        <f t="array" ref="H376">_xlfn.IFS( OR(G376=" ",NOT(ISNUMBER(G376))),"Unknown",G376&lt;=33,"Low Spender",G376&lt;=66,"Medium Spender",TRUE, "High Spender")</f>
        <v>High Spender</v>
      </c>
      <c r="I376" s="1">
        <v>31</v>
      </c>
      <c r="J376" s="1">
        <v>11600</v>
      </c>
      <c r="K376" s="1">
        <v>28</v>
      </c>
      <c r="N376" s="1" t="str">
        <f t="shared" si="10"/>
        <v>Lower</v>
      </c>
      <c r="O376" s="1" t="str">
        <f t="shared" si="11"/>
        <v>Pre-Senior | High Spender | Lower</v>
      </c>
    </row>
    <row r="377" spans="1:15" x14ac:dyDescent="0.25">
      <c r="A377" s="1" t="s">
        <v>407</v>
      </c>
      <c r="B377" s="1">
        <v>62</v>
      </c>
      <c r="C377" s="1" t="str" cm="1">
        <f t="array" ref="C377">_xlfn.IFS(OR(B377=" ", B377="NA",NOT(ISNUMBER(B377))), "Unknown",B377&lt;18,"Underage",B377&lt;=24,"Young Adult",B377&lt;=34,"Early Career",B377&lt;=44,"Mid Career",B377&lt;=54,"Mature",B377&lt;=65,"Pre-Senior",B377&gt;65,"Senior")</f>
        <v>Pre-Senior</v>
      </c>
      <c r="D377" s="1" t="s">
        <v>18</v>
      </c>
      <c r="E377" s="1" t="s">
        <v>13</v>
      </c>
      <c r="F377" s="1">
        <v>1225000</v>
      </c>
      <c r="G377" s="1">
        <v>84</v>
      </c>
      <c r="H377" s="1" t="str" cm="1">
        <f t="array" ref="H377">_xlfn.IFS( OR(G377=" ",NOT(ISNUMBER(G377))),"Unknown",G377&lt;=33,"Low Spender",G377&lt;=66,"Medium Spender",TRUE, "High Spender")</f>
        <v>High Spender</v>
      </c>
      <c r="I377" s="1">
        <v>37</v>
      </c>
      <c r="J377" s="1">
        <v>5100</v>
      </c>
      <c r="K377" s="1">
        <v>118</v>
      </c>
      <c r="L377" s="1" t="s">
        <v>35</v>
      </c>
      <c r="M377" s="1" t="s">
        <v>32</v>
      </c>
      <c r="N377" s="1" t="str">
        <f t="shared" si="10"/>
        <v>Higher</v>
      </c>
      <c r="O377" s="1" t="str">
        <f t="shared" si="11"/>
        <v>Pre-Senior | High Spender | Higher</v>
      </c>
    </row>
    <row r="378" spans="1:15" x14ac:dyDescent="0.25">
      <c r="A378" s="1" t="s">
        <v>408</v>
      </c>
      <c r="B378" s="1">
        <v>68</v>
      </c>
      <c r="C378" s="1" t="str" cm="1">
        <f t="array" ref="C378">_xlfn.IFS(OR(B378=" ", B378="NA",NOT(ISNUMBER(B378))), "Unknown",B378&lt;18,"Underage",B378&lt;=24,"Young Adult",B378&lt;=34,"Early Career",B378&lt;=44,"Mid Career",B378&lt;=54,"Mature",B378&lt;=65,"Pre-Senior",B378&gt;65,"Senior")</f>
        <v>Senior</v>
      </c>
      <c r="E378" s="1" t="s">
        <v>23</v>
      </c>
      <c r="F378" s="1">
        <v>375000</v>
      </c>
      <c r="G378" s="1">
        <v>75</v>
      </c>
      <c r="H378" s="1" t="str" cm="1">
        <f t="array" ref="H378">_xlfn.IFS( OR(G378=" ",NOT(ISNUMBER(G378))),"Unknown",G378&lt;=33,"Low Spender",G378&lt;=66,"Medium Spender",TRUE, "High Spender")</f>
        <v>High Spender</v>
      </c>
      <c r="I378" s="1">
        <v>45</v>
      </c>
      <c r="J378" s="1">
        <v>7300</v>
      </c>
      <c r="K378" s="1">
        <v>209</v>
      </c>
      <c r="L378" s="1" t="s">
        <v>37</v>
      </c>
      <c r="M378" s="1" t="s">
        <v>21</v>
      </c>
      <c r="N378" s="1" t="str">
        <f t="shared" si="10"/>
        <v>Lower</v>
      </c>
      <c r="O378" s="1" t="str">
        <f t="shared" si="11"/>
        <v>Senior | High Spender | Lower</v>
      </c>
    </row>
    <row r="379" spans="1:15" x14ac:dyDescent="0.25">
      <c r="A379" s="1" t="s">
        <v>409</v>
      </c>
      <c r="C379" s="1" t="str" cm="1">
        <f t="array" ref="C379">_xlfn.IFS(OR(B379=" ", B379="NA",NOT(ISNUMBER(B379))), "Unknown",B379&lt;18,"Underage",B379&lt;=24,"Young Adult",B379&lt;=34,"Early Career",B379&lt;=44,"Mid Career",B379&lt;=54,"Mature",B379&lt;=65,"Pre-Senior",B379&gt;65,"Senior")</f>
        <v>Unknown</v>
      </c>
      <c r="E379" s="1" t="s">
        <v>13</v>
      </c>
      <c r="F379" s="1">
        <v>1700000</v>
      </c>
      <c r="G379" s="1">
        <v>74</v>
      </c>
      <c r="H379" s="1" t="str" cm="1">
        <f t="array" ref="H379">_xlfn.IFS( OR(G379=" ",NOT(ISNUMBER(G379))),"Unknown",G379&lt;=33,"Low Spender",G379&lt;=66,"Medium Spender",TRUE, "High Spender")</f>
        <v>High Spender</v>
      </c>
      <c r="I379" s="1">
        <v>8</v>
      </c>
      <c r="J379" s="1">
        <v>3200</v>
      </c>
      <c r="K379" s="1">
        <v>75</v>
      </c>
      <c r="L379" s="1" t="s">
        <v>35</v>
      </c>
      <c r="M379" s="1" t="s">
        <v>30</v>
      </c>
      <c r="N379" s="1" t="str">
        <f t="shared" si="10"/>
        <v>Lower</v>
      </c>
      <c r="O379" s="1" t="str">
        <f t="shared" si="11"/>
        <v>Unknown | High Spender | Lower</v>
      </c>
    </row>
    <row r="380" spans="1:15" x14ac:dyDescent="0.25">
      <c r="A380" s="1" t="s">
        <v>410</v>
      </c>
      <c r="B380" s="1">
        <v>25</v>
      </c>
      <c r="C380" s="1" t="str" cm="1">
        <f t="array" ref="C380">_xlfn.IFS(OR(B380=" ", B380="NA",NOT(ISNUMBER(B380))), "Unknown",B380&lt;18,"Underage",B380&lt;=24,"Young Adult",B380&lt;=34,"Early Career",B380&lt;=44,"Mid Career",B380&lt;=54,"Mature",B380&lt;=65,"Pre-Senior",B380&gt;65,"Senior")</f>
        <v>Early Career</v>
      </c>
      <c r="F380" s="1">
        <v>1300000</v>
      </c>
      <c r="G380" s="1">
        <v>61</v>
      </c>
      <c r="H380" s="1" t="str" cm="1">
        <f t="array" ref="H380">_xlfn.IFS( OR(G380=" ",NOT(ISNUMBER(G380))),"Unknown",G380&lt;=33,"Low Spender",G380&lt;=66,"Medium Spender",TRUE, "High Spender")</f>
        <v>Medium Spender</v>
      </c>
      <c r="I380" s="1">
        <v>40</v>
      </c>
      <c r="J380" s="1">
        <v>2100</v>
      </c>
      <c r="K380" s="1">
        <v>65</v>
      </c>
      <c r="L380" s="1" t="s">
        <v>37</v>
      </c>
      <c r="M380" s="1" t="s">
        <v>30</v>
      </c>
      <c r="N380" s="1" t="str">
        <f t="shared" si="10"/>
        <v>Lower</v>
      </c>
      <c r="O380" s="1" t="str">
        <f t="shared" si="11"/>
        <v>Early Career | Medium Spender | Lower</v>
      </c>
    </row>
    <row r="381" spans="1:15" x14ac:dyDescent="0.25">
      <c r="A381" s="1" t="s">
        <v>411</v>
      </c>
      <c r="B381" s="1">
        <v>44</v>
      </c>
      <c r="C381" s="1" t="str" cm="1">
        <f t="array" ref="C381">_xlfn.IFS(OR(B381=" ", B381="NA",NOT(ISNUMBER(B381))), "Unknown",B381&lt;18,"Underage",B381&lt;=24,"Young Adult",B381&lt;=34,"Early Career",B381&lt;=44,"Mid Career",B381&lt;=54,"Mature",B381&lt;=65,"Pre-Senior",B381&gt;65,"Senior")</f>
        <v>Mid Career</v>
      </c>
      <c r="D381" s="1" t="s">
        <v>29</v>
      </c>
      <c r="E381" s="1" t="s">
        <v>13</v>
      </c>
      <c r="F381" s="1">
        <v>1075000</v>
      </c>
      <c r="G381" s="1">
        <v>23</v>
      </c>
      <c r="H381" s="1" t="str" cm="1">
        <f t="array" ref="H381">_xlfn.IFS( OR(G381=" ",NOT(ISNUMBER(G381))),"Unknown",G381&lt;=33,"Low Spender",G381&lt;=66,"Medium Spender",TRUE, "High Spender")</f>
        <v>Low Spender</v>
      </c>
      <c r="I381" s="1">
        <v>5</v>
      </c>
      <c r="J381" s="1">
        <v>5700</v>
      </c>
      <c r="K381" s="1">
        <v>337</v>
      </c>
      <c r="N381" s="1" t="str">
        <f t="shared" si="10"/>
        <v>Higher</v>
      </c>
      <c r="O381" s="1" t="str">
        <f t="shared" si="11"/>
        <v>Mid Career | Low Spender | Higher</v>
      </c>
    </row>
    <row r="382" spans="1:15" x14ac:dyDescent="0.25">
      <c r="A382" s="1" t="s">
        <v>412</v>
      </c>
      <c r="B382" s="1">
        <v>44</v>
      </c>
      <c r="C382" s="1" t="str" cm="1">
        <f t="array" ref="C382">_xlfn.IFS(OR(B382=" ", B382="NA",NOT(ISNUMBER(B382))), "Unknown",B382&lt;18,"Underage",B382&lt;=24,"Young Adult",B382&lt;=34,"Early Career",B382&lt;=44,"Mid Career",B382&lt;=54,"Mature",B382&lt;=65,"Pre-Senior",B382&gt;65,"Senior")</f>
        <v>Mid Career</v>
      </c>
      <c r="D382" s="1" t="s">
        <v>29</v>
      </c>
      <c r="F382" s="1">
        <v>1875000</v>
      </c>
      <c r="G382" s="1">
        <v>37</v>
      </c>
      <c r="H382" s="1" t="str" cm="1">
        <f t="array" ref="H382">_xlfn.IFS( OR(G382=" ",NOT(ISNUMBER(G382))),"Unknown",G382&lt;=33,"Low Spender",G382&lt;=66,"Medium Spender",TRUE, "High Spender")</f>
        <v>Medium Spender</v>
      </c>
      <c r="I382" s="1">
        <v>28</v>
      </c>
      <c r="J382" s="1">
        <v>6200</v>
      </c>
      <c r="K382" s="1">
        <v>356</v>
      </c>
      <c r="L382" s="1" t="s">
        <v>35</v>
      </c>
      <c r="M382" s="1" t="s">
        <v>21</v>
      </c>
      <c r="N382" s="1" t="str">
        <f t="shared" si="10"/>
        <v>Higher</v>
      </c>
      <c r="O382" s="1" t="str">
        <f t="shared" si="11"/>
        <v>Mid Career | Medium Spender | Higher</v>
      </c>
    </row>
    <row r="383" spans="1:15" x14ac:dyDescent="0.25">
      <c r="A383" s="1" t="s">
        <v>413</v>
      </c>
      <c r="B383" s="1">
        <v>51</v>
      </c>
      <c r="C383" s="1" t="str" cm="1">
        <f t="array" ref="C383">_xlfn.IFS(OR(B383=" ", B383="NA",NOT(ISNUMBER(B383))), "Unknown",B383&lt;18,"Underage",B383&lt;=24,"Young Adult",B383&lt;=34,"Early Career",B383&lt;=44,"Mid Career",B383&lt;=54,"Mature",B383&lt;=65,"Pre-Senior",B383&gt;65,"Senior")</f>
        <v>Mature</v>
      </c>
      <c r="D383" s="1" t="s">
        <v>18</v>
      </c>
      <c r="E383" s="1" t="s">
        <v>23</v>
      </c>
      <c r="G383" s="1">
        <v>41</v>
      </c>
      <c r="H383" s="1" t="str" cm="1">
        <f t="array" ref="H383">_xlfn.IFS( OR(G383=" ",NOT(ISNUMBER(G383))),"Unknown",G383&lt;=33,"Low Spender",G383&lt;=66,"Medium Spender",TRUE, "High Spender")</f>
        <v>Medium Spender</v>
      </c>
      <c r="J383" s="1">
        <v>8900</v>
      </c>
      <c r="K383" s="1">
        <v>100</v>
      </c>
      <c r="L383" s="1" t="s">
        <v>16</v>
      </c>
      <c r="N383" s="1" t="str">
        <f t="shared" si="10"/>
        <v>Higher</v>
      </c>
      <c r="O383" s="1" t="str">
        <f t="shared" si="11"/>
        <v>Mature | Medium Spender | Higher</v>
      </c>
    </row>
    <row r="384" spans="1:15" x14ac:dyDescent="0.25">
      <c r="A384" s="1" t="s">
        <v>414</v>
      </c>
      <c r="B384" s="1">
        <v>38</v>
      </c>
      <c r="C384" s="1" t="str" cm="1">
        <f t="array" ref="C384">_xlfn.IFS(OR(B384=" ", B384="NA",NOT(ISNUMBER(B384))), "Unknown",B384&lt;18,"Underage",B384&lt;=24,"Young Adult",B384&lt;=34,"Early Career",B384&lt;=44,"Mid Career",B384&lt;=54,"Mature",B384&lt;=65,"Pre-Senior",B384&gt;65,"Senior")</f>
        <v>Mid Career</v>
      </c>
      <c r="D384" s="1" t="s">
        <v>18</v>
      </c>
      <c r="F384" s="1">
        <v>1450000</v>
      </c>
      <c r="G384" s="1">
        <v>52</v>
      </c>
      <c r="H384" s="1" t="str" cm="1">
        <f t="array" ref="H384">_xlfn.IFS( OR(G384=" ",NOT(ISNUMBER(G384))),"Unknown",G384&lt;=33,"Low Spender",G384&lt;=66,"Medium Spender",TRUE, "High Spender")</f>
        <v>Medium Spender</v>
      </c>
      <c r="I384" s="1">
        <v>9</v>
      </c>
      <c r="J384" s="1">
        <v>7400</v>
      </c>
      <c r="K384" s="1">
        <v>46</v>
      </c>
      <c r="L384" s="1" t="s">
        <v>20</v>
      </c>
      <c r="M384" s="1" t="s">
        <v>21</v>
      </c>
      <c r="N384" s="1" t="str">
        <f t="shared" si="10"/>
        <v>Higher</v>
      </c>
      <c r="O384" s="1" t="str">
        <f t="shared" si="11"/>
        <v>Mid Career | Medium Spender | Higher</v>
      </c>
    </row>
    <row r="385" spans="1:15" x14ac:dyDescent="0.25">
      <c r="A385" s="1" t="s">
        <v>415</v>
      </c>
      <c r="B385" s="1">
        <v>47</v>
      </c>
      <c r="C385" s="1" t="str" cm="1">
        <f t="array" ref="C385">_xlfn.IFS(OR(B385=" ", B385="NA",NOT(ISNUMBER(B385))), "Unknown",B385&lt;18,"Underage",B385&lt;=24,"Young Adult",B385&lt;=34,"Early Career",B385&lt;=44,"Mid Career",B385&lt;=54,"Mature",B385&lt;=65,"Pre-Senior",B385&gt;65,"Senior")</f>
        <v>Mature</v>
      </c>
      <c r="D385" s="1" t="s">
        <v>12</v>
      </c>
      <c r="E385" s="1" t="s">
        <v>23</v>
      </c>
      <c r="F385" s="1">
        <v>1225000</v>
      </c>
      <c r="G385" s="1">
        <v>83</v>
      </c>
      <c r="H385" s="1" t="str" cm="1">
        <f t="array" ref="H385">_xlfn.IFS( OR(G385=" ",NOT(ISNUMBER(G385))),"Unknown",G385&lt;=33,"Low Spender",G385&lt;=66,"Medium Spender",TRUE, "High Spender")</f>
        <v>High Spender</v>
      </c>
      <c r="I385" s="1">
        <v>2</v>
      </c>
      <c r="J385" s="1">
        <v>8300</v>
      </c>
      <c r="K385" s="1">
        <v>316</v>
      </c>
      <c r="L385" s="1" t="s">
        <v>35</v>
      </c>
      <c r="M385" s="1" t="s">
        <v>21</v>
      </c>
      <c r="N385" s="1" t="str">
        <f t="shared" si="10"/>
        <v>Lower</v>
      </c>
      <c r="O385" s="1" t="str">
        <f t="shared" si="11"/>
        <v>Mature | High Spender | Lower</v>
      </c>
    </row>
    <row r="386" spans="1:15" x14ac:dyDescent="0.25">
      <c r="A386" s="1" t="s">
        <v>416</v>
      </c>
      <c r="B386" s="1">
        <v>50</v>
      </c>
      <c r="C386" s="1" t="str" cm="1">
        <f t="array" ref="C386">_xlfn.IFS(OR(B386=" ", B386="NA",NOT(ISNUMBER(B386))), "Unknown",B386&lt;18,"Underage",B386&lt;=24,"Young Adult",B386&lt;=34,"Early Career",B386&lt;=44,"Mid Career",B386&lt;=54,"Mature",B386&lt;=65,"Pre-Senior",B386&gt;65,"Senior")</f>
        <v>Mature</v>
      </c>
      <c r="E386" s="1" t="s">
        <v>49</v>
      </c>
      <c r="F386" s="1">
        <v>1975000</v>
      </c>
      <c r="G386" s="1">
        <v>82</v>
      </c>
      <c r="H386" s="1" t="str" cm="1">
        <f t="array" ref="H386">_xlfn.IFS( OR(G386=" ",NOT(ISNUMBER(G386))),"Unknown",G386&lt;=33,"Low Spender",G386&lt;=66,"Medium Spender",TRUE, "High Spender")</f>
        <v>High Spender</v>
      </c>
      <c r="I386" s="1">
        <v>63</v>
      </c>
      <c r="J386" s="1">
        <v>2300</v>
      </c>
      <c r="K386" s="1">
        <v>156</v>
      </c>
      <c r="M386" s="1" t="s">
        <v>21</v>
      </c>
      <c r="N386" s="1" t="str">
        <f t="shared" ref="N386:N449" si="12">IF(OR(UPPER(TRIM(D386))="Male",UPPER(TRIM(D386))="Female"),"Higher","Lower")</f>
        <v>Lower</v>
      </c>
      <c r="O386" s="1" t="str">
        <f t="shared" ref="O386:O449" si="13">_xlfn.TEXTJOIN(" | ", TRUE, C386, H386, N386)</f>
        <v>Mature | High Spender | Lower</v>
      </c>
    </row>
    <row r="387" spans="1:15" x14ac:dyDescent="0.25">
      <c r="A387" s="1" t="s">
        <v>417</v>
      </c>
      <c r="B387" s="1">
        <v>45</v>
      </c>
      <c r="C387" s="1" t="str" cm="1">
        <f t="array" ref="C387">_xlfn.IFS(OR(B387=" ", B387="NA",NOT(ISNUMBER(B387))), "Unknown",B387&lt;18,"Underage",B387&lt;=24,"Young Adult",B387&lt;=34,"Early Career",B387&lt;=44,"Mid Career",B387&lt;=54,"Mature",B387&lt;=65,"Pre-Senior",B387&gt;65,"Senior")</f>
        <v>Mature</v>
      </c>
      <c r="D387" s="1" t="s">
        <v>12</v>
      </c>
      <c r="E387" s="1" t="s">
        <v>49</v>
      </c>
      <c r="F387" s="1">
        <v>1475000</v>
      </c>
      <c r="G387" s="1">
        <v>49</v>
      </c>
      <c r="H387" s="1" t="str" cm="1">
        <f t="array" ref="H387">_xlfn.IFS( OR(G387=" ",NOT(ISNUMBER(G387))),"Unknown",G387&lt;=33,"Low Spender",G387&lt;=66,"Medium Spender",TRUE, "High Spender")</f>
        <v>Medium Spender</v>
      </c>
      <c r="I387" s="1">
        <v>51</v>
      </c>
      <c r="J387" s="1">
        <v>2800</v>
      </c>
      <c r="K387" s="1">
        <v>240</v>
      </c>
      <c r="L387" s="1" t="s">
        <v>20</v>
      </c>
      <c r="M387" s="1" t="s">
        <v>41</v>
      </c>
      <c r="N387" s="1" t="str">
        <f t="shared" si="12"/>
        <v>Lower</v>
      </c>
      <c r="O387" s="1" t="str">
        <f t="shared" si="13"/>
        <v>Mature | Medium Spender | Lower</v>
      </c>
    </row>
    <row r="388" spans="1:15" x14ac:dyDescent="0.25">
      <c r="A388" s="1" t="s">
        <v>418</v>
      </c>
      <c r="B388" s="1">
        <v>64</v>
      </c>
      <c r="C388" s="1" t="str" cm="1">
        <f t="array" ref="C388">_xlfn.IFS(OR(B388=" ", B388="NA",NOT(ISNUMBER(B388))), "Unknown",B388&lt;18,"Underage",B388&lt;=24,"Young Adult",B388&lt;=34,"Early Career",B388&lt;=44,"Mid Career",B388&lt;=54,"Mature",B388&lt;=65,"Pre-Senior",B388&gt;65,"Senior")</f>
        <v>Pre-Senior</v>
      </c>
      <c r="D388" s="1" t="s">
        <v>29</v>
      </c>
      <c r="F388" s="1">
        <v>625000</v>
      </c>
      <c r="G388" s="1">
        <v>27</v>
      </c>
      <c r="H388" s="1" t="str" cm="1">
        <f t="array" ref="H388">_xlfn.IFS( OR(G388=" ",NOT(ISNUMBER(G388))),"Unknown",G388&lt;=33,"Low Spender",G388&lt;=66,"Medium Spender",TRUE, "High Spender")</f>
        <v>Low Spender</v>
      </c>
      <c r="I388" s="1">
        <v>31</v>
      </c>
      <c r="J388" s="1">
        <v>3000</v>
      </c>
      <c r="K388" s="1">
        <v>353</v>
      </c>
      <c r="L388" s="1" t="s">
        <v>20</v>
      </c>
      <c r="N388" s="1" t="str">
        <f t="shared" si="12"/>
        <v>Higher</v>
      </c>
      <c r="O388" s="1" t="str">
        <f t="shared" si="13"/>
        <v>Pre-Senior | Low Spender | Higher</v>
      </c>
    </row>
    <row r="389" spans="1:15" x14ac:dyDescent="0.25">
      <c r="A389" s="1" t="s">
        <v>419</v>
      </c>
      <c r="B389" s="1">
        <v>50</v>
      </c>
      <c r="C389" s="1" t="str" cm="1">
        <f t="array" ref="C389">_xlfn.IFS(OR(B389=" ", B389="NA",NOT(ISNUMBER(B389))), "Unknown",B389&lt;18,"Underage",B389&lt;=24,"Young Adult",B389&lt;=34,"Early Career",B389&lt;=44,"Mid Career",B389&lt;=54,"Mature",B389&lt;=65,"Pre-Senior",B389&gt;65,"Senior")</f>
        <v>Mature</v>
      </c>
      <c r="E389" s="1" t="s">
        <v>49</v>
      </c>
      <c r="F389" s="1">
        <v>900000</v>
      </c>
      <c r="G389" s="1">
        <v>6</v>
      </c>
      <c r="H389" s="1" t="str" cm="1">
        <f t="array" ref="H389">_xlfn.IFS( OR(G389=" ",NOT(ISNUMBER(G389))),"Unknown",G389&lt;=33,"Low Spender",G389&lt;=66,"Medium Spender",TRUE, "High Spender")</f>
        <v>Low Spender</v>
      </c>
      <c r="I389" s="1">
        <v>7</v>
      </c>
      <c r="J389" s="1">
        <v>4100</v>
      </c>
      <c r="K389" s="1">
        <v>259</v>
      </c>
      <c r="L389" s="1" t="s">
        <v>37</v>
      </c>
      <c r="M389" s="1" t="s">
        <v>32</v>
      </c>
      <c r="N389" s="1" t="str">
        <f t="shared" si="12"/>
        <v>Lower</v>
      </c>
      <c r="O389" s="1" t="str">
        <f t="shared" si="13"/>
        <v>Mature | Low Spender | Lower</v>
      </c>
    </row>
    <row r="390" spans="1:15" x14ac:dyDescent="0.25">
      <c r="A390" s="1" t="s">
        <v>420</v>
      </c>
      <c r="B390" s="1">
        <v>22</v>
      </c>
      <c r="C390" s="1" t="str" cm="1">
        <f t="array" ref="C390">_xlfn.IFS(OR(B390=" ", B390="NA",NOT(ISNUMBER(B390))), "Unknown",B390&lt;18,"Underage",B390&lt;=24,"Young Adult",B390&lt;=34,"Early Career",B390&lt;=44,"Mid Career",B390&lt;=54,"Mature",B390&lt;=65,"Pre-Senior",B390&gt;65,"Senior")</f>
        <v>Young Adult</v>
      </c>
      <c r="D390" s="1" t="s">
        <v>18</v>
      </c>
      <c r="E390" s="1" t="s">
        <v>58</v>
      </c>
      <c r="F390" s="1">
        <v>300000</v>
      </c>
      <c r="G390" s="1">
        <v>74</v>
      </c>
      <c r="H390" s="1" t="str" cm="1">
        <f t="array" ref="H390">_xlfn.IFS( OR(G390=" ",NOT(ISNUMBER(G390))),"Unknown",G390&lt;=33,"Low Spender",G390&lt;=66,"Medium Spender",TRUE, "High Spender")</f>
        <v>High Spender</v>
      </c>
      <c r="I390" s="1">
        <v>30</v>
      </c>
      <c r="J390" s="1">
        <v>3500</v>
      </c>
      <c r="K390" s="1">
        <v>136</v>
      </c>
      <c r="L390" s="1" t="s">
        <v>35</v>
      </c>
      <c r="M390" s="1" t="s">
        <v>32</v>
      </c>
      <c r="N390" s="1" t="str">
        <f t="shared" si="12"/>
        <v>Higher</v>
      </c>
      <c r="O390" s="1" t="str">
        <f t="shared" si="13"/>
        <v>Young Adult | High Spender | Higher</v>
      </c>
    </row>
    <row r="391" spans="1:15" x14ac:dyDescent="0.25">
      <c r="A391" s="1" t="s">
        <v>421</v>
      </c>
      <c r="B391" s="1">
        <v>65</v>
      </c>
      <c r="C391" s="1" t="str" cm="1">
        <f t="array" ref="C391">_xlfn.IFS(OR(B391=" ", B391="NA",NOT(ISNUMBER(B391))), "Unknown",B391&lt;18,"Underage",B391&lt;=24,"Young Adult",B391&lt;=34,"Early Career",B391&lt;=44,"Mid Career",B391&lt;=54,"Mature",B391&lt;=65,"Pre-Senior",B391&gt;65,"Senior")</f>
        <v>Pre-Senior</v>
      </c>
      <c r="D391" s="1" t="s">
        <v>29</v>
      </c>
      <c r="E391" s="1" t="s">
        <v>58</v>
      </c>
      <c r="F391" s="1">
        <v>1575000</v>
      </c>
      <c r="G391" s="1">
        <v>66</v>
      </c>
      <c r="H391" s="1" t="str" cm="1">
        <f t="array" ref="H391">_xlfn.IFS( OR(G391=" ",NOT(ISNUMBER(G391))),"Unknown",G391&lt;=33,"Low Spender",G391&lt;=66,"Medium Spender",TRUE, "High Spender")</f>
        <v>Medium Spender</v>
      </c>
      <c r="I391" s="1">
        <v>58</v>
      </c>
      <c r="J391" s="1">
        <v>4200</v>
      </c>
      <c r="K391" s="1">
        <v>198</v>
      </c>
      <c r="M391" s="1" t="s">
        <v>32</v>
      </c>
      <c r="N391" s="1" t="str">
        <f t="shared" si="12"/>
        <v>Higher</v>
      </c>
      <c r="O391" s="1" t="str">
        <f t="shared" si="13"/>
        <v>Pre-Senior | Medium Spender | Higher</v>
      </c>
    </row>
    <row r="392" spans="1:15" x14ac:dyDescent="0.25">
      <c r="A392" s="1" t="s">
        <v>422</v>
      </c>
      <c r="B392" s="1">
        <v>36</v>
      </c>
      <c r="C392" s="1" t="str" cm="1">
        <f t="array" ref="C392">_xlfn.IFS(OR(B392=" ", B392="NA",NOT(ISNUMBER(B392))), "Unknown",B392&lt;18,"Underage",B392&lt;=24,"Young Adult",B392&lt;=34,"Early Career",B392&lt;=44,"Mid Career",B392&lt;=54,"Mature",B392&lt;=65,"Pre-Senior",B392&gt;65,"Senior")</f>
        <v>Mid Career</v>
      </c>
      <c r="D392" s="1" t="s">
        <v>12</v>
      </c>
      <c r="E392" s="1" t="s">
        <v>49</v>
      </c>
      <c r="F392" s="1">
        <v>375000</v>
      </c>
      <c r="G392" s="1">
        <v>24</v>
      </c>
      <c r="H392" s="1" t="str" cm="1">
        <f t="array" ref="H392">_xlfn.IFS( OR(G392=" ",NOT(ISNUMBER(G392))),"Unknown",G392&lt;=33,"Low Spender",G392&lt;=66,"Medium Spender",TRUE, "High Spender")</f>
        <v>Low Spender</v>
      </c>
      <c r="I392" s="1">
        <v>3</v>
      </c>
      <c r="J392" s="1">
        <v>8500</v>
      </c>
      <c r="K392" s="1">
        <v>187</v>
      </c>
      <c r="L392" s="1" t="s">
        <v>20</v>
      </c>
      <c r="M392" s="1" t="s">
        <v>41</v>
      </c>
      <c r="N392" s="1" t="str">
        <f t="shared" si="12"/>
        <v>Lower</v>
      </c>
      <c r="O392" s="1" t="str">
        <f t="shared" si="13"/>
        <v>Mid Career | Low Spender | Lower</v>
      </c>
    </row>
    <row r="393" spans="1:15" x14ac:dyDescent="0.25">
      <c r="A393" s="1" t="s">
        <v>423</v>
      </c>
      <c r="B393" s="1">
        <v>21</v>
      </c>
      <c r="C393" s="1" t="str" cm="1">
        <f t="array" ref="C393">_xlfn.IFS(OR(B393=" ", B393="NA",NOT(ISNUMBER(B393))), "Unknown",B393&lt;18,"Underage",B393&lt;=24,"Young Adult",B393&lt;=34,"Early Career",B393&lt;=44,"Mid Career",B393&lt;=54,"Mature",B393&lt;=65,"Pre-Senior",B393&gt;65,"Senior")</f>
        <v>Young Adult</v>
      </c>
      <c r="D393" s="1" t="s">
        <v>29</v>
      </c>
      <c r="E393" s="1" t="s">
        <v>49</v>
      </c>
      <c r="F393" s="1">
        <v>375000</v>
      </c>
      <c r="G393" s="1">
        <v>38</v>
      </c>
      <c r="H393" s="1" t="str" cm="1">
        <f t="array" ref="H393">_xlfn.IFS( OR(G393=" ",NOT(ISNUMBER(G393))),"Unknown",G393&lt;=33,"Low Spender",G393&lt;=66,"Medium Spender",TRUE, "High Spender")</f>
        <v>Medium Spender</v>
      </c>
      <c r="I393" s="1">
        <v>51</v>
      </c>
      <c r="J393" s="1">
        <v>3100</v>
      </c>
      <c r="K393" s="1">
        <v>116</v>
      </c>
      <c r="N393" s="1" t="str">
        <f t="shared" si="12"/>
        <v>Higher</v>
      </c>
      <c r="O393" s="1" t="str">
        <f t="shared" si="13"/>
        <v>Young Adult | Medium Spender | Higher</v>
      </c>
    </row>
    <row r="394" spans="1:15" x14ac:dyDescent="0.25">
      <c r="A394" s="1" t="s">
        <v>424</v>
      </c>
      <c r="B394" s="1">
        <v>52</v>
      </c>
      <c r="C394" s="1" t="str" cm="1">
        <f t="array" ref="C394">_xlfn.IFS(OR(B394=" ", B394="NA",NOT(ISNUMBER(B394))), "Unknown",B394&lt;18,"Underage",B394&lt;=24,"Young Adult",B394&lt;=34,"Early Career",B394&lt;=44,"Mid Career",B394&lt;=54,"Mature",B394&lt;=65,"Pre-Senior",B394&gt;65,"Senior")</f>
        <v>Mature</v>
      </c>
      <c r="D394" s="1" t="s">
        <v>18</v>
      </c>
      <c r="E394" s="1" t="s">
        <v>15</v>
      </c>
      <c r="F394" s="1">
        <v>1100000</v>
      </c>
      <c r="G394" s="1">
        <v>28</v>
      </c>
      <c r="H394" s="1" t="str" cm="1">
        <f t="array" ref="H394">_xlfn.IFS( OR(G394=" ",NOT(ISNUMBER(G394))),"Unknown",G394&lt;=33,"Low Spender",G394&lt;=66,"Medium Spender",TRUE, "High Spender")</f>
        <v>Low Spender</v>
      </c>
      <c r="I394" s="1">
        <v>56</v>
      </c>
      <c r="J394" s="1">
        <v>2200</v>
      </c>
      <c r="K394" s="1">
        <v>58</v>
      </c>
      <c r="N394" s="1" t="str">
        <f t="shared" si="12"/>
        <v>Higher</v>
      </c>
      <c r="O394" s="1" t="str">
        <f t="shared" si="13"/>
        <v>Mature | Low Spender | Higher</v>
      </c>
    </row>
    <row r="395" spans="1:15" x14ac:dyDescent="0.25">
      <c r="A395" s="1" t="s">
        <v>425</v>
      </c>
      <c r="B395" s="1">
        <v>66</v>
      </c>
      <c r="C395" s="1" t="str" cm="1">
        <f t="array" ref="C395">_xlfn.IFS(OR(B395=" ", B395="NA",NOT(ISNUMBER(B395))), "Unknown",B395&lt;18,"Underage",B395&lt;=24,"Young Adult",B395&lt;=34,"Early Career",B395&lt;=44,"Mid Career",B395&lt;=54,"Mature",B395&lt;=65,"Pre-Senior",B395&gt;65,"Senior")</f>
        <v>Senior</v>
      </c>
      <c r="E395" s="1" t="s">
        <v>15</v>
      </c>
      <c r="F395" s="1">
        <v>825000</v>
      </c>
      <c r="G395" s="1">
        <v>28</v>
      </c>
      <c r="H395" s="1" t="str" cm="1">
        <f t="array" ref="H395">_xlfn.IFS( OR(G395=" ",NOT(ISNUMBER(G395))),"Unknown",G395&lt;=33,"Low Spender",G395&lt;=66,"Medium Spender",TRUE, "High Spender")</f>
        <v>Low Spender</v>
      </c>
      <c r="I395" s="1">
        <v>73</v>
      </c>
      <c r="J395" s="1">
        <v>2200</v>
      </c>
      <c r="K395" s="1">
        <v>70</v>
      </c>
      <c r="N395" s="1" t="str">
        <f t="shared" si="12"/>
        <v>Lower</v>
      </c>
      <c r="O395" s="1" t="str">
        <f t="shared" si="13"/>
        <v>Senior | Low Spender | Lower</v>
      </c>
    </row>
    <row r="396" spans="1:15" x14ac:dyDescent="0.25">
      <c r="A396" s="1" t="s">
        <v>426</v>
      </c>
      <c r="B396" s="1">
        <v>34</v>
      </c>
      <c r="C396" s="1" t="str" cm="1">
        <f t="array" ref="C396">_xlfn.IFS(OR(B396=" ", B396="NA",NOT(ISNUMBER(B396))), "Unknown",B396&lt;18,"Underage",B396&lt;=24,"Young Adult",B396&lt;=34,"Early Career",B396&lt;=44,"Mid Career",B396&lt;=54,"Mature",B396&lt;=65,"Pre-Senior",B396&gt;65,"Senior")</f>
        <v>Early Career</v>
      </c>
      <c r="E396" s="1" t="s">
        <v>23</v>
      </c>
      <c r="F396" s="1">
        <v>875000</v>
      </c>
      <c r="G396" s="1">
        <v>66</v>
      </c>
      <c r="H396" s="1" t="str" cm="1">
        <f t="array" ref="H396">_xlfn.IFS( OR(G396=" ",NOT(ISNUMBER(G396))),"Unknown",G396&lt;=33,"Low Spender",G396&lt;=66,"Medium Spender",TRUE, "High Spender")</f>
        <v>Medium Spender</v>
      </c>
      <c r="I396" s="1">
        <v>10</v>
      </c>
      <c r="J396" s="1">
        <v>7600</v>
      </c>
      <c r="K396" s="1">
        <v>93</v>
      </c>
      <c r="M396" s="1" t="s">
        <v>41</v>
      </c>
      <c r="N396" s="1" t="str">
        <f t="shared" si="12"/>
        <v>Lower</v>
      </c>
      <c r="O396" s="1" t="str">
        <f t="shared" si="13"/>
        <v>Early Career | Medium Spender | Lower</v>
      </c>
    </row>
    <row r="397" spans="1:15" x14ac:dyDescent="0.25">
      <c r="A397" s="1" t="s">
        <v>427</v>
      </c>
      <c r="B397" s="1">
        <v>61</v>
      </c>
      <c r="C397" s="1" t="str" cm="1">
        <f t="array" ref="C397">_xlfn.IFS(OR(B397=" ", B397="NA",NOT(ISNUMBER(B397))), "Unknown",B397&lt;18,"Underage",B397&lt;=24,"Young Adult",B397&lt;=34,"Early Career",B397&lt;=44,"Mid Career",B397&lt;=54,"Mature",B397&lt;=65,"Pre-Senior",B397&gt;65,"Senior")</f>
        <v>Pre-Senior</v>
      </c>
      <c r="D397" s="1" t="s">
        <v>18</v>
      </c>
      <c r="F397" s="1">
        <v>1050000</v>
      </c>
      <c r="G397" s="1">
        <v>61</v>
      </c>
      <c r="H397" s="1" t="str" cm="1">
        <f t="array" ref="H397">_xlfn.IFS( OR(G397=" ",NOT(ISNUMBER(G397))),"Unknown",G397&lt;=33,"Low Spender",G397&lt;=66,"Medium Spender",TRUE, "High Spender")</f>
        <v>Medium Spender</v>
      </c>
      <c r="I397" s="1">
        <v>61</v>
      </c>
      <c r="J397" s="1">
        <v>1400</v>
      </c>
      <c r="K397" s="1">
        <v>229</v>
      </c>
      <c r="N397" s="1" t="str">
        <f t="shared" si="12"/>
        <v>Higher</v>
      </c>
      <c r="O397" s="1" t="str">
        <f t="shared" si="13"/>
        <v>Pre-Senior | Medium Spender | Higher</v>
      </c>
    </row>
    <row r="398" spans="1:15" x14ac:dyDescent="0.25">
      <c r="A398" s="1" t="s">
        <v>428</v>
      </c>
      <c r="B398" s="1">
        <v>45</v>
      </c>
      <c r="C398" s="1" t="str" cm="1">
        <f t="array" ref="C398">_xlfn.IFS(OR(B398=" ", B398="NA",NOT(ISNUMBER(B398))), "Unknown",B398&lt;18,"Underage",B398&lt;=24,"Young Adult",B398&lt;=34,"Early Career",B398&lt;=44,"Mid Career",B398&lt;=54,"Mature",B398&lt;=65,"Pre-Senior",B398&gt;65,"Senior")</f>
        <v>Mature</v>
      </c>
      <c r="D398" s="1" t="s">
        <v>18</v>
      </c>
      <c r="E398" s="1" t="s">
        <v>27</v>
      </c>
      <c r="F398" s="1">
        <v>1800000</v>
      </c>
      <c r="G398" s="1">
        <v>46</v>
      </c>
      <c r="H398" s="1" t="str" cm="1">
        <f t="array" ref="H398">_xlfn.IFS( OR(G398=" ",NOT(ISNUMBER(G398))),"Unknown",G398&lt;=33,"Low Spender",G398&lt;=66,"Medium Spender",TRUE, "High Spender")</f>
        <v>Medium Spender</v>
      </c>
      <c r="I398" s="1">
        <v>50</v>
      </c>
      <c r="J398" s="1">
        <v>9900</v>
      </c>
      <c r="K398" s="1">
        <v>137</v>
      </c>
      <c r="L398" s="1" t="s">
        <v>37</v>
      </c>
      <c r="M398" s="1" t="s">
        <v>21</v>
      </c>
      <c r="N398" s="1" t="str">
        <f t="shared" si="12"/>
        <v>Higher</v>
      </c>
      <c r="O398" s="1" t="str">
        <f t="shared" si="13"/>
        <v>Mature | Medium Spender | Higher</v>
      </c>
    </row>
    <row r="399" spans="1:15" x14ac:dyDescent="0.25">
      <c r="A399" s="1" t="s">
        <v>429</v>
      </c>
      <c r="B399" s="1">
        <v>47</v>
      </c>
      <c r="C399" s="1" t="str" cm="1">
        <f t="array" ref="C399">_xlfn.IFS(OR(B399=" ", B399="NA",NOT(ISNUMBER(B399))), "Unknown",B399&lt;18,"Underage",B399&lt;=24,"Young Adult",B399&lt;=34,"Early Career",B399&lt;=44,"Mid Career",B399&lt;=54,"Mature",B399&lt;=65,"Pre-Senior",B399&gt;65,"Senior")</f>
        <v>Mature</v>
      </c>
      <c r="D399" s="1" t="s">
        <v>18</v>
      </c>
      <c r="E399" s="1" t="s">
        <v>27</v>
      </c>
      <c r="F399" s="1">
        <v>1200000</v>
      </c>
      <c r="G399" s="1">
        <v>69</v>
      </c>
      <c r="H399" s="1" t="str" cm="1">
        <f t="array" ref="H399">_xlfn.IFS( OR(G399=" ",NOT(ISNUMBER(G399))),"Unknown",G399&lt;=33,"Low Spender",G399&lt;=66,"Medium Spender",TRUE, "High Spender")</f>
        <v>High Spender</v>
      </c>
      <c r="I399" s="1">
        <v>47</v>
      </c>
      <c r="J399" s="1">
        <v>2700</v>
      </c>
      <c r="K399" s="1">
        <v>105</v>
      </c>
      <c r="L399" s="1" t="s">
        <v>16</v>
      </c>
      <c r="M399" s="1" t="s">
        <v>30</v>
      </c>
      <c r="N399" s="1" t="str">
        <f t="shared" si="12"/>
        <v>Higher</v>
      </c>
      <c r="O399" s="1" t="str">
        <f t="shared" si="13"/>
        <v>Mature | High Spender | Higher</v>
      </c>
    </row>
    <row r="400" spans="1:15" x14ac:dyDescent="0.25">
      <c r="A400" s="1" t="s">
        <v>430</v>
      </c>
      <c r="B400" s="1">
        <v>46</v>
      </c>
      <c r="C400" s="1" t="str" cm="1">
        <f t="array" ref="C400">_xlfn.IFS(OR(B400=" ", B400="NA",NOT(ISNUMBER(B400))), "Unknown",B400&lt;18,"Underage",B400&lt;=24,"Young Adult",B400&lt;=34,"Early Career",B400&lt;=44,"Mid Career",B400&lt;=54,"Mature",B400&lt;=65,"Pre-Senior",B400&gt;65,"Senior")</f>
        <v>Mature</v>
      </c>
      <c r="E400" s="1" t="s">
        <v>49</v>
      </c>
      <c r="F400" s="1">
        <v>1425000</v>
      </c>
      <c r="G400" s="1">
        <v>75</v>
      </c>
      <c r="H400" s="1" t="str" cm="1">
        <f t="array" ref="H400">_xlfn.IFS( OR(G400=" ",NOT(ISNUMBER(G400))),"Unknown",G400&lt;=33,"Low Spender",G400&lt;=66,"Medium Spender",TRUE, "High Spender")</f>
        <v>High Spender</v>
      </c>
      <c r="I400" s="1">
        <v>1</v>
      </c>
      <c r="J400" s="1">
        <v>2700</v>
      </c>
      <c r="K400" s="1">
        <v>305</v>
      </c>
      <c r="L400" s="1" t="s">
        <v>35</v>
      </c>
      <c r="M400" s="1" t="s">
        <v>21</v>
      </c>
      <c r="N400" s="1" t="str">
        <f t="shared" si="12"/>
        <v>Lower</v>
      </c>
      <c r="O400" s="1" t="str">
        <f t="shared" si="13"/>
        <v>Mature | High Spender | Lower</v>
      </c>
    </row>
    <row r="401" spans="1:15" x14ac:dyDescent="0.25">
      <c r="A401" s="1" t="s">
        <v>431</v>
      </c>
      <c r="B401" s="1">
        <v>63</v>
      </c>
      <c r="C401" s="1" t="str" cm="1">
        <f t="array" ref="C401">_xlfn.IFS(OR(B401=" ", B401="NA",NOT(ISNUMBER(B401))), "Unknown",B401&lt;18,"Underage",B401&lt;=24,"Young Adult",B401&lt;=34,"Early Career",B401&lt;=44,"Mid Career",B401&lt;=54,"Mature",B401&lt;=65,"Pre-Senior",B401&gt;65,"Senior")</f>
        <v>Pre-Senior</v>
      </c>
      <c r="D401" s="1" t="s">
        <v>18</v>
      </c>
      <c r="E401" s="1" t="s">
        <v>13</v>
      </c>
      <c r="F401" s="1">
        <v>1525000</v>
      </c>
      <c r="G401" s="1">
        <v>74</v>
      </c>
      <c r="H401" s="1" t="str" cm="1">
        <f t="array" ref="H401">_xlfn.IFS( OR(G401=" ",NOT(ISNUMBER(G401))),"Unknown",G401&lt;=33,"Low Spender",G401&lt;=66,"Medium Spender",TRUE, "High Spender")</f>
        <v>High Spender</v>
      </c>
      <c r="I401" s="1">
        <v>57</v>
      </c>
      <c r="J401" s="1">
        <v>11900</v>
      </c>
      <c r="K401" s="1">
        <v>339</v>
      </c>
      <c r="L401" s="1" t="s">
        <v>20</v>
      </c>
      <c r="M401" s="1" t="s">
        <v>32</v>
      </c>
      <c r="N401" s="1" t="str">
        <f t="shared" si="12"/>
        <v>Higher</v>
      </c>
      <c r="O401" s="1" t="str">
        <f t="shared" si="13"/>
        <v>Pre-Senior | High Spender | Higher</v>
      </c>
    </row>
    <row r="402" spans="1:15" x14ac:dyDescent="0.25">
      <c r="A402" s="1" t="s">
        <v>432</v>
      </c>
      <c r="C402" s="1" t="str" cm="1">
        <f t="array" ref="C402">_xlfn.IFS(OR(B402=" ", B402="NA",NOT(ISNUMBER(B402))), "Unknown",B402&lt;18,"Underage",B402&lt;=24,"Young Adult",B402&lt;=34,"Early Career",B402&lt;=44,"Mid Career",B402&lt;=54,"Mature",B402&lt;=65,"Pre-Senior",B402&gt;65,"Senior")</f>
        <v>Unknown</v>
      </c>
      <c r="D402" s="1" t="s">
        <v>12</v>
      </c>
      <c r="E402" s="1" t="s">
        <v>49</v>
      </c>
      <c r="G402" s="1">
        <v>43</v>
      </c>
      <c r="H402" s="1" t="str" cm="1">
        <f t="array" ref="H402">_xlfn.IFS( OR(G402=" ",NOT(ISNUMBER(G402))),"Unknown",G402&lt;=33,"Low Spender",G402&lt;=66,"Medium Spender",TRUE, "High Spender")</f>
        <v>Medium Spender</v>
      </c>
      <c r="I402" s="1">
        <v>38</v>
      </c>
      <c r="J402" s="1">
        <v>600</v>
      </c>
      <c r="K402" s="1">
        <v>17</v>
      </c>
      <c r="L402" s="1" t="s">
        <v>35</v>
      </c>
      <c r="M402" s="1" t="s">
        <v>21</v>
      </c>
      <c r="N402" s="1" t="str">
        <f t="shared" si="12"/>
        <v>Lower</v>
      </c>
      <c r="O402" s="1" t="str">
        <f t="shared" si="13"/>
        <v>Unknown | Medium Spender | Lower</v>
      </c>
    </row>
    <row r="403" spans="1:15" x14ac:dyDescent="0.25">
      <c r="A403" s="1" t="s">
        <v>433</v>
      </c>
      <c r="B403" s="1">
        <v>23</v>
      </c>
      <c r="C403" s="1" t="str" cm="1">
        <f t="array" ref="C403">_xlfn.IFS(OR(B403=" ", B403="NA",NOT(ISNUMBER(B403))), "Unknown",B403&lt;18,"Underage",B403&lt;=24,"Young Adult",B403&lt;=34,"Early Career",B403&lt;=44,"Mid Career",B403&lt;=54,"Mature",B403&lt;=65,"Pre-Senior",B403&gt;65,"Senior")</f>
        <v>Young Adult</v>
      </c>
      <c r="D403" s="1" t="s">
        <v>29</v>
      </c>
      <c r="E403" s="1" t="s">
        <v>15</v>
      </c>
      <c r="F403" s="1">
        <v>1825000</v>
      </c>
      <c r="G403" s="1">
        <v>59</v>
      </c>
      <c r="H403" s="1" t="str" cm="1">
        <f t="array" ref="H403">_xlfn.IFS( OR(G403=" ",NOT(ISNUMBER(G403))),"Unknown",G403&lt;=33,"Low Spender",G403&lt;=66,"Medium Spender",TRUE, "High Spender")</f>
        <v>Medium Spender</v>
      </c>
      <c r="I403" s="1">
        <v>62</v>
      </c>
      <c r="J403" s="1">
        <v>600</v>
      </c>
      <c r="K403" s="1">
        <v>54</v>
      </c>
      <c r="M403" s="1" t="s">
        <v>41</v>
      </c>
      <c r="N403" s="1" t="str">
        <f t="shared" si="12"/>
        <v>Higher</v>
      </c>
      <c r="O403" s="1" t="str">
        <f t="shared" si="13"/>
        <v>Young Adult | Medium Spender | Higher</v>
      </c>
    </row>
    <row r="404" spans="1:15" x14ac:dyDescent="0.25">
      <c r="A404" s="1" t="s">
        <v>434</v>
      </c>
      <c r="B404" s="1">
        <v>52</v>
      </c>
      <c r="C404" s="1" t="str" cm="1">
        <f t="array" ref="C404">_xlfn.IFS(OR(B404=" ", B404="NA",NOT(ISNUMBER(B404))), "Unknown",B404&lt;18,"Underage",B404&lt;=24,"Young Adult",B404&lt;=34,"Early Career",B404&lt;=44,"Mid Career",B404&lt;=54,"Mature",B404&lt;=65,"Pre-Senior",B404&gt;65,"Senior")</f>
        <v>Mature</v>
      </c>
      <c r="E404" s="1" t="s">
        <v>23</v>
      </c>
      <c r="F404" s="1">
        <v>350000</v>
      </c>
      <c r="G404" s="1">
        <v>2</v>
      </c>
      <c r="H404" s="1" t="str" cm="1">
        <f t="array" ref="H404">_xlfn.IFS( OR(G404=" ",NOT(ISNUMBER(G404))),"Unknown",G404&lt;=33,"Low Spender",G404&lt;=66,"Medium Spender",TRUE, "High Spender")</f>
        <v>Low Spender</v>
      </c>
      <c r="I404" s="1">
        <v>79</v>
      </c>
      <c r="J404" s="1">
        <v>1100</v>
      </c>
      <c r="K404" s="1">
        <v>112</v>
      </c>
      <c r="L404" s="1" t="s">
        <v>20</v>
      </c>
      <c r="M404" s="1" t="s">
        <v>32</v>
      </c>
      <c r="N404" s="1" t="str">
        <f t="shared" si="12"/>
        <v>Lower</v>
      </c>
      <c r="O404" s="1" t="str">
        <f t="shared" si="13"/>
        <v>Mature | Low Spender | Lower</v>
      </c>
    </row>
    <row r="405" spans="1:15" x14ac:dyDescent="0.25">
      <c r="A405" s="1" t="s">
        <v>435</v>
      </c>
      <c r="B405" s="1">
        <v>58</v>
      </c>
      <c r="C405" s="1" t="str" cm="1">
        <f t="array" ref="C405">_xlfn.IFS(OR(B405=" ", B405="NA",NOT(ISNUMBER(B405))), "Unknown",B405&lt;18,"Underage",B405&lt;=24,"Young Adult",B405&lt;=34,"Early Career",B405&lt;=44,"Mid Career",B405&lt;=54,"Mature",B405&lt;=65,"Pre-Senior",B405&gt;65,"Senior")</f>
        <v>Pre-Senior</v>
      </c>
      <c r="D405" s="1" t="s">
        <v>18</v>
      </c>
      <c r="E405" s="1" t="s">
        <v>49</v>
      </c>
      <c r="F405" s="1">
        <v>700000</v>
      </c>
      <c r="G405" s="1">
        <v>15</v>
      </c>
      <c r="H405" s="1" t="str" cm="1">
        <f t="array" ref="H405">_xlfn.IFS( OR(G405=" ",NOT(ISNUMBER(G405))),"Unknown",G405&lt;=33,"Low Spender",G405&lt;=66,"Medium Spender",TRUE, "High Spender")</f>
        <v>Low Spender</v>
      </c>
      <c r="I405" s="1">
        <v>70</v>
      </c>
      <c r="J405" s="1">
        <v>1700</v>
      </c>
      <c r="K405" s="1">
        <v>172</v>
      </c>
      <c r="L405" s="1" t="s">
        <v>37</v>
      </c>
      <c r="M405" s="1" t="s">
        <v>30</v>
      </c>
      <c r="N405" s="1" t="str">
        <f t="shared" si="12"/>
        <v>Higher</v>
      </c>
      <c r="O405" s="1" t="str">
        <f t="shared" si="13"/>
        <v>Pre-Senior | Low Spender | Higher</v>
      </c>
    </row>
    <row r="406" spans="1:15" x14ac:dyDescent="0.25">
      <c r="A406" s="1" t="s">
        <v>436</v>
      </c>
      <c r="B406" s="1">
        <v>54</v>
      </c>
      <c r="C406" s="1" t="str" cm="1">
        <f t="array" ref="C406">_xlfn.IFS(OR(B406=" ", B406="NA",NOT(ISNUMBER(B406))), "Unknown",B406&lt;18,"Underage",B406&lt;=24,"Young Adult",B406&lt;=34,"Early Career",B406&lt;=44,"Mid Career",B406&lt;=54,"Mature",B406&lt;=65,"Pre-Senior",B406&gt;65,"Senior")</f>
        <v>Mature</v>
      </c>
      <c r="D406" s="1" t="s">
        <v>18</v>
      </c>
      <c r="F406" s="1">
        <v>1700000</v>
      </c>
      <c r="G406" s="1">
        <v>37</v>
      </c>
      <c r="H406" s="1" t="str" cm="1">
        <f t="array" ref="H406">_xlfn.IFS( OR(G406=" ",NOT(ISNUMBER(G406))),"Unknown",G406&lt;=33,"Low Spender",G406&lt;=66,"Medium Spender",TRUE, "High Spender")</f>
        <v>Medium Spender</v>
      </c>
      <c r="I406" s="1">
        <v>65</v>
      </c>
      <c r="J406" s="1">
        <v>2800</v>
      </c>
      <c r="K406" s="1">
        <v>305</v>
      </c>
      <c r="L406" s="1" t="s">
        <v>35</v>
      </c>
      <c r="N406" s="1" t="str">
        <f t="shared" si="12"/>
        <v>Higher</v>
      </c>
      <c r="O406" s="1" t="str">
        <f t="shared" si="13"/>
        <v>Mature | Medium Spender | Higher</v>
      </c>
    </row>
    <row r="407" spans="1:15" x14ac:dyDescent="0.25">
      <c r="A407" s="1" t="s">
        <v>437</v>
      </c>
      <c r="B407" s="1">
        <v>41</v>
      </c>
      <c r="C407" s="1" t="str" cm="1">
        <f t="array" ref="C407">_xlfn.IFS(OR(B407=" ", B407="NA",NOT(ISNUMBER(B407))), "Unknown",B407&lt;18,"Underage",B407&lt;=24,"Young Adult",B407&lt;=34,"Early Career",B407&lt;=44,"Mid Career",B407&lt;=54,"Mature",B407&lt;=65,"Pre-Senior",B407&gt;65,"Senior")</f>
        <v>Mid Career</v>
      </c>
      <c r="D407" s="1" t="s">
        <v>18</v>
      </c>
      <c r="E407" s="1" t="s">
        <v>13</v>
      </c>
      <c r="F407" s="1">
        <v>1650000</v>
      </c>
      <c r="G407" s="1">
        <v>71</v>
      </c>
      <c r="H407" s="1" t="str" cm="1">
        <f t="array" ref="H407">_xlfn.IFS( OR(G407=" ",NOT(ISNUMBER(G407))),"Unknown",G407&lt;=33,"Low Spender",G407&lt;=66,"Medium Spender",TRUE, "High Spender")</f>
        <v>High Spender</v>
      </c>
      <c r="I407" s="1">
        <v>62</v>
      </c>
      <c r="J407" s="1">
        <v>8100</v>
      </c>
      <c r="K407" s="1">
        <v>144</v>
      </c>
      <c r="L407" s="1" t="s">
        <v>37</v>
      </c>
      <c r="N407" s="1" t="str">
        <f t="shared" si="12"/>
        <v>Higher</v>
      </c>
      <c r="O407" s="1" t="str">
        <f t="shared" si="13"/>
        <v>Mid Career | High Spender | Higher</v>
      </c>
    </row>
    <row r="408" spans="1:15" x14ac:dyDescent="0.25">
      <c r="A408" s="1" t="s">
        <v>438</v>
      </c>
      <c r="B408" s="1">
        <v>46</v>
      </c>
      <c r="C408" s="1" t="str" cm="1">
        <f t="array" ref="C408">_xlfn.IFS(OR(B408=" ", B408="NA",NOT(ISNUMBER(B408))), "Unknown",B408&lt;18,"Underage",B408&lt;=24,"Young Adult",B408&lt;=34,"Early Career",B408&lt;=44,"Mid Career",B408&lt;=54,"Mature",B408&lt;=65,"Pre-Senior",B408&gt;65,"Senior")</f>
        <v>Mature</v>
      </c>
      <c r="D408" s="1" t="s">
        <v>29</v>
      </c>
      <c r="F408" s="1">
        <v>1125000</v>
      </c>
      <c r="G408" s="1">
        <v>20</v>
      </c>
      <c r="H408" s="1" t="str" cm="1">
        <f t="array" ref="H408">_xlfn.IFS( OR(G408=" ",NOT(ISNUMBER(G408))),"Unknown",G408&lt;=33,"Low Spender",G408&lt;=66,"Medium Spender",TRUE, "High Spender")</f>
        <v>Low Spender</v>
      </c>
      <c r="I408" s="1">
        <v>56</v>
      </c>
      <c r="J408" s="1">
        <v>9200</v>
      </c>
      <c r="K408" s="1">
        <v>85</v>
      </c>
      <c r="L408" s="1" t="s">
        <v>37</v>
      </c>
      <c r="M408" s="1" t="s">
        <v>32</v>
      </c>
      <c r="N408" s="1" t="str">
        <f t="shared" si="12"/>
        <v>Higher</v>
      </c>
      <c r="O408" s="1" t="str">
        <f t="shared" si="13"/>
        <v>Mature | Low Spender | Higher</v>
      </c>
    </row>
    <row r="409" spans="1:15" x14ac:dyDescent="0.25">
      <c r="A409" s="1" t="s">
        <v>439</v>
      </c>
      <c r="B409" s="1">
        <v>66</v>
      </c>
      <c r="C409" s="1" t="str" cm="1">
        <f t="array" ref="C409">_xlfn.IFS(OR(B409=" ", B409="NA",NOT(ISNUMBER(B409))), "Unknown",B409&lt;18,"Underage",B409&lt;=24,"Young Adult",B409&lt;=34,"Early Career",B409&lt;=44,"Mid Career",B409&lt;=54,"Mature",B409&lt;=65,"Pre-Senior",B409&gt;65,"Senior")</f>
        <v>Senior</v>
      </c>
      <c r="E409" s="1" t="s">
        <v>23</v>
      </c>
      <c r="F409" s="1">
        <v>1225000</v>
      </c>
      <c r="G409" s="1">
        <v>98</v>
      </c>
      <c r="H409" s="1" t="str" cm="1">
        <f t="array" ref="H409">_xlfn.IFS( OR(G409=" ",NOT(ISNUMBER(G409))),"Unknown",G409&lt;=33,"Low Spender",G409&lt;=66,"Medium Spender",TRUE, "High Spender")</f>
        <v>High Spender</v>
      </c>
      <c r="I409" s="1">
        <v>67</v>
      </c>
      <c r="J409" s="1">
        <v>9400</v>
      </c>
      <c r="K409" s="1">
        <v>12</v>
      </c>
      <c r="L409" s="1" t="s">
        <v>35</v>
      </c>
      <c r="M409" s="1" t="s">
        <v>21</v>
      </c>
      <c r="N409" s="1" t="str">
        <f t="shared" si="12"/>
        <v>Lower</v>
      </c>
      <c r="O409" s="1" t="str">
        <f t="shared" si="13"/>
        <v>Senior | High Spender | Lower</v>
      </c>
    </row>
    <row r="410" spans="1:15" x14ac:dyDescent="0.25">
      <c r="A410" s="1" t="s">
        <v>440</v>
      </c>
      <c r="B410" s="1">
        <v>63</v>
      </c>
      <c r="C410" s="1" t="str" cm="1">
        <f t="array" ref="C410">_xlfn.IFS(OR(B410=" ", B410="NA",NOT(ISNUMBER(B410))), "Unknown",B410&lt;18,"Underage",B410&lt;=24,"Young Adult",B410&lt;=34,"Early Career",B410&lt;=44,"Mid Career",B410&lt;=54,"Mature",B410&lt;=65,"Pre-Senior",B410&gt;65,"Senior")</f>
        <v>Pre-Senior</v>
      </c>
      <c r="D410" s="1" t="s">
        <v>29</v>
      </c>
      <c r="E410" s="1" t="s">
        <v>23</v>
      </c>
      <c r="F410" s="1">
        <v>725000</v>
      </c>
      <c r="G410" s="1">
        <v>35</v>
      </c>
      <c r="H410" s="1" t="str" cm="1">
        <f t="array" ref="H410">_xlfn.IFS( OR(G410=" ",NOT(ISNUMBER(G410))),"Unknown",G410&lt;=33,"Low Spender",G410&lt;=66,"Medium Spender",TRUE, "High Spender")</f>
        <v>Medium Spender</v>
      </c>
      <c r="I410" s="1">
        <v>17</v>
      </c>
      <c r="J410" s="1">
        <v>7300</v>
      </c>
      <c r="K410" s="1">
        <v>252</v>
      </c>
      <c r="L410" s="1" t="s">
        <v>35</v>
      </c>
      <c r="N410" s="1" t="str">
        <f t="shared" si="12"/>
        <v>Higher</v>
      </c>
      <c r="O410" s="1" t="str">
        <f t="shared" si="13"/>
        <v>Pre-Senior | Medium Spender | Higher</v>
      </c>
    </row>
    <row r="411" spans="1:15" x14ac:dyDescent="0.25">
      <c r="A411" s="1" t="s">
        <v>441</v>
      </c>
      <c r="C411" s="1" t="str" cm="1">
        <f t="array" ref="C411">_xlfn.IFS(OR(B411=" ", B411="NA",NOT(ISNUMBER(B411))), "Unknown",B411&lt;18,"Underage",B411&lt;=24,"Young Adult",B411&lt;=34,"Early Career",B411&lt;=44,"Mid Career",B411&lt;=54,"Mature",B411&lt;=65,"Pre-Senior",B411&gt;65,"Senior")</f>
        <v>Unknown</v>
      </c>
      <c r="D411" s="1" t="s">
        <v>29</v>
      </c>
      <c r="E411" s="1" t="s">
        <v>58</v>
      </c>
      <c r="F411" s="1">
        <v>1400000</v>
      </c>
      <c r="G411" s="1">
        <v>34</v>
      </c>
      <c r="H411" s="1" t="str" cm="1">
        <f t="array" ref="H411">_xlfn.IFS( OR(G411=" ",NOT(ISNUMBER(G411))),"Unknown",G411&lt;=33,"Low Spender",G411&lt;=66,"Medium Spender",TRUE, "High Spender")</f>
        <v>Medium Spender</v>
      </c>
      <c r="I411" s="1">
        <v>8</v>
      </c>
      <c r="J411" s="1">
        <v>3400</v>
      </c>
      <c r="K411" s="1">
        <v>216</v>
      </c>
      <c r="L411" s="1" t="s">
        <v>20</v>
      </c>
      <c r="N411" s="1" t="str">
        <f t="shared" si="12"/>
        <v>Higher</v>
      </c>
      <c r="O411" s="1" t="str">
        <f t="shared" si="13"/>
        <v>Unknown | Medium Spender | Higher</v>
      </c>
    </row>
    <row r="412" spans="1:15" x14ac:dyDescent="0.25">
      <c r="A412" s="1" t="s">
        <v>442</v>
      </c>
      <c r="B412" s="1">
        <v>48</v>
      </c>
      <c r="C412" s="1" t="str" cm="1">
        <f t="array" ref="C412">_xlfn.IFS(OR(B412=" ", B412="NA",NOT(ISNUMBER(B412))), "Unknown",B412&lt;18,"Underage",B412&lt;=24,"Young Adult",B412&lt;=34,"Early Career",B412&lt;=44,"Mid Career",B412&lt;=54,"Mature",B412&lt;=65,"Pre-Senior",B412&gt;65,"Senior")</f>
        <v>Mature</v>
      </c>
      <c r="E412" s="1" t="s">
        <v>34</v>
      </c>
      <c r="F412" s="1">
        <v>1575000</v>
      </c>
      <c r="G412" s="1">
        <v>86</v>
      </c>
      <c r="H412" s="1" t="str" cm="1">
        <f t="array" ref="H412">_xlfn.IFS( OR(G412=" ",NOT(ISNUMBER(G412))),"Unknown",G412&lt;=33,"Low Spender",G412&lt;=66,"Medium Spender",TRUE, "High Spender")</f>
        <v>High Spender</v>
      </c>
      <c r="I412" s="1">
        <v>60</v>
      </c>
      <c r="J412" s="1">
        <v>7800</v>
      </c>
      <c r="K412" s="1">
        <v>126</v>
      </c>
      <c r="N412" s="1" t="str">
        <f t="shared" si="12"/>
        <v>Lower</v>
      </c>
      <c r="O412" s="1" t="str">
        <f t="shared" si="13"/>
        <v>Mature | High Spender | Lower</v>
      </c>
    </row>
    <row r="413" spans="1:15" x14ac:dyDescent="0.25">
      <c r="A413" s="1" t="s">
        <v>443</v>
      </c>
      <c r="B413" s="1">
        <v>52</v>
      </c>
      <c r="C413" s="1" t="str" cm="1">
        <f t="array" ref="C413">_xlfn.IFS(OR(B413=" ", B413="NA",NOT(ISNUMBER(B413))), "Unknown",B413&lt;18,"Underage",B413&lt;=24,"Young Adult",B413&lt;=34,"Early Career",B413&lt;=44,"Mid Career",B413&lt;=54,"Mature",B413&lt;=65,"Pre-Senior",B413&gt;65,"Senior")</f>
        <v>Mature</v>
      </c>
      <c r="F413" s="1">
        <v>950000</v>
      </c>
      <c r="G413" s="1">
        <v>31</v>
      </c>
      <c r="H413" s="1" t="str" cm="1">
        <f t="array" ref="H413">_xlfn.IFS( OR(G413=" ",NOT(ISNUMBER(G413))),"Unknown",G413&lt;=33,"Low Spender",G413&lt;=66,"Medium Spender",TRUE, "High Spender")</f>
        <v>Low Spender</v>
      </c>
      <c r="I413" s="1">
        <v>40</v>
      </c>
      <c r="J413" s="1">
        <v>10100</v>
      </c>
      <c r="K413" s="1">
        <v>98</v>
      </c>
      <c r="N413" s="1" t="str">
        <f t="shared" si="12"/>
        <v>Lower</v>
      </c>
      <c r="O413" s="1" t="str">
        <f t="shared" si="13"/>
        <v>Mature | Low Spender | Lower</v>
      </c>
    </row>
    <row r="414" spans="1:15" x14ac:dyDescent="0.25">
      <c r="A414" s="1" t="s">
        <v>444</v>
      </c>
      <c r="B414" s="1">
        <v>50</v>
      </c>
      <c r="C414" s="1" t="str" cm="1">
        <f t="array" ref="C414">_xlfn.IFS(OR(B414=" ", B414="NA",NOT(ISNUMBER(B414))), "Unknown",B414&lt;18,"Underage",B414&lt;=24,"Young Adult",B414&lt;=34,"Early Career",B414&lt;=44,"Mid Career",B414&lt;=54,"Mature",B414&lt;=65,"Pre-Senior",B414&gt;65,"Senior")</f>
        <v>Mature</v>
      </c>
      <c r="E414" s="1" t="s">
        <v>58</v>
      </c>
      <c r="F414" s="1">
        <v>525000</v>
      </c>
      <c r="G414" s="1">
        <v>87</v>
      </c>
      <c r="H414" s="1" t="str" cm="1">
        <f t="array" ref="H414">_xlfn.IFS( OR(G414=" ",NOT(ISNUMBER(G414))),"Unknown",G414&lt;=33,"Low Spender",G414&lt;=66,"Medium Spender",TRUE, "High Spender")</f>
        <v>High Spender</v>
      </c>
      <c r="J414" s="1">
        <v>5400</v>
      </c>
      <c r="K414" s="1">
        <v>304</v>
      </c>
      <c r="M414" s="1" t="s">
        <v>32</v>
      </c>
      <c r="N414" s="1" t="str">
        <f t="shared" si="12"/>
        <v>Lower</v>
      </c>
      <c r="O414" s="1" t="str">
        <f t="shared" si="13"/>
        <v>Mature | High Spender | Lower</v>
      </c>
    </row>
    <row r="415" spans="1:15" x14ac:dyDescent="0.25">
      <c r="A415" s="1" t="s">
        <v>445</v>
      </c>
      <c r="B415" s="1">
        <v>69</v>
      </c>
      <c r="C415" s="1" t="str" cm="1">
        <f t="array" ref="C415">_xlfn.IFS(OR(B415=" ", B415="NA",NOT(ISNUMBER(B415))), "Unknown",B415&lt;18,"Underage",B415&lt;=24,"Young Adult",B415&lt;=34,"Early Career",B415&lt;=44,"Mid Career",B415&lt;=54,"Mature",B415&lt;=65,"Pre-Senior",B415&gt;65,"Senior")</f>
        <v>Senior</v>
      </c>
      <c r="E415" s="1" t="s">
        <v>15</v>
      </c>
      <c r="F415" s="1">
        <v>675000</v>
      </c>
      <c r="G415" s="1">
        <v>19</v>
      </c>
      <c r="H415" s="1" t="str" cm="1">
        <f t="array" ref="H415">_xlfn.IFS( OR(G415=" ",NOT(ISNUMBER(G415))),"Unknown",G415&lt;=33,"Low Spender",G415&lt;=66,"Medium Spender",TRUE, "High Spender")</f>
        <v>Low Spender</v>
      </c>
      <c r="I415" s="1">
        <v>62</v>
      </c>
      <c r="J415" s="1">
        <v>3400</v>
      </c>
      <c r="K415" s="1">
        <v>28</v>
      </c>
      <c r="L415" s="1" t="s">
        <v>37</v>
      </c>
      <c r="N415" s="1" t="str">
        <f t="shared" si="12"/>
        <v>Lower</v>
      </c>
      <c r="O415" s="1" t="str">
        <f t="shared" si="13"/>
        <v>Senior | Low Spender | Lower</v>
      </c>
    </row>
    <row r="416" spans="1:15" x14ac:dyDescent="0.25">
      <c r="A416" s="1" t="s">
        <v>446</v>
      </c>
      <c r="B416" s="1">
        <v>38</v>
      </c>
      <c r="C416" s="1" t="str" cm="1">
        <f t="array" ref="C416">_xlfn.IFS(OR(B416=" ", B416="NA",NOT(ISNUMBER(B416))), "Unknown",B416&lt;18,"Underage",B416&lt;=24,"Young Adult",B416&lt;=34,"Early Career",B416&lt;=44,"Mid Career",B416&lt;=54,"Mature",B416&lt;=65,"Pre-Senior",B416&gt;65,"Senior")</f>
        <v>Mid Career</v>
      </c>
      <c r="D416" s="1" t="s">
        <v>29</v>
      </c>
      <c r="E416" s="1" t="s">
        <v>19</v>
      </c>
      <c r="F416" s="1">
        <v>1550000</v>
      </c>
      <c r="G416" s="1">
        <v>68</v>
      </c>
      <c r="H416" s="1" t="str" cm="1">
        <f t="array" ref="H416">_xlfn.IFS( OR(G416=" ",NOT(ISNUMBER(G416))),"Unknown",G416&lt;=33,"Low Spender",G416&lt;=66,"Medium Spender",TRUE, "High Spender")</f>
        <v>High Spender</v>
      </c>
      <c r="I416" s="1">
        <v>41</v>
      </c>
      <c r="J416" s="1">
        <v>1100</v>
      </c>
      <c r="K416" s="1">
        <v>336</v>
      </c>
      <c r="M416" s="1" t="s">
        <v>41</v>
      </c>
      <c r="N416" s="1" t="str">
        <f t="shared" si="12"/>
        <v>Higher</v>
      </c>
      <c r="O416" s="1" t="str">
        <f t="shared" si="13"/>
        <v>Mid Career | High Spender | Higher</v>
      </c>
    </row>
    <row r="417" spans="1:15" x14ac:dyDescent="0.25">
      <c r="A417" s="1" t="s">
        <v>447</v>
      </c>
      <c r="B417" s="1">
        <v>49</v>
      </c>
      <c r="C417" s="1" t="str" cm="1">
        <f t="array" ref="C417">_xlfn.IFS(OR(B417=" ", B417="NA",NOT(ISNUMBER(B417))), "Unknown",B417&lt;18,"Underage",B417&lt;=24,"Young Adult",B417&lt;=34,"Early Career",B417&lt;=44,"Mid Career",B417&lt;=54,"Mature",B417&lt;=65,"Pre-Senior",B417&gt;65,"Senior")</f>
        <v>Mature</v>
      </c>
      <c r="D417" s="1" t="s">
        <v>18</v>
      </c>
      <c r="E417" s="1" t="s">
        <v>13</v>
      </c>
      <c r="F417" s="1">
        <v>1675000</v>
      </c>
      <c r="G417" s="1">
        <v>24</v>
      </c>
      <c r="H417" s="1" t="str" cm="1">
        <f t="array" ref="H417">_xlfn.IFS( OR(G417=" ",NOT(ISNUMBER(G417))),"Unknown",G417&lt;=33,"Low Spender",G417&lt;=66,"Medium Spender",TRUE, "High Spender")</f>
        <v>Low Spender</v>
      </c>
      <c r="I417" s="1">
        <v>12</v>
      </c>
      <c r="J417" s="1">
        <v>8000</v>
      </c>
      <c r="K417" s="1">
        <v>266</v>
      </c>
      <c r="L417" s="1" t="s">
        <v>16</v>
      </c>
      <c r="N417" s="1" t="str">
        <f t="shared" si="12"/>
        <v>Higher</v>
      </c>
      <c r="O417" s="1" t="str">
        <f t="shared" si="13"/>
        <v>Mature | Low Spender | Higher</v>
      </c>
    </row>
    <row r="418" spans="1:15" x14ac:dyDescent="0.25">
      <c r="A418" s="1" t="s">
        <v>448</v>
      </c>
      <c r="B418" s="1">
        <v>40</v>
      </c>
      <c r="C418" s="1" t="str" cm="1">
        <f t="array" ref="C418">_xlfn.IFS(OR(B418=" ", B418="NA",NOT(ISNUMBER(B418))), "Unknown",B418&lt;18,"Underage",B418&lt;=24,"Young Adult",B418&lt;=34,"Early Career",B418&lt;=44,"Mid Career",B418&lt;=54,"Mature",B418&lt;=65,"Pre-Senior",B418&gt;65,"Senior")</f>
        <v>Mid Career</v>
      </c>
      <c r="D418" s="1" t="s">
        <v>29</v>
      </c>
      <c r="E418" s="1" t="s">
        <v>19</v>
      </c>
      <c r="F418" s="1">
        <v>1900000</v>
      </c>
      <c r="G418" s="1">
        <v>84</v>
      </c>
      <c r="H418" s="1" t="str" cm="1">
        <f t="array" ref="H418">_xlfn.IFS( OR(G418=" ",NOT(ISNUMBER(G418))),"Unknown",G418&lt;=33,"Low Spender",G418&lt;=66,"Medium Spender",TRUE, "High Spender")</f>
        <v>High Spender</v>
      </c>
      <c r="I418" s="1">
        <v>54</v>
      </c>
      <c r="J418" s="1">
        <v>1500</v>
      </c>
      <c r="K418" s="1">
        <v>52</v>
      </c>
      <c r="L418" s="1" t="s">
        <v>20</v>
      </c>
      <c r="M418" s="1" t="s">
        <v>30</v>
      </c>
      <c r="N418" s="1" t="str">
        <f t="shared" si="12"/>
        <v>Higher</v>
      </c>
      <c r="O418" s="1" t="str">
        <f t="shared" si="13"/>
        <v>Mid Career | High Spender | Higher</v>
      </c>
    </row>
    <row r="419" spans="1:15" x14ac:dyDescent="0.25">
      <c r="A419" s="1" t="s">
        <v>449</v>
      </c>
      <c r="B419" s="1">
        <v>50</v>
      </c>
      <c r="C419" s="1" t="str" cm="1">
        <f t="array" ref="C419">_xlfn.IFS(OR(B419=" ", B419="NA",NOT(ISNUMBER(B419))), "Unknown",B419&lt;18,"Underage",B419&lt;=24,"Young Adult",B419&lt;=34,"Early Career",B419&lt;=44,"Mid Career",B419&lt;=54,"Mature",B419&lt;=65,"Pre-Senior",B419&gt;65,"Senior")</f>
        <v>Mature</v>
      </c>
      <c r="D419" s="1" t="s">
        <v>12</v>
      </c>
      <c r="F419" s="1">
        <v>1925000</v>
      </c>
      <c r="G419" s="1">
        <v>39</v>
      </c>
      <c r="H419" s="1" t="str" cm="1">
        <f t="array" ref="H419">_xlfn.IFS( OR(G419=" ",NOT(ISNUMBER(G419))),"Unknown",G419&lt;=33,"Low Spender",G419&lt;=66,"Medium Spender",TRUE, "High Spender")</f>
        <v>Medium Spender</v>
      </c>
      <c r="I419" s="1">
        <v>11</v>
      </c>
      <c r="J419" s="1">
        <v>5800</v>
      </c>
      <c r="K419" s="1">
        <v>143</v>
      </c>
      <c r="L419" s="1" t="s">
        <v>20</v>
      </c>
      <c r="N419" s="1" t="str">
        <f t="shared" si="12"/>
        <v>Lower</v>
      </c>
      <c r="O419" s="1" t="str">
        <f t="shared" si="13"/>
        <v>Mature | Medium Spender | Lower</v>
      </c>
    </row>
    <row r="420" spans="1:15" x14ac:dyDescent="0.25">
      <c r="A420" s="1" t="s">
        <v>450</v>
      </c>
      <c r="B420" s="1">
        <v>20</v>
      </c>
      <c r="C420" s="1" t="str" cm="1">
        <f t="array" ref="C420">_xlfn.IFS(OR(B420=" ", B420="NA",NOT(ISNUMBER(B420))), "Unknown",B420&lt;18,"Underage",B420&lt;=24,"Young Adult",B420&lt;=34,"Early Career",B420&lt;=44,"Mid Career",B420&lt;=54,"Mature",B420&lt;=65,"Pre-Senior",B420&gt;65,"Senior")</f>
        <v>Young Adult</v>
      </c>
      <c r="D420" s="1" t="s">
        <v>18</v>
      </c>
      <c r="E420" s="1" t="s">
        <v>15</v>
      </c>
      <c r="F420" s="1">
        <v>1875000</v>
      </c>
      <c r="G420" s="1">
        <v>92</v>
      </c>
      <c r="H420" s="1" t="str" cm="1">
        <f t="array" ref="H420">_xlfn.IFS( OR(G420=" ",NOT(ISNUMBER(G420))),"Unknown",G420&lt;=33,"Low Spender",G420&lt;=66,"Medium Spender",TRUE, "High Spender")</f>
        <v>High Spender</v>
      </c>
      <c r="I420" s="1">
        <v>60</v>
      </c>
      <c r="J420" s="1">
        <v>4600</v>
      </c>
      <c r="K420" s="1">
        <v>132</v>
      </c>
      <c r="M420" s="1" t="s">
        <v>41</v>
      </c>
      <c r="N420" s="1" t="str">
        <f t="shared" si="12"/>
        <v>Higher</v>
      </c>
      <c r="O420" s="1" t="str">
        <f t="shared" si="13"/>
        <v>Young Adult | High Spender | Higher</v>
      </c>
    </row>
    <row r="421" spans="1:15" x14ac:dyDescent="0.25">
      <c r="A421" s="1" t="s">
        <v>451</v>
      </c>
      <c r="B421" s="1">
        <v>35</v>
      </c>
      <c r="C421" s="1" t="str" cm="1">
        <f t="array" ref="C421">_xlfn.IFS(OR(B421=" ", B421="NA",NOT(ISNUMBER(B421))), "Unknown",B421&lt;18,"Underage",B421&lt;=24,"Young Adult",B421&lt;=34,"Early Career",B421&lt;=44,"Mid Career",B421&lt;=54,"Mature",B421&lt;=65,"Pre-Senior",B421&gt;65,"Senior")</f>
        <v>Mid Career</v>
      </c>
      <c r="E421" s="1" t="s">
        <v>15</v>
      </c>
      <c r="F421" s="1">
        <v>875000</v>
      </c>
      <c r="G421" s="1">
        <v>54</v>
      </c>
      <c r="H421" s="1" t="str" cm="1">
        <f t="array" ref="H421">_xlfn.IFS( OR(G421=" ",NOT(ISNUMBER(G421))),"Unknown",G421&lt;=33,"Low Spender",G421&lt;=66,"Medium Spender",TRUE, "High Spender")</f>
        <v>Medium Spender</v>
      </c>
      <c r="I421" s="1">
        <v>68</v>
      </c>
      <c r="J421" s="1">
        <v>9900</v>
      </c>
      <c r="K421" s="1">
        <v>346</v>
      </c>
      <c r="M421" s="1" t="s">
        <v>41</v>
      </c>
      <c r="N421" s="1" t="str">
        <f t="shared" si="12"/>
        <v>Lower</v>
      </c>
      <c r="O421" s="1" t="str">
        <f t="shared" si="13"/>
        <v>Mid Career | Medium Spender | Lower</v>
      </c>
    </row>
    <row r="422" spans="1:15" x14ac:dyDescent="0.25">
      <c r="A422" s="1" t="s">
        <v>452</v>
      </c>
      <c r="B422" s="1">
        <v>42</v>
      </c>
      <c r="C422" s="1" t="str" cm="1">
        <f t="array" ref="C422">_xlfn.IFS(OR(B422=" ", B422="NA",NOT(ISNUMBER(B422))), "Unknown",B422&lt;18,"Underage",B422&lt;=24,"Young Adult",B422&lt;=34,"Early Career",B422&lt;=44,"Mid Career",B422&lt;=54,"Mature",B422&lt;=65,"Pre-Senior",B422&gt;65,"Senior")</f>
        <v>Mid Career</v>
      </c>
      <c r="D422" s="1" t="s">
        <v>18</v>
      </c>
      <c r="E422" s="1" t="s">
        <v>19</v>
      </c>
      <c r="F422" s="1">
        <v>700000</v>
      </c>
      <c r="G422" s="1">
        <v>39</v>
      </c>
      <c r="H422" s="1" t="str" cm="1">
        <f t="array" ref="H422">_xlfn.IFS( OR(G422=" ",NOT(ISNUMBER(G422))),"Unknown",G422&lt;=33,"Low Spender",G422&lt;=66,"Medium Spender",TRUE, "High Spender")</f>
        <v>Medium Spender</v>
      </c>
      <c r="I422" s="1">
        <v>78</v>
      </c>
      <c r="J422" s="1">
        <v>9800</v>
      </c>
      <c r="K422" s="1">
        <v>207</v>
      </c>
      <c r="L422" s="1" t="s">
        <v>37</v>
      </c>
      <c r="M422" s="1" t="s">
        <v>32</v>
      </c>
      <c r="N422" s="1" t="str">
        <f t="shared" si="12"/>
        <v>Higher</v>
      </c>
      <c r="O422" s="1" t="str">
        <f t="shared" si="13"/>
        <v>Mid Career | Medium Spender | Higher</v>
      </c>
    </row>
    <row r="423" spans="1:15" x14ac:dyDescent="0.25">
      <c r="A423" s="1" t="s">
        <v>453</v>
      </c>
      <c r="B423" s="1">
        <v>59</v>
      </c>
      <c r="C423" s="1" t="str" cm="1">
        <f t="array" ref="C423">_xlfn.IFS(OR(B423=" ", B423="NA",NOT(ISNUMBER(B423))), "Unknown",B423&lt;18,"Underage",B423&lt;=24,"Young Adult",B423&lt;=34,"Early Career",B423&lt;=44,"Mid Career",B423&lt;=54,"Mature",B423&lt;=65,"Pre-Senior",B423&gt;65,"Senior")</f>
        <v>Pre-Senior</v>
      </c>
      <c r="D423" s="1" t="s">
        <v>29</v>
      </c>
      <c r="F423" s="1">
        <v>925000</v>
      </c>
      <c r="G423" s="1">
        <v>17</v>
      </c>
      <c r="H423" s="1" t="str" cm="1">
        <f t="array" ref="H423">_xlfn.IFS( OR(G423=" ",NOT(ISNUMBER(G423))),"Unknown",G423&lt;=33,"Low Spender",G423&lt;=66,"Medium Spender",TRUE, "High Spender")</f>
        <v>Low Spender</v>
      </c>
      <c r="I423" s="1">
        <v>46</v>
      </c>
      <c r="J423" s="1">
        <v>8500</v>
      </c>
      <c r="K423" s="1">
        <v>62</v>
      </c>
      <c r="L423" s="1" t="s">
        <v>20</v>
      </c>
      <c r="N423" s="1" t="str">
        <f t="shared" si="12"/>
        <v>Higher</v>
      </c>
      <c r="O423" s="1" t="str">
        <f t="shared" si="13"/>
        <v>Pre-Senior | Low Spender | Higher</v>
      </c>
    </row>
    <row r="424" spans="1:15" x14ac:dyDescent="0.25">
      <c r="A424" s="1" t="s">
        <v>454</v>
      </c>
      <c r="B424" s="1">
        <v>48</v>
      </c>
      <c r="C424" s="1" t="str" cm="1">
        <f t="array" ref="C424">_xlfn.IFS(OR(B424=" ", B424="NA",NOT(ISNUMBER(B424))), "Unknown",B424&lt;18,"Underage",B424&lt;=24,"Young Adult",B424&lt;=34,"Early Career",B424&lt;=44,"Mid Career",B424&lt;=54,"Mature",B424&lt;=65,"Pre-Senior",B424&gt;65,"Senior")</f>
        <v>Mature</v>
      </c>
      <c r="D424" s="1" t="s">
        <v>29</v>
      </c>
      <c r="E424" s="1" t="s">
        <v>34</v>
      </c>
      <c r="F424" s="1">
        <v>1550000</v>
      </c>
      <c r="G424" s="1">
        <v>19</v>
      </c>
      <c r="H424" s="1" t="str" cm="1">
        <f t="array" ref="H424">_xlfn.IFS( OR(G424=" ",NOT(ISNUMBER(G424))),"Unknown",G424&lt;=33,"Low Spender",G424&lt;=66,"Medium Spender",TRUE, "High Spender")</f>
        <v>Low Spender</v>
      </c>
      <c r="I424" s="1">
        <v>38</v>
      </c>
      <c r="J424" s="1">
        <v>3200</v>
      </c>
      <c r="K424" s="1">
        <v>363</v>
      </c>
      <c r="L424" s="1" t="s">
        <v>20</v>
      </c>
      <c r="M424" s="1" t="s">
        <v>32</v>
      </c>
      <c r="N424" s="1" t="str">
        <f t="shared" si="12"/>
        <v>Higher</v>
      </c>
      <c r="O424" s="1" t="str">
        <f t="shared" si="13"/>
        <v>Mature | Low Spender | Higher</v>
      </c>
    </row>
    <row r="425" spans="1:15" x14ac:dyDescent="0.25">
      <c r="A425" s="1" t="s">
        <v>455</v>
      </c>
      <c r="C425" s="1" t="str" cm="1">
        <f t="array" ref="C425">_xlfn.IFS(OR(B425=" ", B425="NA",NOT(ISNUMBER(B425))), "Unknown",B425&lt;18,"Underage",B425&lt;=24,"Young Adult",B425&lt;=34,"Early Career",B425&lt;=44,"Mid Career",B425&lt;=54,"Mature",B425&lt;=65,"Pre-Senior",B425&gt;65,"Senior")</f>
        <v>Unknown</v>
      </c>
      <c r="D425" s="1" t="s">
        <v>18</v>
      </c>
      <c r="F425" s="1">
        <v>350000</v>
      </c>
      <c r="G425" s="1">
        <v>48</v>
      </c>
      <c r="H425" s="1" t="str" cm="1">
        <f t="array" ref="H425">_xlfn.IFS( OR(G425=" ",NOT(ISNUMBER(G425))),"Unknown",G425&lt;=33,"Low Spender",G425&lt;=66,"Medium Spender",TRUE, "High Spender")</f>
        <v>Medium Spender</v>
      </c>
      <c r="I425" s="1">
        <v>61</v>
      </c>
      <c r="J425" s="1">
        <v>1800</v>
      </c>
      <c r="K425" s="1">
        <v>132</v>
      </c>
      <c r="L425" s="1" t="s">
        <v>16</v>
      </c>
      <c r="M425" s="1" t="s">
        <v>30</v>
      </c>
      <c r="N425" s="1" t="str">
        <f t="shared" si="12"/>
        <v>Higher</v>
      </c>
      <c r="O425" s="1" t="str">
        <f t="shared" si="13"/>
        <v>Unknown | Medium Spender | Higher</v>
      </c>
    </row>
    <row r="426" spans="1:15" x14ac:dyDescent="0.25">
      <c r="A426" s="1" t="s">
        <v>456</v>
      </c>
      <c r="B426" s="1">
        <v>20</v>
      </c>
      <c r="C426" s="1" t="str" cm="1">
        <f t="array" ref="C426">_xlfn.IFS(OR(B426=" ", B426="NA",NOT(ISNUMBER(B426))), "Unknown",B426&lt;18,"Underage",B426&lt;=24,"Young Adult",B426&lt;=34,"Early Career",B426&lt;=44,"Mid Career",B426&lt;=54,"Mature",B426&lt;=65,"Pre-Senior",B426&gt;65,"Senior")</f>
        <v>Young Adult</v>
      </c>
      <c r="D426" s="1" t="s">
        <v>18</v>
      </c>
      <c r="E426" s="1" t="s">
        <v>19</v>
      </c>
      <c r="F426" s="1">
        <v>900000</v>
      </c>
      <c r="G426" s="1">
        <v>35</v>
      </c>
      <c r="H426" s="1" t="str" cm="1">
        <f t="array" ref="H426">_xlfn.IFS( OR(G426=" ",NOT(ISNUMBER(G426))),"Unknown",G426&lt;=33,"Low Spender",G426&lt;=66,"Medium Spender",TRUE, "High Spender")</f>
        <v>Medium Spender</v>
      </c>
      <c r="I426" s="1">
        <v>17</v>
      </c>
      <c r="J426" s="1">
        <v>1400</v>
      </c>
      <c r="K426" s="1">
        <v>41</v>
      </c>
      <c r="L426" s="1" t="s">
        <v>37</v>
      </c>
      <c r="M426" s="1" t="s">
        <v>30</v>
      </c>
      <c r="N426" s="1" t="str">
        <f t="shared" si="12"/>
        <v>Higher</v>
      </c>
      <c r="O426" s="1" t="str">
        <f t="shared" si="13"/>
        <v>Young Adult | Medium Spender | Higher</v>
      </c>
    </row>
    <row r="427" spans="1:15" x14ac:dyDescent="0.25">
      <c r="A427" s="1" t="s">
        <v>457</v>
      </c>
      <c r="B427" s="1">
        <v>57</v>
      </c>
      <c r="C427" s="1" t="str" cm="1">
        <f t="array" ref="C427">_xlfn.IFS(OR(B427=" ", B427="NA",NOT(ISNUMBER(B427))), "Unknown",B427&lt;18,"Underage",B427&lt;=24,"Young Adult",B427&lt;=34,"Early Career",B427&lt;=44,"Mid Career",B427&lt;=54,"Mature",B427&lt;=65,"Pre-Senior",B427&gt;65,"Senior")</f>
        <v>Pre-Senior</v>
      </c>
      <c r="D427" s="1" t="s">
        <v>29</v>
      </c>
      <c r="F427" s="1">
        <v>1900000</v>
      </c>
      <c r="G427" s="1">
        <v>32</v>
      </c>
      <c r="H427" s="1" t="str" cm="1">
        <f t="array" ref="H427">_xlfn.IFS( OR(G427=" ",NOT(ISNUMBER(G427))),"Unknown",G427&lt;=33,"Low Spender",G427&lt;=66,"Medium Spender",TRUE, "High Spender")</f>
        <v>Low Spender</v>
      </c>
      <c r="I427" s="1">
        <v>66</v>
      </c>
      <c r="J427" s="1">
        <v>7600</v>
      </c>
      <c r="K427" s="1">
        <v>201</v>
      </c>
      <c r="L427" s="1" t="s">
        <v>37</v>
      </c>
      <c r="M427" s="1" t="s">
        <v>21</v>
      </c>
      <c r="N427" s="1" t="str">
        <f t="shared" si="12"/>
        <v>Higher</v>
      </c>
      <c r="O427" s="1" t="str">
        <f t="shared" si="13"/>
        <v>Pre-Senior | Low Spender | Higher</v>
      </c>
    </row>
    <row r="428" spans="1:15" x14ac:dyDescent="0.25">
      <c r="A428" s="1" t="s">
        <v>458</v>
      </c>
      <c r="B428" s="1">
        <v>63</v>
      </c>
      <c r="C428" s="1" t="str" cm="1">
        <f t="array" ref="C428">_xlfn.IFS(OR(B428=" ", B428="NA",NOT(ISNUMBER(B428))), "Unknown",B428&lt;18,"Underage",B428&lt;=24,"Young Adult",B428&lt;=34,"Early Career",B428&lt;=44,"Mid Career",B428&lt;=54,"Mature",B428&lt;=65,"Pre-Senior",B428&gt;65,"Senior")</f>
        <v>Pre-Senior</v>
      </c>
      <c r="D428" s="1" t="s">
        <v>29</v>
      </c>
      <c r="F428" s="1">
        <v>350000</v>
      </c>
      <c r="G428" s="1">
        <v>47</v>
      </c>
      <c r="H428" s="1" t="str" cm="1">
        <f t="array" ref="H428">_xlfn.IFS( OR(G428=" ",NOT(ISNUMBER(G428))),"Unknown",G428&lt;=33,"Low Spender",G428&lt;=66,"Medium Spender",TRUE, "High Spender")</f>
        <v>Medium Spender</v>
      </c>
      <c r="I428" s="1">
        <v>72</v>
      </c>
      <c r="J428" s="1">
        <v>6800</v>
      </c>
      <c r="K428" s="1">
        <v>99</v>
      </c>
      <c r="M428" s="1" t="s">
        <v>30</v>
      </c>
      <c r="N428" s="1" t="str">
        <f t="shared" si="12"/>
        <v>Higher</v>
      </c>
      <c r="O428" s="1" t="str">
        <f t="shared" si="13"/>
        <v>Pre-Senior | Medium Spender | Higher</v>
      </c>
    </row>
    <row r="429" spans="1:15" x14ac:dyDescent="0.25">
      <c r="A429" s="1" t="s">
        <v>459</v>
      </c>
      <c r="B429" s="1">
        <v>41</v>
      </c>
      <c r="C429" s="1" t="str" cm="1">
        <f t="array" ref="C429">_xlfn.IFS(OR(B429=" ", B429="NA",NOT(ISNUMBER(B429))), "Unknown",B429&lt;18,"Underage",B429&lt;=24,"Young Adult",B429&lt;=34,"Early Career",B429&lt;=44,"Mid Career",B429&lt;=54,"Mature",B429&lt;=65,"Pre-Senior",B429&gt;65,"Senior")</f>
        <v>Mid Career</v>
      </c>
      <c r="D429" s="1" t="s">
        <v>12</v>
      </c>
      <c r="E429" s="1" t="s">
        <v>27</v>
      </c>
      <c r="F429" s="1">
        <v>450000</v>
      </c>
      <c r="G429" s="1">
        <v>47</v>
      </c>
      <c r="H429" s="1" t="str" cm="1">
        <f t="array" ref="H429">_xlfn.IFS( OR(G429=" ",NOT(ISNUMBER(G429))),"Unknown",G429&lt;=33,"Low Spender",G429&lt;=66,"Medium Spender",TRUE, "High Spender")</f>
        <v>Medium Spender</v>
      </c>
      <c r="I429" s="1">
        <v>36</v>
      </c>
      <c r="J429" s="1">
        <v>2000</v>
      </c>
      <c r="K429" s="1">
        <v>311</v>
      </c>
      <c r="N429" s="1" t="str">
        <f t="shared" si="12"/>
        <v>Lower</v>
      </c>
      <c r="O429" s="1" t="str">
        <f t="shared" si="13"/>
        <v>Mid Career | Medium Spender | Lower</v>
      </c>
    </row>
    <row r="430" spans="1:15" x14ac:dyDescent="0.25">
      <c r="A430" s="1" t="s">
        <v>460</v>
      </c>
      <c r="B430" s="1">
        <v>67</v>
      </c>
      <c r="C430" s="1" t="str" cm="1">
        <f t="array" ref="C430">_xlfn.IFS(OR(B430=" ", B430="NA",NOT(ISNUMBER(B430))), "Unknown",B430&lt;18,"Underage",B430&lt;=24,"Young Adult",B430&lt;=34,"Early Career",B430&lt;=44,"Mid Career",B430&lt;=54,"Mature",B430&lt;=65,"Pre-Senior",B430&gt;65,"Senior")</f>
        <v>Senior</v>
      </c>
      <c r="D430" s="1" t="s">
        <v>12</v>
      </c>
      <c r="F430" s="1">
        <v>1575000</v>
      </c>
      <c r="G430" s="1">
        <v>64</v>
      </c>
      <c r="H430" s="1" t="str" cm="1">
        <f t="array" ref="H430">_xlfn.IFS( OR(G430=" ",NOT(ISNUMBER(G430))),"Unknown",G430&lt;=33,"Low Spender",G430&lt;=66,"Medium Spender",TRUE, "High Spender")</f>
        <v>Medium Spender</v>
      </c>
      <c r="I430" s="1">
        <v>74</v>
      </c>
      <c r="J430" s="1">
        <v>1500</v>
      </c>
      <c r="K430" s="1">
        <v>284</v>
      </c>
      <c r="N430" s="1" t="str">
        <f t="shared" si="12"/>
        <v>Lower</v>
      </c>
      <c r="O430" s="1" t="str">
        <f t="shared" si="13"/>
        <v>Senior | Medium Spender | Lower</v>
      </c>
    </row>
    <row r="431" spans="1:15" x14ac:dyDescent="0.25">
      <c r="A431" s="1" t="s">
        <v>461</v>
      </c>
      <c r="B431" s="1">
        <v>49</v>
      </c>
      <c r="C431" s="1" t="str" cm="1">
        <f t="array" ref="C431">_xlfn.IFS(OR(B431=" ", B431="NA",NOT(ISNUMBER(B431))), "Unknown",B431&lt;18,"Underage",B431&lt;=24,"Young Adult",B431&lt;=34,"Early Career",B431&lt;=44,"Mid Career",B431&lt;=54,"Mature",B431&lt;=65,"Pre-Senior",B431&gt;65,"Senior")</f>
        <v>Mature</v>
      </c>
      <c r="D431" s="1" t="s">
        <v>29</v>
      </c>
      <c r="E431" s="1" t="s">
        <v>23</v>
      </c>
      <c r="F431" s="1">
        <v>200000</v>
      </c>
      <c r="G431" s="1">
        <v>46</v>
      </c>
      <c r="H431" s="1" t="str" cm="1">
        <f t="array" ref="H431">_xlfn.IFS( OR(G431=" ",NOT(ISNUMBER(G431))),"Unknown",G431&lt;=33,"Low Spender",G431&lt;=66,"Medium Spender",TRUE, "High Spender")</f>
        <v>Medium Spender</v>
      </c>
      <c r="I431" s="1">
        <v>7</v>
      </c>
      <c r="J431" s="1">
        <v>9500</v>
      </c>
      <c r="K431" s="1">
        <v>357</v>
      </c>
      <c r="L431" s="1" t="s">
        <v>37</v>
      </c>
      <c r="M431" s="1" t="s">
        <v>32</v>
      </c>
      <c r="N431" s="1" t="str">
        <f t="shared" si="12"/>
        <v>Higher</v>
      </c>
      <c r="O431" s="1" t="str">
        <f t="shared" si="13"/>
        <v>Mature | Medium Spender | Higher</v>
      </c>
    </row>
    <row r="432" spans="1:15" x14ac:dyDescent="0.25">
      <c r="A432" s="1" t="s">
        <v>462</v>
      </c>
      <c r="B432" s="1">
        <v>64</v>
      </c>
      <c r="C432" s="1" t="str" cm="1">
        <f t="array" ref="C432">_xlfn.IFS(OR(B432=" ", B432="NA",NOT(ISNUMBER(B432))), "Unknown",B432&lt;18,"Underage",B432&lt;=24,"Young Adult",B432&lt;=34,"Early Career",B432&lt;=44,"Mid Career",B432&lt;=54,"Mature",B432&lt;=65,"Pre-Senior",B432&gt;65,"Senior")</f>
        <v>Pre-Senior</v>
      </c>
      <c r="D432" s="1" t="s">
        <v>29</v>
      </c>
      <c r="E432" s="1" t="s">
        <v>58</v>
      </c>
      <c r="F432" s="1">
        <v>1000000</v>
      </c>
      <c r="G432" s="1">
        <v>35</v>
      </c>
      <c r="H432" s="1" t="str" cm="1">
        <f t="array" ref="H432">_xlfn.IFS( OR(G432=" ",NOT(ISNUMBER(G432))),"Unknown",G432&lt;=33,"Low Spender",G432&lt;=66,"Medium Spender",TRUE, "High Spender")</f>
        <v>Medium Spender</v>
      </c>
      <c r="I432" s="1">
        <v>16</v>
      </c>
      <c r="J432" s="1">
        <v>2600</v>
      </c>
      <c r="K432" s="1">
        <v>47</v>
      </c>
      <c r="L432" s="1" t="s">
        <v>16</v>
      </c>
      <c r="M432" s="1" t="s">
        <v>41</v>
      </c>
      <c r="N432" s="1" t="str">
        <f t="shared" si="12"/>
        <v>Higher</v>
      </c>
      <c r="O432" s="1" t="str">
        <f t="shared" si="13"/>
        <v>Pre-Senior | Medium Spender | Higher</v>
      </c>
    </row>
    <row r="433" spans="1:15" x14ac:dyDescent="0.25">
      <c r="A433" s="1" t="s">
        <v>463</v>
      </c>
      <c r="B433" s="1">
        <v>39</v>
      </c>
      <c r="C433" s="1" t="str" cm="1">
        <f t="array" ref="C433">_xlfn.IFS(OR(B433=" ", B433="NA",NOT(ISNUMBER(B433))), "Unknown",B433&lt;18,"Underage",B433&lt;=24,"Young Adult",B433&lt;=34,"Early Career",B433&lt;=44,"Mid Career",B433&lt;=54,"Mature",B433&lt;=65,"Pre-Senior",B433&gt;65,"Senior")</f>
        <v>Mid Career</v>
      </c>
      <c r="E433" s="1" t="s">
        <v>13</v>
      </c>
      <c r="F433" s="1">
        <v>650000</v>
      </c>
      <c r="G433" s="1">
        <v>94</v>
      </c>
      <c r="H433" s="1" t="str" cm="1">
        <f t="array" ref="H433">_xlfn.IFS( OR(G433=" ",NOT(ISNUMBER(G433))),"Unknown",G433&lt;=33,"Low Spender",G433&lt;=66,"Medium Spender",TRUE, "High Spender")</f>
        <v>High Spender</v>
      </c>
      <c r="I433" s="1">
        <v>14</v>
      </c>
      <c r="J433" s="1">
        <v>10400</v>
      </c>
      <c r="K433" s="1">
        <v>137</v>
      </c>
      <c r="L433" s="1" t="s">
        <v>37</v>
      </c>
      <c r="M433" s="1" t="s">
        <v>21</v>
      </c>
      <c r="N433" s="1" t="str">
        <f t="shared" si="12"/>
        <v>Lower</v>
      </c>
      <c r="O433" s="1" t="str">
        <f t="shared" si="13"/>
        <v>Mid Career | High Spender | Lower</v>
      </c>
    </row>
    <row r="434" spans="1:15" x14ac:dyDescent="0.25">
      <c r="A434" s="1" t="s">
        <v>464</v>
      </c>
      <c r="B434" s="1">
        <v>40</v>
      </c>
      <c r="C434" s="1" t="str" cm="1">
        <f t="array" ref="C434">_xlfn.IFS(OR(B434=" ", B434="NA",NOT(ISNUMBER(B434))), "Unknown",B434&lt;18,"Underage",B434&lt;=24,"Young Adult",B434&lt;=34,"Early Career",B434&lt;=44,"Mid Career",B434&lt;=54,"Mature",B434&lt;=65,"Pre-Senior",B434&gt;65,"Senior")</f>
        <v>Mid Career</v>
      </c>
      <c r="D434" s="1" t="s">
        <v>29</v>
      </c>
      <c r="F434" s="1">
        <v>1725000</v>
      </c>
      <c r="G434" s="1">
        <v>17</v>
      </c>
      <c r="H434" s="1" t="str" cm="1">
        <f t="array" ref="H434">_xlfn.IFS( OR(G434=" ",NOT(ISNUMBER(G434))),"Unknown",G434&lt;=33,"Low Spender",G434&lt;=66,"Medium Spender",TRUE, "High Spender")</f>
        <v>Low Spender</v>
      </c>
      <c r="J434" s="1">
        <v>1400</v>
      </c>
      <c r="K434" s="1">
        <v>130</v>
      </c>
      <c r="M434" s="1" t="s">
        <v>30</v>
      </c>
      <c r="N434" s="1" t="str">
        <f t="shared" si="12"/>
        <v>Higher</v>
      </c>
      <c r="O434" s="1" t="str">
        <f t="shared" si="13"/>
        <v>Mid Career | Low Spender | Higher</v>
      </c>
    </row>
    <row r="435" spans="1:15" x14ac:dyDescent="0.25">
      <c r="A435" s="1" t="s">
        <v>465</v>
      </c>
      <c r="B435" s="1">
        <v>19</v>
      </c>
      <c r="C435" s="1" t="str" cm="1">
        <f t="array" ref="C435">_xlfn.IFS(OR(B435=" ", B435="NA",NOT(ISNUMBER(B435))), "Unknown",B435&lt;18,"Underage",B435&lt;=24,"Young Adult",B435&lt;=34,"Early Career",B435&lt;=44,"Mid Career",B435&lt;=54,"Mature",B435&lt;=65,"Pre-Senior",B435&gt;65,"Senior")</f>
        <v>Young Adult</v>
      </c>
      <c r="D435" s="1" t="s">
        <v>12</v>
      </c>
      <c r="E435" s="1" t="s">
        <v>34</v>
      </c>
      <c r="F435" s="1">
        <v>1425000</v>
      </c>
      <c r="G435" s="1">
        <v>42</v>
      </c>
      <c r="H435" s="1" t="str" cm="1">
        <f t="array" ref="H435">_xlfn.IFS( OR(G435=" ",NOT(ISNUMBER(G435))),"Unknown",G435&lt;=33,"Low Spender",G435&lt;=66,"Medium Spender",TRUE, "High Spender")</f>
        <v>Medium Spender</v>
      </c>
      <c r="I435" s="1">
        <v>25</v>
      </c>
      <c r="J435" s="1">
        <v>6200</v>
      </c>
      <c r="K435" s="1">
        <v>195</v>
      </c>
      <c r="L435" s="1" t="s">
        <v>35</v>
      </c>
      <c r="M435" s="1" t="s">
        <v>41</v>
      </c>
      <c r="N435" s="1" t="str">
        <f t="shared" si="12"/>
        <v>Lower</v>
      </c>
      <c r="O435" s="1" t="str">
        <f t="shared" si="13"/>
        <v>Young Adult | Medium Spender | Lower</v>
      </c>
    </row>
    <row r="436" spans="1:15" x14ac:dyDescent="0.25">
      <c r="A436" s="1" t="s">
        <v>466</v>
      </c>
      <c r="B436" s="1">
        <v>44</v>
      </c>
      <c r="C436" s="1" t="str" cm="1">
        <f t="array" ref="C436">_xlfn.IFS(OR(B436=" ", B436="NA",NOT(ISNUMBER(B436))), "Unknown",B436&lt;18,"Underage",B436&lt;=24,"Young Adult",B436&lt;=34,"Early Career",B436&lt;=44,"Mid Career",B436&lt;=54,"Mature",B436&lt;=65,"Pre-Senior",B436&gt;65,"Senior")</f>
        <v>Mid Career</v>
      </c>
      <c r="D436" s="1" t="s">
        <v>18</v>
      </c>
      <c r="E436" s="1" t="s">
        <v>34</v>
      </c>
      <c r="F436" s="1">
        <v>975000</v>
      </c>
      <c r="G436" s="1">
        <v>29</v>
      </c>
      <c r="H436" s="1" t="str" cm="1">
        <f t="array" ref="H436">_xlfn.IFS( OR(G436=" ",NOT(ISNUMBER(G436))),"Unknown",G436&lt;=33,"Low Spender",G436&lt;=66,"Medium Spender",TRUE, "High Spender")</f>
        <v>Low Spender</v>
      </c>
      <c r="I436" s="1">
        <v>4</v>
      </c>
      <c r="J436" s="1">
        <v>6200</v>
      </c>
      <c r="K436" s="1">
        <v>117</v>
      </c>
      <c r="L436" s="1" t="s">
        <v>35</v>
      </c>
      <c r="M436" s="1" t="s">
        <v>32</v>
      </c>
      <c r="N436" s="1" t="str">
        <f t="shared" si="12"/>
        <v>Higher</v>
      </c>
      <c r="O436" s="1" t="str">
        <f t="shared" si="13"/>
        <v>Mid Career | Low Spender | Higher</v>
      </c>
    </row>
    <row r="437" spans="1:15" x14ac:dyDescent="0.25">
      <c r="A437" s="1" t="s">
        <v>467</v>
      </c>
      <c r="B437" s="1">
        <v>59</v>
      </c>
      <c r="C437" s="1" t="str" cm="1">
        <f t="array" ref="C437">_xlfn.IFS(OR(B437=" ", B437="NA",NOT(ISNUMBER(B437))), "Unknown",B437&lt;18,"Underage",B437&lt;=24,"Young Adult",B437&lt;=34,"Early Career",B437&lt;=44,"Mid Career",B437&lt;=54,"Mature",B437&lt;=65,"Pre-Senior",B437&gt;65,"Senior")</f>
        <v>Pre-Senior</v>
      </c>
      <c r="D437" s="1" t="s">
        <v>29</v>
      </c>
      <c r="F437" s="1">
        <v>1000000</v>
      </c>
      <c r="G437" s="1">
        <v>70</v>
      </c>
      <c r="H437" s="1" t="str" cm="1">
        <f t="array" ref="H437">_xlfn.IFS( OR(G437=" ",NOT(ISNUMBER(G437))),"Unknown",G437&lt;=33,"Low Spender",G437&lt;=66,"Medium Spender",TRUE, "High Spender")</f>
        <v>High Spender</v>
      </c>
      <c r="I437" s="1">
        <v>29</v>
      </c>
      <c r="J437" s="1">
        <v>9500</v>
      </c>
      <c r="K437" s="1">
        <v>364</v>
      </c>
      <c r="L437" s="1" t="s">
        <v>16</v>
      </c>
      <c r="N437" s="1" t="str">
        <f t="shared" si="12"/>
        <v>Higher</v>
      </c>
      <c r="O437" s="1" t="str">
        <f t="shared" si="13"/>
        <v>Pre-Senior | High Spender | Higher</v>
      </c>
    </row>
    <row r="438" spans="1:15" x14ac:dyDescent="0.25">
      <c r="A438" s="1" t="s">
        <v>468</v>
      </c>
      <c r="B438" s="1">
        <v>19</v>
      </c>
      <c r="C438" s="1" t="str" cm="1">
        <f t="array" ref="C438">_xlfn.IFS(OR(B438=" ", B438="NA",NOT(ISNUMBER(B438))), "Unknown",B438&lt;18,"Underage",B438&lt;=24,"Young Adult",B438&lt;=34,"Early Career",B438&lt;=44,"Mid Career",B438&lt;=54,"Mature",B438&lt;=65,"Pre-Senior",B438&gt;65,"Senior")</f>
        <v>Young Adult</v>
      </c>
      <c r="D438" s="1" t="s">
        <v>12</v>
      </c>
      <c r="E438" s="1" t="s">
        <v>49</v>
      </c>
      <c r="F438" s="1">
        <v>500000</v>
      </c>
      <c r="G438" s="1">
        <v>17</v>
      </c>
      <c r="H438" s="1" t="str" cm="1">
        <f t="array" ref="H438">_xlfn.IFS( OR(G438=" ",NOT(ISNUMBER(G438))),"Unknown",G438&lt;=33,"Low Spender",G438&lt;=66,"Medium Spender",TRUE, "High Spender")</f>
        <v>Low Spender</v>
      </c>
      <c r="I438" s="1">
        <v>56</v>
      </c>
      <c r="J438" s="1">
        <v>8800</v>
      </c>
      <c r="K438" s="1">
        <v>69</v>
      </c>
      <c r="M438" s="1" t="s">
        <v>21</v>
      </c>
      <c r="N438" s="1" t="str">
        <f t="shared" si="12"/>
        <v>Lower</v>
      </c>
      <c r="O438" s="1" t="str">
        <f t="shared" si="13"/>
        <v>Young Adult | Low Spender | Lower</v>
      </c>
    </row>
    <row r="439" spans="1:15" x14ac:dyDescent="0.25">
      <c r="A439" s="1" t="s">
        <v>469</v>
      </c>
      <c r="B439" s="1">
        <v>43</v>
      </c>
      <c r="C439" s="1" t="str" cm="1">
        <f t="array" ref="C439">_xlfn.IFS(OR(B439=" ", B439="NA",NOT(ISNUMBER(B439))), "Unknown",B439&lt;18,"Underage",B439&lt;=24,"Young Adult",B439&lt;=34,"Early Career",B439&lt;=44,"Mid Career",B439&lt;=54,"Mature",B439&lt;=65,"Pre-Senior",B439&gt;65,"Senior")</f>
        <v>Mid Career</v>
      </c>
      <c r="D439" s="1" t="s">
        <v>12</v>
      </c>
      <c r="E439" s="1" t="s">
        <v>15</v>
      </c>
      <c r="F439" s="1">
        <v>275000</v>
      </c>
      <c r="G439" s="1">
        <v>81</v>
      </c>
      <c r="H439" s="1" t="str" cm="1">
        <f t="array" ref="H439">_xlfn.IFS( OR(G439=" ",NOT(ISNUMBER(G439))),"Unknown",G439&lt;=33,"Low Spender",G439&lt;=66,"Medium Spender",TRUE, "High Spender")</f>
        <v>High Spender</v>
      </c>
      <c r="I439" s="1">
        <v>6</v>
      </c>
      <c r="J439" s="1">
        <v>10200</v>
      </c>
      <c r="K439" s="1">
        <v>28</v>
      </c>
      <c r="L439" s="1" t="s">
        <v>20</v>
      </c>
      <c r="N439" s="1" t="str">
        <f t="shared" si="12"/>
        <v>Lower</v>
      </c>
      <c r="O439" s="1" t="str">
        <f t="shared" si="13"/>
        <v>Mid Career | High Spender | Lower</v>
      </c>
    </row>
    <row r="440" spans="1:15" x14ac:dyDescent="0.25">
      <c r="A440" s="1" t="s">
        <v>470</v>
      </c>
      <c r="B440" s="1">
        <v>34</v>
      </c>
      <c r="C440" s="1" t="str" cm="1">
        <f t="array" ref="C440">_xlfn.IFS(OR(B440=" ", B440="NA",NOT(ISNUMBER(B440))), "Unknown",B440&lt;18,"Underage",B440&lt;=24,"Young Adult",B440&lt;=34,"Early Career",B440&lt;=44,"Mid Career",B440&lt;=54,"Mature",B440&lt;=65,"Pre-Senior",B440&gt;65,"Senior")</f>
        <v>Early Career</v>
      </c>
      <c r="F440" s="1">
        <v>925000</v>
      </c>
      <c r="G440" s="1">
        <v>14</v>
      </c>
      <c r="H440" s="1" t="str" cm="1">
        <f t="array" ref="H440">_xlfn.IFS( OR(G440=" ",NOT(ISNUMBER(G440))),"Unknown",G440&lt;=33,"Low Spender",G440&lt;=66,"Medium Spender",TRUE, "High Spender")</f>
        <v>Low Spender</v>
      </c>
      <c r="I440" s="1">
        <v>1</v>
      </c>
      <c r="J440" s="1">
        <v>300</v>
      </c>
      <c r="K440" s="1">
        <v>335</v>
      </c>
      <c r="L440" s="1" t="s">
        <v>37</v>
      </c>
      <c r="M440" s="1" t="s">
        <v>41</v>
      </c>
      <c r="N440" s="1" t="str">
        <f t="shared" si="12"/>
        <v>Lower</v>
      </c>
      <c r="O440" s="1" t="str">
        <f t="shared" si="13"/>
        <v>Early Career | Low Spender | Lower</v>
      </c>
    </row>
    <row r="441" spans="1:15" x14ac:dyDescent="0.25">
      <c r="A441" s="1" t="s">
        <v>471</v>
      </c>
      <c r="B441" s="1">
        <v>57</v>
      </c>
      <c r="C441" s="1" t="str" cm="1">
        <f t="array" ref="C441">_xlfn.IFS(OR(B441=" ", B441="NA",NOT(ISNUMBER(B441))), "Unknown",B441&lt;18,"Underage",B441&lt;=24,"Young Adult",B441&lt;=34,"Early Career",B441&lt;=44,"Mid Career",B441&lt;=54,"Mature",B441&lt;=65,"Pre-Senior",B441&gt;65,"Senior")</f>
        <v>Pre-Senior</v>
      </c>
      <c r="D441" s="1" t="s">
        <v>29</v>
      </c>
      <c r="E441" s="1" t="s">
        <v>15</v>
      </c>
      <c r="F441" s="1">
        <v>1425000</v>
      </c>
      <c r="G441" s="1">
        <v>24</v>
      </c>
      <c r="H441" s="1" t="str" cm="1">
        <f t="array" ref="H441">_xlfn.IFS( OR(G441=" ",NOT(ISNUMBER(G441))),"Unknown",G441&lt;=33,"Low Spender",G441&lt;=66,"Medium Spender",TRUE, "High Spender")</f>
        <v>Low Spender</v>
      </c>
      <c r="I441" s="1">
        <v>39</v>
      </c>
      <c r="J441" s="1">
        <v>4500</v>
      </c>
      <c r="K441" s="1">
        <v>14</v>
      </c>
      <c r="M441" s="1" t="s">
        <v>32</v>
      </c>
      <c r="N441" s="1" t="str">
        <f t="shared" si="12"/>
        <v>Higher</v>
      </c>
      <c r="O441" s="1" t="str">
        <f t="shared" si="13"/>
        <v>Pre-Senior | Low Spender | Higher</v>
      </c>
    </row>
    <row r="442" spans="1:15" x14ac:dyDescent="0.25">
      <c r="A442" s="1" t="s">
        <v>472</v>
      </c>
      <c r="B442" s="1">
        <v>50</v>
      </c>
      <c r="C442" s="1" t="str" cm="1">
        <f t="array" ref="C442">_xlfn.IFS(OR(B442=" ", B442="NA",NOT(ISNUMBER(B442))), "Unknown",B442&lt;18,"Underage",B442&lt;=24,"Young Adult",B442&lt;=34,"Early Career",B442&lt;=44,"Mid Career",B442&lt;=54,"Mature",B442&lt;=65,"Pre-Senior",B442&gt;65,"Senior")</f>
        <v>Mature</v>
      </c>
      <c r="E442" s="1" t="s">
        <v>27</v>
      </c>
      <c r="F442" s="1">
        <v>825000</v>
      </c>
      <c r="G442" s="1">
        <v>57</v>
      </c>
      <c r="H442" s="1" t="str" cm="1">
        <f t="array" ref="H442">_xlfn.IFS( OR(G442=" ",NOT(ISNUMBER(G442))),"Unknown",G442&lt;=33,"Low Spender",G442&lt;=66,"Medium Spender",TRUE, "High Spender")</f>
        <v>Medium Spender</v>
      </c>
      <c r="I442" s="1">
        <v>1</v>
      </c>
      <c r="J442" s="1">
        <v>5700</v>
      </c>
      <c r="K442" s="1">
        <v>46</v>
      </c>
      <c r="M442" s="1" t="s">
        <v>32</v>
      </c>
      <c r="N442" s="1" t="str">
        <f t="shared" si="12"/>
        <v>Lower</v>
      </c>
      <c r="O442" s="1" t="str">
        <f t="shared" si="13"/>
        <v>Mature | Medium Spender | Lower</v>
      </c>
    </row>
    <row r="443" spans="1:15" x14ac:dyDescent="0.25">
      <c r="A443" s="1" t="s">
        <v>473</v>
      </c>
      <c r="B443" s="1">
        <v>26</v>
      </c>
      <c r="C443" s="1" t="str" cm="1">
        <f t="array" ref="C443">_xlfn.IFS(OR(B443=" ", B443="NA",NOT(ISNUMBER(B443))), "Unknown",B443&lt;18,"Underage",B443&lt;=24,"Young Adult",B443&lt;=34,"Early Career",B443&lt;=44,"Mid Career",B443&lt;=54,"Mature",B443&lt;=65,"Pre-Senior",B443&gt;65,"Senior")</f>
        <v>Early Career</v>
      </c>
      <c r="D443" s="1" t="s">
        <v>29</v>
      </c>
      <c r="E443" s="1" t="s">
        <v>19</v>
      </c>
      <c r="F443" s="1">
        <v>1725000</v>
      </c>
      <c r="G443" s="1">
        <v>50</v>
      </c>
      <c r="H443" s="1" t="str" cm="1">
        <f t="array" ref="H443">_xlfn.IFS( OR(G443=" ",NOT(ISNUMBER(G443))),"Unknown",G443&lt;=33,"Low Spender",G443&lt;=66,"Medium Spender",TRUE, "High Spender")</f>
        <v>Medium Spender</v>
      </c>
      <c r="I443" s="1">
        <v>63</v>
      </c>
      <c r="J443" s="1">
        <v>4200</v>
      </c>
      <c r="K443" s="1">
        <v>16</v>
      </c>
      <c r="M443" s="1" t="s">
        <v>21</v>
      </c>
      <c r="N443" s="1" t="str">
        <f t="shared" si="12"/>
        <v>Higher</v>
      </c>
      <c r="O443" s="1" t="str">
        <f t="shared" si="13"/>
        <v>Early Career | Medium Spender | Higher</v>
      </c>
    </row>
    <row r="444" spans="1:15" x14ac:dyDescent="0.25">
      <c r="A444" s="1" t="s">
        <v>474</v>
      </c>
      <c r="B444" s="1">
        <v>60</v>
      </c>
      <c r="C444" s="1" t="str" cm="1">
        <f t="array" ref="C444">_xlfn.IFS(OR(B444=" ", B444="NA",NOT(ISNUMBER(B444))), "Unknown",B444&lt;18,"Underage",B444&lt;=24,"Young Adult",B444&lt;=34,"Early Career",B444&lt;=44,"Mid Career",B444&lt;=54,"Mature",B444&lt;=65,"Pre-Senior",B444&gt;65,"Senior")</f>
        <v>Pre-Senior</v>
      </c>
      <c r="E444" s="1" t="s">
        <v>27</v>
      </c>
      <c r="F444" s="1">
        <v>600000</v>
      </c>
      <c r="G444" s="1">
        <v>57</v>
      </c>
      <c r="H444" s="1" t="str" cm="1">
        <f t="array" ref="H444">_xlfn.IFS( OR(G444=" ",NOT(ISNUMBER(G444))),"Unknown",G444&lt;=33,"Low Spender",G444&lt;=66,"Medium Spender",TRUE, "High Spender")</f>
        <v>Medium Spender</v>
      </c>
      <c r="I444" s="1">
        <v>57</v>
      </c>
      <c r="J444" s="1">
        <v>6600</v>
      </c>
      <c r="K444" s="1">
        <v>209</v>
      </c>
      <c r="M444" s="1" t="s">
        <v>21</v>
      </c>
      <c r="N444" s="1" t="str">
        <f t="shared" si="12"/>
        <v>Lower</v>
      </c>
      <c r="O444" s="1" t="str">
        <f t="shared" si="13"/>
        <v>Pre-Senior | Medium Spender | Lower</v>
      </c>
    </row>
    <row r="445" spans="1:15" x14ac:dyDescent="0.25">
      <c r="A445" s="1" t="s">
        <v>475</v>
      </c>
      <c r="C445" s="1" t="str" cm="1">
        <f t="array" ref="C445">_xlfn.IFS(OR(B445=" ", B445="NA",NOT(ISNUMBER(B445))), "Unknown",B445&lt;18,"Underage",B445&lt;=24,"Young Adult",B445&lt;=34,"Early Career",B445&lt;=44,"Mid Career",B445&lt;=54,"Mature",B445&lt;=65,"Pre-Senior",B445&gt;65,"Senior")</f>
        <v>Unknown</v>
      </c>
      <c r="D445" s="1" t="s">
        <v>29</v>
      </c>
      <c r="F445" s="1">
        <v>500000</v>
      </c>
      <c r="H445" s="1" t="str" cm="1">
        <f t="array" ref="H445">_xlfn.IFS( OR(G445=" ",NOT(ISNUMBER(G445))),"Unknown",G445&lt;=33,"Low Spender",G445&lt;=66,"Medium Spender",TRUE, "High Spender")</f>
        <v>Unknown</v>
      </c>
      <c r="I445" s="1">
        <v>67</v>
      </c>
      <c r="J445" s="1">
        <v>3600</v>
      </c>
      <c r="K445" s="1">
        <v>158</v>
      </c>
      <c r="L445" s="1" t="s">
        <v>37</v>
      </c>
      <c r="M445" s="1" t="s">
        <v>30</v>
      </c>
      <c r="N445" s="1" t="str">
        <f t="shared" si="12"/>
        <v>Higher</v>
      </c>
      <c r="O445" s="1" t="str">
        <f t="shared" si="13"/>
        <v>Unknown | Unknown | Higher</v>
      </c>
    </row>
    <row r="446" spans="1:15" x14ac:dyDescent="0.25">
      <c r="A446" s="1" t="s">
        <v>476</v>
      </c>
      <c r="B446" s="1">
        <v>65</v>
      </c>
      <c r="C446" s="1" t="str" cm="1">
        <f t="array" ref="C446">_xlfn.IFS(OR(B446=" ", B446="NA",NOT(ISNUMBER(B446))), "Unknown",B446&lt;18,"Underage",B446&lt;=24,"Young Adult",B446&lt;=34,"Early Career",B446&lt;=44,"Mid Career",B446&lt;=54,"Mature",B446&lt;=65,"Pre-Senior",B446&gt;65,"Senior")</f>
        <v>Pre-Senior</v>
      </c>
      <c r="D446" s="1" t="s">
        <v>18</v>
      </c>
      <c r="E446" s="1" t="s">
        <v>34</v>
      </c>
      <c r="F446" s="1">
        <v>275000</v>
      </c>
      <c r="G446" s="1">
        <v>61</v>
      </c>
      <c r="H446" s="1" t="str" cm="1">
        <f t="array" ref="H446">_xlfn.IFS( OR(G446=" ",NOT(ISNUMBER(G446))),"Unknown",G446&lt;=33,"Low Spender",G446&lt;=66,"Medium Spender",TRUE, "High Spender")</f>
        <v>Medium Spender</v>
      </c>
      <c r="I446" s="1">
        <v>65</v>
      </c>
      <c r="J446" s="1">
        <v>3600</v>
      </c>
      <c r="K446" s="1">
        <v>337</v>
      </c>
      <c r="L446" s="1" t="s">
        <v>20</v>
      </c>
      <c r="M446" s="1" t="s">
        <v>30</v>
      </c>
      <c r="N446" s="1" t="str">
        <f t="shared" si="12"/>
        <v>Higher</v>
      </c>
      <c r="O446" s="1" t="str">
        <f t="shared" si="13"/>
        <v>Pre-Senior | Medium Spender | Higher</v>
      </c>
    </row>
    <row r="447" spans="1:15" x14ac:dyDescent="0.25">
      <c r="A447" s="1" t="s">
        <v>477</v>
      </c>
      <c r="B447" s="1">
        <v>56</v>
      </c>
      <c r="C447" s="1" t="str" cm="1">
        <f t="array" ref="C447">_xlfn.IFS(OR(B447=" ", B447="NA",NOT(ISNUMBER(B447))), "Unknown",B447&lt;18,"Underage",B447&lt;=24,"Young Adult",B447&lt;=34,"Early Career",B447&lt;=44,"Mid Career",B447&lt;=54,"Mature",B447&lt;=65,"Pre-Senior",B447&gt;65,"Senior")</f>
        <v>Pre-Senior</v>
      </c>
      <c r="D447" s="1" t="s">
        <v>18</v>
      </c>
      <c r="E447" s="1" t="s">
        <v>49</v>
      </c>
      <c r="F447" s="1">
        <v>1950000</v>
      </c>
      <c r="G447" s="1">
        <v>39</v>
      </c>
      <c r="H447" s="1" t="str" cm="1">
        <f t="array" ref="H447">_xlfn.IFS( OR(G447=" ",NOT(ISNUMBER(G447))),"Unknown",G447&lt;=33,"Low Spender",G447&lt;=66,"Medium Spender",TRUE, "High Spender")</f>
        <v>Medium Spender</v>
      </c>
      <c r="I447" s="1">
        <v>65</v>
      </c>
      <c r="J447" s="1">
        <v>5000</v>
      </c>
      <c r="K447" s="1">
        <v>227</v>
      </c>
      <c r="L447" s="1" t="s">
        <v>37</v>
      </c>
      <c r="N447" s="1" t="str">
        <f t="shared" si="12"/>
        <v>Higher</v>
      </c>
      <c r="O447" s="1" t="str">
        <f t="shared" si="13"/>
        <v>Pre-Senior | Medium Spender | Higher</v>
      </c>
    </row>
    <row r="448" spans="1:15" x14ac:dyDescent="0.25">
      <c r="A448" s="1" t="s">
        <v>478</v>
      </c>
      <c r="B448" s="1">
        <v>46</v>
      </c>
      <c r="C448" s="1" t="str" cm="1">
        <f t="array" ref="C448">_xlfn.IFS(OR(B448=" ", B448="NA",NOT(ISNUMBER(B448))), "Unknown",B448&lt;18,"Underage",B448&lt;=24,"Young Adult",B448&lt;=34,"Early Career",B448&lt;=44,"Mid Career",B448&lt;=54,"Mature",B448&lt;=65,"Pre-Senior",B448&gt;65,"Senior")</f>
        <v>Mature</v>
      </c>
      <c r="D448" s="1" t="s">
        <v>29</v>
      </c>
      <c r="F448" s="1">
        <v>1075000</v>
      </c>
      <c r="G448" s="1">
        <v>55</v>
      </c>
      <c r="H448" s="1" t="str" cm="1">
        <f t="array" ref="H448">_xlfn.IFS( OR(G448=" ",NOT(ISNUMBER(G448))),"Unknown",G448&lt;=33,"Low Spender",G448&lt;=66,"Medium Spender",TRUE, "High Spender")</f>
        <v>Medium Spender</v>
      </c>
      <c r="I448" s="1">
        <v>21</v>
      </c>
      <c r="J448" s="1">
        <v>3500</v>
      </c>
      <c r="K448" s="1">
        <v>241</v>
      </c>
      <c r="L448" s="1" t="s">
        <v>20</v>
      </c>
      <c r="N448" s="1" t="str">
        <f t="shared" si="12"/>
        <v>Higher</v>
      </c>
      <c r="O448" s="1" t="str">
        <f t="shared" si="13"/>
        <v>Mature | Medium Spender | Higher</v>
      </c>
    </row>
    <row r="449" spans="1:15" x14ac:dyDescent="0.25">
      <c r="A449" s="1" t="s">
        <v>479</v>
      </c>
      <c r="B449" s="1">
        <v>59</v>
      </c>
      <c r="C449" s="1" t="str" cm="1">
        <f t="array" ref="C449">_xlfn.IFS(OR(B449=" ", B449="NA",NOT(ISNUMBER(B449))), "Unknown",B449&lt;18,"Underage",B449&lt;=24,"Young Adult",B449&lt;=34,"Early Career",B449&lt;=44,"Mid Career",B449&lt;=54,"Mature",B449&lt;=65,"Pre-Senior",B449&gt;65,"Senior")</f>
        <v>Pre-Senior</v>
      </c>
      <c r="D449" s="1" t="s">
        <v>18</v>
      </c>
      <c r="E449" s="1" t="s">
        <v>15</v>
      </c>
      <c r="F449" s="1">
        <v>775000</v>
      </c>
      <c r="G449" s="1">
        <v>96</v>
      </c>
      <c r="H449" s="1" t="str" cm="1">
        <f t="array" ref="H449">_xlfn.IFS( OR(G449=" ",NOT(ISNUMBER(G449))),"Unknown",G449&lt;=33,"Low Spender",G449&lt;=66,"Medium Spender",TRUE, "High Spender")</f>
        <v>High Spender</v>
      </c>
      <c r="I449" s="1">
        <v>30</v>
      </c>
      <c r="J449" s="1">
        <v>7000</v>
      </c>
      <c r="K449" s="1">
        <v>58</v>
      </c>
      <c r="M449" s="1" t="s">
        <v>21</v>
      </c>
      <c r="N449" s="1" t="str">
        <f t="shared" si="12"/>
        <v>Higher</v>
      </c>
      <c r="O449" s="1" t="str">
        <f t="shared" si="13"/>
        <v>Pre-Senior | High Spender | Higher</v>
      </c>
    </row>
    <row r="450" spans="1:15" x14ac:dyDescent="0.25">
      <c r="A450" s="1" t="s">
        <v>480</v>
      </c>
      <c r="B450" s="1" t="s">
        <v>73</v>
      </c>
      <c r="C450" s="1" t="str" cm="1">
        <f t="array" ref="C450">_xlfn.IFS(OR(B450=" ", B450="NA",NOT(ISNUMBER(B450))), "Unknown",B450&lt;18,"Underage",B450&lt;=24,"Young Adult",B450&lt;=34,"Early Career",B450&lt;=44,"Mid Career",B450&lt;=54,"Mature",B450&lt;=65,"Pre-Senior",B450&gt;65,"Senior")</f>
        <v>Unknown</v>
      </c>
      <c r="E450" s="1" t="s">
        <v>58</v>
      </c>
      <c r="F450" s="1">
        <v>1400000</v>
      </c>
      <c r="G450" s="1">
        <v>36</v>
      </c>
      <c r="H450" s="1" t="str" cm="1">
        <f t="array" ref="H450">_xlfn.IFS( OR(G450=" ",NOT(ISNUMBER(G450))),"Unknown",G450&lt;=33,"Low Spender",G450&lt;=66,"Medium Spender",TRUE, "High Spender")</f>
        <v>Medium Spender</v>
      </c>
      <c r="I450" s="1">
        <v>33</v>
      </c>
      <c r="J450" s="1">
        <v>10400</v>
      </c>
      <c r="K450" s="1">
        <v>304</v>
      </c>
      <c r="L450" s="1" t="s">
        <v>16</v>
      </c>
      <c r="M450" s="1" t="s">
        <v>21</v>
      </c>
      <c r="N450" s="1" t="str">
        <f t="shared" ref="N450:N513" si="14">IF(OR(UPPER(TRIM(D450))="Male",UPPER(TRIM(D450))="Female"),"Higher","Lower")</f>
        <v>Lower</v>
      </c>
      <c r="O450" s="1" t="str">
        <f t="shared" ref="O450:O513" si="15">_xlfn.TEXTJOIN(" | ", TRUE, C450, H450, N450)</f>
        <v>Unknown | Medium Spender | Lower</v>
      </c>
    </row>
    <row r="451" spans="1:15" x14ac:dyDescent="0.25">
      <c r="A451" s="1" t="s">
        <v>481</v>
      </c>
      <c r="B451" s="1">
        <v>43</v>
      </c>
      <c r="C451" s="1" t="str" cm="1">
        <f t="array" ref="C451">_xlfn.IFS(OR(B451=" ", B451="NA",NOT(ISNUMBER(B451))), "Unknown",B451&lt;18,"Underage",B451&lt;=24,"Young Adult",B451&lt;=34,"Early Career",B451&lt;=44,"Mid Career",B451&lt;=54,"Mature",B451&lt;=65,"Pre-Senior",B451&gt;65,"Senior")</f>
        <v>Mid Career</v>
      </c>
      <c r="D451" s="1" t="s">
        <v>12</v>
      </c>
      <c r="E451" s="1" t="s">
        <v>15</v>
      </c>
      <c r="F451" s="1">
        <v>1950000</v>
      </c>
      <c r="G451" s="1">
        <v>37</v>
      </c>
      <c r="H451" s="1" t="str" cm="1">
        <f t="array" ref="H451">_xlfn.IFS( OR(G451=" ",NOT(ISNUMBER(G451))),"Unknown",G451&lt;=33,"Low Spender",G451&lt;=66,"Medium Spender",TRUE, "High Spender")</f>
        <v>Medium Spender</v>
      </c>
      <c r="I451" s="1">
        <v>48</v>
      </c>
      <c r="J451" s="1">
        <v>3200</v>
      </c>
      <c r="K451" s="1">
        <v>305</v>
      </c>
      <c r="L451" s="1" t="s">
        <v>20</v>
      </c>
      <c r="M451" s="1" t="s">
        <v>41</v>
      </c>
      <c r="N451" s="1" t="str">
        <f t="shared" si="14"/>
        <v>Lower</v>
      </c>
      <c r="O451" s="1" t="str">
        <f t="shared" si="15"/>
        <v>Mid Career | Medium Spender | Lower</v>
      </c>
    </row>
    <row r="452" spans="1:15" x14ac:dyDescent="0.25">
      <c r="A452" s="1" t="s">
        <v>482</v>
      </c>
      <c r="B452" s="1">
        <v>52</v>
      </c>
      <c r="C452" s="1" t="str" cm="1">
        <f t="array" ref="C452">_xlfn.IFS(OR(B452=" ", B452="NA",NOT(ISNUMBER(B452))), "Unknown",B452&lt;18,"Underage",B452&lt;=24,"Young Adult",B452&lt;=34,"Early Career",B452&lt;=44,"Mid Career",B452&lt;=54,"Mature",B452&lt;=65,"Pre-Senior",B452&gt;65,"Senior")</f>
        <v>Mature</v>
      </c>
      <c r="D452" s="1" t="s">
        <v>12</v>
      </c>
      <c r="E452" s="1" t="s">
        <v>23</v>
      </c>
      <c r="F452" s="1">
        <v>1450000</v>
      </c>
      <c r="G452" s="1">
        <v>14</v>
      </c>
      <c r="H452" s="1" t="str" cm="1">
        <f t="array" ref="H452">_xlfn.IFS( OR(G452=" ",NOT(ISNUMBER(G452))),"Unknown",G452&lt;=33,"Low Spender",G452&lt;=66,"Medium Spender",TRUE, "High Spender")</f>
        <v>Low Spender</v>
      </c>
      <c r="I452" s="1">
        <v>22</v>
      </c>
      <c r="J452" s="1">
        <v>11900</v>
      </c>
      <c r="K452" s="1">
        <v>345</v>
      </c>
      <c r="M452" s="1" t="s">
        <v>30</v>
      </c>
      <c r="N452" s="1" t="str">
        <f t="shared" si="14"/>
        <v>Lower</v>
      </c>
      <c r="O452" s="1" t="str">
        <f t="shared" si="15"/>
        <v>Mature | Low Spender | Lower</v>
      </c>
    </row>
    <row r="453" spans="1:15" x14ac:dyDescent="0.25">
      <c r="A453" s="1" t="s">
        <v>483</v>
      </c>
      <c r="B453" s="1">
        <v>67</v>
      </c>
      <c r="C453" s="1" t="str" cm="1">
        <f t="array" ref="C453">_xlfn.IFS(OR(B453=" ", B453="NA",NOT(ISNUMBER(B453))), "Unknown",B453&lt;18,"Underage",B453&lt;=24,"Young Adult",B453&lt;=34,"Early Career",B453&lt;=44,"Mid Career",B453&lt;=54,"Mature",B453&lt;=65,"Pre-Senior",B453&gt;65,"Senior")</f>
        <v>Senior</v>
      </c>
      <c r="D453" s="1" t="s">
        <v>29</v>
      </c>
      <c r="E453" s="1" t="s">
        <v>13</v>
      </c>
      <c r="F453" s="1">
        <v>1525000</v>
      </c>
      <c r="G453" s="1">
        <v>27</v>
      </c>
      <c r="H453" s="1" t="str" cm="1">
        <f t="array" ref="H453">_xlfn.IFS( OR(G453=" ",NOT(ISNUMBER(G453))),"Unknown",G453&lt;=33,"Low Spender",G453&lt;=66,"Medium Spender",TRUE, "High Spender")</f>
        <v>Low Spender</v>
      </c>
      <c r="I453" s="1">
        <v>54</v>
      </c>
      <c r="J453" s="1">
        <v>11800</v>
      </c>
      <c r="K453" s="1">
        <v>130</v>
      </c>
      <c r="L453" s="1" t="s">
        <v>16</v>
      </c>
      <c r="M453" s="1" t="s">
        <v>32</v>
      </c>
      <c r="N453" s="1" t="str">
        <f t="shared" si="14"/>
        <v>Higher</v>
      </c>
      <c r="O453" s="1" t="str">
        <f t="shared" si="15"/>
        <v>Senior | Low Spender | Higher</v>
      </c>
    </row>
    <row r="454" spans="1:15" x14ac:dyDescent="0.25">
      <c r="A454" s="1" t="s">
        <v>484</v>
      </c>
      <c r="B454" s="1">
        <v>42</v>
      </c>
      <c r="C454" s="1" t="str" cm="1">
        <f t="array" ref="C454">_xlfn.IFS(OR(B454=" ", B454="NA",NOT(ISNUMBER(B454))), "Unknown",B454&lt;18,"Underage",B454&lt;=24,"Young Adult",B454&lt;=34,"Early Career",B454&lt;=44,"Mid Career",B454&lt;=54,"Mature",B454&lt;=65,"Pre-Senior",B454&gt;65,"Senior")</f>
        <v>Mid Career</v>
      </c>
      <c r="F454" s="1">
        <v>1600000</v>
      </c>
      <c r="G454" s="1">
        <v>83</v>
      </c>
      <c r="H454" s="1" t="str" cm="1">
        <f t="array" ref="H454">_xlfn.IFS( OR(G454=" ",NOT(ISNUMBER(G454))),"Unknown",G454&lt;=33,"Low Spender",G454&lt;=66,"Medium Spender",TRUE, "High Spender")</f>
        <v>High Spender</v>
      </c>
      <c r="I454" s="1">
        <v>4</v>
      </c>
      <c r="J454" s="1">
        <v>11200</v>
      </c>
      <c r="K454" s="1">
        <v>217</v>
      </c>
      <c r="M454" s="1" t="s">
        <v>30</v>
      </c>
      <c r="N454" s="1" t="str">
        <f t="shared" si="14"/>
        <v>Lower</v>
      </c>
      <c r="O454" s="1" t="str">
        <f t="shared" si="15"/>
        <v>Mid Career | High Spender | Lower</v>
      </c>
    </row>
    <row r="455" spans="1:15" x14ac:dyDescent="0.25">
      <c r="A455" s="1" t="s">
        <v>485</v>
      </c>
      <c r="B455" s="1">
        <v>41</v>
      </c>
      <c r="C455" s="1" t="str" cm="1">
        <f t="array" ref="C455">_xlfn.IFS(OR(B455=" ", B455="NA",NOT(ISNUMBER(B455))), "Unknown",B455&lt;18,"Underage",B455&lt;=24,"Young Adult",B455&lt;=34,"Early Career",B455&lt;=44,"Mid Career",B455&lt;=54,"Mature",B455&lt;=65,"Pre-Senior",B455&gt;65,"Senior")</f>
        <v>Mid Career</v>
      </c>
      <c r="D455" s="1" t="s">
        <v>18</v>
      </c>
      <c r="E455" s="1" t="s">
        <v>27</v>
      </c>
      <c r="F455" s="1">
        <v>1875000</v>
      </c>
      <c r="G455" s="1">
        <v>31</v>
      </c>
      <c r="H455" s="1" t="str" cm="1">
        <f t="array" ref="H455">_xlfn.IFS( OR(G455=" ",NOT(ISNUMBER(G455))),"Unknown",G455&lt;=33,"Low Spender",G455&lt;=66,"Medium Spender",TRUE, "High Spender")</f>
        <v>Low Spender</v>
      </c>
      <c r="I455" s="1">
        <v>55</v>
      </c>
      <c r="J455" s="1">
        <v>8600</v>
      </c>
      <c r="K455" s="1">
        <v>14</v>
      </c>
      <c r="L455" s="1" t="s">
        <v>35</v>
      </c>
      <c r="M455" s="1" t="s">
        <v>30</v>
      </c>
      <c r="N455" s="1" t="str">
        <f t="shared" si="14"/>
        <v>Higher</v>
      </c>
      <c r="O455" s="1" t="str">
        <f t="shared" si="15"/>
        <v>Mid Career | Low Spender | Higher</v>
      </c>
    </row>
    <row r="456" spans="1:15" x14ac:dyDescent="0.25">
      <c r="A456" s="1" t="s">
        <v>486</v>
      </c>
      <c r="B456" s="1">
        <v>30</v>
      </c>
      <c r="C456" s="1" t="str" cm="1">
        <f t="array" ref="C456">_xlfn.IFS(OR(B456=" ", B456="NA",NOT(ISNUMBER(B456))), "Unknown",B456&lt;18,"Underage",B456&lt;=24,"Young Adult",B456&lt;=34,"Early Career",B456&lt;=44,"Mid Career",B456&lt;=54,"Mature",B456&lt;=65,"Pre-Senior",B456&gt;65,"Senior")</f>
        <v>Early Career</v>
      </c>
      <c r="D456" s="1" t="s">
        <v>29</v>
      </c>
      <c r="E456" s="1" t="s">
        <v>58</v>
      </c>
      <c r="F456" s="1">
        <v>1575000</v>
      </c>
      <c r="G456" s="1">
        <v>73</v>
      </c>
      <c r="H456" s="1" t="str" cm="1">
        <f t="array" ref="H456">_xlfn.IFS( OR(G456=" ",NOT(ISNUMBER(G456))),"Unknown",G456&lt;=33,"Low Spender",G456&lt;=66,"Medium Spender",TRUE, "High Spender")</f>
        <v>High Spender</v>
      </c>
      <c r="I456" s="1">
        <v>44</v>
      </c>
      <c r="J456" s="1">
        <v>9200</v>
      </c>
      <c r="K456" s="1">
        <v>359</v>
      </c>
      <c r="L456" s="1" t="s">
        <v>16</v>
      </c>
      <c r="M456" s="1" t="s">
        <v>21</v>
      </c>
      <c r="N456" s="1" t="str">
        <f t="shared" si="14"/>
        <v>Higher</v>
      </c>
      <c r="O456" s="1" t="str">
        <f t="shared" si="15"/>
        <v>Early Career | High Spender | Higher</v>
      </c>
    </row>
    <row r="457" spans="1:15" x14ac:dyDescent="0.25">
      <c r="A457" s="1" t="s">
        <v>487</v>
      </c>
      <c r="B457" s="1">
        <v>24</v>
      </c>
      <c r="C457" s="1" t="str" cm="1">
        <f t="array" ref="C457">_xlfn.IFS(OR(B457=" ", B457="NA",NOT(ISNUMBER(B457))), "Unknown",B457&lt;18,"Underage",B457&lt;=24,"Young Adult",B457&lt;=34,"Early Career",B457&lt;=44,"Mid Career",B457&lt;=54,"Mature",B457&lt;=65,"Pre-Senior",B457&gt;65,"Senior")</f>
        <v>Young Adult</v>
      </c>
      <c r="E457" s="1" t="s">
        <v>34</v>
      </c>
      <c r="F457" s="1">
        <v>450000</v>
      </c>
      <c r="H457" s="1" t="str" cm="1">
        <f t="array" ref="H457">_xlfn.IFS( OR(G457=" ",NOT(ISNUMBER(G457))),"Unknown",G457&lt;=33,"Low Spender",G457&lt;=66,"Medium Spender",TRUE, "High Spender")</f>
        <v>Unknown</v>
      </c>
      <c r="I457" s="1">
        <v>12</v>
      </c>
      <c r="J457" s="1">
        <v>8100</v>
      </c>
      <c r="K457" s="1">
        <v>243</v>
      </c>
      <c r="L457" s="1" t="s">
        <v>20</v>
      </c>
      <c r="M457" s="1" t="s">
        <v>21</v>
      </c>
      <c r="N457" s="1" t="str">
        <f t="shared" si="14"/>
        <v>Lower</v>
      </c>
      <c r="O457" s="1" t="str">
        <f t="shared" si="15"/>
        <v>Young Adult | Unknown | Lower</v>
      </c>
    </row>
    <row r="458" spans="1:15" x14ac:dyDescent="0.25">
      <c r="A458" s="1" t="s">
        <v>488</v>
      </c>
      <c r="B458" s="1">
        <v>53</v>
      </c>
      <c r="C458" s="1" t="str" cm="1">
        <f t="array" ref="C458">_xlfn.IFS(OR(B458=" ", B458="NA",NOT(ISNUMBER(B458))), "Unknown",B458&lt;18,"Underage",B458&lt;=24,"Young Adult",B458&lt;=34,"Early Career",B458&lt;=44,"Mid Career",B458&lt;=54,"Mature",B458&lt;=65,"Pre-Senior",B458&gt;65,"Senior")</f>
        <v>Mature</v>
      </c>
      <c r="E458" s="1" t="s">
        <v>34</v>
      </c>
      <c r="F458" s="1">
        <v>1200000</v>
      </c>
      <c r="G458" s="1">
        <v>81</v>
      </c>
      <c r="H458" s="1" t="str" cm="1">
        <f t="array" ref="H458">_xlfn.IFS( OR(G458=" ",NOT(ISNUMBER(G458))),"Unknown",G458&lt;=33,"Low Spender",G458&lt;=66,"Medium Spender",TRUE, "High Spender")</f>
        <v>High Spender</v>
      </c>
      <c r="J458" s="1">
        <v>7300</v>
      </c>
      <c r="K458" s="1">
        <v>145</v>
      </c>
      <c r="L458" s="1" t="s">
        <v>16</v>
      </c>
      <c r="M458" s="1" t="s">
        <v>30</v>
      </c>
      <c r="N458" s="1" t="str">
        <f t="shared" si="14"/>
        <v>Lower</v>
      </c>
      <c r="O458" s="1" t="str">
        <f t="shared" si="15"/>
        <v>Mature | High Spender | Lower</v>
      </c>
    </row>
    <row r="459" spans="1:15" x14ac:dyDescent="0.25">
      <c r="A459" s="1" t="s">
        <v>489</v>
      </c>
      <c r="B459" s="1">
        <v>62</v>
      </c>
      <c r="C459" s="1" t="str" cm="1">
        <f t="array" ref="C459">_xlfn.IFS(OR(B459=" ", B459="NA",NOT(ISNUMBER(B459))), "Unknown",B459&lt;18,"Underage",B459&lt;=24,"Young Adult",B459&lt;=34,"Early Career",B459&lt;=44,"Mid Career",B459&lt;=54,"Mature",B459&lt;=65,"Pre-Senior",B459&gt;65,"Senior")</f>
        <v>Pre-Senior</v>
      </c>
      <c r="D459" s="1" t="s">
        <v>29</v>
      </c>
      <c r="E459" s="1" t="s">
        <v>34</v>
      </c>
      <c r="G459" s="1">
        <v>83</v>
      </c>
      <c r="H459" s="1" t="str" cm="1">
        <f t="array" ref="H459">_xlfn.IFS( OR(G459=" ",NOT(ISNUMBER(G459))),"Unknown",G459&lt;=33,"Low Spender",G459&lt;=66,"Medium Spender",TRUE, "High Spender")</f>
        <v>High Spender</v>
      </c>
      <c r="I459" s="1">
        <v>79</v>
      </c>
      <c r="J459" s="1">
        <v>7300</v>
      </c>
      <c r="K459" s="1">
        <v>326</v>
      </c>
      <c r="N459" s="1" t="str">
        <f t="shared" si="14"/>
        <v>Higher</v>
      </c>
      <c r="O459" s="1" t="str">
        <f t="shared" si="15"/>
        <v>Pre-Senior | High Spender | Higher</v>
      </c>
    </row>
    <row r="460" spans="1:15" x14ac:dyDescent="0.25">
      <c r="A460" s="1" t="s">
        <v>490</v>
      </c>
      <c r="B460" s="1">
        <v>37</v>
      </c>
      <c r="C460" s="1" t="str" cm="1">
        <f t="array" ref="C460">_xlfn.IFS(OR(B460=" ", B460="NA",NOT(ISNUMBER(B460))), "Unknown",B460&lt;18,"Underage",B460&lt;=24,"Young Adult",B460&lt;=34,"Early Career",B460&lt;=44,"Mid Career",B460&lt;=54,"Mature",B460&lt;=65,"Pre-Senior",B460&gt;65,"Senior")</f>
        <v>Mid Career</v>
      </c>
      <c r="D460" s="1" t="s">
        <v>29</v>
      </c>
      <c r="F460" s="1">
        <v>1400000</v>
      </c>
      <c r="G460" s="1">
        <v>44</v>
      </c>
      <c r="H460" s="1" t="str" cm="1">
        <f t="array" ref="H460">_xlfn.IFS( OR(G460=" ",NOT(ISNUMBER(G460))),"Unknown",G460&lt;=33,"Low Spender",G460&lt;=66,"Medium Spender",TRUE, "High Spender")</f>
        <v>Medium Spender</v>
      </c>
      <c r="I460" s="1">
        <v>74</v>
      </c>
      <c r="J460" s="1">
        <v>11600</v>
      </c>
      <c r="K460" s="1">
        <v>103</v>
      </c>
      <c r="L460" s="1" t="s">
        <v>16</v>
      </c>
      <c r="N460" s="1" t="str">
        <f t="shared" si="14"/>
        <v>Higher</v>
      </c>
      <c r="O460" s="1" t="str">
        <f t="shared" si="15"/>
        <v>Mid Career | Medium Spender | Higher</v>
      </c>
    </row>
    <row r="461" spans="1:15" x14ac:dyDescent="0.25">
      <c r="A461" s="1" t="s">
        <v>491</v>
      </c>
      <c r="B461" s="1">
        <v>18</v>
      </c>
      <c r="C461" s="1" t="str" cm="1">
        <f t="array" ref="C461">_xlfn.IFS(OR(B461=" ", B461="NA",NOT(ISNUMBER(B461))), "Unknown",B461&lt;18,"Underage",B461&lt;=24,"Young Adult",B461&lt;=34,"Early Career",B461&lt;=44,"Mid Career",B461&lt;=54,"Mature",B461&lt;=65,"Pre-Senior",B461&gt;65,"Senior")</f>
        <v>Young Adult</v>
      </c>
      <c r="D461" s="1" t="s">
        <v>12</v>
      </c>
      <c r="E461" s="1" t="s">
        <v>23</v>
      </c>
      <c r="F461" s="1">
        <v>600000</v>
      </c>
      <c r="G461" s="1">
        <v>68</v>
      </c>
      <c r="H461" s="1" t="str" cm="1">
        <f t="array" ref="H461">_xlfn.IFS( OR(G461=" ",NOT(ISNUMBER(G461))),"Unknown",G461&lt;=33,"Low Spender",G461&lt;=66,"Medium Spender",TRUE, "High Spender")</f>
        <v>High Spender</v>
      </c>
      <c r="I461" s="1">
        <v>52</v>
      </c>
      <c r="J461" s="1">
        <v>3100</v>
      </c>
      <c r="K461" s="1">
        <v>217</v>
      </c>
      <c r="N461" s="1" t="str">
        <f t="shared" si="14"/>
        <v>Lower</v>
      </c>
      <c r="O461" s="1" t="str">
        <f t="shared" si="15"/>
        <v>Young Adult | High Spender | Lower</v>
      </c>
    </row>
    <row r="462" spans="1:15" x14ac:dyDescent="0.25">
      <c r="A462" s="1" t="s">
        <v>492</v>
      </c>
      <c r="B462" s="1">
        <v>25</v>
      </c>
      <c r="C462" s="1" t="str" cm="1">
        <f t="array" ref="C462">_xlfn.IFS(OR(B462=" ", B462="NA",NOT(ISNUMBER(B462))), "Unknown",B462&lt;18,"Underage",B462&lt;=24,"Young Adult",B462&lt;=34,"Early Career",B462&lt;=44,"Mid Career",B462&lt;=54,"Mature",B462&lt;=65,"Pre-Senior",B462&gt;65,"Senior")</f>
        <v>Early Career</v>
      </c>
      <c r="D462" s="1" t="s">
        <v>29</v>
      </c>
      <c r="E462" s="1" t="s">
        <v>34</v>
      </c>
      <c r="F462" s="1">
        <v>650000</v>
      </c>
      <c r="G462" s="1">
        <v>48</v>
      </c>
      <c r="H462" s="1" t="str" cm="1">
        <f t="array" ref="H462">_xlfn.IFS( OR(G462=" ",NOT(ISNUMBER(G462))),"Unknown",G462&lt;=33,"Low Spender",G462&lt;=66,"Medium Spender",TRUE, "High Spender")</f>
        <v>Medium Spender</v>
      </c>
      <c r="I462" s="1">
        <v>76</v>
      </c>
      <c r="J462" s="1">
        <v>2500</v>
      </c>
      <c r="K462" s="1">
        <v>358</v>
      </c>
      <c r="L462" s="1" t="s">
        <v>35</v>
      </c>
      <c r="M462" s="1" t="s">
        <v>30</v>
      </c>
      <c r="N462" s="1" t="str">
        <f t="shared" si="14"/>
        <v>Higher</v>
      </c>
      <c r="O462" s="1" t="str">
        <f t="shared" si="15"/>
        <v>Early Career | Medium Spender | Higher</v>
      </c>
    </row>
    <row r="463" spans="1:15" x14ac:dyDescent="0.25">
      <c r="A463" s="1" t="s">
        <v>493</v>
      </c>
      <c r="B463" s="1">
        <v>63</v>
      </c>
      <c r="C463" s="1" t="str" cm="1">
        <f t="array" ref="C463">_xlfn.IFS(OR(B463=" ", B463="NA",NOT(ISNUMBER(B463))), "Unknown",B463&lt;18,"Underage",B463&lt;=24,"Young Adult",B463&lt;=34,"Early Career",B463&lt;=44,"Mid Career",B463&lt;=54,"Mature",B463&lt;=65,"Pre-Senior",B463&gt;65,"Senior")</f>
        <v>Pre-Senior</v>
      </c>
      <c r="D463" s="1" t="s">
        <v>29</v>
      </c>
      <c r="E463" s="1" t="s">
        <v>34</v>
      </c>
      <c r="F463" s="1">
        <v>725000</v>
      </c>
      <c r="G463" s="1">
        <v>57</v>
      </c>
      <c r="H463" s="1" t="str" cm="1">
        <f t="array" ref="H463">_xlfn.IFS( OR(G463=" ",NOT(ISNUMBER(G463))),"Unknown",G463&lt;=33,"Low Spender",G463&lt;=66,"Medium Spender",TRUE, "High Spender")</f>
        <v>Medium Spender</v>
      </c>
      <c r="I463" s="1">
        <v>65</v>
      </c>
      <c r="J463" s="1">
        <v>3600</v>
      </c>
      <c r="K463" s="1">
        <v>64</v>
      </c>
      <c r="L463" s="1" t="s">
        <v>20</v>
      </c>
      <c r="N463" s="1" t="str">
        <f t="shared" si="14"/>
        <v>Higher</v>
      </c>
      <c r="O463" s="1" t="str">
        <f t="shared" si="15"/>
        <v>Pre-Senior | Medium Spender | Higher</v>
      </c>
    </row>
    <row r="464" spans="1:15" x14ac:dyDescent="0.25">
      <c r="A464" s="1" t="s">
        <v>494</v>
      </c>
      <c r="B464" s="1">
        <v>33</v>
      </c>
      <c r="C464" s="1" t="str" cm="1">
        <f t="array" ref="C464">_xlfn.IFS(OR(B464=" ", B464="NA",NOT(ISNUMBER(B464))), "Unknown",B464&lt;18,"Underage",B464&lt;=24,"Young Adult",B464&lt;=34,"Early Career",B464&lt;=44,"Mid Career",B464&lt;=54,"Mature",B464&lt;=65,"Pre-Senior",B464&gt;65,"Senior")</f>
        <v>Early Career</v>
      </c>
      <c r="D464" s="1" t="s">
        <v>29</v>
      </c>
      <c r="F464" s="1">
        <v>775000</v>
      </c>
      <c r="G464" s="1">
        <v>75</v>
      </c>
      <c r="H464" s="1" t="str" cm="1">
        <f t="array" ref="H464">_xlfn.IFS( OR(G464=" ",NOT(ISNUMBER(G464))),"Unknown",G464&lt;=33,"Low Spender",G464&lt;=66,"Medium Spender",TRUE, "High Spender")</f>
        <v>High Spender</v>
      </c>
      <c r="I464" s="1">
        <v>65</v>
      </c>
      <c r="J464" s="1">
        <v>8600</v>
      </c>
      <c r="K464" s="1">
        <v>158</v>
      </c>
      <c r="N464" s="1" t="str">
        <f t="shared" si="14"/>
        <v>Higher</v>
      </c>
      <c r="O464" s="1" t="str">
        <f t="shared" si="15"/>
        <v>Early Career | High Spender | Higher</v>
      </c>
    </row>
    <row r="465" spans="1:15" x14ac:dyDescent="0.25">
      <c r="A465" s="1" t="s">
        <v>495</v>
      </c>
      <c r="B465" s="1">
        <v>31</v>
      </c>
      <c r="C465" s="1" t="str" cm="1">
        <f t="array" ref="C465">_xlfn.IFS(OR(B465=" ", B465="NA",NOT(ISNUMBER(B465))), "Unknown",B465&lt;18,"Underage",B465&lt;=24,"Young Adult",B465&lt;=34,"Early Career",B465&lt;=44,"Mid Career",B465&lt;=54,"Mature",B465&lt;=65,"Pre-Senior",B465&gt;65,"Senior")</f>
        <v>Early Career</v>
      </c>
      <c r="D465" s="1" t="s">
        <v>12</v>
      </c>
      <c r="E465" s="1" t="s">
        <v>23</v>
      </c>
      <c r="F465" s="1">
        <v>1250000</v>
      </c>
      <c r="G465" s="1">
        <v>22</v>
      </c>
      <c r="H465" s="1" t="str" cm="1">
        <f t="array" ref="H465">_xlfn.IFS( OR(G465=" ",NOT(ISNUMBER(G465))),"Unknown",G465&lt;=33,"Low Spender",G465&lt;=66,"Medium Spender",TRUE, "High Spender")</f>
        <v>Low Spender</v>
      </c>
      <c r="I465" s="1">
        <v>10</v>
      </c>
      <c r="J465" s="1">
        <v>1700</v>
      </c>
      <c r="K465" s="1">
        <v>162</v>
      </c>
      <c r="L465" s="1" t="s">
        <v>16</v>
      </c>
      <c r="N465" s="1" t="str">
        <f t="shared" si="14"/>
        <v>Lower</v>
      </c>
      <c r="O465" s="1" t="str">
        <f t="shared" si="15"/>
        <v>Early Career | Low Spender | Lower</v>
      </c>
    </row>
    <row r="466" spans="1:15" x14ac:dyDescent="0.25">
      <c r="A466" s="1" t="s">
        <v>496</v>
      </c>
      <c r="B466" s="1">
        <v>29</v>
      </c>
      <c r="C466" s="1" t="str" cm="1">
        <f t="array" ref="C466">_xlfn.IFS(OR(B466=" ", B466="NA",NOT(ISNUMBER(B466))), "Unknown",B466&lt;18,"Underage",B466&lt;=24,"Young Adult",B466&lt;=34,"Early Career",B466&lt;=44,"Mid Career",B466&lt;=54,"Mature",B466&lt;=65,"Pre-Senior",B466&gt;65,"Senior")</f>
        <v>Early Career</v>
      </c>
      <c r="D466" s="1" t="s">
        <v>29</v>
      </c>
      <c r="E466" s="1" t="s">
        <v>49</v>
      </c>
      <c r="F466" s="1">
        <v>825000</v>
      </c>
      <c r="G466" s="1">
        <v>4</v>
      </c>
      <c r="H466" s="1" t="str" cm="1">
        <f t="array" ref="H466">_xlfn.IFS( OR(G466=" ",NOT(ISNUMBER(G466))),"Unknown",G466&lt;=33,"Low Spender",G466&lt;=66,"Medium Spender",TRUE, "High Spender")</f>
        <v>Low Spender</v>
      </c>
      <c r="I466" s="1">
        <v>18</v>
      </c>
      <c r="J466" s="1">
        <v>9900</v>
      </c>
      <c r="K466" s="1">
        <v>18</v>
      </c>
      <c r="L466" s="1" t="s">
        <v>37</v>
      </c>
      <c r="M466" s="1" t="s">
        <v>30</v>
      </c>
      <c r="N466" s="1" t="str">
        <f t="shared" si="14"/>
        <v>Higher</v>
      </c>
      <c r="O466" s="1" t="str">
        <f t="shared" si="15"/>
        <v>Early Career | Low Spender | Higher</v>
      </c>
    </row>
    <row r="467" spans="1:15" x14ac:dyDescent="0.25">
      <c r="A467" s="1" t="s">
        <v>497</v>
      </c>
      <c r="B467" s="1">
        <v>68</v>
      </c>
      <c r="C467" s="1" t="str" cm="1">
        <f t="array" ref="C467">_xlfn.IFS(OR(B467=" ", B467="NA",NOT(ISNUMBER(B467))), "Unknown",B467&lt;18,"Underage",B467&lt;=24,"Young Adult",B467&lt;=34,"Early Career",B467&lt;=44,"Mid Career",B467&lt;=54,"Mature",B467&lt;=65,"Pre-Senior",B467&gt;65,"Senior")</f>
        <v>Senior</v>
      </c>
      <c r="D467" s="1" t="s">
        <v>29</v>
      </c>
      <c r="E467" s="1" t="s">
        <v>49</v>
      </c>
      <c r="F467" s="1">
        <v>850000</v>
      </c>
      <c r="G467" s="1">
        <v>81</v>
      </c>
      <c r="H467" s="1" t="str" cm="1">
        <f t="array" ref="H467">_xlfn.IFS( OR(G467=" ",NOT(ISNUMBER(G467))),"Unknown",G467&lt;=33,"Low Spender",G467&lt;=66,"Medium Spender",TRUE, "High Spender")</f>
        <v>High Spender</v>
      </c>
      <c r="I467" s="1">
        <v>47</v>
      </c>
      <c r="J467" s="1">
        <v>5500</v>
      </c>
      <c r="K467" s="1">
        <v>216</v>
      </c>
      <c r="N467" s="1" t="str">
        <f t="shared" si="14"/>
        <v>Higher</v>
      </c>
      <c r="O467" s="1" t="str">
        <f t="shared" si="15"/>
        <v>Senior | High Spender | Higher</v>
      </c>
    </row>
    <row r="468" spans="1:15" x14ac:dyDescent="0.25">
      <c r="A468" s="1" t="s">
        <v>498</v>
      </c>
      <c r="B468" s="1">
        <v>40</v>
      </c>
      <c r="C468" s="1" t="str" cm="1">
        <f t="array" ref="C468">_xlfn.IFS(OR(B468=" ", B468="NA",NOT(ISNUMBER(B468))), "Unknown",B468&lt;18,"Underage",B468&lt;=24,"Young Adult",B468&lt;=34,"Early Career",B468&lt;=44,"Mid Career",B468&lt;=54,"Mature",B468&lt;=65,"Pre-Senior",B468&gt;65,"Senior")</f>
        <v>Mid Career</v>
      </c>
      <c r="E468" s="1" t="s">
        <v>23</v>
      </c>
      <c r="F468" s="1">
        <v>550000</v>
      </c>
      <c r="G468" s="1">
        <v>72</v>
      </c>
      <c r="H468" s="1" t="str" cm="1">
        <f t="array" ref="H468">_xlfn.IFS( OR(G468=" ",NOT(ISNUMBER(G468))),"Unknown",G468&lt;=33,"Low Spender",G468&lt;=66,"Medium Spender",TRUE, "High Spender")</f>
        <v>High Spender</v>
      </c>
      <c r="I468" s="1">
        <v>66</v>
      </c>
      <c r="J468" s="1">
        <v>1900</v>
      </c>
      <c r="K468" s="1">
        <v>319</v>
      </c>
      <c r="L468" s="1" t="s">
        <v>16</v>
      </c>
      <c r="M468" s="1" t="s">
        <v>21</v>
      </c>
      <c r="N468" s="1" t="str">
        <f t="shared" si="14"/>
        <v>Lower</v>
      </c>
      <c r="O468" s="1" t="str">
        <f t="shared" si="15"/>
        <v>Mid Career | High Spender | Lower</v>
      </c>
    </row>
    <row r="469" spans="1:15" x14ac:dyDescent="0.25">
      <c r="A469" s="1" t="s">
        <v>499</v>
      </c>
      <c r="B469" s="1">
        <v>32</v>
      </c>
      <c r="C469" s="1" t="str" cm="1">
        <f t="array" ref="C469">_xlfn.IFS(OR(B469=" ", B469="NA",NOT(ISNUMBER(B469))), "Unknown",B469&lt;18,"Underage",B469&lt;=24,"Young Adult",B469&lt;=34,"Early Career",B469&lt;=44,"Mid Career",B469&lt;=54,"Mature",B469&lt;=65,"Pre-Senior",B469&gt;65,"Senior")</f>
        <v>Early Career</v>
      </c>
      <c r="E469" s="1" t="s">
        <v>13</v>
      </c>
      <c r="F469" s="1">
        <v>1825000</v>
      </c>
      <c r="G469" s="1">
        <v>46</v>
      </c>
      <c r="H469" s="1" t="str" cm="1">
        <f t="array" ref="H469">_xlfn.IFS( OR(G469=" ",NOT(ISNUMBER(G469))),"Unknown",G469&lt;=33,"Low Spender",G469&lt;=66,"Medium Spender",TRUE, "High Spender")</f>
        <v>Medium Spender</v>
      </c>
      <c r="I469" s="1">
        <v>49</v>
      </c>
      <c r="J469" s="1">
        <v>6600</v>
      </c>
      <c r="K469" s="1">
        <v>49</v>
      </c>
      <c r="M469" s="1" t="s">
        <v>21</v>
      </c>
      <c r="N469" s="1" t="str">
        <f t="shared" si="14"/>
        <v>Lower</v>
      </c>
      <c r="O469" s="1" t="str">
        <f t="shared" si="15"/>
        <v>Early Career | Medium Spender | Lower</v>
      </c>
    </row>
    <row r="470" spans="1:15" x14ac:dyDescent="0.25">
      <c r="A470" s="1" t="s">
        <v>500</v>
      </c>
      <c r="B470" s="1">
        <v>45</v>
      </c>
      <c r="C470" s="1" t="str" cm="1">
        <f t="array" ref="C470">_xlfn.IFS(OR(B470=" ", B470="NA",NOT(ISNUMBER(B470))), "Unknown",B470&lt;18,"Underage",B470&lt;=24,"Young Adult",B470&lt;=34,"Early Career",B470&lt;=44,"Mid Career",B470&lt;=54,"Mature",B470&lt;=65,"Pre-Senior",B470&gt;65,"Senior")</f>
        <v>Mature</v>
      </c>
      <c r="D470" s="1" t="s">
        <v>29</v>
      </c>
      <c r="F470" s="1">
        <v>1225000</v>
      </c>
      <c r="G470" s="1">
        <v>59</v>
      </c>
      <c r="H470" s="1" t="str" cm="1">
        <f t="array" ref="H470">_xlfn.IFS( OR(G470=" ",NOT(ISNUMBER(G470))),"Unknown",G470&lt;=33,"Low Spender",G470&lt;=66,"Medium Spender",TRUE, "High Spender")</f>
        <v>Medium Spender</v>
      </c>
      <c r="I470" s="1">
        <v>72</v>
      </c>
      <c r="J470" s="1">
        <v>8600</v>
      </c>
      <c r="K470" s="1">
        <v>56</v>
      </c>
      <c r="L470" s="1" t="s">
        <v>37</v>
      </c>
      <c r="M470" s="1" t="s">
        <v>21</v>
      </c>
      <c r="N470" s="1" t="str">
        <f t="shared" si="14"/>
        <v>Higher</v>
      </c>
      <c r="O470" s="1" t="str">
        <f t="shared" si="15"/>
        <v>Mature | Medium Spender | Higher</v>
      </c>
    </row>
    <row r="471" spans="1:15" x14ac:dyDescent="0.25">
      <c r="A471" s="1" t="s">
        <v>501</v>
      </c>
      <c r="B471" s="1">
        <v>51</v>
      </c>
      <c r="C471" s="1" t="str" cm="1">
        <f t="array" ref="C471">_xlfn.IFS(OR(B471=" ", B471="NA",NOT(ISNUMBER(B471))), "Unknown",B471&lt;18,"Underage",B471&lt;=24,"Young Adult",B471&lt;=34,"Early Career",B471&lt;=44,"Mid Career",B471&lt;=54,"Mature",B471&lt;=65,"Pre-Senior",B471&gt;65,"Senior")</f>
        <v>Mature</v>
      </c>
      <c r="E471" s="1" t="s">
        <v>58</v>
      </c>
      <c r="F471" s="1">
        <v>1650000</v>
      </c>
      <c r="G471" s="1">
        <v>34</v>
      </c>
      <c r="H471" s="1" t="str" cm="1">
        <f t="array" ref="H471">_xlfn.IFS( OR(G471=" ",NOT(ISNUMBER(G471))),"Unknown",G471&lt;=33,"Low Spender",G471&lt;=66,"Medium Spender",TRUE, "High Spender")</f>
        <v>Medium Spender</v>
      </c>
      <c r="I471" s="1">
        <v>22</v>
      </c>
      <c r="J471" s="1">
        <v>6300</v>
      </c>
      <c r="K471" s="1">
        <v>347</v>
      </c>
      <c r="M471" s="1" t="s">
        <v>32</v>
      </c>
      <c r="N471" s="1" t="str">
        <f t="shared" si="14"/>
        <v>Lower</v>
      </c>
      <c r="O471" s="1" t="str">
        <f t="shared" si="15"/>
        <v>Mature | Medium Spender | Lower</v>
      </c>
    </row>
    <row r="472" spans="1:15" x14ac:dyDescent="0.25">
      <c r="A472" s="1" t="s">
        <v>502</v>
      </c>
      <c r="B472" s="1">
        <v>19</v>
      </c>
      <c r="C472" s="1" t="str" cm="1">
        <f t="array" ref="C472">_xlfn.IFS(OR(B472=" ", B472="NA",NOT(ISNUMBER(B472))), "Unknown",B472&lt;18,"Underage",B472&lt;=24,"Young Adult",B472&lt;=34,"Early Career",B472&lt;=44,"Mid Career",B472&lt;=54,"Mature",B472&lt;=65,"Pre-Senior",B472&gt;65,"Senior")</f>
        <v>Young Adult</v>
      </c>
      <c r="D472" s="1" t="s">
        <v>12</v>
      </c>
      <c r="E472" s="1" t="s">
        <v>15</v>
      </c>
      <c r="F472" s="1">
        <v>1825000</v>
      </c>
      <c r="G472" s="1">
        <v>11</v>
      </c>
      <c r="H472" s="1" t="str" cm="1">
        <f t="array" ref="H472">_xlfn.IFS( OR(G472=" ",NOT(ISNUMBER(G472))),"Unknown",G472&lt;=33,"Low Spender",G472&lt;=66,"Medium Spender",TRUE, "High Spender")</f>
        <v>Low Spender</v>
      </c>
      <c r="I472" s="1">
        <v>26</v>
      </c>
      <c r="J472" s="1">
        <v>5900</v>
      </c>
      <c r="K472" s="1">
        <v>58</v>
      </c>
      <c r="M472" s="1" t="s">
        <v>21</v>
      </c>
      <c r="N472" s="1" t="str">
        <f t="shared" si="14"/>
        <v>Lower</v>
      </c>
      <c r="O472" s="1" t="str">
        <f t="shared" si="15"/>
        <v>Young Adult | Low Spender | Lower</v>
      </c>
    </row>
    <row r="473" spans="1:15" x14ac:dyDescent="0.25">
      <c r="A473" s="1" t="s">
        <v>503</v>
      </c>
      <c r="B473" s="1">
        <v>49</v>
      </c>
      <c r="C473" s="1" t="str" cm="1">
        <f t="array" ref="C473">_xlfn.IFS(OR(B473=" ", B473="NA",NOT(ISNUMBER(B473))), "Unknown",B473&lt;18,"Underage",B473&lt;=24,"Young Adult",B473&lt;=34,"Early Career",B473&lt;=44,"Mid Career",B473&lt;=54,"Mature",B473&lt;=65,"Pre-Senior",B473&gt;65,"Senior")</f>
        <v>Mature</v>
      </c>
      <c r="D473" s="1" t="s">
        <v>29</v>
      </c>
      <c r="F473" s="1">
        <v>1975000</v>
      </c>
      <c r="G473" s="1">
        <v>31</v>
      </c>
      <c r="H473" s="1" t="str" cm="1">
        <f t="array" ref="H473">_xlfn.IFS( OR(G473=" ",NOT(ISNUMBER(G473))),"Unknown",G473&lt;=33,"Low Spender",G473&lt;=66,"Medium Spender",TRUE, "High Spender")</f>
        <v>Low Spender</v>
      </c>
      <c r="I473" s="1">
        <v>9</v>
      </c>
      <c r="J473" s="1">
        <v>7900</v>
      </c>
      <c r="K473" s="1">
        <v>155</v>
      </c>
      <c r="L473" s="1" t="s">
        <v>37</v>
      </c>
      <c r="M473" s="1" t="s">
        <v>21</v>
      </c>
      <c r="N473" s="1" t="str">
        <f t="shared" si="14"/>
        <v>Higher</v>
      </c>
      <c r="O473" s="1" t="str">
        <f t="shared" si="15"/>
        <v>Mature | Low Spender | Higher</v>
      </c>
    </row>
    <row r="474" spans="1:15" x14ac:dyDescent="0.25">
      <c r="A474" s="1" t="s">
        <v>504</v>
      </c>
      <c r="B474" s="1">
        <v>40</v>
      </c>
      <c r="C474" s="1" t="str" cm="1">
        <f t="array" ref="C474">_xlfn.IFS(OR(B474=" ", B474="NA",NOT(ISNUMBER(B474))), "Unknown",B474&lt;18,"Underage",B474&lt;=24,"Young Adult",B474&lt;=34,"Early Career",B474&lt;=44,"Mid Career",B474&lt;=54,"Mature",B474&lt;=65,"Pre-Senior",B474&gt;65,"Senior")</f>
        <v>Mid Career</v>
      </c>
      <c r="E474" s="1" t="s">
        <v>19</v>
      </c>
      <c r="F474" s="1">
        <v>750000</v>
      </c>
      <c r="G474" s="1">
        <v>11</v>
      </c>
      <c r="H474" s="1" t="str" cm="1">
        <f t="array" ref="H474">_xlfn.IFS( OR(G474=" ",NOT(ISNUMBER(G474))),"Unknown",G474&lt;=33,"Low Spender",G474&lt;=66,"Medium Spender",TRUE, "High Spender")</f>
        <v>Low Spender</v>
      </c>
      <c r="I474" s="1">
        <v>21</v>
      </c>
      <c r="J474" s="1">
        <v>11000</v>
      </c>
      <c r="K474" s="1">
        <v>55</v>
      </c>
      <c r="L474" s="1" t="s">
        <v>37</v>
      </c>
      <c r="M474" s="1" t="s">
        <v>30</v>
      </c>
      <c r="N474" s="1" t="str">
        <f t="shared" si="14"/>
        <v>Lower</v>
      </c>
      <c r="O474" s="1" t="str">
        <f t="shared" si="15"/>
        <v>Mid Career | Low Spender | Lower</v>
      </c>
    </row>
    <row r="475" spans="1:15" x14ac:dyDescent="0.25">
      <c r="A475" s="1" t="s">
        <v>505</v>
      </c>
      <c r="B475" s="1">
        <v>39</v>
      </c>
      <c r="C475" s="1" t="str" cm="1">
        <f t="array" ref="C475">_xlfn.IFS(OR(B475=" ", B475="NA",NOT(ISNUMBER(B475))), "Unknown",B475&lt;18,"Underage",B475&lt;=24,"Young Adult",B475&lt;=34,"Early Career",B475&lt;=44,"Mid Career",B475&lt;=54,"Mature",B475&lt;=65,"Pre-Senior",B475&gt;65,"Senior")</f>
        <v>Mid Career</v>
      </c>
      <c r="D475" s="1" t="s">
        <v>29</v>
      </c>
      <c r="E475" s="1" t="s">
        <v>49</v>
      </c>
      <c r="F475" s="1">
        <v>1800000</v>
      </c>
      <c r="G475" s="1">
        <v>56</v>
      </c>
      <c r="H475" s="1" t="str" cm="1">
        <f t="array" ref="H475">_xlfn.IFS( OR(G475=" ",NOT(ISNUMBER(G475))),"Unknown",G475&lt;=33,"Low Spender",G475&lt;=66,"Medium Spender",TRUE, "High Spender")</f>
        <v>Medium Spender</v>
      </c>
      <c r="I475" s="1">
        <v>63</v>
      </c>
      <c r="J475" s="1">
        <v>9000</v>
      </c>
      <c r="K475" s="1">
        <v>341</v>
      </c>
      <c r="L475" s="1" t="s">
        <v>37</v>
      </c>
      <c r="N475" s="1" t="str">
        <f t="shared" si="14"/>
        <v>Higher</v>
      </c>
      <c r="O475" s="1" t="str">
        <f t="shared" si="15"/>
        <v>Mid Career | Medium Spender | Higher</v>
      </c>
    </row>
    <row r="476" spans="1:15" x14ac:dyDescent="0.25">
      <c r="A476" s="1" t="s">
        <v>506</v>
      </c>
      <c r="B476" s="1">
        <v>68</v>
      </c>
      <c r="C476" s="1" t="str" cm="1">
        <f t="array" ref="C476">_xlfn.IFS(OR(B476=" ", B476="NA",NOT(ISNUMBER(B476))), "Unknown",B476&lt;18,"Underage",B476&lt;=24,"Young Adult",B476&lt;=34,"Early Career",B476&lt;=44,"Mid Career",B476&lt;=54,"Mature",B476&lt;=65,"Pre-Senior",B476&gt;65,"Senior")</f>
        <v>Senior</v>
      </c>
      <c r="D476" s="1" t="s">
        <v>29</v>
      </c>
      <c r="E476" s="1" t="s">
        <v>23</v>
      </c>
      <c r="F476" s="1">
        <v>175000</v>
      </c>
      <c r="G476" s="1">
        <v>38</v>
      </c>
      <c r="H476" s="1" t="str" cm="1">
        <f t="array" ref="H476">_xlfn.IFS( OR(G476=" ",NOT(ISNUMBER(G476))),"Unknown",G476&lt;=33,"Low Spender",G476&lt;=66,"Medium Spender",TRUE, "High Spender")</f>
        <v>Medium Spender</v>
      </c>
      <c r="I476" s="1">
        <v>6</v>
      </c>
      <c r="K476" s="1">
        <v>19</v>
      </c>
      <c r="L476" s="1" t="s">
        <v>35</v>
      </c>
      <c r="N476" s="1" t="str">
        <f t="shared" si="14"/>
        <v>Higher</v>
      </c>
      <c r="O476" s="1" t="str">
        <f t="shared" si="15"/>
        <v>Senior | Medium Spender | Higher</v>
      </c>
    </row>
    <row r="477" spans="1:15" x14ac:dyDescent="0.25">
      <c r="A477" s="1" t="s">
        <v>507</v>
      </c>
      <c r="B477" s="1">
        <v>42</v>
      </c>
      <c r="C477" s="1" t="str" cm="1">
        <f t="array" ref="C477">_xlfn.IFS(OR(B477=" ", B477="NA",NOT(ISNUMBER(B477))), "Unknown",B477&lt;18,"Underage",B477&lt;=24,"Young Adult",B477&lt;=34,"Early Career",B477&lt;=44,"Mid Career",B477&lt;=54,"Mature",B477&lt;=65,"Pre-Senior",B477&gt;65,"Senior")</f>
        <v>Mid Career</v>
      </c>
      <c r="D477" s="1" t="s">
        <v>12</v>
      </c>
      <c r="E477" s="1" t="s">
        <v>58</v>
      </c>
      <c r="F477" s="1">
        <v>1350000</v>
      </c>
      <c r="G477" s="1">
        <v>21</v>
      </c>
      <c r="H477" s="1" t="str" cm="1">
        <f t="array" ref="H477">_xlfn.IFS( OR(G477=" ",NOT(ISNUMBER(G477))),"Unknown",G477&lt;=33,"Low Spender",G477&lt;=66,"Medium Spender",TRUE, "High Spender")</f>
        <v>Low Spender</v>
      </c>
      <c r="I477" s="1">
        <v>14</v>
      </c>
      <c r="J477" s="1">
        <v>11300</v>
      </c>
      <c r="K477" s="1">
        <v>151</v>
      </c>
      <c r="M477" s="1" t="s">
        <v>21</v>
      </c>
      <c r="N477" s="1" t="str">
        <f t="shared" si="14"/>
        <v>Lower</v>
      </c>
      <c r="O477" s="1" t="str">
        <f t="shared" si="15"/>
        <v>Mid Career | Low Spender | Lower</v>
      </c>
    </row>
    <row r="478" spans="1:15" x14ac:dyDescent="0.25">
      <c r="A478" s="1" t="s">
        <v>508</v>
      </c>
      <c r="B478" s="1">
        <v>39</v>
      </c>
      <c r="C478" s="1" t="str" cm="1">
        <f t="array" ref="C478">_xlfn.IFS(OR(B478=" ", B478="NA",NOT(ISNUMBER(B478))), "Unknown",B478&lt;18,"Underage",B478&lt;=24,"Young Adult",B478&lt;=34,"Early Career",B478&lt;=44,"Mid Career",B478&lt;=54,"Mature",B478&lt;=65,"Pre-Senior",B478&gt;65,"Senior")</f>
        <v>Mid Career</v>
      </c>
      <c r="E478" s="1" t="s">
        <v>23</v>
      </c>
      <c r="F478" s="1">
        <v>1875000</v>
      </c>
      <c r="G478" s="1">
        <v>94</v>
      </c>
      <c r="H478" s="1" t="str" cm="1">
        <f t="array" ref="H478">_xlfn.IFS( OR(G478=" ",NOT(ISNUMBER(G478))),"Unknown",G478&lt;=33,"Low Spender",G478&lt;=66,"Medium Spender",TRUE, "High Spender")</f>
        <v>High Spender</v>
      </c>
      <c r="I478" s="1">
        <v>33</v>
      </c>
      <c r="J478" s="1">
        <v>3900</v>
      </c>
      <c r="K478" s="1">
        <v>359</v>
      </c>
      <c r="M478" s="1" t="s">
        <v>21</v>
      </c>
      <c r="N478" s="1" t="str">
        <f t="shared" si="14"/>
        <v>Lower</v>
      </c>
      <c r="O478" s="1" t="str">
        <f t="shared" si="15"/>
        <v>Mid Career | High Spender | Lower</v>
      </c>
    </row>
    <row r="479" spans="1:15" x14ac:dyDescent="0.25">
      <c r="A479" s="1" t="s">
        <v>509</v>
      </c>
      <c r="B479" s="1">
        <v>39</v>
      </c>
      <c r="C479" s="1" t="str" cm="1">
        <f t="array" ref="C479">_xlfn.IFS(OR(B479=" ", B479="NA",NOT(ISNUMBER(B479))), "Unknown",B479&lt;18,"Underage",B479&lt;=24,"Young Adult",B479&lt;=34,"Early Career",B479&lt;=44,"Mid Career",B479&lt;=54,"Mature",B479&lt;=65,"Pre-Senior",B479&gt;65,"Senior")</f>
        <v>Mid Career</v>
      </c>
      <c r="E479" s="1" t="s">
        <v>15</v>
      </c>
      <c r="F479" s="1">
        <v>775000</v>
      </c>
      <c r="G479" s="1">
        <v>10</v>
      </c>
      <c r="H479" s="1" t="str" cm="1">
        <f t="array" ref="H479">_xlfn.IFS( OR(G479=" ",NOT(ISNUMBER(G479))),"Unknown",G479&lt;=33,"Low Spender",G479&lt;=66,"Medium Spender",TRUE, "High Spender")</f>
        <v>Low Spender</v>
      </c>
      <c r="I479" s="1">
        <v>71</v>
      </c>
      <c r="J479" s="1">
        <v>900</v>
      </c>
      <c r="K479" s="1">
        <v>108</v>
      </c>
      <c r="L479" s="1" t="s">
        <v>37</v>
      </c>
      <c r="M479" s="1" t="s">
        <v>21</v>
      </c>
      <c r="N479" s="1" t="str">
        <f t="shared" si="14"/>
        <v>Lower</v>
      </c>
      <c r="O479" s="1" t="str">
        <f t="shared" si="15"/>
        <v>Mid Career | Low Spender | Lower</v>
      </c>
    </row>
    <row r="480" spans="1:15" x14ac:dyDescent="0.25">
      <c r="A480" s="1" t="s">
        <v>510</v>
      </c>
      <c r="B480" s="1">
        <v>66</v>
      </c>
      <c r="C480" s="1" t="str" cm="1">
        <f t="array" ref="C480">_xlfn.IFS(OR(B480=" ", B480="NA",NOT(ISNUMBER(B480))), "Unknown",B480&lt;18,"Underage",B480&lt;=24,"Young Adult",B480&lt;=34,"Early Career",B480&lt;=44,"Mid Career",B480&lt;=54,"Mature",B480&lt;=65,"Pre-Senior",B480&gt;65,"Senior")</f>
        <v>Senior</v>
      </c>
      <c r="D480" s="1" t="s">
        <v>12</v>
      </c>
      <c r="E480" s="1" t="s">
        <v>58</v>
      </c>
      <c r="F480" s="1">
        <v>1925000</v>
      </c>
      <c r="G480" s="1">
        <v>26</v>
      </c>
      <c r="H480" s="1" t="str" cm="1">
        <f t="array" ref="H480">_xlfn.IFS( OR(G480=" ",NOT(ISNUMBER(G480))),"Unknown",G480&lt;=33,"Low Spender",G480&lt;=66,"Medium Spender",TRUE, "High Spender")</f>
        <v>Low Spender</v>
      </c>
      <c r="I480" s="1">
        <v>24</v>
      </c>
      <c r="J480" s="1">
        <v>1000</v>
      </c>
      <c r="K480" s="1">
        <v>47</v>
      </c>
      <c r="N480" s="1" t="str">
        <f t="shared" si="14"/>
        <v>Lower</v>
      </c>
      <c r="O480" s="1" t="str">
        <f t="shared" si="15"/>
        <v>Senior | Low Spender | Lower</v>
      </c>
    </row>
    <row r="481" spans="1:15" x14ac:dyDescent="0.25">
      <c r="A481" s="1" t="s">
        <v>511</v>
      </c>
      <c r="B481" s="1">
        <v>69</v>
      </c>
      <c r="C481" s="1" t="str" cm="1">
        <f t="array" ref="C481">_xlfn.IFS(OR(B481=" ", B481="NA",NOT(ISNUMBER(B481))), "Unknown",B481&lt;18,"Underage",B481&lt;=24,"Young Adult",B481&lt;=34,"Early Career",B481&lt;=44,"Mid Career",B481&lt;=54,"Mature",B481&lt;=65,"Pre-Senior",B481&gt;65,"Senior")</f>
        <v>Senior</v>
      </c>
      <c r="D481" s="1" t="s">
        <v>29</v>
      </c>
      <c r="E481" s="1" t="s">
        <v>49</v>
      </c>
      <c r="F481" s="1">
        <v>800000</v>
      </c>
      <c r="G481" s="1">
        <v>91</v>
      </c>
      <c r="H481" s="1" t="str" cm="1">
        <f t="array" ref="H481">_xlfn.IFS( OR(G481=" ",NOT(ISNUMBER(G481))),"Unknown",G481&lt;=33,"Low Spender",G481&lt;=66,"Medium Spender",TRUE, "High Spender")</f>
        <v>High Spender</v>
      </c>
      <c r="I481" s="1">
        <v>73</v>
      </c>
      <c r="J481" s="1">
        <v>8900</v>
      </c>
      <c r="K481" s="1">
        <v>207</v>
      </c>
      <c r="M481" s="1" t="s">
        <v>30</v>
      </c>
      <c r="N481" s="1" t="str">
        <f t="shared" si="14"/>
        <v>Higher</v>
      </c>
      <c r="O481" s="1" t="str">
        <f t="shared" si="15"/>
        <v>Senior | High Spender | Higher</v>
      </c>
    </row>
    <row r="482" spans="1:15" x14ac:dyDescent="0.25">
      <c r="A482" s="1" t="s">
        <v>512</v>
      </c>
      <c r="B482" s="1">
        <v>59</v>
      </c>
      <c r="C482" s="1" t="str" cm="1">
        <f t="array" ref="C482">_xlfn.IFS(OR(B482=" ", B482="NA",NOT(ISNUMBER(B482))), "Unknown",B482&lt;18,"Underage",B482&lt;=24,"Young Adult",B482&lt;=34,"Early Career",B482&lt;=44,"Mid Career",B482&lt;=54,"Mature",B482&lt;=65,"Pre-Senior",B482&gt;65,"Senior")</f>
        <v>Pre-Senior</v>
      </c>
      <c r="D482" s="1" t="s">
        <v>18</v>
      </c>
      <c r="E482" s="1" t="s">
        <v>34</v>
      </c>
      <c r="F482" s="1">
        <v>575000</v>
      </c>
      <c r="G482" s="1">
        <v>8</v>
      </c>
      <c r="H482" s="1" t="str" cm="1">
        <f t="array" ref="H482">_xlfn.IFS( OR(G482=" ",NOT(ISNUMBER(G482))),"Unknown",G482&lt;=33,"Low Spender",G482&lt;=66,"Medium Spender",TRUE, "High Spender")</f>
        <v>Low Spender</v>
      </c>
      <c r="I482" s="1">
        <v>75</v>
      </c>
      <c r="J482" s="1">
        <v>8000</v>
      </c>
      <c r="K482" s="1">
        <v>363</v>
      </c>
      <c r="L482" s="1" t="s">
        <v>37</v>
      </c>
      <c r="M482" s="1" t="s">
        <v>30</v>
      </c>
      <c r="N482" s="1" t="str">
        <f t="shared" si="14"/>
        <v>Higher</v>
      </c>
      <c r="O482" s="1" t="str">
        <f t="shared" si="15"/>
        <v>Pre-Senior | Low Spender | Higher</v>
      </c>
    </row>
    <row r="483" spans="1:15" x14ac:dyDescent="0.25">
      <c r="A483" s="1" t="s">
        <v>513</v>
      </c>
      <c r="B483" s="1">
        <v>23</v>
      </c>
      <c r="C483" s="1" t="str" cm="1">
        <f t="array" ref="C483">_xlfn.IFS(OR(B483=" ", B483="NA",NOT(ISNUMBER(B483))), "Unknown",B483&lt;18,"Underage",B483&lt;=24,"Young Adult",B483&lt;=34,"Early Career",B483&lt;=44,"Mid Career",B483&lt;=54,"Mature",B483&lt;=65,"Pre-Senior",B483&gt;65,"Senior")</f>
        <v>Young Adult</v>
      </c>
      <c r="D483" s="1" t="s">
        <v>29</v>
      </c>
      <c r="E483" s="1" t="s">
        <v>23</v>
      </c>
      <c r="F483" s="1">
        <v>1475000</v>
      </c>
      <c r="G483" s="1">
        <v>8</v>
      </c>
      <c r="H483" s="1" t="str" cm="1">
        <f t="array" ref="H483">_xlfn.IFS( OR(G483=" ",NOT(ISNUMBER(G483))),"Unknown",G483&lt;=33,"Low Spender",G483&lt;=66,"Medium Spender",TRUE, "High Spender")</f>
        <v>Low Spender</v>
      </c>
      <c r="I483" s="1">
        <v>51</v>
      </c>
      <c r="J483" s="1">
        <v>7000</v>
      </c>
      <c r="K483" s="1">
        <v>340</v>
      </c>
      <c r="L483" s="1" t="s">
        <v>16</v>
      </c>
      <c r="M483" s="1" t="s">
        <v>30</v>
      </c>
      <c r="N483" s="1" t="str">
        <f t="shared" si="14"/>
        <v>Higher</v>
      </c>
      <c r="O483" s="1" t="str">
        <f t="shared" si="15"/>
        <v>Young Adult | Low Spender | Higher</v>
      </c>
    </row>
    <row r="484" spans="1:15" x14ac:dyDescent="0.25">
      <c r="A484" s="1" t="s">
        <v>514</v>
      </c>
      <c r="B484" s="1">
        <v>32</v>
      </c>
      <c r="C484" s="1" t="str" cm="1">
        <f t="array" ref="C484">_xlfn.IFS(OR(B484=" ", B484="NA",NOT(ISNUMBER(B484))), "Unknown",B484&lt;18,"Underage",B484&lt;=24,"Young Adult",B484&lt;=34,"Early Career",B484&lt;=44,"Mid Career",B484&lt;=54,"Mature",B484&lt;=65,"Pre-Senior",B484&gt;65,"Senior")</f>
        <v>Early Career</v>
      </c>
      <c r="D484" s="1" t="s">
        <v>18</v>
      </c>
      <c r="E484" s="1" t="s">
        <v>19</v>
      </c>
      <c r="F484" s="1">
        <v>150000</v>
      </c>
      <c r="G484" s="1">
        <v>60</v>
      </c>
      <c r="H484" s="1" t="str" cm="1">
        <f t="array" ref="H484">_xlfn.IFS( OR(G484=" ",NOT(ISNUMBER(G484))),"Unknown",G484&lt;=33,"Low Spender",G484&lt;=66,"Medium Spender",TRUE, "High Spender")</f>
        <v>Medium Spender</v>
      </c>
      <c r="I484" s="1">
        <v>2</v>
      </c>
      <c r="J484" s="1">
        <v>2300</v>
      </c>
      <c r="K484" s="1">
        <v>128</v>
      </c>
      <c r="L484" s="1" t="s">
        <v>37</v>
      </c>
      <c r="N484" s="1" t="str">
        <f t="shared" si="14"/>
        <v>Higher</v>
      </c>
      <c r="O484" s="1" t="str">
        <f t="shared" si="15"/>
        <v>Early Career | Medium Spender | Higher</v>
      </c>
    </row>
    <row r="485" spans="1:15" x14ac:dyDescent="0.25">
      <c r="A485" s="1" t="s">
        <v>515</v>
      </c>
      <c r="C485" s="1" t="str" cm="1">
        <f t="array" ref="C485">_xlfn.IFS(OR(B485=" ", B485="NA",NOT(ISNUMBER(B485))), "Unknown",B485&lt;18,"Underage",B485&lt;=24,"Young Adult",B485&lt;=34,"Early Career",B485&lt;=44,"Mid Career",B485&lt;=54,"Mature",B485&lt;=65,"Pre-Senior",B485&gt;65,"Senior")</f>
        <v>Unknown</v>
      </c>
      <c r="D485" s="1" t="s">
        <v>12</v>
      </c>
      <c r="E485" s="1" t="s">
        <v>49</v>
      </c>
      <c r="F485" s="1">
        <v>1650000</v>
      </c>
      <c r="G485" s="1">
        <v>72</v>
      </c>
      <c r="H485" s="1" t="str" cm="1">
        <f t="array" ref="H485">_xlfn.IFS( OR(G485=" ",NOT(ISNUMBER(G485))),"Unknown",G485&lt;=33,"Low Spender",G485&lt;=66,"Medium Spender",TRUE, "High Spender")</f>
        <v>High Spender</v>
      </c>
      <c r="I485" s="1">
        <v>15</v>
      </c>
      <c r="J485" s="1">
        <v>6300</v>
      </c>
      <c r="K485" s="1">
        <v>185</v>
      </c>
      <c r="L485" s="1" t="s">
        <v>37</v>
      </c>
      <c r="M485" s="1" t="s">
        <v>32</v>
      </c>
      <c r="N485" s="1" t="str">
        <f t="shared" si="14"/>
        <v>Lower</v>
      </c>
      <c r="O485" s="1" t="str">
        <f t="shared" si="15"/>
        <v>Unknown | High Spender | Lower</v>
      </c>
    </row>
    <row r="486" spans="1:15" x14ac:dyDescent="0.25">
      <c r="A486" s="1" t="s">
        <v>516</v>
      </c>
      <c r="B486" s="1">
        <v>60</v>
      </c>
      <c r="C486" s="1" t="str" cm="1">
        <f t="array" ref="C486">_xlfn.IFS(OR(B486=" ", B486="NA",NOT(ISNUMBER(B486))), "Unknown",B486&lt;18,"Underage",B486&lt;=24,"Young Adult",B486&lt;=34,"Early Career",B486&lt;=44,"Mid Career",B486&lt;=54,"Mature",B486&lt;=65,"Pre-Senior",B486&gt;65,"Senior")</f>
        <v>Pre-Senior</v>
      </c>
      <c r="D486" s="1" t="s">
        <v>12</v>
      </c>
      <c r="E486" s="1" t="s">
        <v>27</v>
      </c>
      <c r="F486" s="1">
        <v>200000</v>
      </c>
      <c r="G486" s="1">
        <v>34</v>
      </c>
      <c r="H486" s="1" t="str" cm="1">
        <f t="array" ref="H486">_xlfn.IFS( OR(G486=" ",NOT(ISNUMBER(G486))),"Unknown",G486&lt;=33,"Low Spender",G486&lt;=66,"Medium Spender",TRUE, "High Spender")</f>
        <v>Medium Spender</v>
      </c>
      <c r="I486" s="1">
        <v>35</v>
      </c>
      <c r="J486" s="1">
        <v>11200</v>
      </c>
      <c r="K486" s="1">
        <v>58</v>
      </c>
      <c r="N486" s="1" t="str">
        <f t="shared" si="14"/>
        <v>Lower</v>
      </c>
      <c r="O486" s="1" t="str">
        <f t="shared" si="15"/>
        <v>Pre-Senior | Medium Spender | Lower</v>
      </c>
    </row>
    <row r="487" spans="1:15" x14ac:dyDescent="0.25">
      <c r="A487" s="1" t="s">
        <v>517</v>
      </c>
      <c r="B487" s="1">
        <v>54</v>
      </c>
      <c r="C487" s="1" t="str" cm="1">
        <f t="array" ref="C487">_xlfn.IFS(OR(B487=" ", B487="NA",NOT(ISNUMBER(B487))), "Unknown",B487&lt;18,"Underage",B487&lt;=24,"Young Adult",B487&lt;=34,"Early Career",B487&lt;=44,"Mid Career",B487&lt;=54,"Mature",B487&lt;=65,"Pre-Senior",B487&gt;65,"Senior")</f>
        <v>Mature</v>
      </c>
      <c r="D487" s="1" t="s">
        <v>12</v>
      </c>
      <c r="E487" s="1" t="s">
        <v>19</v>
      </c>
      <c r="F487" s="1">
        <v>1825000</v>
      </c>
      <c r="G487" s="1">
        <v>16</v>
      </c>
      <c r="H487" s="1" t="str" cm="1">
        <f t="array" ref="H487">_xlfn.IFS( OR(G487=" ",NOT(ISNUMBER(G487))),"Unknown",G487&lt;=33,"Low Spender",G487&lt;=66,"Medium Spender",TRUE, "High Spender")</f>
        <v>Low Spender</v>
      </c>
      <c r="I487" s="1">
        <v>36</v>
      </c>
      <c r="J487" s="1">
        <v>7600</v>
      </c>
      <c r="K487" s="1">
        <v>143</v>
      </c>
      <c r="L487" s="1" t="s">
        <v>20</v>
      </c>
      <c r="M487" s="1" t="s">
        <v>30</v>
      </c>
      <c r="N487" s="1" t="str">
        <f t="shared" si="14"/>
        <v>Lower</v>
      </c>
      <c r="O487" s="1" t="str">
        <f t="shared" si="15"/>
        <v>Mature | Low Spender | Lower</v>
      </c>
    </row>
    <row r="488" spans="1:15" x14ac:dyDescent="0.25">
      <c r="A488" s="1" t="s">
        <v>518</v>
      </c>
      <c r="B488" s="1">
        <v>50</v>
      </c>
      <c r="C488" s="1" t="str" cm="1">
        <f t="array" ref="C488">_xlfn.IFS(OR(B488=" ", B488="NA",NOT(ISNUMBER(B488))), "Unknown",B488&lt;18,"Underage",B488&lt;=24,"Young Adult",B488&lt;=34,"Early Career",B488&lt;=44,"Mid Career",B488&lt;=54,"Mature",B488&lt;=65,"Pre-Senior",B488&gt;65,"Senior")</f>
        <v>Mature</v>
      </c>
      <c r="D488" s="1" t="s">
        <v>18</v>
      </c>
      <c r="E488" s="1" t="s">
        <v>13</v>
      </c>
      <c r="F488" s="1">
        <v>1150000</v>
      </c>
      <c r="G488" s="1">
        <v>13</v>
      </c>
      <c r="H488" s="1" t="str" cm="1">
        <f t="array" ref="H488">_xlfn.IFS( OR(G488=" ",NOT(ISNUMBER(G488))),"Unknown",G488&lt;=33,"Low Spender",G488&lt;=66,"Medium Spender",TRUE, "High Spender")</f>
        <v>Low Spender</v>
      </c>
      <c r="I488" s="1">
        <v>39</v>
      </c>
      <c r="J488" s="1">
        <v>8800</v>
      </c>
      <c r="K488" s="1">
        <v>97</v>
      </c>
      <c r="M488" s="1" t="s">
        <v>41</v>
      </c>
      <c r="N488" s="1" t="str">
        <f t="shared" si="14"/>
        <v>Higher</v>
      </c>
      <c r="O488" s="1" t="str">
        <f t="shared" si="15"/>
        <v>Mature | Low Spender | Higher</v>
      </c>
    </row>
    <row r="489" spans="1:15" x14ac:dyDescent="0.25">
      <c r="A489" s="1" t="s">
        <v>519</v>
      </c>
      <c r="B489" s="1">
        <v>25</v>
      </c>
      <c r="C489" s="1" t="str" cm="1">
        <f t="array" ref="C489">_xlfn.IFS(OR(B489=" ", B489="NA",NOT(ISNUMBER(B489))), "Unknown",B489&lt;18,"Underage",B489&lt;=24,"Young Adult",B489&lt;=34,"Early Career",B489&lt;=44,"Mid Career",B489&lt;=54,"Mature",B489&lt;=65,"Pre-Senior",B489&gt;65,"Senior")</f>
        <v>Early Career</v>
      </c>
      <c r="D489" s="1" t="s">
        <v>12</v>
      </c>
      <c r="F489" s="1">
        <v>1050000</v>
      </c>
      <c r="G489" s="1">
        <v>87</v>
      </c>
      <c r="H489" s="1" t="str" cm="1">
        <f t="array" ref="H489">_xlfn.IFS( OR(G489=" ",NOT(ISNUMBER(G489))),"Unknown",G489&lt;=33,"Low Spender",G489&lt;=66,"Medium Spender",TRUE, "High Spender")</f>
        <v>High Spender</v>
      </c>
      <c r="I489" s="1">
        <v>4</v>
      </c>
      <c r="J489" s="1">
        <v>9600</v>
      </c>
      <c r="K489" s="1">
        <v>47</v>
      </c>
      <c r="M489" s="1" t="s">
        <v>32</v>
      </c>
      <c r="N489" s="1" t="str">
        <f t="shared" si="14"/>
        <v>Lower</v>
      </c>
      <c r="O489" s="1" t="str">
        <f t="shared" si="15"/>
        <v>Early Career | High Spender | Lower</v>
      </c>
    </row>
    <row r="490" spans="1:15" x14ac:dyDescent="0.25">
      <c r="A490" s="1" t="s">
        <v>520</v>
      </c>
      <c r="C490" s="1" t="str" cm="1">
        <f t="array" ref="C490">_xlfn.IFS(OR(B490=" ", B490="NA",NOT(ISNUMBER(B490))), "Unknown",B490&lt;18,"Underage",B490&lt;=24,"Young Adult",B490&lt;=34,"Early Career",B490&lt;=44,"Mid Career",B490&lt;=54,"Mature",B490&lt;=65,"Pre-Senior",B490&gt;65,"Senior")</f>
        <v>Unknown</v>
      </c>
      <c r="D490" s="1" t="s">
        <v>29</v>
      </c>
      <c r="E490" s="1" t="s">
        <v>49</v>
      </c>
      <c r="F490" s="1">
        <v>1400000</v>
      </c>
      <c r="G490" s="1">
        <v>76</v>
      </c>
      <c r="H490" s="1" t="str" cm="1">
        <f t="array" ref="H490">_xlfn.IFS( OR(G490=" ",NOT(ISNUMBER(G490))),"Unknown",G490&lt;=33,"Low Spender",G490&lt;=66,"Medium Spender",TRUE, "High Spender")</f>
        <v>High Spender</v>
      </c>
      <c r="I490" s="1">
        <v>64</v>
      </c>
      <c r="J490" s="1">
        <v>9600</v>
      </c>
      <c r="K490" s="1">
        <v>191</v>
      </c>
      <c r="M490" s="1" t="s">
        <v>21</v>
      </c>
      <c r="N490" s="1" t="str">
        <f t="shared" si="14"/>
        <v>Higher</v>
      </c>
      <c r="O490" s="1" t="str">
        <f t="shared" si="15"/>
        <v>Unknown | High Spender | Higher</v>
      </c>
    </row>
    <row r="491" spans="1:15" x14ac:dyDescent="0.25">
      <c r="A491" s="1" t="s">
        <v>521</v>
      </c>
      <c r="B491" s="1">
        <v>61</v>
      </c>
      <c r="C491" s="1" t="str" cm="1">
        <f t="array" ref="C491">_xlfn.IFS(OR(B491=" ", B491="NA",NOT(ISNUMBER(B491))), "Unknown",B491&lt;18,"Underage",B491&lt;=24,"Young Adult",B491&lt;=34,"Early Career",B491&lt;=44,"Mid Career",B491&lt;=54,"Mature",B491&lt;=65,"Pre-Senior",B491&gt;65,"Senior")</f>
        <v>Pre-Senior</v>
      </c>
      <c r="D491" s="1" t="s">
        <v>12</v>
      </c>
      <c r="E491" s="1" t="s">
        <v>34</v>
      </c>
      <c r="F491" s="1">
        <v>500000</v>
      </c>
      <c r="G491" s="1">
        <v>91</v>
      </c>
      <c r="H491" s="1" t="str" cm="1">
        <f t="array" ref="H491">_xlfn.IFS( OR(G491=" ",NOT(ISNUMBER(G491))),"Unknown",G491&lt;=33,"Low Spender",G491&lt;=66,"Medium Spender",TRUE, "High Spender")</f>
        <v>High Spender</v>
      </c>
      <c r="I491" s="1">
        <v>74</v>
      </c>
      <c r="J491" s="1">
        <v>8200</v>
      </c>
      <c r="K491" s="1">
        <v>140</v>
      </c>
      <c r="L491" s="1" t="s">
        <v>16</v>
      </c>
      <c r="N491" s="1" t="str">
        <f t="shared" si="14"/>
        <v>Lower</v>
      </c>
      <c r="O491" s="1" t="str">
        <f t="shared" si="15"/>
        <v>Pre-Senior | High Spender | Lower</v>
      </c>
    </row>
    <row r="492" spans="1:15" x14ac:dyDescent="0.25">
      <c r="A492" s="1" t="s">
        <v>522</v>
      </c>
      <c r="B492" s="1">
        <v>61</v>
      </c>
      <c r="C492" s="1" t="str" cm="1">
        <f t="array" ref="C492">_xlfn.IFS(OR(B492=" ", B492="NA",NOT(ISNUMBER(B492))), "Unknown",B492&lt;18,"Underage",B492&lt;=24,"Young Adult",B492&lt;=34,"Early Career",B492&lt;=44,"Mid Career",B492&lt;=54,"Mature",B492&lt;=65,"Pre-Senior",B492&gt;65,"Senior")</f>
        <v>Pre-Senior</v>
      </c>
      <c r="D492" s="1" t="s">
        <v>18</v>
      </c>
      <c r="E492" s="1" t="s">
        <v>49</v>
      </c>
      <c r="F492" s="1">
        <v>325000</v>
      </c>
      <c r="G492" s="1">
        <v>22</v>
      </c>
      <c r="H492" s="1" t="str" cm="1">
        <f t="array" ref="H492">_xlfn.IFS( OR(G492=" ",NOT(ISNUMBER(G492))),"Unknown",G492&lt;=33,"Low Spender",G492&lt;=66,"Medium Spender",TRUE, "High Spender")</f>
        <v>Low Spender</v>
      </c>
      <c r="I492" s="1">
        <v>6</v>
      </c>
      <c r="J492" s="1">
        <v>7700</v>
      </c>
      <c r="K492" s="1">
        <v>103</v>
      </c>
      <c r="L492" s="1" t="s">
        <v>35</v>
      </c>
      <c r="N492" s="1" t="str">
        <f t="shared" si="14"/>
        <v>Higher</v>
      </c>
      <c r="O492" s="1" t="str">
        <f t="shared" si="15"/>
        <v>Pre-Senior | Low Spender | Higher</v>
      </c>
    </row>
    <row r="493" spans="1:15" x14ac:dyDescent="0.25">
      <c r="A493" s="1" t="s">
        <v>523</v>
      </c>
      <c r="B493" s="1">
        <v>22</v>
      </c>
      <c r="C493" s="1" t="str" cm="1">
        <f t="array" ref="C493">_xlfn.IFS(OR(B493=" ", B493="NA",NOT(ISNUMBER(B493))), "Unknown",B493&lt;18,"Underage",B493&lt;=24,"Young Adult",B493&lt;=34,"Early Career",B493&lt;=44,"Mid Career",B493&lt;=54,"Mature",B493&lt;=65,"Pre-Senior",B493&gt;65,"Senior")</f>
        <v>Young Adult</v>
      </c>
      <c r="E493" s="1" t="s">
        <v>15</v>
      </c>
      <c r="F493" s="1">
        <v>1075000</v>
      </c>
      <c r="G493" s="1">
        <v>96</v>
      </c>
      <c r="H493" s="1" t="str" cm="1">
        <f t="array" ref="H493">_xlfn.IFS( OR(G493=" ",NOT(ISNUMBER(G493))),"Unknown",G493&lt;=33,"Low Spender",G493&lt;=66,"Medium Spender",TRUE, "High Spender")</f>
        <v>High Spender</v>
      </c>
      <c r="I493" s="1">
        <v>57</v>
      </c>
      <c r="J493" s="1">
        <v>8800</v>
      </c>
      <c r="K493" s="1">
        <v>231</v>
      </c>
      <c r="L493" s="1" t="s">
        <v>20</v>
      </c>
      <c r="N493" s="1" t="str">
        <f t="shared" si="14"/>
        <v>Lower</v>
      </c>
      <c r="O493" s="1" t="str">
        <f t="shared" si="15"/>
        <v>Young Adult | High Spender | Lower</v>
      </c>
    </row>
    <row r="494" spans="1:15" x14ac:dyDescent="0.25">
      <c r="A494" s="1" t="s">
        <v>524</v>
      </c>
      <c r="B494" s="1">
        <v>56</v>
      </c>
      <c r="C494" s="1" t="str" cm="1">
        <f t="array" ref="C494">_xlfn.IFS(OR(B494=" ", B494="NA",NOT(ISNUMBER(B494))), "Unknown",B494&lt;18,"Underage",B494&lt;=24,"Young Adult",B494&lt;=34,"Early Career",B494&lt;=44,"Mid Career",B494&lt;=54,"Mature",B494&lt;=65,"Pre-Senior",B494&gt;65,"Senior")</f>
        <v>Pre-Senior</v>
      </c>
      <c r="D494" s="1" t="s">
        <v>18</v>
      </c>
      <c r="E494" s="1" t="s">
        <v>58</v>
      </c>
      <c r="F494" s="1">
        <v>1525000</v>
      </c>
      <c r="G494" s="1">
        <v>27</v>
      </c>
      <c r="H494" s="1" t="str" cm="1">
        <f t="array" ref="H494">_xlfn.IFS( OR(G494=" ",NOT(ISNUMBER(G494))),"Unknown",G494&lt;=33,"Low Spender",G494&lt;=66,"Medium Spender",TRUE, "High Spender")</f>
        <v>Low Spender</v>
      </c>
      <c r="I494" s="1">
        <v>30</v>
      </c>
      <c r="J494" s="1">
        <v>3100</v>
      </c>
      <c r="K494" s="1">
        <v>340</v>
      </c>
      <c r="L494" s="1" t="s">
        <v>16</v>
      </c>
      <c r="M494" s="1" t="s">
        <v>32</v>
      </c>
      <c r="N494" s="1" t="str">
        <f t="shared" si="14"/>
        <v>Higher</v>
      </c>
      <c r="O494" s="1" t="str">
        <f t="shared" si="15"/>
        <v>Pre-Senior | Low Spender | Higher</v>
      </c>
    </row>
    <row r="495" spans="1:15" x14ac:dyDescent="0.25">
      <c r="A495" s="1" t="s">
        <v>525</v>
      </c>
      <c r="B495" s="1">
        <v>21</v>
      </c>
      <c r="C495" s="1" t="str" cm="1">
        <f t="array" ref="C495">_xlfn.IFS(OR(B495=" ", B495="NA",NOT(ISNUMBER(B495))), "Unknown",B495&lt;18,"Underage",B495&lt;=24,"Young Adult",B495&lt;=34,"Early Career",B495&lt;=44,"Mid Career",B495&lt;=54,"Mature",B495&lt;=65,"Pre-Senior",B495&gt;65,"Senior")</f>
        <v>Young Adult</v>
      </c>
      <c r="D495" s="1" t="s">
        <v>18</v>
      </c>
      <c r="E495" s="1" t="s">
        <v>23</v>
      </c>
      <c r="F495" s="1">
        <v>1300000</v>
      </c>
      <c r="G495" s="1">
        <v>64</v>
      </c>
      <c r="H495" s="1" t="str" cm="1">
        <f t="array" ref="H495">_xlfn.IFS( OR(G495=" ",NOT(ISNUMBER(G495))),"Unknown",G495&lt;=33,"Low Spender",G495&lt;=66,"Medium Spender",TRUE, "High Spender")</f>
        <v>Medium Spender</v>
      </c>
      <c r="I495" s="1">
        <v>74</v>
      </c>
      <c r="J495" s="1">
        <v>2700</v>
      </c>
      <c r="K495" s="1">
        <v>49</v>
      </c>
      <c r="L495" s="1" t="s">
        <v>16</v>
      </c>
      <c r="M495" s="1" t="s">
        <v>41</v>
      </c>
      <c r="N495" s="1" t="str">
        <f t="shared" si="14"/>
        <v>Higher</v>
      </c>
      <c r="O495" s="1" t="str">
        <f t="shared" si="15"/>
        <v>Young Adult | Medium Spender | Higher</v>
      </c>
    </row>
    <row r="496" spans="1:15" x14ac:dyDescent="0.25">
      <c r="A496" s="1" t="s">
        <v>526</v>
      </c>
      <c r="B496" s="1">
        <v>23</v>
      </c>
      <c r="C496" s="1" t="str" cm="1">
        <f t="array" ref="C496">_xlfn.IFS(OR(B496=" ", B496="NA",NOT(ISNUMBER(B496))), "Unknown",B496&lt;18,"Underage",B496&lt;=24,"Young Adult",B496&lt;=34,"Early Career",B496&lt;=44,"Mid Career",B496&lt;=54,"Mature",B496&lt;=65,"Pre-Senior",B496&gt;65,"Senior")</f>
        <v>Young Adult</v>
      </c>
      <c r="D496" s="1" t="s">
        <v>12</v>
      </c>
      <c r="E496" s="1" t="s">
        <v>58</v>
      </c>
      <c r="F496" s="1">
        <v>375000</v>
      </c>
      <c r="G496" s="1">
        <v>2</v>
      </c>
      <c r="H496" s="1" t="str" cm="1">
        <f t="array" ref="H496">_xlfn.IFS( OR(G496=" ",NOT(ISNUMBER(G496))),"Unknown",G496&lt;=33,"Low Spender",G496&lt;=66,"Medium Spender",TRUE, "High Spender")</f>
        <v>Low Spender</v>
      </c>
      <c r="I496" s="1">
        <v>67</v>
      </c>
      <c r="J496" s="1">
        <v>6000</v>
      </c>
      <c r="K496" s="1">
        <v>112</v>
      </c>
      <c r="M496" s="1" t="s">
        <v>32</v>
      </c>
      <c r="N496" s="1" t="str">
        <f t="shared" si="14"/>
        <v>Lower</v>
      </c>
      <c r="O496" s="1" t="str">
        <f t="shared" si="15"/>
        <v>Young Adult | Low Spender | Lower</v>
      </c>
    </row>
    <row r="497" spans="1:15" x14ac:dyDescent="0.25">
      <c r="A497" s="1" t="s">
        <v>527</v>
      </c>
      <c r="B497" s="1">
        <v>62</v>
      </c>
      <c r="C497" s="1" t="str" cm="1">
        <f t="array" ref="C497">_xlfn.IFS(OR(B497=" ", B497="NA",NOT(ISNUMBER(B497))), "Unknown",B497&lt;18,"Underage",B497&lt;=24,"Young Adult",B497&lt;=34,"Early Career",B497&lt;=44,"Mid Career",B497&lt;=54,"Mature",B497&lt;=65,"Pre-Senior",B497&gt;65,"Senior")</f>
        <v>Pre-Senior</v>
      </c>
      <c r="D497" s="1" t="s">
        <v>29</v>
      </c>
      <c r="E497" s="1" t="s">
        <v>58</v>
      </c>
      <c r="F497" s="1">
        <v>1350000</v>
      </c>
      <c r="G497" s="1">
        <v>97</v>
      </c>
      <c r="H497" s="1" t="str" cm="1">
        <f t="array" ref="H497">_xlfn.IFS( OR(G497=" ",NOT(ISNUMBER(G497))),"Unknown",G497&lt;=33,"Low Spender",G497&lt;=66,"Medium Spender",TRUE, "High Spender")</f>
        <v>High Spender</v>
      </c>
      <c r="I497" s="1">
        <v>15</v>
      </c>
      <c r="J497" s="1">
        <v>1600</v>
      </c>
      <c r="K497" s="1">
        <v>316</v>
      </c>
      <c r="L497" s="1" t="s">
        <v>20</v>
      </c>
      <c r="N497" s="1" t="str">
        <f t="shared" si="14"/>
        <v>Higher</v>
      </c>
      <c r="O497" s="1" t="str">
        <f t="shared" si="15"/>
        <v>Pre-Senior | High Spender | Higher</v>
      </c>
    </row>
    <row r="498" spans="1:15" x14ac:dyDescent="0.25">
      <c r="A498" s="1" t="s">
        <v>528</v>
      </c>
      <c r="B498" s="1">
        <v>49</v>
      </c>
      <c r="C498" s="1" t="str" cm="1">
        <f t="array" ref="C498">_xlfn.IFS(OR(B498=" ", B498="NA",NOT(ISNUMBER(B498))), "Unknown",B498&lt;18,"Underage",B498&lt;=24,"Young Adult",B498&lt;=34,"Early Career",B498&lt;=44,"Mid Career",B498&lt;=54,"Mature",B498&lt;=65,"Pre-Senior",B498&gt;65,"Senior")</f>
        <v>Mature</v>
      </c>
      <c r="D498" s="1" t="s">
        <v>29</v>
      </c>
      <c r="E498" s="1" t="s">
        <v>49</v>
      </c>
      <c r="F498" s="1">
        <v>1150000</v>
      </c>
      <c r="G498" s="1">
        <v>26</v>
      </c>
      <c r="H498" s="1" t="str" cm="1">
        <f t="array" ref="H498">_xlfn.IFS( OR(G498=" ",NOT(ISNUMBER(G498))),"Unknown",G498&lt;=33,"Low Spender",G498&lt;=66,"Medium Spender",TRUE, "High Spender")</f>
        <v>Low Spender</v>
      </c>
      <c r="I498" s="1">
        <v>17</v>
      </c>
      <c r="J498" s="1">
        <v>8000</v>
      </c>
      <c r="K498" s="1">
        <v>322</v>
      </c>
      <c r="M498" s="1" t="s">
        <v>30</v>
      </c>
      <c r="N498" s="1" t="str">
        <f t="shared" si="14"/>
        <v>Higher</v>
      </c>
      <c r="O498" s="1" t="str">
        <f t="shared" si="15"/>
        <v>Mature | Low Spender | Higher</v>
      </c>
    </row>
    <row r="499" spans="1:15" x14ac:dyDescent="0.25">
      <c r="A499" s="1" t="s">
        <v>529</v>
      </c>
      <c r="B499" s="1">
        <v>69</v>
      </c>
      <c r="C499" s="1" t="str" cm="1">
        <f t="array" ref="C499">_xlfn.IFS(OR(B499=" ", B499="NA",NOT(ISNUMBER(B499))), "Unknown",B499&lt;18,"Underage",B499&lt;=24,"Young Adult",B499&lt;=34,"Early Career",B499&lt;=44,"Mid Career",B499&lt;=54,"Mature",B499&lt;=65,"Pre-Senior",B499&gt;65,"Senior")</f>
        <v>Senior</v>
      </c>
      <c r="E499" s="1" t="s">
        <v>15</v>
      </c>
      <c r="F499" s="1">
        <v>875000</v>
      </c>
      <c r="G499" s="1">
        <v>92</v>
      </c>
      <c r="H499" s="1" t="str" cm="1">
        <f t="array" ref="H499">_xlfn.IFS( OR(G499=" ",NOT(ISNUMBER(G499))),"Unknown",G499&lt;=33,"Low Spender",G499&lt;=66,"Medium Spender",TRUE, "High Spender")</f>
        <v>High Spender</v>
      </c>
      <c r="I499" s="1">
        <v>18</v>
      </c>
      <c r="J499" s="1">
        <v>6800</v>
      </c>
      <c r="K499" s="1">
        <v>87</v>
      </c>
      <c r="L499" s="1" t="s">
        <v>35</v>
      </c>
      <c r="M499" s="1" t="s">
        <v>21</v>
      </c>
      <c r="N499" s="1" t="str">
        <f t="shared" si="14"/>
        <v>Lower</v>
      </c>
      <c r="O499" s="1" t="str">
        <f t="shared" si="15"/>
        <v>Senior | High Spender | Lower</v>
      </c>
    </row>
    <row r="500" spans="1:15" x14ac:dyDescent="0.25">
      <c r="A500" s="1" t="s">
        <v>530</v>
      </c>
      <c r="B500" s="1">
        <v>47</v>
      </c>
      <c r="C500" s="1" t="str" cm="1">
        <f t="array" ref="C500">_xlfn.IFS(OR(B500=" ", B500="NA",NOT(ISNUMBER(B500))), "Unknown",B500&lt;18,"Underage",B500&lt;=24,"Young Adult",B500&lt;=34,"Early Career",B500&lt;=44,"Mid Career",B500&lt;=54,"Mature",B500&lt;=65,"Pre-Senior",B500&gt;65,"Senior")</f>
        <v>Mature</v>
      </c>
      <c r="E500" s="1" t="s">
        <v>23</v>
      </c>
      <c r="F500" s="1">
        <v>250000</v>
      </c>
      <c r="G500" s="1">
        <v>83</v>
      </c>
      <c r="H500" s="1" t="str" cm="1">
        <f t="array" ref="H500">_xlfn.IFS( OR(G500=" ",NOT(ISNUMBER(G500))),"Unknown",G500&lt;=33,"Low Spender",G500&lt;=66,"Medium Spender",TRUE, "High Spender")</f>
        <v>High Spender</v>
      </c>
      <c r="I500" s="1">
        <v>19</v>
      </c>
      <c r="J500" s="1">
        <v>5600</v>
      </c>
      <c r="K500" s="1">
        <v>282</v>
      </c>
      <c r="M500" s="1" t="s">
        <v>30</v>
      </c>
      <c r="N500" s="1" t="str">
        <f t="shared" si="14"/>
        <v>Lower</v>
      </c>
      <c r="O500" s="1" t="str">
        <f t="shared" si="15"/>
        <v>Mature | High Spender | Lower</v>
      </c>
    </row>
    <row r="501" spans="1:15" x14ac:dyDescent="0.25">
      <c r="A501" s="1" t="s">
        <v>531</v>
      </c>
      <c r="B501" s="1">
        <v>64</v>
      </c>
      <c r="C501" s="1" t="str" cm="1">
        <f t="array" ref="C501">_xlfn.IFS(OR(B501=" ", B501="NA",NOT(ISNUMBER(B501))), "Unknown",B501&lt;18,"Underage",B501&lt;=24,"Young Adult",B501&lt;=34,"Early Career",B501&lt;=44,"Mid Career",B501&lt;=54,"Mature",B501&lt;=65,"Pre-Senior",B501&gt;65,"Senior")</f>
        <v>Pre-Senior</v>
      </c>
      <c r="E501" s="1" t="s">
        <v>23</v>
      </c>
      <c r="F501" s="1">
        <v>1900000</v>
      </c>
      <c r="G501" s="1">
        <v>69</v>
      </c>
      <c r="H501" s="1" t="str" cm="1">
        <f t="array" ref="H501">_xlfn.IFS( OR(G501=" ",NOT(ISNUMBER(G501))),"Unknown",G501&lt;=33,"Low Spender",G501&lt;=66,"Medium Spender",TRUE, "High Spender")</f>
        <v>High Spender</v>
      </c>
      <c r="I501" s="1">
        <v>76</v>
      </c>
      <c r="J501" s="1">
        <v>7900</v>
      </c>
      <c r="K501" s="1">
        <v>327</v>
      </c>
      <c r="L501" s="1" t="s">
        <v>37</v>
      </c>
      <c r="M501" s="1" t="s">
        <v>30</v>
      </c>
      <c r="N501" s="1" t="str">
        <f t="shared" si="14"/>
        <v>Lower</v>
      </c>
      <c r="O501" s="1" t="str">
        <f t="shared" si="15"/>
        <v>Pre-Senior | High Spender | Lower</v>
      </c>
    </row>
    <row r="502" spans="1:15" x14ac:dyDescent="0.25">
      <c r="A502" s="1" t="s">
        <v>532</v>
      </c>
      <c r="B502" s="1">
        <v>52</v>
      </c>
      <c r="C502" s="1" t="str" cm="1">
        <f t="array" ref="C502">_xlfn.IFS(OR(B502=" ", B502="NA",NOT(ISNUMBER(B502))), "Unknown",B502&lt;18,"Underage",B502&lt;=24,"Young Adult",B502&lt;=34,"Early Career",B502&lt;=44,"Mid Career",B502&lt;=54,"Mature",B502&lt;=65,"Pre-Senior",B502&gt;65,"Senior")</f>
        <v>Mature</v>
      </c>
      <c r="D502" s="1" t="s">
        <v>12</v>
      </c>
      <c r="E502" s="1" t="s">
        <v>58</v>
      </c>
      <c r="F502" s="1">
        <v>900000</v>
      </c>
      <c r="G502" s="1">
        <v>97</v>
      </c>
      <c r="H502" s="1" t="str" cm="1">
        <f t="array" ref="H502">_xlfn.IFS( OR(G502=" ",NOT(ISNUMBER(G502))),"Unknown",G502&lt;=33,"Low Spender",G502&lt;=66,"Medium Spender",TRUE, "High Spender")</f>
        <v>High Spender</v>
      </c>
      <c r="I502" s="1">
        <v>69</v>
      </c>
      <c r="J502" s="1">
        <v>6900</v>
      </c>
      <c r="K502" s="1">
        <v>252</v>
      </c>
      <c r="N502" s="1" t="str">
        <f t="shared" si="14"/>
        <v>Lower</v>
      </c>
      <c r="O502" s="1" t="str">
        <f t="shared" si="15"/>
        <v>Mature | High Spender | Lower</v>
      </c>
    </row>
    <row r="503" spans="1:15" x14ac:dyDescent="0.25">
      <c r="A503" s="1" t="s">
        <v>533</v>
      </c>
      <c r="B503" s="1" t="s">
        <v>73</v>
      </c>
      <c r="C503" s="1" t="str" cm="1">
        <f t="array" ref="C503">_xlfn.IFS(OR(B503=" ", B503="NA",NOT(ISNUMBER(B503))), "Unknown",B503&lt;18,"Underage",B503&lt;=24,"Young Adult",B503&lt;=34,"Early Career",B503&lt;=44,"Mid Career",B503&lt;=54,"Mature",B503&lt;=65,"Pre-Senior",B503&gt;65,"Senior")</f>
        <v>Unknown</v>
      </c>
      <c r="E503" s="1" t="s">
        <v>13</v>
      </c>
      <c r="F503" s="1">
        <v>1425000</v>
      </c>
      <c r="G503" s="1">
        <v>84</v>
      </c>
      <c r="H503" s="1" t="str" cm="1">
        <f t="array" ref="H503">_xlfn.IFS( OR(G503=" ",NOT(ISNUMBER(G503))),"Unknown",G503&lt;=33,"Low Spender",G503&lt;=66,"Medium Spender",TRUE, "High Spender")</f>
        <v>High Spender</v>
      </c>
      <c r="I503" s="1">
        <v>24</v>
      </c>
      <c r="J503" s="1">
        <v>3200</v>
      </c>
      <c r="K503" s="1">
        <v>74</v>
      </c>
      <c r="L503" s="1" t="s">
        <v>37</v>
      </c>
      <c r="M503" s="1" t="s">
        <v>30</v>
      </c>
      <c r="N503" s="1" t="str">
        <f t="shared" si="14"/>
        <v>Lower</v>
      </c>
      <c r="O503" s="1" t="str">
        <f t="shared" si="15"/>
        <v>Unknown | High Spender | Lower</v>
      </c>
    </row>
    <row r="504" spans="1:15" x14ac:dyDescent="0.25">
      <c r="A504" s="1" t="s">
        <v>534</v>
      </c>
      <c r="B504" s="1">
        <v>57</v>
      </c>
      <c r="C504" s="1" t="str" cm="1">
        <f t="array" ref="C504">_xlfn.IFS(OR(B504=" ", B504="NA",NOT(ISNUMBER(B504))), "Unknown",B504&lt;18,"Underage",B504&lt;=24,"Young Adult",B504&lt;=34,"Early Career",B504&lt;=44,"Mid Career",B504&lt;=54,"Mature",B504&lt;=65,"Pre-Senior",B504&gt;65,"Senior")</f>
        <v>Pre-Senior</v>
      </c>
      <c r="F504" s="1">
        <v>700000</v>
      </c>
      <c r="G504" s="1">
        <v>30</v>
      </c>
      <c r="H504" s="1" t="str" cm="1">
        <f t="array" ref="H504">_xlfn.IFS( OR(G504=" ",NOT(ISNUMBER(G504))),"Unknown",G504&lt;=33,"Low Spender",G504&lt;=66,"Medium Spender",TRUE, "High Spender")</f>
        <v>Low Spender</v>
      </c>
      <c r="I504" s="1">
        <v>48</v>
      </c>
      <c r="J504" s="1">
        <v>2000</v>
      </c>
      <c r="K504" s="1">
        <v>47</v>
      </c>
      <c r="L504" s="1" t="s">
        <v>16</v>
      </c>
      <c r="M504" s="1" t="s">
        <v>30</v>
      </c>
      <c r="N504" s="1" t="str">
        <f t="shared" si="14"/>
        <v>Lower</v>
      </c>
      <c r="O504" s="1" t="str">
        <f t="shared" si="15"/>
        <v>Pre-Senior | Low Spender | Lower</v>
      </c>
    </row>
    <row r="505" spans="1:15" x14ac:dyDescent="0.25">
      <c r="A505" s="1" t="s">
        <v>535</v>
      </c>
      <c r="B505" s="1">
        <v>69</v>
      </c>
      <c r="C505" s="1" t="str" cm="1">
        <f t="array" ref="C505">_xlfn.IFS(OR(B505=" ", B505="NA",NOT(ISNUMBER(B505))), "Unknown",B505&lt;18,"Underage",B505&lt;=24,"Young Adult",B505&lt;=34,"Early Career",B505&lt;=44,"Mid Career",B505&lt;=54,"Mature",B505&lt;=65,"Pre-Senior",B505&gt;65,"Senior")</f>
        <v>Senior</v>
      </c>
      <c r="D505" s="1" t="s">
        <v>29</v>
      </c>
      <c r="E505" s="1" t="s">
        <v>15</v>
      </c>
      <c r="F505" s="1">
        <v>1325000</v>
      </c>
      <c r="G505" s="1">
        <v>8</v>
      </c>
      <c r="H505" s="1" t="str" cm="1">
        <f t="array" ref="H505">_xlfn.IFS( OR(G505=" ",NOT(ISNUMBER(G505))),"Unknown",G505&lt;=33,"Low Spender",G505&lt;=66,"Medium Spender",TRUE, "High Spender")</f>
        <v>Low Spender</v>
      </c>
      <c r="I505" s="1">
        <v>30</v>
      </c>
      <c r="J505" s="1">
        <v>5600</v>
      </c>
      <c r="K505" s="1">
        <v>76</v>
      </c>
      <c r="L505" s="1" t="s">
        <v>35</v>
      </c>
      <c r="N505" s="1" t="str">
        <f t="shared" si="14"/>
        <v>Higher</v>
      </c>
      <c r="O505" s="1" t="str">
        <f t="shared" si="15"/>
        <v>Senior | Low Spender | Higher</v>
      </c>
    </row>
    <row r="506" spans="1:15" x14ac:dyDescent="0.25">
      <c r="A506" s="1" t="s">
        <v>536</v>
      </c>
      <c r="B506" s="1">
        <v>33</v>
      </c>
      <c r="C506" s="1" t="str" cm="1">
        <f t="array" ref="C506">_xlfn.IFS(OR(B506=" ", B506="NA",NOT(ISNUMBER(B506))), "Unknown",B506&lt;18,"Underage",B506&lt;=24,"Young Adult",B506&lt;=34,"Early Career",B506&lt;=44,"Mid Career",B506&lt;=54,"Mature",B506&lt;=65,"Pre-Senior",B506&gt;65,"Senior")</f>
        <v>Early Career</v>
      </c>
      <c r="E506" s="1" t="s">
        <v>13</v>
      </c>
      <c r="F506" s="1">
        <v>1125000</v>
      </c>
      <c r="G506" s="1">
        <v>38</v>
      </c>
      <c r="H506" s="1" t="str" cm="1">
        <f t="array" ref="H506">_xlfn.IFS( OR(G506=" ",NOT(ISNUMBER(G506))),"Unknown",G506&lt;=33,"Low Spender",G506&lt;=66,"Medium Spender",TRUE, "High Spender")</f>
        <v>Medium Spender</v>
      </c>
      <c r="I506" s="1">
        <v>15</v>
      </c>
      <c r="J506" s="1">
        <v>10200</v>
      </c>
      <c r="K506" s="1">
        <v>96</v>
      </c>
      <c r="N506" s="1" t="str">
        <f t="shared" si="14"/>
        <v>Lower</v>
      </c>
      <c r="O506" s="1" t="str">
        <f t="shared" si="15"/>
        <v>Early Career | Medium Spender | Lower</v>
      </c>
    </row>
    <row r="507" spans="1:15" x14ac:dyDescent="0.25">
      <c r="A507" s="1" t="s">
        <v>537</v>
      </c>
      <c r="B507" s="1">
        <v>30</v>
      </c>
      <c r="C507" s="1" t="str" cm="1">
        <f t="array" ref="C507">_xlfn.IFS(OR(B507=" ", B507="NA",NOT(ISNUMBER(B507))), "Unknown",B507&lt;18,"Underage",B507&lt;=24,"Young Adult",B507&lt;=34,"Early Career",B507&lt;=44,"Mid Career",B507&lt;=54,"Mature",B507&lt;=65,"Pre-Senior",B507&gt;65,"Senior")</f>
        <v>Early Career</v>
      </c>
      <c r="D507" s="1" t="s">
        <v>18</v>
      </c>
      <c r="F507" s="1">
        <v>275000</v>
      </c>
      <c r="G507" s="1">
        <v>61</v>
      </c>
      <c r="H507" s="1" t="str" cm="1">
        <f t="array" ref="H507">_xlfn.IFS( OR(G507=" ",NOT(ISNUMBER(G507))),"Unknown",G507&lt;=33,"Low Spender",G507&lt;=66,"Medium Spender",TRUE, "High Spender")</f>
        <v>Medium Spender</v>
      </c>
      <c r="I507" s="1">
        <v>47</v>
      </c>
      <c r="J507" s="1">
        <v>2300</v>
      </c>
      <c r="K507" s="1">
        <v>31</v>
      </c>
      <c r="L507" s="1" t="s">
        <v>37</v>
      </c>
      <c r="M507" s="1" t="s">
        <v>41</v>
      </c>
      <c r="N507" s="1" t="str">
        <f t="shared" si="14"/>
        <v>Higher</v>
      </c>
      <c r="O507" s="1" t="str">
        <f t="shared" si="15"/>
        <v>Early Career | Medium Spender | Higher</v>
      </c>
    </row>
    <row r="508" spans="1:15" x14ac:dyDescent="0.25">
      <c r="A508" s="1" t="s">
        <v>538</v>
      </c>
      <c r="B508" s="1">
        <v>67</v>
      </c>
      <c r="C508" s="1" t="str" cm="1">
        <f t="array" ref="C508">_xlfn.IFS(OR(B508=" ", B508="NA",NOT(ISNUMBER(B508))), "Unknown",B508&lt;18,"Underage",B508&lt;=24,"Young Adult",B508&lt;=34,"Early Career",B508&lt;=44,"Mid Career",B508&lt;=54,"Mature",B508&lt;=65,"Pre-Senior",B508&gt;65,"Senior")</f>
        <v>Senior</v>
      </c>
      <c r="D508" s="1" t="s">
        <v>18</v>
      </c>
      <c r="F508" s="1">
        <v>1075000</v>
      </c>
      <c r="G508" s="1">
        <v>81</v>
      </c>
      <c r="H508" s="1" t="str" cm="1">
        <f t="array" ref="H508">_xlfn.IFS( OR(G508=" ",NOT(ISNUMBER(G508))),"Unknown",G508&lt;=33,"Low Spender",G508&lt;=66,"Medium Spender",TRUE, "High Spender")</f>
        <v>High Spender</v>
      </c>
      <c r="I508" s="1">
        <v>44</v>
      </c>
      <c r="J508" s="1">
        <v>5500</v>
      </c>
      <c r="K508" s="1">
        <v>22</v>
      </c>
      <c r="L508" s="1" t="s">
        <v>35</v>
      </c>
      <c r="M508" s="1" t="s">
        <v>30</v>
      </c>
      <c r="N508" s="1" t="str">
        <f t="shared" si="14"/>
        <v>Higher</v>
      </c>
      <c r="O508" s="1" t="str">
        <f t="shared" si="15"/>
        <v>Senior | High Spender | Higher</v>
      </c>
    </row>
    <row r="509" spans="1:15" x14ac:dyDescent="0.25">
      <c r="A509" s="1" t="s">
        <v>539</v>
      </c>
      <c r="B509" s="1">
        <v>59</v>
      </c>
      <c r="C509" s="1" t="str" cm="1">
        <f t="array" ref="C509">_xlfn.IFS(OR(B509=" ", B509="NA",NOT(ISNUMBER(B509))), "Unknown",B509&lt;18,"Underage",B509&lt;=24,"Young Adult",B509&lt;=34,"Early Career",B509&lt;=44,"Mid Career",B509&lt;=54,"Mature",B509&lt;=65,"Pre-Senior",B509&gt;65,"Senior")</f>
        <v>Pre-Senior</v>
      </c>
      <c r="D509" s="1" t="s">
        <v>18</v>
      </c>
      <c r="E509" s="1" t="s">
        <v>19</v>
      </c>
      <c r="F509" s="1">
        <v>1150000</v>
      </c>
      <c r="G509" s="1">
        <v>65</v>
      </c>
      <c r="H509" s="1" t="str" cm="1">
        <f t="array" ref="H509">_xlfn.IFS( OR(G509=" ",NOT(ISNUMBER(G509))),"Unknown",G509&lt;=33,"Low Spender",G509&lt;=66,"Medium Spender",TRUE, "High Spender")</f>
        <v>Medium Spender</v>
      </c>
      <c r="I509" s="1">
        <v>27</v>
      </c>
      <c r="J509" s="1">
        <v>8500</v>
      </c>
      <c r="K509" s="1">
        <v>17</v>
      </c>
      <c r="M509" s="1" t="s">
        <v>32</v>
      </c>
      <c r="N509" s="1" t="str">
        <f t="shared" si="14"/>
        <v>Higher</v>
      </c>
      <c r="O509" s="1" t="str">
        <f t="shared" si="15"/>
        <v>Pre-Senior | Medium Spender | Higher</v>
      </c>
    </row>
    <row r="510" spans="1:15" x14ac:dyDescent="0.25">
      <c r="A510" s="1" t="s">
        <v>540</v>
      </c>
      <c r="B510" s="1">
        <v>47</v>
      </c>
      <c r="C510" s="1" t="str" cm="1">
        <f t="array" ref="C510">_xlfn.IFS(OR(B510=" ", B510="NA",NOT(ISNUMBER(B510))), "Unknown",B510&lt;18,"Underage",B510&lt;=24,"Young Adult",B510&lt;=34,"Early Career",B510&lt;=44,"Mid Career",B510&lt;=54,"Mature",B510&lt;=65,"Pre-Senior",B510&gt;65,"Senior")</f>
        <v>Mature</v>
      </c>
      <c r="D510" s="1" t="s">
        <v>18</v>
      </c>
      <c r="E510" s="1" t="s">
        <v>58</v>
      </c>
      <c r="F510" s="1">
        <v>800000</v>
      </c>
      <c r="G510" s="1">
        <v>67</v>
      </c>
      <c r="H510" s="1" t="str" cm="1">
        <f t="array" ref="H510">_xlfn.IFS( OR(G510=" ",NOT(ISNUMBER(G510))),"Unknown",G510&lt;=33,"Low Spender",G510&lt;=66,"Medium Spender",TRUE, "High Spender")</f>
        <v>High Spender</v>
      </c>
      <c r="I510" s="1">
        <v>64</v>
      </c>
      <c r="J510" s="1">
        <v>1800</v>
      </c>
      <c r="K510" s="1">
        <v>212</v>
      </c>
      <c r="M510" s="1" t="s">
        <v>21</v>
      </c>
      <c r="N510" s="1" t="str">
        <f t="shared" si="14"/>
        <v>Higher</v>
      </c>
      <c r="O510" s="1" t="str">
        <f t="shared" si="15"/>
        <v>Mature | High Spender | Higher</v>
      </c>
    </row>
    <row r="511" spans="1:15" x14ac:dyDescent="0.25">
      <c r="A511" s="1" t="s">
        <v>541</v>
      </c>
      <c r="B511" s="1">
        <v>36</v>
      </c>
      <c r="C511" s="1" t="str" cm="1">
        <f t="array" ref="C511">_xlfn.IFS(OR(B511=" ", B511="NA",NOT(ISNUMBER(B511))), "Unknown",B511&lt;18,"Underage",B511&lt;=24,"Young Adult",B511&lt;=34,"Early Career",B511&lt;=44,"Mid Career",B511&lt;=54,"Mature",B511&lt;=65,"Pre-Senior",B511&gt;65,"Senior")</f>
        <v>Mid Career</v>
      </c>
      <c r="D511" s="1" t="s">
        <v>18</v>
      </c>
      <c r="E511" s="1" t="s">
        <v>23</v>
      </c>
      <c r="G511" s="1">
        <v>46</v>
      </c>
      <c r="H511" s="1" t="str" cm="1">
        <f t="array" ref="H511">_xlfn.IFS( OR(G511=" ",NOT(ISNUMBER(G511))),"Unknown",G511&lt;=33,"Low Spender",G511&lt;=66,"Medium Spender",TRUE, "High Spender")</f>
        <v>Medium Spender</v>
      </c>
      <c r="I511" s="1">
        <v>41</v>
      </c>
      <c r="J511" s="1">
        <v>3000</v>
      </c>
      <c r="K511" s="1">
        <v>148</v>
      </c>
      <c r="N511" s="1" t="str">
        <f t="shared" si="14"/>
        <v>Higher</v>
      </c>
      <c r="O511" s="1" t="str">
        <f t="shared" si="15"/>
        <v>Mid Career | Medium Spender | Higher</v>
      </c>
    </row>
    <row r="512" spans="1:15" x14ac:dyDescent="0.25">
      <c r="A512" s="1" t="s">
        <v>542</v>
      </c>
      <c r="B512" s="1">
        <v>34</v>
      </c>
      <c r="C512" s="1" t="str" cm="1">
        <f t="array" ref="C512">_xlfn.IFS(OR(B512=" ", B512="NA",NOT(ISNUMBER(B512))), "Unknown",B512&lt;18,"Underage",B512&lt;=24,"Young Adult",B512&lt;=34,"Early Career",B512&lt;=44,"Mid Career",B512&lt;=54,"Mature",B512&lt;=65,"Pre-Senior",B512&gt;65,"Senior")</f>
        <v>Early Career</v>
      </c>
      <c r="E512" s="1" t="s">
        <v>49</v>
      </c>
      <c r="F512" s="1">
        <v>1850000</v>
      </c>
      <c r="G512" s="1">
        <v>90</v>
      </c>
      <c r="H512" s="1" t="str" cm="1">
        <f t="array" ref="H512">_xlfn.IFS( OR(G512=" ",NOT(ISNUMBER(G512))),"Unknown",G512&lt;=33,"Low Spender",G512&lt;=66,"Medium Spender",TRUE, "High Spender")</f>
        <v>High Spender</v>
      </c>
      <c r="I512" s="1">
        <v>68</v>
      </c>
      <c r="J512" s="1">
        <v>600</v>
      </c>
      <c r="K512" s="1">
        <v>235</v>
      </c>
      <c r="L512" s="1" t="s">
        <v>16</v>
      </c>
      <c r="M512" s="1" t="s">
        <v>21</v>
      </c>
      <c r="N512" s="1" t="str">
        <f t="shared" si="14"/>
        <v>Lower</v>
      </c>
      <c r="O512" s="1" t="str">
        <f t="shared" si="15"/>
        <v>Early Career | High Spender | Lower</v>
      </c>
    </row>
    <row r="513" spans="1:15" x14ac:dyDescent="0.25">
      <c r="A513" s="1" t="s">
        <v>543</v>
      </c>
      <c r="B513" s="1">
        <v>36</v>
      </c>
      <c r="C513" s="1" t="str" cm="1">
        <f t="array" ref="C513">_xlfn.IFS(OR(B513=" ", B513="NA",NOT(ISNUMBER(B513))), "Unknown",B513&lt;18,"Underage",B513&lt;=24,"Young Adult",B513&lt;=34,"Early Career",B513&lt;=44,"Mid Career",B513&lt;=54,"Mature",B513&lt;=65,"Pre-Senior",B513&gt;65,"Senior")</f>
        <v>Mid Career</v>
      </c>
      <c r="D513" s="1" t="s">
        <v>29</v>
      </c>
      <c r="E513" s="1" t="s">
        <v>23</v>
      </c>
      <c r="F513" s="1">
        <v>1550000</v>
      </c>
      <c r="G513" s="1">
        <v>95</v>
      </c>
      <c r="H513" s="1" t="str" cm="1">
        <f t="array" ref="H513">_xlfn.IFS( OR(G513=" ",NOT(ISNUMBER(G513))),"Unknown",G513&lt;=33,"Low Spender",G513&lt;=66,"Medium Spender",TRUE, "High Spender")</f>
        <v>High Spender</v>
      </c>
      <c r="I513" s="1">
        <v>5</v>
      </c>
      <c r="J513" s="1">
        <v>11700</v>
      </c>
      <c r="K513" s="1">
        <v>354</v>
      </c>
      <c r="N513" s="1" t="str">
        <f t="shared" si="14"/>
        <v>Higher</v>
      </c>
      <c r="O513" s="1" t="str">
        <f t="shared" si="15"/>
        <v>Mid Career | High Spender | Higher</v>
      </c>
    </row>
    <row r="514" spans="1:15" x14ac:dyDescent="0.25">
      <c r="A514" s="1" t="s">
        <v>544</v>
      </c>
      <c r="B514" s="1">
        <v>45</v>
      </c>
      <c r="C514" s="1" t="str" cm="1">
        <f t="array" ref="C514">_xlfn.IFS(OR(B514=" ", B514="NA",NOT(ISNUMBER(B514))), "Unknown",B514&lt;18,"Underage",B514&lt;=24,"Young Adult",B514&lt;=34,"Early Career",B514&lt;=44,"Mid Career",B514&lt;=54,"Mature",B514&lt;=65,"Pre-Senior",B514&gt;65,"Senior")</f>
        <v>Mature</v>
      </c>
      <c r="E514" s="1" t="s">
        <v>23</v>
      </c>
      <c r="F514" s="1">
        <v>550000</v>
      </c>
      <c r="G514" s="1">
        <v>72</v>
      </c>
      <c r="H514" s="1" t="str" cm="1">
        <f t="array" ref="H514">_xlfn.IFS( OR(G514=" ",NOT(ISNUMBER(G514))),"Unknown",G514&lt;=33,"Low Spender",G514&lt;=66,"Medium Spender",TRUE, "High Spender")</f>
        <v>High Spender</v>
      </c>
      <c r="I514" s="1">
        <v>53</v>
      </c>
      <c r="J514" s="1">
        <v>5700</v>
      </c>
      <c r="K514" s="1">
        <v>305</v>
      </c>
      <c r="L514" s="1" t="s">
        <v>37</v>
      </c>
      <c r="N514" s="1" t="str">
        <f t="shared" ref="N514:N577" si="16">IF(OR(UPPER(TRIM(D514))="Male",UPPER(TRIM(D514))="Female"),"Higher","Lower")</f>
        <v>Lower</v>
      </c>
      <c r="O514" s="1" t="str">
        <f t="shared" ref="O514:O577" si="17">_xlfn.TEXTJOIN(" | ", TRUE, C514, H514, N514)</f>
        <v>Mature | High Spender | Lower</v>
      </c>
    </row>
    <row r="515" spans="1:15" x14ac:dyDescent="0.25">
      <c r="A515" s="1" t="s">
        <v>545</v>
      </c>
      <c r="B515" s="1" t="s">
        <v>73</v>
      </c>
      <c r="C515" s="1" t="str" cm="1">
        <f t="array" ref="C515">_xlfn.IFS(OR(B515=" ", B515="NA",NOT(ISNUMBER(B515))), "Unknown",B515&lt;18,"Underage",B515&lt;=24,"Young Adult",B515&lt;=34,"Early Career",B515&lt;=44,"Mid Career",B515&lt;=54,"Mature",B515&lt;=65,"Pre-Senior",B515&gt;65,"Senior")</f>
        <v>Unknown</v>
      </c>
      <c r="D515" s="1" t="s">
        <v>18</v>
      </c>
      <c r="E515" s="1" t="s">
        <v>34</v>
      </c>
      <c r="F515" s="1">
        <v>1900000</v>
      </c>
      <c r="G515" s="1">
        <v>43</v>
      </c>
      <c r="H515" s="1" t="str" cm="1">
        <f t="array" ref="H515">_xlfn.IFS( OR(G515=" ",NOT(ISNUMBER(G515))),"Unknown",G515&lt;=33,"Low Spender",G515&lt;=66,"Medium Spender",TRUE, "High Spender")</f>
        <v>Medium Spender</v>
      </c>
      <c r="I515" s="1">
        <v>8</v>
      </c>
      <c r="J515" s="1">
        <v>1700</v>
      </c>
      <c r="K515" s="1">
        <v>87</v>
      </c>
      <c r="L515" s="1" t="s">
        <v>16</v>
      </c>
      <c r="N515" s="1" t="str">
        <f t="shared" si="16"/>
        <v>Higher</v>
      </c>
      <c r="O515" s="1" t="str">
        <f t="shared" si="17"/>
        <v>Unknown | Medium Spender | Higher</v>
      </c>
    </row>
    <row r="516" spans="1:15" x14ac:dyDescent="0.25">
      <c r="A516" s="1" t="s">
        <v>546</v>
      </c>
      <c r="B516" s="1">
        <v>43</v>
      </c>
      <c r="C516" s="1" t="str" cm="1">
        <f t="array" ref="C516">_xlfn.IFS(OR(B516=" ", B516="NA",NOT(ISNUMBER(B516))), "Unknown",B516&lt;18,"Underage",B516&lt;=24,"Young Adult",B516&lt;=34,"Early Career",B516&lt;=44,"Mid Career",B516&lt;=54,"Mature",B516&lt;=65,"Pre-Senior",B516&gt;65,"Senior")</f>
        <v>Mid Career</v>
      </c>
      <c r="D516" s="1" t="s">
        <v>18</v>
      </c>
      <c r="E516" s="1" t="s">
        <v>23</v>
      </c>
      <c r="F516" s="1">
        <v>1300000</v>
      </c>
      <c r="G516" s="1">
        <v>59</v>
      </c>
      <c r="H516" s="1" t="str" cm="1">
        <f t="array" ref="H516">_xlfn.IFS( OR(G516=" ",NOT(ISNUMBER(G516))),"Unknown",G516&lt;=33,"Low Spender",G516&lt;=66,"Medium Spender",TRUE, "High Spender")</f>
        <v>Medium Spender</v>
      </c>
      <c r="I516" s="1">
        <v>22</v>
      </c>
      <c r="J516" s="1">
        <v>6600</v>
      </c>
      <c r="K516" s="1">
        <v>38</v>
      </c>
      <c r="L516" s="1" t="s">
        <v>35</v>
      </c>
      <c r="M516" s="1" t="s">
        <v>41</v>
      </c>
      <c r="N516" s="1" t="str">
        <f t="shared" si="16"/>
        <v>Higher</v>
      </c>
      <c r="O516" s="1" t="str">
        <f t="shared" si="17"/>
        <v>Mid Career | Medium Spender | Higher</v>
      </c>
    </row>
    <row r="517" spans="1:15" x14ac:dyDescent="0.25">
      <c r="A517" s="1" t="s">
        <v>547</v>
      </c>
      <c r="B517" s="1">
        <v>54</v>
      </c>
      <c r="C517" s="1" t="str" cm="1">
        <f t="array" ref="C517">_xlfn.IFS(OR(B517=" ", B517="NA",NOT(ISNUMBER(B517))), "Unknown",B517&lt;18,"Underage",B517&lt;=24,"Young Adult",B517&lt;=34,"Early Career",B517&lt;=44,"Mid Career",B517&lt;=54,"Mature",B517&lt;=65,"Pre-Senior",B517&gt;65,"Senior")</f>
        <v>Mature</v>
      </c>
      <c r="D517" s="1" t="s">
        <v>12</v>
      </c>
      <c r="E517" s="1" t="s">
        <v>19</v>
      </c>
      <c r="F517" s="1">
        <v>450000</v>
      </c>
      <c r="G517" s="1">
        <v>46</v>
      </c>
      <c r="H517" s="1" t="str" cm="1">
        <f t="array" ref="H517">_xlfn.IFS( OR(G517=" ",NOT(ISNUMBER(G517))),"Unknown",G517&lt;=33,"Low Spender",G517&lt;=66,"Medium Spender",TRUE, "High Spender")</f>
        <v>Medium Spender</v>
      </c>
      <c r="I517" s="1">
        <v>7</v>
      </c>
      <c r="J517" s="1">
        <v>6700</v>
      </c>
      <c r="K517" s="1">
        <v>53</v>
      </c>
      <c r="L517" s="1" t="s">
        <v>16</v>
      </c>
      <c r="M517" s="1" t="s">
        <v>30</v>
      </c>
      <c r="N517" s="1" t="str">
        <f t="shared" si="16"/>
        <v>Lower</v>
      </c>
      <c r="O517" s="1" t="str">
        <f t="shared" si="17"/>
        <v>Mature | Medium Spender | Lower</v>
      </c>
    </row>
    <row r="518" spans="1:15" x14ac:dyDescent="0.25">
      <c r="A518" s="1" t="s">
        <v>548</v>
      </c>
      <c r="B518" s="1">
        <v>43</v>
      </c>
      <c r="C518" s="1" t="str" cm="1">
        <f t="array" ref="C518">_xlfn.IFS(OR(B518=" ", B518="NA",NOT(ISNUMBER(B518))), "Unknown",B518&lt;18,"Underage",B518&lt;=24,"Young Adult",B518&lt;=34,"Early Career",B518&lt;=44,"Mid Career",B518&lt;=54,"Mature",B518&lt;=65,"Pre-Senior",B518&gt;65,"Senior")</f>
        <v>Mid Career</v>
      </c>
      <c r="D518" s="1" t="s">
        <v>29</v>
      </c>
      <c r="E518" s="1" t="s">
        <v>13</v>
      </c>
      <c r="F518" s="1">
        <v>400000</v>
      </c>
      <c r="G518" s="1">
        <v>72</v>
      </c>
      <c r="H518" s="1" t="str" cm="1">
        <f t="array" ref="H518">_xlfn.IFS( OR(G518=" ",NOT(ISNUMBER(G518))),"Unknown",G518&lt;=33,"Low Spender",G518&lt;=66,"Medium Spender",TRUE, "High Spender")</f>
        <v>High Spender</v>
      </c>
      <c r="I518" s="1">
        <v>22</v>
      </c>
      <c r="J518" s="1">
        <v>11400</v>
      </c>
      <c r="K518" s="1">
        <v>28</v>
      </c>
      <c r="L518" s="1" t="s">
        <v>35</v>
      </c>
      <c r="N518" s="1" t="str">
        <f t="shared" si="16"/>
        <v>Higher</v>
      </c>
      <c r="O518" s="1" t="str">
        <f t="shared" si="17"/>
        <v>Mid Career | High Spender | Higher</v>
      </c>
    </row>
    <row r="519" spans="1:15" x14ac:dyDescent="0.25">
      <c r="A519" s="1" t="s">
        <v>549</v>
      </c>
      <c r="C519" s="1" t="str" cm="1">
        <f t="array" ref="C519">_xlfn.IFS(OR(B519=" ", B519="NA",NOT(ISNUMBER(B519))), "Unknown",B519&lt;18,"Underage",B519&lt;=24,"Young Adult",B519&lt;=34,"Early Career",B519&lt;=44,"Mid Career",B519&lt;=54,"Mature",B519&lt;=65,"Pre-Senior",B519&gt;65,"Senior")</f>
        <v>Unknown</v>
      </c>
      <c r="F519" s="1">
        <v>725000</v>
      </c>
      <c r="G519" s="1">
        <v>35</v>
      </c>
      <c r="H519" s="1" t="str" cm="1">
        <f t="array" ref="H519">_xlfn.IFS( OR(G519=" ",NOT(ISNUMBER(G519))),"Unknown",G519&lt;=33,"Low Spender",G519&lt;=66,"Medium Spender",TRUE, "High Spender")</f>
        <v>Medium Spender</v>
      </c>
      <c r="I519" s="1">
        <v>46</v>
      </c>
      <c r="J519" s="1">
        <v>11300</v>
      </c>
      <c r="K519" s="1">
        <v>77</v>
      </c>
      <c r="L519" s="1" t="s">
        <v>20</v>
      </c>
      <c r="N519" s="1" t="str">
        <f t="shared" si="16"/>
        <v>Lower</v>
      </c>
      <c r="O519" s="1" t="str">
        <f t="shared" si="17"/>
        <v>Unknown | Medium Spender | Lower</v>
      </c>
    </row>
    <row r="520" spans="1:15" x14ac:dyDescent="0.25">
      <c r="A520" s="1" t="s">
        <v>550</v>
      </c>
      <c r="B520" s="1">
        <v>40</v>
      </c>
      <c r="C520" s="1" t="str" cm="1">
        <f t="array" ref="C520">_xlfn.IFS(OR(B520=" ", B520="NA",NOT(ISNUMBER(B520))), "Unknown",B520&lt;18,"Underage",B520&lt;=24,"Young Adult",B520&lt;=34,"Early Career",B520&lt;=44,"Mid Career",B520&lt;=54,"Mature",B520&lt;=65,"Pre-Senior",B520&gt;65,"Senior")</f>
        <v>Mid Career</v>
      </c>
      <c r="D520" s="1" t="s">
        <v>18</v>
      </c>
      <c r="E520" s="1" t="s">
        <v>23</v>
      </c>
      <c r="F520" s="1">
        <v>1950000</v>
      </c>
      <c r="G520" s="1">
        <v>39</v>
      </c>
      <c r="H520" s="1" t="str" cm="1">
        <f t="array" ref="H520">_xlfn.IFS( OR(G520=" ",NOT(ISNUMBER(G520))),"Unknown",G520&lt;=33,"Low Spender",G520&lt;=66,"Medium Spender",TRUE, "High Spender")</f>
        <v>Medium Spender</v>
      </c>
      <c r="I520" s="1">
        <v>30</v>
      </c>
      <c r="J520" s="1">
        <v>1800</v>
      </c>
      <c r="K520" s="1">
        <v>200</v>
      </c>
      <c r="L520" s="1" t="s">
        <v>37</v>
      </c>
      <c r="M520" s="1" t="s">
        <v>21</v>
      </c>
      <c r="N520" s="1" t="str">
        <f t="shared" si="16"/>
        <v>Higher</v>
      </c>
      <c r="O520" s="1" t="str">
        <f t="shared" si="17"/>
        <v>Mid Career | Medium Spender | Higher</v>
      </c>
    </row>
    <row r="521" spans="1:15" x14ac:dyDescent="0.25">
      <c r="A521" s="1" t="s">
        <v>551</v>
      </c>
      <c r="B521" s="1">
        <v>26</v>
      </c>
      <c r="C521" s="1" t="str" cm="1">
        <f t="array" ref="C521">_xlfn.IFS(OR(B521=" ", B521="NA",NOT(ISNUMBER(B521))), "Unknown",B521&lt;18,"Underage",B521&lt;=24,"Young Adult",B521&lt;=34,"Early Career",B521&lt;=44,"Mid Career",B521&lt;=54,"Mature",B521&lt;=65,"Pre-Senior",B521&gt;65,"Senior")</f>
        <v>Early Career</v>
      </c>
      <c r="D521" s="1" t="s">
        <v>18</v>
      </c>
      <c r="E521" s="1" t="s">
        <v>23</v>
      </c>
      <c r="F521" s="1">
        <v>225000</v>
      </c>
      <c r="G521" s="1">
        <v>92</v>
      </c>
      <c r="H521" s="1" t="str" cm="1">
        <f t="array" ref="H521">_xlfn.IFS( OR(G521=" ",NOT(ISNUMBER(G521))),"Unknown",G521&lt;=33,"Low Spender",G521&lt;=66,"Medium Spender",TRUE, "High Spender")</f>
        <v>High Spender</v>
      </c>
      <c r="I521" s="1">
        <v>16</v>
      </c>
      <c r="K521" s="1">
        <v>173</v>
      </c>
      <c r="L521" s="1" t="s">
        <v>37</v>
      </c>
      <c r="M521" s="1" t="s">
        <v>30</v>
      </c>
      <c r="N521" s="1" t="str">
        <f t="shared" si="16"/>
        <v>Higher</v>
      </c>
      <c r="O521" s="1" t="str">
        <f t="shared" si="17"/>
        <v>Early Career | High Spender | Higher</v>
      </c>
    </row>
    <row r="522" spans="1:15" x14ac:dyDescent="0.25">
      <c r="A522" s="1" t="s">
        <v>552</v>
      </c>
      <c r="B522" s="1">
        <v>29</v>
      </c>
      <c r="C522" s="1" t="str" cm="1">
        <f t="array" ref="C522">_xlfn.IFS(OR(B522=" ", B522="NA",NOT(ISNUMBER(B522))), "Unknown",B522&lt;18,"Underage",B522&lt;=24,"Young Adult",B522&lt;=34,"Early Career",B522&lt;=44,"Mid Career",B522&lt;=54,"Mature",B522&lt;=65,"Pre-Senior",B522&gt;65,"Senior")</f>
        <v>Early Career</v>
      </c>
      <c r="D522" s="1" t="s">
        <v>29</v>
      </c>
      <c r="E522" s="1" t="s">
        <v>34</v>
      </c>
      <c r="F522" s="1">
        <v>1275000</v>
      </c>
      <c r="G522" s="1">
        <v>51</v>
      </c>
      <c r="H522" s="1" t="str" cm="1">
        <f t="array" ref="H522">_xlfn.IFS( OR(G522=" ",NOT(ISNUMBER(G522))),"Unknown",G522&lt;=33,"Low Spender",G522&lt;=66,"Medium Spender",TRUE, "High Spender")</f>
        <v>Medium Spender</v>
      </c>
      <c r="I522" s="1">
        <v>79</v>
      </c>
      <c r="J522" s="1">
        <v>2200</v>
      </c>
      <c r="K522" s="1">
        <v>274</v>
      </c>
      <c r="L522" s="1" t="s">
        <v>35</v>
      </c>
      <c r="M522" s="1" t="s">
        <v>41</v>
      </c>
      <c r="N522" s="1" t="str">
        <f t="shared" si="16"/>
        <v>Higher</v>
      </c>
      <c r="O522" s="1" t="str">
        <f t="shared" si="17"/>
        <v>Early Career | Medium Spender | Higher</v>
      </c>
    </row>
    <row r="523" spans="1:15" x14ac:dyDescent="0.25">
      <c r="A523" s="1" t="s">
        <v>553</v>
      </c>
      <c r="C523" s="1" t="str" cm="1">
        <f t="array" ref="C523">_xlfn.IFS(OR(B523=" ", B523="NA",NOT(ISNUMBER(B523))), "Unknown",B523&lt;18,"Underage",B523&lt;=24,"Young Adult",B523&lt;=34,"Early Career",B523&lt;=44,"Mid Career",B523&lt;=54,"Mature",B523&lt;=65,"Pre-Senior",B523&gt;65,"Senior")</f>
        <v>Unknown</v>
      </c>
      <c r="D523" s="1" t="s">
        <v>29</v>
      </c>
      <c r="E523" s="1" t="s">
        <v>15</v>
      </c>
      <c r="F523" s="1">
        <v>575000</v>
      </c>
      <c r="G523" s="1">
        <v>4</v>
      </c>
      <c r="H523" s="1" t="str" cm="1">
        <f t="array" ref="H523">_xlfn.IFS( OR(G523=" ",NOT(ISNUMBER(G523))),"Unknown",G523&lt;=33,"Low Spender",G523&lt;=66,"Medium Spender",TRUE, "High Spender")</f>
        <v>Low Spender</v>
      </c>
      <c r="I523" s="1">
        <v>5</v>
      </c>
      <c r="J523" s="1">
        <v>6600</v>
      </c>
      <c r="K523" s="1">
        <v>50</v>
      </c>
      <c r="N523" s="1" t="str">
        <f t="shared" si="16"/>
        <v>Higher</v>
      </c>
      <c r="O523" s="1" t="str">
        <f t="shared" si="17"/>
        <v>Unknown | Low Spender | Higher</v>
      </c>
    </row>
    <row r="524" spans="1:15" x14ac:dyDescent="0.25">
      <c r="A524" s="1" t="s">
        <v>554</v>
      </c>
      <c r="B524" s="1">
        <v>18</v>
      </c>
      <c r="C524" s="1" t="str" cm="1">
        <f t="array" ref="C524">_xlfn.IFS(OR(B524=" ", B524="NA",NOT(ISNUMBER(B524))), "Unknown",B524&lt;18,"Underage",B524&lt;=24,"Young Adult",B524&lt;=34,"Early Career",B524&lt;=44,"Mid Career",B524&lt;=54,"Mature",B524&lt;=65,"Pre-Senior",B524&gt;65,"Senior")</f>
        <v>Young Adult</v>
      </c>
      <c r="D524" s="1" t="s">
        <v>18</v>
      </c>
      <c r="E524" s="1" t="s">
        <v>49</v>
      </c>
      <c r="F524" s="1">
        <v>1200000</v>
      </c>
      <c r="G524" s="1">
        <v>80</v>
      </c>
      <c r="H524" s="1" t="str" cm="1">
        <f t="array" ref="H524">_xlfn.IFS( OR(G524=" ",NOT(ISNUMBER(G524))),"Unknown",G524&lt;=33,"Low Spender",G524&lt;=66,"Medium Spender",TRUE, "High Spender")</f>
        <v>High Spender</v>
      </c>
      <c r="I524" s="1">
        <v>67</v>
      </c>
      <c r="J524" s="1">
        <v>3500</v>
      </c>
      <c r="K524" s="1">
        <v>345</v>
      </c>
      <c r="N524" s="1" t="str">
        <f t="shared" si="16"/>
        <v>Higher</v>
      </c>
      <c r="O524" s="1" t="str">
        <f t="shared" si="17"/>
        <v>Young Adult | High Spender | Higher</v>
      </c>
    </row>
    <row r="525" spans="1:15" x14ac:dyDescent="0.25">
      <c r="A525" s="1" t="s">
        <v>555</v>
      </c>
      <c r="B525" s="1">
        <v>18</v>
      </c>
      <c r="C525" s="1" t="str" cm="1">
        <f t="array" ref="C525">_xlfn.IFS(OR(B525=" ", B525="NA",NOT(ISNUMBER(B525))), "Unknown",B525&lt;18,"Underage",B525&lt;=24,"Young Adult",B525&lt;=34,"Early Career",B525&lt;=44,"Mid Career",B525&lt;=54,"Mature",B525&lt;=65,"Pre-Senior",B525&gt;65,"Senior")</f>
        <v>Young Adult</v>
      </c>
      <c r="D525" s="1" t="s">
        <v>18</v>
      </c>
      <c r="E525" s="1" t="s">
        <v>15</v>
      </c>
      <c r="F525" s="1">
        <v>950000</v>
      </c>
      <c r="G525" s="1">
        <v>77</v>
      </c>
      <c r="H525" s="1" t="str" cm="1">
        <f t="array" ref="H525">_xlfn.IFS( OR(G525=" ",NOT(ISNUMBER(G525))),"Unknown",G525&lt;=33,"Low Spender",G525&lt;=66,"Medium Spender",TRUE, "High Spender")</f>
        <v>High Spender</v>
      </c>
      <c r="I525" s="1">
        <v>23</v>
      </c>
      <c r="J525" s="1">
        <v>8300</v>
      </c>
      <c r="K525" s="1">
        <v>177</v>
      </c>
      <c r="N525" s="1" t="str">
        <f t="shared" si="16"/>
        <v>Higher</v>
      </c>
      <c r="O525" s="1" t="str">
        <f t="shared" si="17"/>
        <v>Young Adult | High Spender | Higher</v>
      </c>
    </row>
    <row r="526" spans="1:15" x14ac:dyDescent="0.25">
      <c r="A526" s="1" t="s">
        <v>556</v>
      </c>
      <c r="B526" s="1">
        <v>64</v>
      </c>
      <c r="C526" s="1" t="str" cm="1">
        <f t="array" ref="C526">_xlfn.IFS(OR(B526=" ", B526="NA",NOT(ISNUMBER(B526))), "Unknown",B526&lt;18,"Underage",B526&lt;=24,"Young Adult",B526&lt;=34,"Early Career",B526&lt;=44,"Mid Career",B526&lt;=54,"Mature",B526&lt;=65,"Pre-Senior",B526&gt;65,"Senior")</f>
        <v>Pre-Senior</v>
      </c>
      <c r="D526" s="1" t="s">
        <v>29</v>
      </c>
      <c r="E526" s="1" t="s">
        <v>49</v>
      </c>
      <c r="F526" s="1">
        <v>375000</v>
      </c>
      <c r="G526" s="1">
        <v>84</v>
      </c>
      <c r="H526" s="1" t="str" cm="1">
        <f t="array" ref="H526">_xlfn.IFS( OR(G526=" ",NOT(ISNUMBER(G526))),"Unknown",G526&lt;=33,"Low Spender",G526&lt;=66,"Medium Spender",TRUE, "High Spender")</f>
        <v>High Spender</v>
      </c>
      <c r="I526" s="1">
        <v>61</v>
      </c>
      <c r="J526" s="1">
        <v>7100</v>
      </c>
      <c r="K526" s="1">
        <v>301</v>
      </c>
      <c r="L526" s="1" t="s">
        <v>20</v>
      </c>
      <c r="M526" s="1" t="s">
        <v>21</v>
      </c>
      <c r="N526" s="1" t="str">
        <f t="shared" si="16"/>
        <v>Higher</v>
      </c>
      <c r="O526" s="1" t="str">
        <f t="shared" si="17"/>
        <v>Pre-Senior | High Spender | Higher</v>
      </c>
    </row>
    <row r="527" spans="1:15" x14ac:dyDescent="0.25">
      <c r="A527" s="1" t="s">
        <v>557</v>
      </c>
      <c r="B527" s="1">
        <v>51</v>
      </c>
      <c r="C527" s="1" t="str" cm="1">
        <f t="array" ref="C527">_xlfn.IFS(OR(B527=" ", B527="NA",NOT(ISNUMBER(B527))), "Unknown",B527&lt;18,"Underage",B527&lt;=24,"Young Adult",B527&lt;=34,"Early Career",B527&lt;=44,"Mid Career",B527&lt;=54,"Mature",B527&lt;=65,"Pre-Senior",B527&gt;65,"Senior")</f>
        <v>Mature</v>
      </c>
      <c r="F527" s="1">
        <v>1950000</v>
      </c>
      <c r="G527" s="1">
        <v>51</v>
      </c>
      <c r="H527" s="1" t="str" cm="1">
        <f t="array" ref="H527">_xlfn.IFS( OR(G527=" ",NOT(ISNUMBER(G527))),"Unknown",G527&lt;=33,"Low Spender",G527&lt;=66,"Medium Spender",TRUE, "High Spender")</f>
        <v>Medium Spender</v>
      </c>
      <c r="I527" s="1">
        <v>74</v>
      </c>
      <c r="J527" s="1">
        <v>7100</v>
      </c>
      <c r="K527" s="1">
        <v>227</v>
      </c>
      <c r="L527" s="1" t="s">
        <v>35</v>
      </c>
      <c r="N527" s="1" t="str">
        <f t="shared" si="16"/>
        <v>Lower</v>
      </c>
      <c r="O527" s="1" t="str">
        <f t="shared" si="17"/>
        <v>Mature | Medium Spender | Lower</v>
      </c>
    </row>
    <row r="528" spans="1:15" x14ac:dyDescent="0.25">
      <c r="A528" s="1" t="s">
        <v>558</v>
      </c>
      <c r="B528" s="1">
        <v>49</v>
      </c>
      <c r="C528" s="1" t="str" cm="1">
        <f t="array" ref="C528">_xlfn.IFS(OR(B528=" ", B528="NA",NOT(ISNUMBER(B528))), "Unknown",B528&lt;18,"Underage",B528&lt;=24,"Young Adult",B528&lt;=34,"Early Career",B528&lt;=44,"Mid Career",B528&lt;=54,"Mature",B528&lt;=65,"Pre-Senior",B528&gt;65,"Senior")</f>
        <v>Mature</v>
      </c>
      <c r="D528" s="1" t="s">
        <v>29</v>
      </c>
      <c r="E528" s="1" t="s">
        <v>23</v>
      </c>
      <c r="F528" s="1">
        <v>1600000</v>
      </c>
      <c r="G528" s="1">
        <v>5</v>
      </c>
      <c r="H528" s="1" t="str" cm="1">
        <f t="array" ref="H528">_xlfn.IFS( OR(G528=" ",NOT(ISNUMBER(G528))),"Unknown",G528&lt;=33,"Low Spender",G528&lt;=66,"Medium Spender",TRUE, "High Spender")</f>
        <v>Low Spender</v>
      </c>
      <c r="I528" s="1">
        <v>5</v>
      </c>
      <c r="J528" s="1">
        <v>6000</v>
      </c>
      <c r="K528" s="1">
        <v>127</v>
      </c>
      <c r="L528" s="1" t="s">
        <v>20</v>
      </c>
      <c r="N528" s="1" t="str">
        <f t="shared" si="16"/>
        <v>Higher</v>
      </c>
      <c r="O528" s="1" t="str">
        <f t="shared" si="17"/>
        <v>Mature | Low Spender | Higher</v>
      </c>
    </row>
    <row r="529" spans="1:15" x14ac:dyDescent="0.25">
      <c r="A529" s="1" t="s">
        <v>559</v>
      </c>
      <c r="C529" s="1" t="str" cm="1">
        <f t="array" ref="C529">_xlfn.IFS(OR(B529=" ", B529="NA",NOT(ISNUMBER(B529))), "Unknown",B529&lt;18,"Underage",B529&lt;=24,"Young Adult",B529&lt;=34,"Early Career",B529&lt;=44,"Mid Career",B529&lt;=54,"Mature",B529&lt;=65,"Pre-Senior",B529&gt;65,"Senior")</f>
        <v>Unknown</v>
      </c>
      <c r="E529" s="1" t="s">
        <v>34</v>
      </c>
      <c r="F529" s="1">
        <v>900000</v>
      </c>
      <c r="G529" s="1">
        <v>55</v>
      </c>
      <c r="H529" s="1" t="str" cm="1">
        <f t="array" ref="H529">_xlfn.IFS( OR(G529=" ",NOT(ISNUMBER(G529))),"Unknown",G529&lt;=33,"Low Spender",G529&lt;=66,"Medium Spender",TRUE, "High Spender")</f>
        <v>Medium Spender</v>
      </c>
      <c r="I529" s="1">
        <v>23</v>
      </c>
      <c r="J529" s="1">
        <v>4100</v>
      </c>
      <c r="K529" s="1">
        <v>349</v>
      </c>
      <c r="L529" s="1" t="s">
        <v>35</v>
      </c>
      <c r="M529" s="1" t="s">
        <v>21</v>
      </c>
      <c r="N529" s="1" t="str">
        <f t="shared" si="16"/>
        <v>Lower</v>
      </c>
      <c r="O529" s="1" t="str">
        <f t="shared" si="17"/>
        <v>Unknown | Medium Spender | Lower</v>
      </c>
    </row>
    <row r="530" spans="1:15" x14ac:dyDescent="0.25">
      <c r="A530" s="1" t="s">
        <v>560</v>
      </c>
      <c r="B530" s="1">
        <v>65</v>
      </c>
      <c r="C530" s="1" t="str" cm="1">
        <f t="array" ref="C530">_xlfn.IFS(OR(B530=" ", B530="NA",NOT(ISNUMBER(B530))), "Unknown",B530&lt;18,"Underage",B530&lt;=24,"Young Adult",B530&lt;=34,"Early Career",B530&lt;=44,"Mid Career",B530&lt;=54,"Mature",B530&lt;=65,"Pre-Senior",B530&gt;65,"Senior")</f>
        <v>Pre-Senior</v>
      </c>
      <c r="D530" s="1" t="s">
        <v>18</v>
      </c>
      <c r="E530" s="1" t="s">
        <v>27</v>
      </c>
      <c r="F530" s="1">
        <v>825000</v>
      </c>
      <c r="H530" s="1" t="str" cm="1">
        <f t="array" ref="H530">_xlfn.IFS( OR(G530=" ",NOT(ISNUMBER(G530))),"Unknown",G530&lt;=33,"Low Spender",G530&lt;=66,"Medium Spender",TRUE, "High Spender")</f>
        <v>Unknown</v>
      </c>
      <c r="I530" s="1">
        <v>79</v>
      </c>
      <c r="J530" s="1">
        <v>7900</v>
      </c>
      <c r="K530" s="1">
        <v>21</v>
      </c>
      <c r="L530" s="1" t="s">
        <v>20</v>
      </c>
      <c r="N530" s="1" t="str">
        <f t="shared" si="16"/>
        <v>Higher</v>
      </c>
      <c r="O530" s="1" t="str">
        <f t="shared" si="17"/>
        <v>Pre-Senior | Unknown | Higher</v>
      </c>
    </row>
    <row r="531" spans="1:15" x14ac:dyDescent="0.25">
      <c r="A531" s="1" t="s">
        <v>561</v>
      </c>
      <c r="B531" s="1">
        <v>42</v>
      </c>
      <c r="C531" s="1" t="str" cm="1">
        <f t="array" ref="C531">_xlfn.IFS(OR(B531=" ", B531="NA",NOT(ISNUMBER(B531))), "Unknown",B531&lt;18,"Underage",B531&lt;=24,"Young Adult",B531&lt;=34,"Early Career",B531&lt;=44,"Mid Career",B531&lt;=54,"Mature",B531&lt;=65,"Pre-Senior",B531&gt;65,"Senior")</f>
        <v>Mid Career</v>
      </c>
      <c r="E531" s="1" t="s">
        <v>58</v>
      </c>
      <c r="F531" s="1">
        <v>1625000</v>
      </c>
      <c r="G531" s="1">
        <v>20</v>
      </c>
      <c r="H531" s="1" t="str" cm="1">
        <f t="array" ref="H531">_xlfn.IFS( OR(G531=" ",NOT(ISNUMBER(G531))),"Unknown",G531&lt;=33,"Low Spender",G531&lt;=66,"Medium Spender",TRUE, "High Spender")</f>
        <v>Low Spender</v>
      </c>
      <c r="I531" s="1">
        <v>25</v>
      </c>
      <c r="J531" s="1">
        <v>11000</v>
      </c>
      <c r="K531" s="1">
        <v>199</v>
      </c>
      <c r="L531" s="1" t="s">
        <v>35</v>
      </c>
      <c r="M531" s="1" t="s">
        <v>30</v>
      </c>
      <c r="N531" s="1" t="str">
        <f t="shared" si="16"/>
        <v>Lower</v>
      </c>
      <c r="O531" s="1" t="str">
        <f t="shared" si="17"/>
        <v>Mid Career | Low Spender | Lower</v>
      </c>
    </row>
    <row r="532" spans="1:15" x14ac:dyDescent="0.25">
      <c r="A532" s="1" t="s">
        <v>562</v>
      </c>
      <c r="B532" s="1">
        <v>57</v>
      </c>
      <c r="C532" s="1" t="str" cm="1">
        <f t="array" ref="C532">_xlfn.IFS(OR(B532=" ", B532="NA",NOT(ISNUMBER(B532))), "Unknown",B532&lt;18,"Underage",B532&lt;=24,"Young Adult",B532&lt;=34,"Early Career",B532&lt;=44,"Mid Career",B532&lt;=54,"Mature",B532&lt;=65,"Pre-Senior",B532&gt;65,"Senior")</f>
        <v>Pre-Senior</v>
      </c>
      <c r="D532" s="1" t="s">
        <v>12</v>
      </c>
      <c r="F532" s="1">
        <v>200000</v>
      </c>
      <c r="G532" s="1">
        <v>24</v>
      </c>
      <c r="H532" s="1" t="str" cm="1">
        <f t="array" ref="H532">_xlfn.IFS( OR(G532=" ",NOT(ISNUMBER(G532))),"Unknown",G532&lt;=33,"Low Spender",G532&lt;=66,"Medium Spender",TRUE, "High Spender")</f>
        <v>Low Spender</v>
      </c>
      <c r="I532" s="1">
        <v>8</v>
      </c>
      <c r="J532" s="1">
        <v>3800</v>
      </c>
      <c r="K532" s="1">
        <v>189</v>
      </c>
      <c r="L532" s="1" t="s">
        <v>37</v>
      </c>
      <c r="M532" s="1" t="s">
        <v>30</v>
      </c>
      <c r="N532" s="1" t="str">
        <f t="shared" si="16"/>
        <v>Lower</v>
      </c>
      <c r="O532" s="1" t="str">
        <f t="shared" si="17"/>
        <v>Pre-Senior | Low Spender | Lower</v>
      </c>
    </row>
    <row r="533" spans="1:15" x14ac:dyDescent="0.25">
      <c r="A533" s="1" t="s">
        <v>563</v>
      </c>
      <c r="B533" s="1">
        <v>62</v>
      </c>
      <c r="C533" s="1" t="str" cm="1">
        <f t="array" ref="C533">_xlfn.IFS(OR(B533=" ", B533="NA",NOT(ISNUMBER(B533))), "Unknown",B533&lt;18,"Underage",B533&lt;=24,"Young Adult",B533&lt;=34,"Early Career",B533&lt;=44,"Mid Career",B533&lt;=54,"Mature",B533&lt;=65,"Pre-Senior",B533&gt;65,"Senior")</f>
        <v>Pre-Senior</v>
      </c>
      <c r="D533" s="1" t="s">
        <v>29</v>
      </c>
      <c r="E533" s="1" t="s">
        <v>13</v>
      </c>
      <c r="F533" s="1">
        <v>1500000</v>
      </c>
      <c r="G533" s="1">
        <v>36</v>
      </c>
      <c r="H533" s="1" t="str" cm="1">
        <f t="array" ref="H533">_xlfn.IFS( OR(G533=" ",NOT(ISNUMBER(G533))),"Unknown",G533&lt;=33,"Low Spender",G533&lt;=66,"Medium Spender",TRUE, "High Spender")</f>
        <v>Medium Spender</v>
      </c>
      <c r="I533" s="1">
        <v>21</v>
      </c>
      <c r="J533" s="1">
        <v>9600</v>
      </c>
      <c r="K533" s="1">
        <v>332</v>
      </c>
      <c r="L533" s="1" t="s">
        <v>20</v>
      </c>
      <c r="M533" s="1" t="s">
        <v>21</v>
      </c>
      <c r="N533" s="1" t="str">
        <f t="shared" si="16"/>
        <v>Higher</v>
      </c>
      <c r="O533" s="1" t="str">
        <f t="shared" si="17"/>
        <v>Pre-Senior | Medium Spender | Higher</v>
      </c>
    </row>
    <row r="534" spans="1:15" x14ac:dyDescent="0.25">
      <c r="A534" s="1" t="s">
        <v>564</v>
      </c>
      <c r="C534" s="1" t="str" cm="1">
        <f t="array" ref="C534">_xlfn.IFS(OR(B534=" ", B534="NA",NOT(ISNUMBER(B534))), "Unknown",B534&lt;18,"Underage",B534&lt;=24,"Young Adult",B534&lt;=34,"Early Career",B534&lt;=44,"Mid Career",B534&lt;=54,"Mature",B534&lt;=65,"Pre-Senior",B534&gt;65,"Senior")</f>
        <v>Unknown</v>
      </c>
      <c r="D534" s="1" t="s">
        <v>18</v>
      </c>
      <c r="F534" s="1">
        <v>475000</v>
      </c>
      <c r="G534" s="1">
        <v>34</v>
      </c>
      <c r="H534" s="1" t="str" cm="1">
        <f t="array" ref="H534">_xlfn.IFS( OR(G534=" ",NOT(ISNUMBER(G534))),"Unknown",G534&lt;=33,"Low Spender",G534&lt;=66,"Medium Spender",TRUE, "High Spender")</f>
        <v>Medium Spender</v>
      </c>
      <c r="I534" s="1">
        <v>2</v>
      </c>
      <c r="J534" s="1">
        <v>7000</v>
      </c>
      <c r="K534" s="1">
        <v>152</v>
      </c>
      <c r="L534" s="1" t="s">
        <v>20</v>
      </c>
      <c r="M534" s="1" t="s">
        <v>30</v>
      </c>
      <c r="N534" s="1" t="str">
        <f t="shared" si="16"/>
        <v>Higher</v>
      </c>
      <c r="O534" s="1" t="str">
        <f t="shared" si="17"/>
        <v>Unknown | Medium Spender | Higher</v>
      </c>
    </row>
    <row r="535" spans="1:15" x14ac:dyDescent="0.25">
      <c r="A535" s="1" t="s">
        <v>565</v>
      </c>
      <c r="B535" s="1">
        <v>18</v>
      </c>
      <c r="C535" s="1" t="str" cm="1">
        <f t="array" ref="C535">_xlfn.IFS(OR(B535=" ", B535="NA",NOT(ISNUMBER(B535))), "Unknown",B535&lt;18,"Underage",B535&lt;=24,"Young Adult",B535&lt;=34,"Early Career",B535&lt;=44,"Mid Career",B535&lt;=54,"Mature",B535&lt;=65,"Pre-Senior",B535&gt;65,"Senior")</f>
        <v>Young Adult</v>
      </c>
      <c r="D535" s="1" t="s">
        <v>18</v>
      </c>
      <c r="E535" s="1" t="s">
        <v>13</v>
      </c>
      <c r="F535" s="1">
        <v>1575000</v>
      </c>
      <c r="G535" s="1">
        <v>54</v>
      </c>
      <c r="H535" s="1" t="str" cm="1">
        <f t="array" ref="H535">_xlfn.IFS( OR(G535=" ",NOT(ISNUMBER(G535))),"Unknown",G535&lt;=33,"Low Spender",G535&lt;=66,"Medium Spender",TRUE, "High Spender")</f>
        <v>Medium Spender</v>
      </c>
      <c r="I535" s="1">
        <v>22</v>
      </c>
      <c r="J535" s="1">
        <v>8900</v>
      </c>
      <c r="K535" s="1">
        <v>160</v>
      </c>
      <c r="L535" s="1" t="s">
        <v>35</v>
      </c>
      <c r="N535" s="1" t="str">
        <f t="shared" si="16"/>
        <v>Higher</v>
      </c>
      <c r="O535" s="1" t="str">
        <f t="shared" si="17"/>
        <v>Young Adult | Medium Spender | Higher</v>
      </c>
    </row>
    <row r="536" spans="1:15" x14ac:dyDescent="0.25">
      <c r="A536" s="1" t="s">
        <v>566</v>
      </c>
      <c r="B536" s="1">
        <v>33</v>
      </c>
      <c r="C536" s="1" t="str" cm="1">
        <f t="array" ref="C536">_xlfn.IFS(OR(B536=" ", B536="NA",NOT(ISNUMBER(B536))), "Unknown",B536&lt;18,"Underage",B536&lt;=24,"Young Adult",B536&lt;=34,"Early Career",B536&lt;=44,"Mid Career",B536&lt;=54,"Mature",B536&lt;=65,"Pre-Senior",B536&gt;65,"Senior")</f>
        <v>Early Career</v>
      </c>
      <c r="D536" s="1" t="s">
        <v>29</v>
      </c>
      <c r="F536" s="1">
        <v>500000</v>
      </c>
      <c r="G536" s="1">
        <v>34</v>
      </c>
      <c r="H536" s="1" t="str" cm="1">
        <f t="array" ref="H536">_xlfn.IFS( OR(G536=" ",NOT(ISNUMBER(G536))),"Unknown",G536&lt;=33,"Low Spender",G536&lt;=66,"Medium Spender",TRUE, "High Spender")</f>
        <v>Medium Spender</v>
      </c>
      <c r="I536" s="1">
        <v>72</v>
      </c>
      <c r="J536" s="1">
        <v>2300</v>
      </c>
      <c r="K536" s="1">
        <v>347</v>
      </c>
      <c r="L536" s="1" t="s">
        <v>16</v>
      </c>
      <c r="N536" s="1" t="str">
        <f t="shared" si="16"/>
        <v>Higher</v>
      </c>
      <c r="O536" s="1" t="str">
        <f t="shared" si="17"/>
        <v>Early Career | Medium Spender | Higher</v>
      </c>
    </row>
    <row r="537" spans="1:15" x14ac:dyDescent="0.25">
      <c r="A537" s="1" t="s">
        <v>567</v>
      </c>
      <c r="B537" s="1">
        <v>56</v>
      </c>
      <c r="C537" s="1" t="str" cm="1">
        <f t="array" ref="C537">_xlfn.IFS(OR(B537=" ", B537="NA",NOT(ISNUMBER(B537))), "Unknown",B537&lt;18,"Underage",B537&lt;=24,"Young Adult",B537&lt;=34,"Early Career",B537&lt;=44,"Mid Career",B537&lt;=54,"Mature",B537&lt;=65,"Pre-Senior",B537&gt;65,"Senior")</f>
        <v>Pre-Senior</v>
      </c>
      <c r="D537" s="1" t="s">
        <v>29</v>
      </c>
      <c r="E537" s="1" t="s">
        <v>15</v>
      </c>
      <c r="F537" s="1">
        <v>175000</v>
      </c>
      <c r="G537" s="1">
        <v>83</v>
      </c>
      <c r="H537" s="1" t="str" cm="1">
        <f t="array" ref="H537">_xlfn.IFS( OR(G537=" ",NOT(ISNUMBER(G537))),"Unknown",G537&lt;=33,"Low Spender",G537&lt;=66,"Medium Spender",TRUE, "High Spender")</f>
        <v>High Spender</v>
      </c>
      <c r="I537" s="1">
        <v>72</v>
      </c>
      <c r="J537" s="1">
        <v>6500</v>
      </c>
      <c r="K537" s="1">
        <v>96</v>
      </c>
      <c r="L537" s="1" t="s">
        <v>16</v>
      </c>
      <c r="N537" s="1" t="str">
        <f t="shared" si="16"/>
        <v>Higher</v>
      </c>
      <c r="O537" s="1" t="str">
        <f t="shared" si="17"/>
        <v>Pre-Senior | High Spender | Higher</v>
      </c>
    </row>
    <row r="538" spans="1:15" x14ac:dyDescent="0.25">
      <c r="A538" s="1" t="s">
        <v>568</v>
      </c>
      <c r="B538" s="1">
        <v>22</v>
      </c>
      <c r="C538" s="1" t="str" cm="1">
        <f t="array" ref="C538">_xlfn.IFS(OR(B538=" ", B538="NA",NOT(ISNUMBER(B538))), "Unknown",B538&lt;18,"Underage",B538&lt;=24,"Young Adult",B538&lt;=34,"Early Career",B538&lt;=44,"Mid Career",B538&lt;=54,"Mature",B538&lt;=65,"Pre-Senior",B538&gt;65,"Senior")</f>
        <v>Young Adult</v>
      </c>
      <c r="D538" s="1" t="s">
        <v>12</v>
      </c>
      <c r="E538" s="1" t="s">
        <v>19</v>
      </c>
      <c r="F538" s="1">
        <v>725000</v>
      </c>
      <c r="G538" s="1">
        <v>17</v>
      </c>
      <c r="H538" s="1" t="str" cm="1">
        <f t="array" ref="H538">_xlfn.IFS( OR(G538=" ",NOT(ISNUMBER(G538))),"Unknown",G538&lt;=33,"Low Spender",G538&lt;=66,"Medium Spender",TRUE, "High Spender")</f>
        <v>Low Spender</v>
      </c>
      <c r="I538" s="1">
        <v>68</v>
      </c>
      <c r="J538" s="1">
        <v>8700</v>
      </c>
      <c r="K538" s="1">
        <v>352</v>
      </c>
      <c r="L538" s="1" t="s">
        <v>37</v>
      </c>
      <c r="M538" s="1" t="s">
        <v>41</v>
      </c>
      <c r="N538" s="1" t="str">
        <f t="shared" si="16"/>
        <v>Lower</v>
      </c>
      <c r="O538" s="1" t="str">
        <f t="shared" si="17"/>
        <v>Young Adult | Low Spender | Lower</v>
      </c>
    </row>
    <row r="539" spans="1:15" x14ac:dyDescent="0.25">
      <c r="A539" s="1" t="s">
        <v>569</v>
      </c>
      <c r="B539" s="1">
        <v>39</v>
      </c>
      <c r="C539" s="1" t="str" cm="1">
        <f t="array" ref="C539">_xlfn.IFS(OR(B539=" ", B539="NA",NOT(ISNUMBER(B539))), "Unknown",B539&lt;18,"Underage",B539&lt;=24,"Young Adult",B539&lt;=34,"Early Career",B539&lt;=44,"Mid Career",B539&lt;=54,"Mature",B539&lt;=65,"Pre-Senior",B539&gt;65,"Senior")</f>
        <v>Mid Career</v>
      </c>
      <c r="D539" s="1" t="s">
        <v>18</v>
      </c>
      <c r="E539" s="1" t="s">
        <v>23</v>
      </c>
      <c r="F539" s="1">
        <v>1725000</v>
      </c>
      <c r="G539" s="1">
        <v>5</v>
      </c>
      <c r="H539" s="1" t="str" cm="1">
        <f t="array" ref="H539">_xlfn.IFS( OR(G539=" ",NOT(ISNUMBER(G539))),"Unknown",G539&lt;=33,"Low Spender",G539&lt;=66,"Medium Spender",TRUE, "High Spender")</f>
        <v>Low Spender</v>
      </c>
      <c r="I539" s="1">
        <v>64</v>
      </c>
      <c r="J539" s="1">
        <v>800</v>
      </c>
      <c r="K539" s="1">
        <v>75</v>
      </c>
      <c r="N539" s="1" t="str">
        <f t="shared" si="16"/>
        <v>Higher</v>
      </c>
      <c r="O539" s="1" t="str">
        <f t="shared" si="17"/>
        <v>Mid Career | Low Spender | Higher</v>
      </c>
    </row>
    <row r="540" spans="1:15" x14ac:dyDescent="0.25">
      <c r="A540" s="1" t="s">
        <v>570</v>
      </c>
      <c r="B540" s="1">
        <v>46</v>
      </c>
      <c r="C540" s="1" t="str" cm="1">
        <f t="array" ref="C540">_xlfn.IFS(OR(B540=" ", B540="NA",NOT(ISNUMBER(B540))), "Unknown",B540&lt;18,"Underage",B540&lt;=24,"Young Adult",B540&lt;=34,"Early Career",B540&lt;=44,"Mid Career",B540&lt;=54,"Mature",B540&lt;=65,"Pre-Senior",B540&gt;65,"Senior")</f>
        <v>Mature</v>
      </c>
      <c r="E540" s="1" t="s">
        <v>27</v>
      </c>
      <c r="F540" s="1">
        <v>1900000</v>
      </c>
      <c r="G540" s="1">
        <v>89</v>
      </c>
      <c r="H540" s="1" t="str" cm="1">
        <f t="array" ref="H540">_xlfn.IFS( OR(G540=" ",NOT(ISNUMBER(G540))),"Unknown",G540&lt;=33,"Low Spender",G540&lt;=66,"Medium Spender",TRUE, "High Spender")</f>
        <v>High Spender</v>
      </c>
      <c r="I540" s="1">
        <v>19</v>
      </c>
      <c r="J540" s="1">
        <v>2600</v>
      </c>
      <c r="M540" s="1" t="s">
        <v>41</v>
      </c>
      <c r="N540" s="1" t="str">
        <f t="shared" si="16"/>
        <v>Lower</v>
      </c>
      <c r="O540" s="1" t="str">
        <f t="shared" si="17"/>
        <v>Mature | High Spender | Lower</v>
      </c>
    </row>
    <row r="541" spans="1:15" x14ac:dyDescent="0.25">
      <c r="A541" s="1" t="s">
        <v>571</v>
      </c>
      <c r="B541" s="1" t="s">
        <v>73</v>
      </c>
      <c r="C541" s="1" t="str" cm="1">
        <f t="array" ref="C541">_xlfn.IFS(OR(B541=" ", B541="NA",NOT(ISNUMBER(B541))), "Unknown",B541&lt;18,"Underage",B541&lt;=24,"Young Adult",B541&lt;=34,"Early Career",B541&lt;=44,"Mid Career",B541&lt;=54,"Mature",B541&lt;=65,"Pre-Senior",B541&gt;65,"Senior")</f>
        <v>Unknown</v>
      </c>
      <c r="D541" s="1" t="s">
        <v>18</v>
      </c>
      <c r="E541" s="1" t="s">
        <v>13</v>
      </c>
      <c r="F541" s="1">
        <v>725000</v>
      </c>
      <c r="G541" s="1">
        <v>18</v>
      </c>
      <c r="H541" s="1" t="str" cm="1">
        <f t="array" ref="H541">_xlfn.IFS( OR(G541=" ",NOT(ISNUMBER(G541))),"Unknown",G541&lt;=33,"Low Spender",G541&lt;=66,"Medium Spender",TRUE, "High Spender")</f>
        <v>Low Spender</v>
      </c>
      <c r="I541" s="1">
        <v>53</v>
      </c>
      <c r="J541" s="1">
        <v>11300</v>
      </c>
      <c r="K541" s="1">
        <v>82</v>
      </c>
      <c r="L541" s="1" t="s">
        <v>37</v>
      </c>
      <c r="M541" s="1" t="s">
        <v>30</v>
      </c>
      <c r="N541" s="1" t="str">
        <f t="shared" si="16"/>
        <v>Higher</v>
      </c>
      <c r="O541" s="1" t="str">
        <f t="shared" si="17"/>
        <v>Unknown | Low Spender | Higher</v>
      </c>
    </row>
    <row r="542" spans="1:15" x14ac:dyDescent="0.25">
      <c r="A542" s="1" t="s">
        <v>572</v>
      </c>
      <c r="B542" s="1">
        <v>20</v>
      </c>
      <c r="C542" s="1" t="str" cm="1">
        <f t="array" ref="C542">_xlfn.IFS(OR(B542=" ", B542="NA",NOT(ISNUMBER(B542))), "Unknown",B542&lt;18,"Underage",B542&lt;=24,"Young Adult",B542&lt;=34,"Early Career",B542&lt;=44,"Mid Career",B542&lt;=54,"Mature",B542&lt;=65,"Pre-Senior",B542&gt;65,"Senior")</f>
        <v>Young Adult</v>
      </c>
      <c r="D542" s="1" t="s">
        <v>29</v>
      </c>
      <c r="E542" s="1" t="s">
        <v>58</v>
      </c>
      <c r="F542" s="1">
        <v>800000</v>
      </c>
      <c r="G542" s="1">
        <v>55</v>
      </c>
      <c r="H542" s="1" t="str" cm="1">
        <f t="array" ref="H542">_xlfn.IFS( OR(G542=" ",NOT(ISNUMBER(G542))),"Unknown",G542&lt;=33,"Low Spender",G542&lt;=66,"Medium Spender",TRUE, "High Spender")</f>
        <v>Medium Spender</v>
      </c>
      <c r="I542" s="1">
        <v>52</v>
      </c>
      <c r="J542" s="1">
        <v>5500</v>
      </c>
      <c r="K542" s="1">
        <v>128</v>
      </c>
      <c r="M542" s="1" t="s">
        <v>21</v>
      </c>
      <c r="N542" s="1" t="str">
        <f t="shared" si="16"/>
        <v>Higher</v>
      </c>
      <c r="O542" s="1" t="str">
        <f t="shared" si="17"/>
        <v>Young Adult | Medium Spender | Higher</v>
      </c>
    </row>
    <row r="543" spans="1:15" x14ac:dyDescent="0.25">
      <c r="A543" s="1" t="s">
        <v>573</v>
      </c>
      <c r="B543" s="1">
        <v>29</v>
      </c>
      <c r="C543" s="1" t="str" cm="1">
        <f t="array" ref="C543">_xlfn.IFS(OR(B543=" ", B543="NA",NOT(ISNUMBER(B543))), "Unknown",B543&lt;18,"Underage",B543&lt;=24,"Young Adult",B543&lt;=34,"Early Career",B543&lt;=44,"Mid Career",B543&lt;=54,"Mature",B543&lt;=65,"Pre-Senior",B543&gt;65,"Senior")</f>
        <v>Early Career</v>
      </c>
      <c r="E543" s="1" t="s">
        <v>13</v>
      </c>
      <c r="F543" s="1">
        <v>1050000</v>
      </c>
      <c r="G543" s="1">
        <v>53</v>
      </c>
      <c r="H543" s="1" t="str" cm="1">
        <f t="array" ref="H543">_xlfn.IFS( OR(G543=" ",NOT(ISNUMBER(G543))),"Unknown",G543&lt;=33,"Low Spender",G543&lt;=66,"Medium Spender",TRUE, "High Spender")</f>
        <v>Medium Spender</v>
      </c>
      <c r="I543" s="1">
        <v>47</v>
      </c>
      <c r="J543" s="1">
        <v>9700</v>
      </c>
      <c r="K543" s="1">
        <v>359</v>
      </c>
      <c r="N543" s="1" t="str">
        <f t="shared" si="16"/>
        <v>Lower</v>
      </c>
      <c r="O543" s="1" t="str">
        <f t="shared" si="17"/>
        <v>Early Career | Medium Spender | Lower</v>
      </c>
    </row>
    <row r="544" spans="1:15" x14ac:dyDescent="0.25">
      <c r="A544" s="1" t="s">
        <v>574</v>
      </c>
      <c r="B544" s="1">
        <v>43</v>
      </c>
      <c r="C544" s="1" t="str" cm="1">
        <f t="array" ref="C544">_xlfn.IFS(OR(B544=" ", B544="NA",NOT(ISNUMBER(B544))), "Unknown",B544&lt;18,"Underage",B544&lt;=24,"Young Adult",B544&lt;=34,"Early Career",B544&lt;=44,"Mid Career",B544&lt;=54,"Mature",B544&lt;=65,"Pre-Senior",B544&gt;65,"Senior")</f>
        <v>Mid Career</v>
      </c>
      <c r="D544" s="1" t="s">
        <v>29</v>
      </c>
      <c r="E544" s="1" t="s">
        <v>19</v>
      </c>
      <c r="F544" s="1">
        <v>1100000</v>
      </c>
      <c r="G544" s="1">
        <v>50</v>
      </c>
      <c r="H544" s="1" t="str" cm="1">
        <f t="array" ref="H544">_xlfn.IFS( OR(G544=" ",NOT(ISNUMBER(G544))),"Unknown",G544&lt;=33,"Low Spender",G544&lt;=66,"Medium Spender",TRUE, "High Spender")</f>
        <v>Medium Spender</v>
      </c>
      <c r="I544" s="1">
        <v>54</v>
      </c>
      <c r="J544" s="1">
        <v>8500</v>
      </c>
      <c r="K544" s="1">
        <v>133</v>
      </c>
      <c r="M544" s="1" t="s">
        <v>21</v>
      </c>
      <c r="N544" s="1" t="str">
        <f t="shared" si="16"/>
        <v>Higher</v>
      </c>
      <c r="O544" s="1" t="str">
        <f t="shared" si="17"/>
        <v>Mid Career | Medium Spender | Higher</v>
      </c>
    </row>
    <row r="545" spans="1:15" x14ac:dyDescent="0.25">
      <c r="A545" s="1" t="s">
        <v>575</v>
      </c>
      <c r="B545" s="1">
        <v>33</v>
      </c>
      <c r="C545" s="1" t="str" cm="1">
        <f t="array" ref="C545">_xlfn.IFS(OR(B545=" ", B545="NA",NOT(ISNUMBER(B545))), "Unknown",B545&lt;18,"Underage",B545&lt;=24,"Young Adult",B545&lt;=34,"Early Career",B545&lt;=44,"Mid Career",B545&lt;=54,"Mature",B545&lt;=65,"Pre-Senior",B545&gt;65,"Senior")</f>
        <v>Early Career</v>
      </c>
      <c r="D545" s="1" t="s">
        <v>29</v>
      </c>
      <c r="F545" s="1">
        <v>1700000</v>
      </c>
      <c r="G545" s="1">
        <v>72</v>
      </c>
      <c r="H545" s="1" t="str" cm="1">
        <f t="array" ref="H545">_xlfn.IFS( OR(G545=" ",NOT(ISNUMBER(G545))),"Unknown",G545&lt;=33,"Low Spender",G545&lt;=66,"Medium Spender",TRUE, "High Spender")</f>
        <v>High Spender</v>
      </c>
      <c r="I545" s="1">
        <v>44</v>
      </c>
      <c r="J545" s="1">
        <v>10400</v>
      </c>
      <c r="K545" s="1">
        <v>139</v>
      </c>
      <c r="M545" s="1" t="s">
        <v>41</v>
      </c>
      <c r="N545" s="1" t="str">
        <f t="shared" si="16"/>
        <v>Higher</v>
      </c>
      <c r="O545" s="1" t="str">
        <f t="shared" si="17"/>
        <v>Early Career | High Spender | Higher</v>
      </c>
    </row>
    <row r="546" spans="1:15" x14ac:dyDescent="0.25">
      <c r="A546" s="1" t="s">
        <v>576</v>
      </c>
      <c r="B546" s="1">
        <v>68</v>
      </c>
      <c r="C546" s="1" t="str" cm="1">
        <f t="array" ref="C546">_xlfn.IFS(OR(B546=" ", B546="NA",NOT(ISNUMBER(B546))), "Unknown",B546&lt;18,"Underage",B546&lt;=24,"Young Adult",B546&lt;=34,"Early Career",B546&lt;=44,"Mid Career",B546&lt;=54,"Mature",B546&lt;=65,"Pre-Senior",B546&gt;65,"Senior")</f>
        <v>Senior</v>
      </c>
      <c r="E546" s="1" t="s">
        <v>34</v>
      </c>
      <c r="F546" s="1">
        <v>775000</v>
      </c>
      <c r="G546" s="1">
        <v>91</v>
      </c>
      <c r="H546" s="1" t="str" cm="1">
        <f t="array" ref="H546">_xlfn.IFS( OR(G546=" ",NOT(ISNUMBER(G546))),"Unknown",G546&lt;=33,"Low Spender",G546&lt;=66,"Medium Spender",TRUE, "High Spender")</f>
        <v>High Spender</v>
      </c>
      <c r="I546" s="1">
        <v>7</v>
      </c>
      <c r="J546" s="1">
        <v>7800</v>
      </c>
      <c r="K546" s="1">
        <v>246</v>
      </c>
      <c r="M546" s="1" t="s">
        <v>30</v>
      </c>
      <c r="N546" s="1" t="str">
        <f t="shared" si="16"/>
        <v>Lower</v>
      </c>
      <c r="O546" s="1" t="str">
        <f t="shared" si="17"/>
        <v>Senior | High Spender | Lower</v>
      </c>
    </row>
    <row r="547" spans="1:15" x14ac:dyDescent="0.25">
      <c r="A547" s="1" t="s">
        <v>577</v>
      </c>
      <c r="B547" s="1">
        <v>54</v>
      </c>
      <c r="C547" s="1" t="str" cm="1">
        <f t="array" ref="C547">_xlfn.IFS(OR(B547=" ", B547="NA",NOT(ISNUMBER(B547))), "Unknown",B547&lt;18,"Underage",B547&lt;=24,"Young Adult",B547&lt;=34,"Early Career",B547&lt;=44,"Mid Career",B547&lt;=54,"Mature",B547&lt;=65,"Pre-Senior",B547&gt;65,"Senior")</f>
        <v>Mature</v>
      </c>
      <c r="D547" s="1" t="s">
        <v>18</v>
      </c>
      <c r="F547" s="1">
        <v>1750000</v>
      </c>
      <c r="G547" s="1">
        <v>79</v>
      </c>
      <c r="H547" s="1" t="str" cm="1">
        <f t="array" ref="H547">_xlfn.IFS( OR(G547=" ",NOT(ISNUMBER(G547))),"Unknown",G547&lt;=33,"Low Spender",G547&lt;=66,"Medium Spender",TRUE, "High Spender")</f>
        <v>High Spender</v>
      </c>
      <c r="I547" s="1">
        <v>1</v>
      </c>
      <c r="J547" s="1">
        <v>8000</v>
      </c>
      <c r="K547" s="1">
        <v>291</v>
      </c>
      <c r="L547" s="1" t="s">
        <v>35</v>
      </c>
      <c r="N547" s="1" t="str">
        <f t="shared" si="16"/>
        <v>Higher</v>
      </c>
      <c r="O547" s="1" t="str">
        <f t="shared" si="17"/>
        <v>Mature | High Spender | Higher</v>
      </c>
    </row>
    <row r="548" spans="1:15" x14ac:dyDescent="0.25">
      <c r="A548" s="1" t="s">
        <v>578</v>
      </c>
      <c r="B548" s="1">
        <v>39</v>
      </c>
      <c r="C548" s="1" t="str" cm="1">
        <f t="array" ref="C548">_xlfn.IFS(OR(B548=" ", B548="NA",NOT(ISNUMBER(B548))), "Unknown",B548&lt;18,"Underage",B548&lt;=24,"Young Adult",B548&lt;=34,"Early Career",B548&lt;=44,"Mid Career",B548&lt;=54,"Mature",B548&lt;=65,"Pre-Senior",B548&gt;65,"Senior")</f>
        <v>Mid Career</v>
      </c>
      <c r="D548" s="1" t="s">
        <v>29</v>
      </c>
      <c r="F548" s="1">
        <v>225000</v>
      </c>
      <c r="G548" s="1">
        <v>45</v>
      </c>
      <c r="H548" s="1" t="str" cm="1">
        <f t="array" ref="H548">_xlfn.IFS( OR(G548=" ",NOT(ISNUMBER(G548))),"Unknown",G548&lt;=33,"Low Spender",G548&lt;=66,"Medium Spender",TRUE, "High Spender")</f>
        <v>Medium Spender</v>
      </c>
      <c r="I548" s="1">
        <v>63</v>
      </c>
      <c r="J548" s="1">
        <v>5200</v>
      </c>
      <c r="K548" s="1">
        <v>112</v>
      </c>
      <c r="L548" s="1" t="s">
        <v>16</v>
      </c>
      <c r="M548" s="1" t="s">
        <v>30</v>
      </c>
      <c r="N548" s="1" t="str">
        <f t="shared" si="16"/>
        <v>Higher</v>
      </c>
      <c r="O548" s="1" t="str">
        <f t="shared" si="17"/>
        <v>Mid Career | Medium Spender | Higher</v>
      </c>
    </row>
    <row r="549" spans="1:15" x14ac:dyDescent="0.25">
      <c r="A549" s="1" t="s">
        <v>579</v>
      </c>
      <c r="B549" s="1">
        <v>46</v>
      </c>
      <c r="C549" s="1" t="str" cm="1">
        <f t="array" ref="C549">_xlfn.IFS(OR(B549=" ", B549="NA",NOT(ISNUMBER(B549))), "Unknown",B549&lt;18,"Underage",B549&lt;=24,"Young Adult",B549&lt;=34,"Early Career",B549&lt;=44,"Mid Career",B549&lt;=54,"Mature",B549&lt;=65,"Pre-Senior",B549&gt;65,"Senior")</f>
        <v>Mature</v>
      </c>
      <c r="D549" s="1" t="s">
        <v>18</v>
      </c>
      <c r="E549" s="1" t="s">
        <v>34</v>
      </c>
      <c r="F549" s="1">
        <v>850000</v>
      </c>
      <c r="G549" s="1">
        <v>13</v>
      </c>
      <c r="H549" s="1" t="str" cm="1">
        <f t="array" ref="H549">_xlfn.IFS( OR(G549=" ",NOT(ISNUMBER(G549))),"Unknown",G549&lt;=33,"Low Spender",G549&lt;=66,"Medium Spender",TRUE, "High Spender")</f>
        <v>Low Spender</v>
      </c>
      <c r="I549" s="1">
        <v>39</v>
      </c>
      <c r="J549" s="1">
        <v>1400</v>
      </c>
      <c r="K549" s="1">
        <v>203</v>
      </c>
      <c r="L549" s="1" t="s">
        <v>37</v>
      </c>
      <c r="N549" s="1" t="str">
        <f t="shared" si="16"/>
        <v>Higher</v>
      </c>
      <c r="O549" s="1" t="str">
        <f t="shared" si="17"/>
        <v>Mature | Low Spender | Higher</v>
      </c>
    </row>
    <row r="550" spans="1:15" x14ac:dyDescent="0.25">
      <c r="A550" s="1" t="s">
        <v>580</v>
      </c>
      <c r="B550" s="1">
        <v>31</v>
      </c>
      <c r="C550" s="1" t="str" cm="1">
        <f t="array" ref="C550">_xlfn.IFS(OR(B550=" ", B550="NA",NOT(ISNUMBER(B550))), "Unknown",B550&lt;18,"Underage",B550&lt;=24,"Young Adult",B550&lt;=34,"Early Career",B550&lt;=44,"Mid Career",B550&lt;=54,"Mature",B550&lt;=65,"Pre-Senior",B550&gt;65,"Senior")</f>
        <v>Early Career</v>
      </c>
      <c r="F550" s="1">
        <v>150000</v>
      </c>
      <c r="G550" s="1">
        <v>16</v>
      </c>
      <c r="H550" s="1" t="str" cm="1">
        <f t="array" ref="H550">_xlfn.IFS( OR(G550=" ",NOT(ISNUMBER(G550))),"Unknown",G550&lt;=33,"Low Spender",G550&lt;=66,"Medium Spender",TRUE, "High Spender")</f>
        <v>Low Spender</v>
      </c>
      <c r="I550" s="1">
        <v>19</v>
      </c>
      <c r="J550" s="1">
        <v>5800</v>
      </c>
      <c r="K550" s="1">
        <v>170</v>
      </c>
      <c r="L550" s="1" t="s">
        <v>35</v>
      </c>
      <c r="M550" s="1" t="s">
        <v>30</v>
      </c>
      <c r="N550" s="1" t="str">
        <f t="shared" si="16"/>
        <v>Lower</v>
      </c>
      <c r="O550" s="1" t="str">
        <f t="shared" si="17"/>
        <v>Early Career | Low Spender | Lower</v>
      </c>
    </row>
    <row r="551" spans="1:15" x14ac:dyDescent="0.25">
      <c r="A551" s="1" t="s">
        <v>581</v>
      </c>
      <c r="B551" s="1">
        <v>45</v>
      </c>
      <c r="C551" s="1" t="str" cm="1">
        <f t="array" ref="C551">_xlfn.IFS(OR(B551=" ", B551="NA",NOT(ISNUMBER(B551))), "Unknown",B551&lt;18,"Underage",B551&lt;=24,"Young Adult",B551&lt;=34,"Early Career",B551&lt;=44,"Mid Career",B551&lt;=54,"Mature",B551&lt;=65,"Pre-Senior",B551&gt;65,"Senior")</f>
        <v>Mature</v>
      </c>
      <c r="D551" s="1" t="s">
        <v>29</v>
      </c>
      <c r="E551" s="1" t="s">
        <v>58</v>
      </c>
      <c r="F551" s="1">
        <v>1375000</v>
      </c>
      <c r="G551" s="1">
        <v>86</v>
      </c>
      <c r="H551" s="1" t="str" cm="1">
        <f t="array" ref="H551">_xlfn.IFS( OR(G551=" ",NOT(ISNUMBER(G551))),"Unknown",G551&lt;=33,"Low Spender",G551&lt;=66,"Medium Spender",TRUE, "High Spender")</f>
        <v>High Spender</v>
      </c>
      <c r="I551" s="1">
        <v>31</v>
      </c>
      <c r="J551" s="1">
        <v>1700</v>
      </c>
      <c r="K551" s="1">
        <v>87</v>
      </c>
      <c r="M551" s="1" t="s">
        <v>21</v>
      </c>
      <c r="N551" s="1" t="str">
        <f t="shared" si="16"/>
        <v>Higher</v>
      </c>
      <c r="O551" s="1" t="str">
        <f t="shared" si="17"/>
        <v>Mature | High Spender | Higher</v>
      </c>
    </row>
    <row r="552" spans="1:15" x14ac:dyDescent="0.25">
      <c r="A552" s="1" t="s">
        <v>582</v>
      </c>
      <c r="B552" s="1">
        <v>22</v>
      </c>
      <c r="C552" s="1" t="str" cm="1">
        <f t="array" ref="C552">_xlfn.IFS(OR(B552=" ", B552="NA",NOT(ISNUMBER(B552))), "Unknown",B552&lt;18,"Underage",B552&lt;=24,"Young Adult",B552&lt;=34,"Early Career",B552&lt;=44,"Mid Career",B552&lt;=54,"Mature",B552&lt;=65,"Pre-Senior",B552&gt;65,"Senior")</f>
        <v>Young Adult</v>
      </c>
      <c r="D552" s="1" t="s">
        <v>12</v>
      </c>
      <c r="F552" s="1">
        <v>400000</v>
      </c>
      <c r="G552" s="1">
        <v>84</v>
      </c>
      <c r="H552" s="1" t="str" cm="1">
        <f t="array" ref="H552">_xlfn.IFS( OR(G552=" ",NOT(ISNUMBER(G552))),"Unknown",G552&lt;=33,"Low Spender",G552&lt;=66,"Medium Spender",TRUE, "High Spender")</f>
        <v>High Spender</v>
      </c>
      <c r="I552" s="1">
        <v>77</v>
      </c>
      <c r="J552" s="1">
        <v>8500</v>
      </c>
      <c r="K552" s="1">
        <v>119</v>
      </c>
      <c r="L552" s="1" t="s">
        <v>37</v>
      </c>
      <c r="M552" s="1" t="s">
        <v>32</v>
      </c>
      <c r="N552" s="1" t="str">
        <f t="shared" si="16"/>
        <v>Lower</v>
      </c>
      <c r="O552" s="1" t="str">
        <f t="shared" si="17"/>
        <v>Young Adult | High Spender | Lower</v>
      </c>
    </row>
    <row r="553" spans="1:15" x14ac:dyDescent="0.25">
      <c r="A553" s="1" t="s">
        <v>583</v>
      </c>
      <c r="B553" s="1">
        <v>64</v>
      </c>
      <c r="C553" s="1" t="str" cm="1">
        <f t="array" ref="C553">_xlfn.IFS(OR(B553=" ", B553="NA",NOT(ISNUMBER(B553))), "Unknown",B553&lt;18,"Underage",B553&lt;=24,"Young Adult",B553&lt;=34,"Early Career",B553&lt;=44,"Mid Career",B553&lt;=54,"Mature",B553&lt;=65,"Pre-Senior",B553&gt;65,"Senior")</f>
        <v>Pre-Senior</v>
      </c>
      <c r="D553" s="1" t="s">
        <v>18</v>
      </c>
      <c r="E553" s="1" t="s">
        <v>58</v>
      </c>
      <c r="F553" s="1">
        <v>1975000</v>
      </c>
      <c r="G553" s="1">
        <v>13</v>
      </c>
      <c r="H553" s="1" t="str" cm="1">
        <f t="array" ref="H553">_xlfn.IFS( OR(G553=" ",NOT(ISNUMBER(G553))),"Unknown",G553&lt;=33,"Low Spender",G553&lt;=66,"Medium Spender",TRUE, "High Spender")</f>
        <v>Low Spender</v>
      </c>
      <c r="I553" s="1">
        <v>24</v>
      </c>
      <c r="J553" s="1">
        <v>9400</v>
      </c>
      <c r="K553" s="1">
        <v>98</v>
      </c>
      <c r="L553" s="1" t="s">
        <v>16</v>
      </c>
      <c r="N553" s="1" t="str">
        <f t="shared" si="16"/>
        <v>Higher</v>
      </c>
      <c r="O553" s="1" t="str">
        <f t="shared" si="17"/>
        <v>Pre-Senior | Low Spender | Higher</v>
      </c>
    </row>
    <row r="554" spans="1:15" x14ac:dyDescent="0.25">
      <c r="A554" s="1" t="s">
        <v>584</v>
      </c>
      <c r="B554" s="1">
        <v>66</v>
      </c>
      <c r="C554" s="1" t="str" cm="1">
        <f t="array" ref="C554">_xlfn.IFS(OR(B554=" ", B554="NA",NOT(ISNUMBER(B554))), "Unknown",B554&lt;18,"Underage",B554&lt;=24,"Young Adult",B554&lt;=34,"Early Career",B554&lt;=44,"Mid Career",B554&lt;=54,"Mature",B554&lt;=65,"Pre-Senior",B554&gt;65,"Senior")</f>
        <v>Senior</v>
      </c>
      <c r="D554" s="1" t="s">
        <v>12</v>
      </c>
      <c r="E554" s="1" t="s">
        <v>58</v>
      </c>
      <c r="F554" s="1">
        <v>1600000</v>
      </c>
      <c r="G554" s="1">
        <v>20</v>
      </c>
      <c r="H554" s="1" t="str" cm="1">
        <f t="array" ref="H554">_xlfn.IFS( OR(G554=" ",NOT(ISNUMBER(G554))),"Unknown",G554&lt;=33,"Low Spender",G554&lt;=66,"Medium Spender",TRUE, "High Spender")</f>
        <v>Low Spender</v>
      </c>
      <c r="I554" s="1">
        <v>69</v>
      </c>
      <c r="J554" s="1">
        <v>4200</v>
      </c>
      <c r="K554" s="1">
        <v>240</v>
      </c>
      <c r="N554" s="1" t="str">
        <f t="shared" si="16"/>
        <v>Lower</v>
      </c>
      <c r="O554" s="1" t="str">
        <f t="shared" si="17"/>
        <v>Senior | Low Spender | Lower</v>
      </c>
    </row>
    <row r="555" spans="1:15" x14ac:dyDescent="0.25">
      <c r="A555" s="1" t="s">
        <v>585</v>
      </c>
      <c r="B555" s="1">
        <v>47</v>
      </c>
      <c r="C555" s="1" t="str" cm="1">
        <f t="array" ref="C555">_xlfn.IFS(OR(B555=" ", B555="NA",NOT(ISNUMBER(B555))), "Unknown",B555&lt;18,"Underage",B555&lt;=24,"Young Adult",B555&lt;=34,"Early Career",B555&lt;=44,"Mid Career",B555&lt;=54,"Mature",B555&lt;=65,"Pre-Senior",B555&gt;65,"Senior")</f>
        <v>Mature</v>
      </c>
      <c r="E555" s="1" t="s">
        <v>34</v>
      </c>
      <c r="F555" s="1">
        <v>1675000</v>
      </c>
      <c r="G555" s="1">
        <v>66</v>
      </c>
      <c r="H555" s="1" t="str" cm="1">
        <f t="array" ref="H555">_xlfn.IFS( OR(G555=" ",NOT(ISNUMBER(G555))),"Unknown",G555&lt;=33,"Low Spender",G555&lt;=66,"Medium Spender",TRUE, "High Spender")</f>
        <v>Medium Spender</v>
      </c>
      <c r="I555" s="1">
        <v>65</v>
      </c>
      <c r="J555" s="1">
        <v>4300</v>
      </c>
      <c r="K555" s="1">
        <v>337</v>
      </c>
      <c r="L555" s="1" t="s">
        <v>35</v>
      </c>
      <c r="N555" s="1" t="str">
        <f t="shared" si="16"/>
        <v>Lower</v>
      </c>
      <c r="O555" s="1" t="str">
        <f t="shared" si="17"/>
        <v>Mature | Medium Spender | Lower</v>
      </c>
    </row>
    <row r="556" spans="1:15" x14ac:dyDescent="0.25">
      <c r="A556" s="1" t="s">
        <v>586</v>
      </c>
      <c r="B556" s="1">
        <v>63</v>
      </c>
      <c r="C556" s="1" t="str" cm="1">
        <f t="array" ref="C556">_xlfn.IFS(OR(B556=" ", B556="NA",NOT(ISNUMBER(B556))), "Unknown",B556&lt;18,"Underage",B556&lt;=24,"Young Adult",B556&lt;=34,"Early Career",B556&lt;=44,"Mid Career",B556&lt;=54,"Mature",B556&lt;=65,"Pre-Senior",B556&gt;65,"Senior")</f>
        <v>Pre-Senior</v>
      </c>
      <c r="D556" s="1" t="s">
        <v>29</v>
      </c>
      <c r="E556" s="1" t="s">
        <v>15</v>
      </c>
      <c r="F556" s="1">
        <v>1025000</v>
      </c>
      <c r="G556" s="1">
        <v>99</v>
      </c>
      <c r="H556" s="1" t="str" cm="1">
        <f t="array" ref="H556">_xlfn.IFS( OR(G556=" ",NOT(ISNUMBER(G556))),"Unknown",G556&lt;=33,"Low Spender",G556&lt;=66,"Medium Spender",TRUE, "High Spender")</f>
        <v>High Spender</v>
      </c>
      <c r="I556" s="1">
        <v>33</v>
      </c>
      <c r="J556" s="1">
        <v>7100</v>
      </c>
      <c r="K556" s="1">
        <v>138</v>
      </c>
      <c r="L556" s="1" t="s">
        <v>16</v>
      </c>
      <c r="N556" s="1" t="str">
        <f t="shared" si="16"/>
        <v>Higher</v>
      </c>
      <c r="O556" s="1" t="str">
        <f t="shared" si="17"/>
        <v>Pre-Senior | High Spender | Higher</v>
      </c>
    </row>
    <row r="557" spans="1:15" x14ac:dyDescent="0.25">
      <c r="A557" s="1" t="s">
        <v>587</v>
      </c>
      <c r="B557" s="1">
        <v>69</v>
      </c>
      <c r="C557" s="1" t="str" cm="1">
        <f t="array" ref="C557">_xlfn.IFS(OR(B557=" ", B557="NA",NOT(ISNUMBER(B557))), "Unknown",B557&lt;18,"Underage",B557&lt;=24,"Young Adult",B557&lt;=34,"Early Career",B557&lt;=44,"Mid Career",B557&lt;=54,"Mature",B557&lt;=65,"Pre-Senior",B557&gt;65,"Senior")</f>
        <v>Senior</v>
      </c>
      <c r="E557" s="1" t="s">
        <v>49</v>
      </c>
      <c r="F557" s="1">
        <v>1525000</v>
      </c>
      <c r="G557" s="1">
        <v>47</v>
      </c>
      <c r="H557" s="1" t="str" cm="1">
        <f t="array" ref="H557">_xlfn.IFS( OR(G557=" ",NOT(ISNUMBER(G557))),"Unknown",G557&lt;=33,"Low Spender",G557&lt;=66,"Medium Spender",TRUE, "High Spender")</f>
        <v>Medium Spender</v>
      </c>
      <c r="I557" s="1">
        <v>59</v>
      </c>
      <c r="J557" s="1">
        <v>7100</v>
      </c>
      <c r="K557" s="1">
        <v>82</v>
      </c>
      <c r="L557" s="1" t="s">
        <v>37</v>
      </c>
      <c r="N557" s="1" t="str">
        <f t="shared" si="16"/>
        <v>Lower</v>
      </c>
      <c r="O557" s="1" t="str">
        <f t="shared" si="17"/>
        <v>Senior | Medium Spender | Lower</v>
      </c>
    </row>
    <row r="558" spans="1:15" x14ac:dyDescent="0.25">
      <c r="A558" s="1" t="s">
        <v>588</v>
      </c>
      <c r="B558" s="1">
        <v>22</v>
      </c>
      <c r="C558" s="1" t="str" cm="1">
        <f t="array" ref="C558">_xlfn.IFS(OR(B558=" ", B558="NA",NOT(ISNUMBER(B558))), "Unknown",B558&lt;18,"Underage",B558&lt;=24,"Young Adult",B558&lt;=34,"Early Career",B558&lt;=44,"Mid Career",B558&lt;=54,"Mature",B558&lt;=65,"Pre-Senior",B558&gt;65,"Senior")</f>
        <v>Young Adult</v>
      </c>
      <c r="D558" s="1" t="s">
        <v>18</v>
      </c>
      <c r="E558" s="1" t="s">
        <v>23</v>
      </c>
      <c r="F558" s="1">
        <v>650000</v>
      </c>
      <c r="G558" s="1">
        <v>19</v>
      </c>
      <c r="H558" s="1" t="str" cm="1">
        <f t="array" ref="H558">_xlfn.IFS( OR(G558=" ",NOT(ISNUMBER(G558))),"Unknown",G558&lt;=33,"Low Spender",G558&lt;=66,"Medium Spender",TRUE, "High Spender")</f>
        <v>Low Spender</v>
      </c>
      <c r="I558" s="1">
        <v>33</v>
      </c>
      <c r="J558" s="1">
        <v>800</v>
      </c>
      <c r="K558" s="1">
        <v>236</v>
      </c>
      <c r="L558" s="1" t="s">
        <v>20</v>
      </c>
      <c r="N558" s="1" t="str">
        <f t="shared" si="16"/>
        <v>Higher</v>
      </c>
      <c r="O558" s="1" t="str">
        <f t="shared" si="17"/>
        <v>Young Adult | Low Spender | Higher</v>
      </c>
    </row>
    <row r="559" spans="1:15" x14ac:dyDescent="0.25">
      <c r="A559" s="1" t="s">
        <v>589</v>
      </c>
      <c r="B559" s="1">
        <v>29</v>
      </c>
      <c r="C559" s="1" t="str" cm="1">
        <f t="array" ref="C559">_xlfn.IFS(OR(B559=" ", B559="NA",NOT(ISNUMBER(B559))), "Unknown",B559&lt;18,"Underage",B559&lt;=24,"Young Adult",B559&lt;=34,"Early Career",B559&lt;=44,"Mid Career",B559&lt;=54,"Mature",B559&lt;=65,"Pre-Senior",B559&gt;65,"Senior")</f>
        <v>Early Career</v>
      </c>
      <c r="D559" s="1" t="s">
        <v>29</v>
      </c>
      <c r="E559" s="1" t="s">
        <v>13</v>
      </c>
      <c r="F559" s="1">
        <v>450000</v>
      </c>
      <c r="G559" s="1">
        <v>45</v>
      </c>
      <c r="H559" s="1" t="str" cm="1">
        <f t="array" ref="H559">_xlfn.IFS( OR(G559=" ",NOT(ISNUMBER(G559))),"Unknown",G559&lt;=33,"Low Spender",G559&lt;=66,"Medium Spender",TRUE, "High Spender")</f>
        <v>Medium Spender</v>
      </c>
      <c r="I559" s="1">
        <v>32</v>
      </c>
      <c r="J559" s="1">
        <v>8900</v>
      </c>
      <c r="K559" s="1">
        <v>136</v>
      </c>
      <c r="L559" s="1" t="s">
        <v>35</v>
      </c>
      <c r="M559" s="1" t="s">
        <v>21</v>
      </c>
      <c r="N559" s="1" t="str">
        <f t="shared" si="16"/>
        <v>Higher</v>
      </c>
      <c r="O559" s="1" t="str">
        <f t="shared" si="17"/>
        <v>Early Career | Medium Spender | Higher</v>
      </c>
    </row>
    <row r="560" spans="1:15" x14ac:dyDescent="0.25">
      <c r="A560" s="1" t="s">
        <v>590</v>
      </c>
      <c r="B560" s="1">
        <v>33</v>
      </c>
      <c r="C560" s="1" t="str" cm="1">
        <f t="array" ref="C560">_xlfn.IFS(OR(B560=" ", B560="NA",NOT(ISNUMBER(B560))), "Unknown",B560&lt;18,"Underage",B560&lt;=24,"Young Adult",B560&lt;=34,"Early Career",B560&lt;=44,"Mid Career",B560&lt;=54,"Mature",B560&lt;=65,"Pre-Senior",B560&gt;65,"Senior")</f>
        <v>Early Career</v>
      </c>
      <c r="D560" s="1" t="s">
        <v>29</v>
      </c>
      <c r="E560" s="1" t="s">
        <v>49</v>
      </c>
      <c r="F560" s="1">
        <v>350000</v>
      </c>
      <c r="G560" s="1">
        <v>37</v>
      </c>
      <c r="H560" s="1" t="str" cm="1">
        <f t="array" ref="H560">_xlfn.IFS( OR(G560=" ",NOT(ISNUMBER(G560))),"Unknown",G560&lt;=33,"Low Spender",G560&lt;=66,"Medium Spender",TRUE, "High Spender")</f>
        <v>Medium Spender</v>
      </c>
      <c r="I560" s="1">
        <v>59</v>
      </c>
      <c r="J560" s="1">
        <v>6900</v>
      </c>
      <c r="K560" s="1">
        <v>282</v>
      </c>
      <c r="L560" s="1" t="s">
        <v>37</v>
      </c>
      <c r="M560" s="1" t="s">
        <v>30</v>
      </c>
      <c r="N560" s="1" t="str">
        <f t="shared" si="16"/>
        <v>Higher</v>
      </c>
      <c r="O560" s="1" t="str">
        <f t="shared" si="17"/>
        <v>Early Career | Medium Spender | Higher</v>
      </c>
    </row>
    <row r="561" spans="1:15" x14ac:dyDescent="0.25">
      <c r="A561" s="1" t="s">
        <v>591</v>
      </c>
      <c r="B561" s="1">
        <v>43</v>
      </c>
      <c r="C561" s="1" t="str" cm="1">
        <f t="array" ref="C561">_xlfn.IFS(OR(B561=" ", B561="NA",NOT(ISNUMBER(B561))), "Unknown",B561&lt;18,"Underage",B561&lt;=24,"Young Adult",B561&lt;=34,"Early Career",B561&lt;=44,"Mid Career",B561&lt;=54,"Mature",B561&lt;=65,"Pre-Senior",B561&gt;65,"Senior")</f>
        <v>Mid Career</v>
      </c>
      <c r="E561" s="1" t="s">
        <v>19</v>
      </c>
      <c r="F561" s="1">
        <v>400000</v>
      </c>
      <c r="G561" s="1">
        <v>54</v>
      </c>
      <c r="H561" s="1" t="str" cm="1">
        <f t="array" ref="H561">_xlfn.IFS( OR(G561=" ",NOT(ISNUMBER(G561))),"Unknown",G561&lt;=33,"Low Spender",G561&lt;=66,"Medium Spender",TRUE, "High Spender")</f>
        <v>Medium Spender</v>
      </c>
      <c r="I561" s="1">
        <v>41</v>
      </c>
      <c r="J561" s="1">
        <v>10300</v>
      </c>
      <c r="K561" s="1">
        <v>3</v>
      </c>
      <c r="L561" s="1" t="s">
        <v>37</v>
      </c>
      <c r="M561" s="1" t="s">
        <v>21</v>
      </c>
      <c r="N561" s="1" t="str">
        <f t="shared" si="16"/>
        <v>Lower</v>
      </c>
      <c r="O561" s="1" t="str">
        <f t="shared" si="17"/>
        <v>Mid Career | Medium Spender | Lower</v>
      </c>
    </row>
    <row r="562" spans="1:15" x14ac:dyDescent="0.25">
      <c r="A562" s="1" t="s">
        <v>592</v>
      </c>
      <c r="B562" s="1">
        <v>43</v>
      </c>
      <c r="C562" s="1" t="str" cm="1">
        <f t="array" ref="C562">_xlfn.IFS(OR(B562=" ", B562="NA",NOT(ISNUMBER(B562))), "Unknown",B562&lt;18,"Underage",B562&lt;=24,"Young Adult",B562&lt;=34,"Early Career",B562&lt;=44,"Mid Career",B562&lt;=54,"Mature",B562&lt;=65,"Pre-Senior",B562&gt;65,"Senior")</f>
        <v>Mid Career</v>
      </c>
      <c r="D562" s="1" t="s">
        <v>18</v>
      </c>
      <c r="E562" s="1" t="s">
        <v>15</v>
      </c>
      <c r="G562" s="1">
        <v>6</v>
      </c>
      <c r="H562" s="1" t="str" cm="1">
        <f t="array" ref="H562">_xlfn.IFS( OR(G562=" ",NOT(ISNUMBER(G562))),"Unknown",G562&lt;=33,"Low Spender",G562&lt;=66,"Medium Spender",TRUE, "High Spender")</f>
        <v>Low Spender</v>
      </c>
      <c r="I562" s="1">
        <v>12</v>
      </c>
      <c r="J562" s="1">
        <v>3500</v>
      </c>
      <c r="K562" s="1">
        <v>59</v>
      </c>
      <c r="L562" s="1" t="s">
        <v>16</v>
      </c>
      <c r="M562" s="1" t="s">
        <v>30</v>
      </c>
      <c r="N562" s="1" t="str">
        <f t="shared" si="16"/>
        <v>Higher</v>
      </c>
      <c r="O562" s="1" t="str">
        <f t="shared" si="17"/>
        <v>Mid Career | Low Spender | Higher</v>
      </c>
    </row>
    <row r="563" spans="1:15" x14ac:dyDescent="0.25">
      <c r="A563" s="1" t="s">
        <v>593</v>
      </c>
      <c r="B563" s="1">
        <v>65</v>
      </c>
      <c r="C563" s="1" t="str" cm="1">
        <f t="array" ref="C563">_xlfn.IFS(OR(B563=" ", B563="NA",NOT(ISNUMBER(B563))), "Unknown",B563&lt;18,"Underage",B563&lt;=24,"Young Adult",B563&lt;=34,"Early Career",B563&lt;=44,"Mid Career",B563&lt;=54,"Mature",B563&lt;=65,"Pre-Senior",B563&gt;65,"Senior")</f>
        <v>Pre-Senior</v>
      </c>
      <c r="D563" s="1" t="s">
        <v>29</v>
      </c>
      <c r="E563" s="1" t="s">
        <v>49</v>
      </c>
      <c r="F563" s="1">
        <v>1875000</v>
      </c>
      <c r="G563" s="1">
        <v>14</v>
      </c>
      <c r="H563" s="1" t="str" cm="1">
        <f t="array" ref="H563">_xlfn.IFS( OR(G563=" ",NOT(ISNUMBER(G563))),"Unknown",G563&lt;=33,"Low Spender",G563&lt;=66,"Medium Spender",TRUE, "High Spender")</f>
        <v>Low Spender</v>
      </c>
      <c r="I563" s="1">
        <v>73</v>
      </c>
      <c r="J563" s="1">
        <v>4500</v>
      </c>
      <c r="K563" s="1">
        <v>116</v>
      </c>
      <c r="L563" s="1" t="s">
        <v>37</v>
      </c>
      <c r="M563" s="1" t="s">
        <v>32</v>
      </c>
      <c r="N563" s="1" t="str">
        <f t="shared" si="16"/>
        <v>Higher</v>
      </c>
      <c r="O563" s="1" t="str">
        <f t="shared" si="17"/>
        <v>Pre-Senior | Low Spender | Higher</v>
      </c>
    </row>
    <row r="564" spans="1:15" x14ac:dyDescent="0.25">
      <c r="A564" s="1" t="s">
        <v>594</v>
      </c>
      <c r="B564" s="1">
        <v>38</v>
      </c>
      <c r="C564" s="1" t="str" cm="1">
        <f t="array" ref="C564">_xlfn.IFS(OR(B564=" ", B564="NA",NOT(ISNUMBER(B564))), "Unknown",B564&lt;18,"Underage",B564&lt;=24,"Young Adult",B564&lt;=34,"Early Career",B564&lt;=44,"Mid Career",B564&lt;=54,"Mature",B564&lt;=65,"Pre-Senior",B564&gt;65,"Senior")</f>
        <v>Mid Career</v>
      </c>
      <c r="D564" s="1" t="s">
        <v>29</v>
      </c>
      <c r="E564" s="1" t="s">
        <v>34</v>
      </c>
      <c r="F564" s="1">
        <v>150000</v>
      </c>
      <c r="G564" s="1">
        <v>4</v>
      </c>
      <c r="H564" s="1" t="str" cm="1">
        <f t="array" ref="H564">_xlfn.IFS( OR(G564=" ",NOT(ISNUMBER(G564))),"Unknown",G564&lt;=33,"Low Spender",G564&lt;=66,"Medium Spender",TRUE, "High Spender")</f>
        <v>Low Spender</v>
      </c>
      <c r="I564" s="1">
        <v>11</v>
      </c>
      <c r="J564" s="1">
        <v>2300</v>
      </c>
      <c r="K564" s="1">
        <v>131</v>
      </c>
      <c r="L564" s="1" t="s">
        <v>35</v>
      </c>
      <c r="N564" s="1" t="str">
        <f t="shared" si="16"/>
        <v>Higher</v>
      </c>
      <c r="O564" s="1" t="str">
        <f t="shared" si="17"/>
        <v>Mid Career | Low Spender | Higher</v>
      </c>
    </row>
    <row r="565" spans="1:15" x14ac:dyDescent="0.25">
      <c r="A565" s="1" t="s">
        <v>595</v>
      </c>
      <c r="B565" s="1">
        <v>56</v>
      </c>
      <c r="C565" s="1" t="str" cm="1">
        <f t="array" ref="C565">_xlfn.IFS(OR(B565=" ", B565="NA",NOT(ISNUMBER(B565))), "Unknown",B565&lt;18,"Underage",B565&lt;=24,"Young Adult",B565&lt;=34,"Early Career",B565&lt;=44,"Mid Career",B565&lt;=54,"Mature",B565&lt;=65,"Pre-Senior",B565&gt;65,"Senior")</f>
        <v>Pre-Senior</v>
      </c>
      <c r="D565" s="1" t="s">
        <v>29</v>
      </c>
      <c r="E565" s="1" t="s">
        <v>19</v>
      </c>
      <c r="F565" s="1">
        <v>1875000</v>
      </c>
      <c r="G565" s="1">
        <v>86</v>
      </c>
      <c r="H565" s="1" t="str" cm="1">
        <f t="array" ref="H565">_xlfn.IFS( OR(G565=" ",NOT(ISNUMBER(G565))),"Unknown",G565&lt;=33,"Low Spender",G565&lt;=66,"Medium Spender",TRUE, "High Spender")</f>
        <v>High Spender</v>
      </c>
      <c r="I565" s="1">
        <v>19</v>
      </c>
      <c r="J565" s="1">
        <v>8600</v>
      </c>
      <c r="K565" s="1">
        <v>201</v>
      </c>
      <c r="M565" s="1" t="s">
        <v>32</v>
      </c>
      <c r="N565" s="1" t="str">
        <f t="shared" si="16"/>
        <v>Higher</v>
      </c>
      <c r="O565" s="1" t="str">
        <f t="shared" si="17"/>
        <v>Pre-Senior | High Spender | Higher</v>
      </c>
    </row>
    <row r="566" spans="1:15" x14ac:dyDescent="0.25">
      <c r="A566" s="1" t="s">
        <v>596</v>
      </c>
      <c r="B566" s="1">
        <v>53</v>
      </c>
      <c r="C566" s="1" t="str" cm="1">
        <f t="array" ref="C566">_xlfn.IFS(OR(B566=" ", B566="NA",NOT(ISNUMBER(B566))), "Unknown",B566&lt;18,"Underage",B566&lt;=24,"Young Adult",B566&lt;=34,"Early Career",B566&lt;=44,"Mid Career",B566&lt;=54,"Mature",B566&lt;=65,"Pre-Senior",B566&gt;65,"Senior")</f>
        <v>Mature</v>
      </c>
      <c r="E566" s="1" t="s">
        <v>27</v>
      </c>
      <c r="F566" s="1" t="s">
        <v>25</v>
      </c>
      <c r="G566" s="1">
        <v>55</v>
      </c>
      <c r="H566" s="1" t="str" cm="1">
        <f t="array" ref="H566">_xlfn.IFS( OR(G566=" ",NOT(ISNUMBER(G566))),"Unknown",G566&lt;=33,"Low Spender",G566&lt;=66,"Medium Spender",TRUE, "High Spender")</f>
        <v>Medium Spender</v>
      </c>
      <c r="I566" s="1">
        <v>54</v>
      </c>
      <c r="J566" s="1">
        <v>6700</v>
      </c>
      <c r="K566" s="1">
        <v>292</v>
      </c>
      <c r="L566" s="1" t="s">
        <v>35</v>
      </c>
      <c r="M566" s="1" t="s">
        <v>41</v>
      </c>
      <c r="N566" s="1" t="str">
        <f t="shared" si="16"/>
        <v>Lower</v>
      </c>
      <c r="O566" s="1" t="str">
        <f t="shared" si="17"/>
        <v>Mature | Medium Spender | Lower</v>
      </c>
    </row>
    <row r="567" spans="1:15" x14ac:dyDescent="0.25">
      <c r="A567" s="1" t="s">
        <v>597</v>
      </c>
      <c r="B567" s="1">
        <v>50</v>
      </c>
      <c r="C567" s="1" t="str" cm="1">
        <f t="array" ref="C567">_xlfn.IFS(OR(B567=" ", B567="NA",NOT(ISNUMBER(B567))), "Unknown",B567&lt;18,"Underage",B567&lt;=24,"Young Adult",B567&lt;=34,"Early Career",B567&lt;=44,"Mid Career",B567&lt;=54,"Mature",B567&lt;=65,"Pre-Senior",B567&gt;65,"Senior")</f>
        <v>Mature</v>
      </c>
      <c r="D567" s="1" t="s">
        <v>12</v>
      </c>
      <c r="E567" s="1" t="s">
        <v>15</v>
      </c>
      <c r="F567" s="1">
        <v>1525000</v>
      </c>
      <c r="G567" s="1">
        <v>100</v>
      </c>
      <c r="H567" s="1" t="str" cm="1">
        <f t="array" ref="H567">_xlfn.IFS( OR(G567=" ",NOT(ISNUMBER(G567))),"Unknown",G567&lt;=33,"Low Spender",G567&lt;=66,"Medium Spender",TRUE, "High Spender")</f>
        <v>High Spender</v>
      </c>
      <c r="I567" s="1">
        <v>57</v>
      </c>
      <c r="J567" s="1">
        <v>10500</v>
      </c>
      <c r="K567" s="1">
        <v>342</v>
      </c>
      <c r="L567" s="1" t="s">
        <v>37</v>
      </c>
      <c r="M567" s="1" t="s">
        <v>30</v>
      </c>
      <c r="N567" s="1" t="str">
        <f t="shared" si="16"/>
        <v>Lower</v>
      </c>
      <c r="O567" s="1" t="str">
        <f t="shared" si="17"/>
        <v>Mature | High Spender | Lower</v>
      </c>
    </row>
    <row r="568" spans="1:15" x14ac:dyDescent="0.25">
      <c r="A568" s="1" t="s">
        <v>598</v>
      </c>
      <c r="B568" s="1">
        <v>47</v>
      </c>
      <c r="C568" s="1" t="str" cm="1">
        <f t="array" ref="C568">_xlfn.IFS(OR(B568=" ", B568="NA",NOT(ISNUMBER(B568))), "Unknown",B568&lt;18,"Underage",B568&lt;=24,"Young Adult",B568&lt;=34,"Early Career",B568&lt;=44,"Mid Career",B568&lt;=54,"Mature",B568&lt;=65,"Pre-Senior",B568&gt;65,"Senior")</f>
        <v>Mature</v>
      </c>
      <c r="E568" s="1" t="s">
        <v>49</v>
      </c>
      <c r="F568" s="1">
        <v>900000</v>
      </c>
      <c r="G568" s="1">
        <v>34</v>
      </c>
      <c r="H568" s="1" t="str" cm="1">
        <f t="array" ref="H568">_xlfn.IFS( OR(G568=" ",NOT(ISNUMBER(G568))),"Unknown",G568&lt;=33,"Low Spender",G568&lt;=66,"Medium Spender",TRUE, "High Spender")</f>
        <v>Medium Spender</v>
      </c>
      <c r="I568" s="1">
        <v>42</v>
      </c>
      <c r="J568" s="1">
        <v>11300</v>
      </c>
      <c r="K568" s="1">
        <v>98</v>
      </c>
      <c r="L568" s="1" t="s">
        <v>16</v>
      </c>
      <c r="M568" s="1" t="s">
        <v>21</v>
      </c>
      <c r="N568" s="1" t="str">
        <f t="shared" si="16"/>
        <v>Lower</v>
      </c>
      <c r="O568" s="1" t="str">
        <f t="shared" si="17"/>
        <v>Mature | Medium Spender | Lower</v>
      </c>
    </row>
    <row r="569" spans="1:15" x14ac:dyDescent="0.25">
      <c r="A569" s="1" t="s">
        <v>599</v>
      </c>
      <c r="B569" s="1">
        <v>54</v>
      </c>
      <c r="C569" s="1" t="str" cm="1">
        <f t="array" ref="C569">_xlfn.IFS(OR(B569=" ", B569="NA",NOT(ISNUMBER(B569))), "Unknown",B569&lt;18,"Underage",B569&lt;=24,"Young Adult",B569&lt;=34,"Early Career",B569&lt;=44,"Mid Career",B569&lt;=54,"Mature",B569&lt;=65,"Pre-Senior",B569&gt;65,"Senior")</f>
        <v>Mature</v>
      </c>
      <c r="D569" s="1" t="s">
        <v>18</v>
      </c>
      <c r="E569" s="1" t="s">
        <v>19</v>
      </c>
      <c r="F569" s="1">
        <v>1050000</v>
      </c>
      <c r="G569" s="1">
        <v>27</v>
      </c>
      <c r="H569" s="1" t="str" cm="1">
        <f t="array" ref="H569">_xlfn.IFS( OR(G569=" ",NOT(ISNUMBER(G569))),"Unknown",G569&lt;=33,"Low Spender",G569&lt;=66,"Medium Spender",TRUE, "High Spender")</f>
        <v>Low Spender</v>
      </c>
      <c r="I569" s="1">
        <v>71</v>
      </c>
      <c r="J569" s="1">
        <v>1900</v>
      </c>
      <c r="K569" s="1">
        <v>216</v>
      </c>
      <c r="L569" s="1" t="s">
        <v>35</v>
      </c>
      <c r="M569" s="1" t="s">
        <v>21</v>
      </c>
      <c r="N569" s="1" t="str">
        <f t="shared" si="16"/>
        <v>Higher</v>
      </c>
      <c r="O569" s="1" t="str">
        <f t="shared" si="17"/>
        <v>Mature | Low Spender | Higher</v>
      </c>
    </row>
    <row r="570" spans="1:15" x14ac:dyDescent="0.25">
      <c r="A570" s="1" t="s">
        <v>600</v>
      </c>
      <c r="B570" s="1">
        <v>40</v>
      </c>
      <c r="C570" s="1" t="str" cm="1">
        <f t="array" ref="C570">_xlfn.IFS(OR(B570=" ", B570="NA",NOT(ISNUMBER(B570))), "Unknown",B570&lt;18,"Underage",B570&lt;=24,"Young Adult",B570&lt;=34,"Early Career",B570&lt;=44,"Mid Career",B570&lt;=54,"Mature",B570&lt;=65,"Pre-Senior",B570&gt;65,"Senior")</f>
        <v>Mid Career</v>
      </c>
      <c r="D570" s="1" t="s">
        <v>12</v>
      </c>
      <c r="E570" s="1" t="s">
        <v>27</v>
      </c>
      <c r="F570" s="1">
        <v>1300000</v>
      </c>
      <c r="G570" s="1">
        <v>7</v>
      </c>
      <c r="H570" s="1" t="str" cm="1">
        <f t="array" ref="H570">_xlfn.IFS( OR(G570=" ",NOT(ISNUMBER(G570))),"Unknown",G570&lt;=33,"Low Spender",G570&lt;=66,"Medium Spender",TRUE, "High Spender")</f>
        <v>Low Spender</v>
      </c>
      <c r="I570" s="1">
        <v>31</v>
      </c>
      <c r="J570" s="1">
        <v>9500</v>
      </c>
      <c r="K570" s="1">
        <v>124</v>
      </c>
      <c r="L570" s="1" t="s">
        <v>20</v>
      </c>
      <c r="N570" s="1" t="str">
        <f t="shared" si="16"/>
        <v>Lower</v>
      </c>
      <c r="O570" s="1" t="str">
        <f t="shared" si="17"/>
        <v>Mid Career | Low Spender | Lower</v>
      </c>
    </row>
    <row r="571" spans="1:15" x14ac:dyDescent="0.25">
      <c r="A571" s="1" t="s">
        <v>601</v>
      </c>
      <c r="B571" s="1">
        <v>27</v>
      </c>
      <c r="C571" s="1" t="str" cm="1">
        <f t="array" ref="C571">_xlfn.IFS(OR(B571=" ", B571="NA",NOT(ISNUMBER(B571))), "Unknown",B571&lt;18,"Underage",B571&lt;=24,"Young Adult",B571&lt;=34,"Early Career",B571&lt;=44,"Mid Career",B571&lt;=54,"Mature",B571&lt;=65,"Pre-Senior",B571&gt;65,"Senior")</f>
        <v>Early Career</v>
      </c>
      <c r="D571" s="1" t="s">
        <v>12</v>
      </c>
      <c r="F571" s="1">
        <v>1300000</v>
      </c>
      <c r="G571" s="1">
        <v>3</v>
      </c>
      <c r="H571" s="1" t="str" cm="1">
        <f t="array" ref="H571">_xlfn.IFS( OR(G571=" ",NOT(ISNUMBER(G571))),"Unknown",G571&lt;=33,"Low Spender",G571&lt;=66,"Medium Spender",TRUE, "High Spender")</f>
        <v>Low Spender</v>
      </c>
      <c r="I571" s="1">
        <v>52</v>
      </c>
      <c r="J571" s="1">
        <v>1000</v>
      </c>
      <c r="K571" s="1">
        <v>73</v>
      </c>
      <c r="M571" s="1" t="s">
        <v>21</v>
      </c>
      <c r="N571" s="1" t="str">
        <f t="shared" si="16"/>
        <v>Lower</v>
      </c>
      <c r="O571" s="1" t="str">
        <f t="shared" si="17"/>
        <v>Early Career | Low Spender | Lower</v>
      </c>
    </row>
    <row r="572" spans="1:15" x14ac:dyDescent="0.25">
      <c r="A572" s="1" t="s">
        <v>602</v>
      </c>
      <c r="C572" s="1" t="str" cm="1">
        <f t="array" ref="C572">_xlfn.IFS(OR(B572=" ", B572="NA",NOT(ISNUMBER(B572))), "Unknown",B572&lt;18,"Underage",B572&lt;=24,"Young Adult",B572&lt;=34,"Early Career",B572&lt;=44,"Mid Career",B572&lt;=54,"Mature",B572&lt;=65,"Pre-Senior",B572&gt;65,"Senior")</f>
        <v>Unknown</v>
      </c>
      <c r="E572" s="1" t="s">
        <v>19</v>
      </c>
      <c r="F572" s="1">
        <v>1850000</v>
      </c>
      <c r="G572" s="1">
        <v>47</v>
      </c>
      <c r="H572" s="1" t="str" cm="1">
        <f t="array" ref="H572">_xlfn.IFS( OR(G572=" ",NOT(ISNUMBER(G572))),"Unknown",G572&lt;=33,"Low Spender",G572&lt;=66,"Medium Spender",TRUE, "High Spender")</f>
        <v>Medium Spender</v>
      </c>
      <c r="I572" s="1">
        <v>2</v>
      </c>
      <c r="J572" s="1">
        <v>6600</v>
      </c>
      <c r="M572" s="1" t="s">
        <v>41</v>
      </c>
      <c r="N572" s="1" t="str">
        <f t="shared" si="16"/>
        <v>Lower</v>
      </c>
      <c r="O572" s="1" t="str">
        <f t="shared" si="17"/>
        <v>Unknown | Medium Spender | Lower</v>
      </c>
    </row>
    <row r="573" spans="1:15" x14ac:dyDescent="0.25">
      <c r="A573" s="1" t="s">
        <v>603</v>
      </c>
      <c r="B573" s="1">
        <v>22</v>
      </c>
      <c r="C573" s="1" t="str" cm="1">
        <f t="array" ref="C573">_xlfn.IFS(OR(B573=" ", B573="NA",NOT(ISNUMBER(B573))), "Unknown",B573&lt;18,"Underage",B573&lt;=24,"Young Adult",B573&lt;=34,"Early Career",B573&lt;=44,"Mid Career",B573&lt;=54,"Mature",B573&lt;=65,"Pre-Senior",B573&gt;65,"Senior")</f>
        <v>Young Adult</v>
      </c>
      <c r="D573" s="1" t="s">
        <v>29</v>
      </c>
      <c r="E573" s="1" t="s">
        <v>34</v>
      </c>
      <c r="F573" s="1">
        <v>1575000</v>
      </c>
      <c r="G573" s="1">
        <v>97</v>
      </c>
      <c r="H573" s="1" t="str" cm="1">
        <f t="array" ref="H573">_xlfn.IFS( OR(G573=" ",NOT(ISNUMBER(G573))),"Unknown",G573&lt;=33,"Low Spender",G573&lt;=66,"Medium Spender",TRUE, "High Spender")</f>
        <v>High Spender</v>
      </c>
      <c r="I573" s="1">
        <v>38</v>
      </c>
      <c r="J573" s="1">
        <v>9200</v>
      </c>
      <c r="K573" s="1">
        <v>130</v>
      </c>
      <c r="L573" s="1" t="s">
        <v>16</v>
      </c>
      <c r="N573" s="1" t="str">
        <f t="shared" si="16"/>
        <v>Higher</v>
      </c>
      <c r="O573" s="1" t="str">
        <f t="shared" si="17"/>
        <v>Young Adult | High Spender | Higher</v>
      </c>
    </row>
    <row r="574" spans="1:15" x14ac:dyDescent="0.25">
      <c r="A574" s="1" t="s">
        <v>604</v>
      </c>
      <c r="B574" s="1">
        <v>53</v>
      </c>
      <c r="C574" s="1" t="str" cm="1">
        <f t="array" ref="C574">_xlfn.IFS(OR(B574=" ", B574="NA",NOT(ISNUMBER(B574))), "Unknown",B574&lt;18,"Underage",B574&lt;=24,"Young Adult",B574&lt;=34,"Early Career",B574&lt;=44,"Mid Career",B574&lt;=54,"Mature",B574&lt;=65,"Pre-Senior",B574&gt;65,"Senior")</f>
        <v>Mature</v>
      </c>
      <c r="F574" s="1">
        <v>1025000</v>
      </c>
      <c r="G574" s="1">
        <v>2</v>
      </c>
      <c r="H574" s="1" t="str" cm="1">
        <f t="array" ref="H574">_xlfn.IFS( OR(G574=" ",NOT(ISNUMBER(G574))),"Unknown",G574&lt;=33,"Low Spender",G574&lt;=66,"Medium Spender",TRUE, "High Spender")</f>
        <v>Low Spender</v>
      </c>
      <c r="I574" s="1">
        <v>32</v>
      </c>
      <c r="J574" s="1">
        <v>3000</v>
      </c>
      <c r="K574" s="1">
        <v>27</v>
      </c>
      <c r="L574" s="1" t="s">
        <v>16</v>
      </c>
      <c r="M574" s="1" t="s">
        <v>21</v>
      </c>
      <c r="N574" s="1" t="str">
        <f t="shared" si="16"/>
        <v>Lower</v>
      </c>
      <c r="O574" s="1" t="str">
        <f t="shared" si="17"/>
        <v>Mature | Low Spender | Lower</v>
      </c>
    </row>
    <row r="575" spans="1:15" x14ac:dyDescent="0.25">
      <c r="A575" s="1" t="s">
        <v>605</v>
      </c>
      <c r="B575" s="1">
        <v>51</v>
      </c>
      <c r="C575" s="1" t="str" cm="1">
        <f t="array" ref="C575">_xlfn.IFS(OR(B575=" ", B575="NA",NOT(ISNUMBER(B575))), "Unknown",B575&lt;18,"Underage",B575&lt;=24,"Young Adult",B575&lt;=34,"Early Career",B575&lt;=44,"Mid Career",B575&lt;=54,"Mature",B575&lt;=65,"Pre-Senior",B575&gt;65,"Senior")</f>
        <v>Mature</v>
      </c>
      <c r="E575" s="1" t="s">
        <v>34</v>
      </c>
      <c r="F575" s="1">
        <v>925000</v>
      </c>
      <c r="G575" s="1">
        <v>80</v>
      </c>
      <c r="H575" s="1" t="str" cm="1">
        <f t="array" ref="H575">_xlfn.IFS( OR(G575=" ",NOT(ISNUMBER(G575))),"Unknown",G575&lt;=33,"Low Spender",G575&lt;=66,"Medium Spender",TRUE, "High Spender")</f>
        <v>High Spender</v>
      </c>
      <c r="I575" s="1">
        <v>10</v>
      </c>
      <c r="J575" s="1">
        <v>10000</v>
      </c>
      <c r="K575" s="1">
        <v>165</v>
      </c>
      <c r="N575" s="1" t="str">
        <f t="shared" si="16"/>
        <v>Lower</v>
      </c>
      <c r="O575" s="1" t="str">
        <f t="shared" si="17"/>
        <v>Mature | High Spender | Lower</v>
      </c>
    </row>
    <row r="576" spans="1:15" x14ac:dyDescent="0.25">
      <c r="A576" s="1" t="s">
        <v>606</v>
      </c>
      <c r="B576" s="1">
        <v>69</v>
      </c>
      <c r="C576" s="1" t="str" cm="1">
        <f t="array" ref="C576">_xlfn.IFS(OR(B576=" ", B576="NA",NOT(ISNUMBER(B576))), "Unknown",B576&lt;18,"Underage",B576&lt;=24,"Young Adult",B576&lt;=34,"Early Career",B576&lt;=44,"Mid Career",B576&lt;=54,"Mature",B576&lt;=65,"Pre-Senior",B576&gt;65,"Senior")</f>
        <v>Senior</v>
      </c>
      <c r="D576" s="1" t="s">
        <v>29</v>
      </c>
      <c r="E576" s="1" t="s">
        <v>49</v>
      </c>
      <c r="F576" s="1">
        <v>1725000</v>
      </c>
      <c r="G576" s="1">
        <v>25</v>
      </c>
      <c r="H576" s="1" t="str" cm="1">
        <f t="array" ref="H576">_xlfn.IFS( OR(G576=" ",NOT(ISNUMBER(G576))),"Unknown",G576&lt;=33,"Low Spender",G576&lt;=66,"Medium Spender",TRUE, "High Spender")</f>
        <v>Low Spender</v>
      </c>
      <c r="I576" s="1">
        <v>8</v>
      </c>
      <c r="J576" s="1">
        <v>9200</v>
      </c>
      <c r="K576" s="1">
        <v>68</v>
      </c>
      <c r="M576" s="1" t="s">
        <v>32</v>
      </c>
      <c r="N576" s="1" t="str">
        <f t="shared" si="16"/>
        <v>Higher</v>
      </c>
      <c r="O576" s="1" t="str">
        <f t="shared" si="17"/>
        <v>Senior | Low Spender | Higher</v>
      </c>
    </row>
    <row r="577" spans="1:15" x14ac:dyDescent="0.25">
      <c r="A577" s="1" t="s">
        <v>607</v>
      </c>
      <c r="B577" s="1">
        <v>48</v>
      </c>
      <c r="C577" s="1" t="str" cm="1">
        <f t="array" ref="C577">_xlfn.IFS(OR(B577=" ", B577="NA",NOT(ISNUMBER(B577))), "Unknown",B577&lt;18,"Underage",B577&lt;=24,"Young Adult",B577&lt;=34,"Early Career",B577&lt;=44,"Mid Career",B577&lt;=54,"Mature",B577&lt;=65,"Pre-Senior",B577&gt;65,"Senior")</f>
        <v>Mature</v>
      </c>
      <c r="E577" s="1" t="s">
        <v>23</v>
      </c>
      <c r="F577" s="1">
        <v>1900000</v>
      </c>
      <c r="G577" s="1">
        <v>60</v>
      </c>
      <c r="H577" s="1" t="str" cm="1">
        <f t="array" ref="H577">_xlfn.IFS( OR(G577=" ",NOT(ISNUMBER(G577))),"Unknown",G577&lt;=33,"Low Spender",G577&lt;=66,"Medium Spender",TRUE, "High Spender")</f>
        <v>Medium Spender</v>
      </c>
      <c r="I577" s="1">
        <v>75</v>
      </c>
      <c r="J577" s="1">
        <v>1500</v>
      </c>
      <c r="K577" s="1">
        <v>14</v>
      </c>
      <c r="L577" s="1" t="s">
        <v>35</v>
      </c>
      <c r="M577" s="1" t="s">
        <v>21</v>
      </c>
      <c r="N577" s="1" t="str">
        <f t="shared" si="16"/>
        <v>Lower</v>
      </c>
      <c r="O577" s="1" t="str">
        <f t="shared" si="17"/>
        <v>Mature | Medium Spender | Lower</v>
      </c>
    </row>
    <row r="578" spans="1:15" x14ac:dyDescent="0.25">
      <c r="A578" s="1" t="s">
        <v>608</v>
      </c>
      <c r="B578" s="1">
        <v>27</v>
      </c>
      <c r="C578" s="1" t="str" cm="1">
        <f t="array" ref="C578">_xlfn.IFS(OR(B578=" ", B578="NA",NOT(ISNUMBER(B578))), "Unknown",B578&lt;18,"Underage",B578&lt;=24,"Young Adult",B578&lt;=34,"Early Career",B578&lt;=44,"Mid Career",B578&lt;=54,"Mature",B578&lt;=65,"Pre-Senior",B578&gt;65,"Senior")</f>
        <v>Early Career</v>
      </c>
      <c r="D578" s="1" t="s">
        <v>29</v>
      </c>
      <c r="E578" s="1" t="s">
        <v>49</v>
      </c>
      <c r="F578" s="1">
        <v>1175000</v>
      </c>
      <c r="G578" s="1">
        <v>79</v>
      </c>
      <c r="H578" s="1" t="str" cm="1">
        <f t="array" ref="H578">_xlfn.IFS( OR(G578=" ",NOT(ISNUMBER(G578))),"Unknown",G578&lt;=33,"Low Spender",G578&lt;=66,"Medium Spender",TRUE, "High Spender")</f>
        <v>High Spender</v>
      </c>
      <c r="I578" s="1">
        <v>20</v>
      </c>
      <c r="J578" s="1">
        <v>11000</v>
      </c>
      <c r="K578" s="1">
        <v>98</v>
      </c>
      <c r="L578" s="1" t="s">
        <v>37</v>
      </c>
      <c r="M578" s="1" t="s">
        <v>21</v>
      </c>
      <c r="N578" s="1" t="str">
        <f t="shared" ref="N578:N641" si="18">IF(OR(UPPER(TRIM(D578))="Male",UPPER(TRIM(D578))="Female"),"Higher","Lower")</f>
        <v>Higher</v>
      </c>
      <c r="O578" s="1" t="str">
        <f t="shared" ref="O578:O641" si="19">_xlfn.TEXTJOIN(" | ", TRUE, C578, H578, N578)</f>
        <v>Early Career | High Spender | Higher</v>
      </c>
    </row>
    <row r="579" spans="1:15" x14ac:dyDescent="0.25">
      <c r="A579" s="1" t="s">
        <v>609</v>
      </c>
      <c r="B579" s="1">
        <v>36</v>
      </c>
      <c r="C579" s="1" t="str" cm="1">
        <f t="array" ref="C579">_xlfn.IFS(OR(B579=" ", B579="NA",NOT(ISNUMBER(B579))), "Unknown",B579&lt;18,"Underage",B579&lt;=24,"Young Adult",B579&lt;=34,"Early Career",B579&lt;=44,"Mid Career",B579&lt;=54,"Mature",B579&lt;=65,"Pre-Senior",B579&gt;65,"Senior")</f>
        <v>Mid Career</v>
      </c>
      <c r="F579" s="1">
        <v>1325000</v>
      </c>
      <c r="G579" s="1">
        <v>24</v>
      </c>
      <c r="H579" s="1" t="str" cm="1">
        <f t="array" ref="H579">_xlfn.IFS( OR(G579=" ",NOT(ISNUMBER(G579))),"Unknown",G579&lt;=33,"Low Spender",G579&lt;=66,"Medium Spender",TRUE, "High Spender")</f>
        <v>Low Spender</v>
      </c>
      <c r="I579" s="1">
        <v>20</v>
      </c>
      <c r="J579" s="1">
        <v>10300</v>
      </c>
      <c r="K579" s="1">
        <v>279</v>
      </c>
      <c r="L579" s="1" t="s">
        <v>37</v>
      </c>
      <c r="M579" s="1" t="s">
        <v>21</v>
      </c>
      <c r="N579" s="1" t="str">
        <f t="shared" si="18"/>
        <v>Lower</v>
      </c>
      <c r="O579" s="1" t="str">
        <f t="shared" si="19"/>
        <v>Mid Career | Low Spender | Lower</v>
      </c>
    </row>
    <row r="580" spans="1:15" x14ac:dyDescent="0.25">
      <c r="A580" s="1" t="s">
        <v>610</v>
      </c>
      <c r="B580" s="1">
        <v>49</v>
      </c>
      <c r="C580" s="1" t="str" cm="1">
        <f t="array" ref="C580">_xlfn.IFS(OR(B580=" ", B580="NA",NOT(ISNUMBER(B580))), "Unknown",B580&lt;18,"Underage",B580&lt;=24,"Young Adult",B580&lt;=34,"Early Career",B580&lt;=44,"Mid Career",B580&lt;=54,"Mature",B580&lt;=65,"Pre-Senior",B580&gt;65,"Senior")</f>
        <v>Mature</v>
      </c>
      <c r="D580" s="1" t="s">
        <v>18</v>
      </c>
      <c r="E580" s="1" t="s">
        <v>58</v>
      </c>
      <c r="F580" s="1">
        <v>1975000</v>
      </c>
      <c r="G580" s="1">
        <v>15</v>
      </c>
      <c r="H580" s="1" t="str" cm="1">
        <f t="array" ref="H580">_xlfn.IFS( OR(G580=" ",NOT(ISNUMBER(G580))),"Unknown",G580&lt;=33,"Low Spender",G580&lt;=66,"Medium Spender",TRUE, "High Spender")</f>
        <v>Low Spender</v>
      </c>
      <c r="I580" s="1">
        <v>9</v>
      </c>
      <c r="J580" s="1">
        <v>1500</v>
      </c>
      <c r="K580" s="1">
        <v>247</v>
      </c>
      <c r="L580" s="1" t="s">
        <v>20</v>
      </c>
      <c r="N580" s="1" t="str">
        <f t="shared" si="18"/>
        <v>Higher</v>
      </c>
      <c r="O580" s="1" t="str">
        <f t="shared" si="19"/>
        <v>Mature | Low Spender | Higher</v>
      </c>
    </row>
    <row r="581" spans="1:15" x14ac:dyDescent="0.25">
      <c r="A581" s="1" t="s">
        <v>611</v>
      </c>
      <c r="B581" s="1">
        <v>18</v>
      </c>
      <c r="C581" s="1" t="str" cm="1">
        <f t="array" ref="C581">_xlfn.IFS(OR(B581=" ", B581="NA",NOT(ISNUMBER(B581))), "Unknown",B581&lt;18,"Underage",B581&lt;=24,"Young Adult",B581&lt;=34,"Early Career",B581&lt;=44,"Mid Career",B581&lt;=54,"Mature",B581&lt;=65,"Pre-Senior",B581&gt;65,"Senior")</f>
        <v>Young Adult</v>
      </c>
      <c r="D581" s="1" t="s">
        <v>12</v>
      </c>
      <c r="E581" s="1" t="s">
        <v>49</v>
      </c>
      <c r="F581" s="1">
        <v>875000</v>
      </c>
      <c r="G581" s="1">
        <v>95</v>
      </c>
      <c r="H581" s="1" t="str" cm="1">
        <f t="array" ref="H581">_xlfn.IFS( OR(G581=" ",NOT(ISNUMBER(G581))),"Unknown",G581&lt;=33,"Low Spender",G581&lt;=66,"Medium Spender",TRUE, "High Spender")</f>
        <v>High Spender</v>
      </c>
      <c r="I581" s="1">
        <v>72</v>
      </c>
      <c r="J581" s="1">
        <v>4000</v>
      </c>
      <c r="K581" s="1">
        <v>112</v>
      </c>
      <c r="N581" s="1" t="str">
        <f t="shared" si="18"/>
        <v>Lower</v>
      </c>
      <c r="O581" s="1" t="str">
        <f t="shared" si="19"/>
        <v>Young Adult | High Spender | Lower</v>
      </c>
    </row>
    <row r="582" spans="1:15" x14ac:dyDescent="0.25">
      <c r="A582" s="1" t="s">
        <v>612</v>
      </c>
      <c r="B582" s="1">
        <v>22</v>
      </c>
      <c r="C582" s="1" t="str" cm="1">
        <f t="array" ref="C582">_xlfn.IFS(OR(B582=" ", B582="NA",NOT(ISNUMBER(B582))), "Unknown",B582&lt;18,"Underage",B582&lt;=24,"Young Adult",B582&lt;=34,"Early Career",B582&lt;=44,"Mid Career",B582&lt;=54,"Mature",B582&lt;=65,"Pre-Senior",B582&gt;65,"Senior")</f>
        <v>Young Adult</v>
      </c>
      <c r="F582" s="1">
        <v>650000</v>
      </c>
      <c r="G582" s="1">
        <v>14</v>
      </c>
      <c r="H582" s="1" t="str" cm="1">
        <f t="array" ref="H582">_xlfn.IFS( OR(G582=" ",NOT(ISNUMBER(G582))),"Unknown",G582&lt;=33,"Low Spender",G582&lt;=66,"Medium Spender",TRUE, "High Spender")</f>
        <v>Low Spender</v>
      </c>
      <c r="I582" s="1">
        <v>15</v>
      </c>
      <c r="J582" s="1">
        <v>2700</v>
      </c>
      <c r="K582" s="1">
        <v>207</v>
      </c>
      <c r="L582" s="1" t="s">
        <v>37</v>
      </c>
      <c r="M582" s="1" t="s">
        <v>21</v>
      </c>
      <c r="N582" s="1" t="str">
        <f t="shared" si="18"/>
        <v>Lower</v>
      </c>
      <c r="O582" s="1" t="str">
        <f t="shared" si="19"/>
        <v>Young Adult | Low Spender | Lower</v>
      </c>
    </row>
    <row r="583" spans="1:15" x14ac:dyDescent="0.25">
      <c r="A583" s="1" t="s">
        <v>613</v>
      </c>
      <c r="B583" s="1">
        <v>62</v>
      </c>
      <c r="C583" s="1" t="str" cm="1">
        <f t="array" ref="C583">_xlfn.IFS(OR(B583=" ", B583="NA",NOT(ISNUMBER(B583))), "Unknown",B583&lt;18,"Underage",B583&lt;=24,"Young Adult",B583&lt;=34,"Early Career",B583&lt;=44,"Mid Career",B583&lt;=54,"Mature",B583&lt;=65,"Pre-Senior",B583&gt;65,"Senior")</f>
        <v>Pre-Senior</v>
      </c>
      <c r="D583" s="1" t="s">
        <v>29</v>
      </c>
      <c r="E583" s="1" t="s">
        <v>19</v>
      </c>
      <c r="F583" s="1">
        <v>1625000</v>
      </c>
      <c r="G583" s="1">
        <v>54</v>
      </c>
      <c r="H583" s="1" t="str" cm="1">
        <f t="array" ref="H583">_xlfn.IFS( OR(G583=" ",NOT(ISNUMBER(G583))),"Unknown",G583&lt;=33,"Low Spender",G583&lt;=66,"Medium Spender",TRUE, "High Spender")</f>
        <v>Medium Spender</v>
      </c>
      <c r="I583" s="1">
        <v>63</v>
      </c>
      <c r="J583" s="1">
        <v>11300</v>
      </c>
      <c r="K583" s="1">
        <v>352</v>
      </c>
      <c r="L583" s="1" t="s">
        <v>20</v>
      </c>
      <c r="N583" s="1" t="str">
        <f t="shared" si="18"/>
        <v>Higher</v>
      </c>
      <c r="O583" s="1" t="str">
        <f t="shared" si="19"/>
        <v>Pre-Senior | Medium Spender | Higher</v>
      </c>
    </row>
    <row r="584" spans="1:15" x14ac:dyDescent="0.25">
      <c r="A584" s="1" t="s">
        <v>614</v>
      </c>
      <c r="B584" s="1">
        <v>21</v>
      </c>
      <c r="C584" s="1" t="str" cm="1">
        <f t="array" ref="C584">_xlfn.IFS(OR(B584=" ", B584="NA",NOT(ISNUMBER(B584))), "Unknown",B584&lt;18,"Underage",B584&lt;=24,"Young Adult",B584&lt;=34,"Early Career",B584&lt;=44,"Mid Career",B584&lt;=54,"Mature",B584&lt;=65,"Pre-Senior",B584&gt;65,"Senior")</f>
        <v>Young Adult</v>
      </c>
      <c r="D584" s="1" t="s">
        <v>18</v>
      </c>
      <c r="F584" s="1">
        <v>450000</v>
      </c>
      <c r="G584" s="1">
        <v>78</v>
      </c>
      <c r="H584" s="1" t="str" cm="1">
        <f t="array" ref="H584">_xlfn.IFS( OR(G584=" ",NOT(ISNUMBER(G584))),"Unknown",G584&lt;=33,"Low Spender",G584&lt;=66,"Medium Spender",TRUE, "High Spender")</f>
        <v>High Spender</v>
      </c>
      <c r="I584" s="1">
        <v>21</v>
      </c>
      <c r="J584" s="1">
        <v>6400</v>
      </c>
      <c r="K584" s="1">
        <v>334</v>
      </c>
      <c r="L584" s="1" t="s">
        <v>20</v>
      </c>
      <c r="N584" s="1" t="str">
        <f t="shared" si="18"/>
        <v>Higher</v>
      </c>
      <c r="O584" s="1" t="str">
        <f t="shared" si="19"/>
        <v>Young Adult | High Spender | Higher</v>
      </c>
    </row>
    <row r="585" spans="1:15" x14ac:dyDescent="0.25">
      <c r="A585" s="1" t="s">
        <v>615</v>
      </c>
      <c r="B585" s="1">
        <v>33</v>
      </c>
      <c r="C585" s="1" t="str" cm="1">
        <f t="array" ref="C585">_xlfn.IFS(OR(B585=" ", B585="NA",NOT(ISNUMBER(B585))), "Unknown",B585&lt;18,"Underage",B585&lt;=24,"Young Adult",B585&lt;=34,"Early Career",B585&lt;=44,"Mid Career",B585&lt;=54,"Mature",B585&lt;=65,"Pre-Senior",B585&gt;65,"Senior")</f>
        <v>Early Career</v>
      </c>
      <c r="D585" s="1" t="s">
        <v>18</v>
      </c>
      <c r="E585" s="1" t="s">
        <v>49</v>
      </c>
      <c r="F585" s="1">
        <v>150000</v>
      </c>
      <c r="G585" s="1">
        <v>6</v>
      </c>
      <c r="H585" s="1" t="str" cm="1">
        <f t="array" ref="H585">_xlfn.IFS( OR(G585=" ",NOT(ISNUMBER(G585))),"Unknown",G585&lt;=33,"Low Spender",G585&lt;=66,"Medium Spender",TRUE, "High Spender")</f>
        <v>Low Spender</v>
      </c>
      <c r="I585" s="1">
        <v>5</v>
      </c>
      <c r="J585" s="1">
        <v>2500</v>
      </c>
      <c r="K585" s="1">
        <v>233</v>
      </c>
      <c r="L585" s="1" t="s">
        <v>16</v>
      </c>
      <c r="M585" s="1" t="s">
        <v>41</v>
      </c>
      <c r="N585" s="1" t="str">
        <f t="shared" si="18"/>
        <v>Higher</v>
      </c>
      <c r="O585" s="1" t="str">
        <f t="shared" si="19"/>
        <v>Early Career | Low Spender | Higher</v>
      </c>
    </row>
    <row r="586" spans="1:15" x14ac:dyDescent="0.25">
      <c r="A586" s="1" t="s">
        <v>616</v>
      </c>
      <c r="B586" s="1">
        <v>41</v>
      </c>
      <c r="C586" s="1" t="str" cm="1">
        <f t="array" ref="C586">_xlfn.IFS(OR(B586=" ", B586="NA",NOT(ISNUMBER(B586))), "Unknown",B586&lt;18,"Underage",B586&lt;=24,"Young Adult",B586&lt;=34,"Early Career",B586&lt;=44,"Mid Career",B586&lt;=54,"Mature",B586&lt;=65,"Pre-Senior",B586&gt;65,"Senior")</f>
        <v>Mid Career</v>
      </c>
      <c r="D586" s="1" t="s">
        <v>29</v>
      </c>
      <c r="E586" s="1" t="s">
        <v>19</v>
      </c>
      <c r="F586" s="1">
        <v>1750000</v>
      </c>
      <c r="G586" s="1">
        <v>78</v>
      </c>
      <c r="H586" s="1" t="str" cm="1">
        <f t="array" ref="H586">_xlfn.IFS( OR(G586=" ",NOT(ISNUMBER(G586))),"Unknown",G586&lt;=33,"Low Spender",G586&lt;=66,"Medium Spender",TRUE, "High Spender")</f>
        <v>High Spender</v>
      </c>
      <c r="I586" s="1">
        <v>35</v>
      </c>
      <c r="J586" s="1">
        <v>8800</v>
      </c>
      <c r="K586" s="1">
        <v>61</v>
      </c>
      <c r="L586" s="1" t="s">
        <v>16</v>
      </c>
      <c r="M586" s="1" t="s">
        <v>32</v>
      </c>
      <c r="N586" s="1" t="str">
        <f t="shared" si="18"/>
        <v>Higher</v>
      </c>
      <c r="O586" s="1" t="str">
        <f t="shared" si="19"/>
        <v>Mid Career | High Spender | Higher</v>
      </c>
    </row>
    <row r="587" spans="1:15" x14ac:dyDescent="0.25">
      <c r="A587" s="1" t="s">
        <v>617</v>
      </c>
      <c r="B587" s="1">
        <v>33</v>
      </c>
      <c r="C587" s="1" t="str" cm="1">
        <f t="array" ref="C587">_xlfn.IFS(OR(B587=" ", B587="NA",NOT(ISNUMBER(B587))), "Unknown",B587&lt;18,"Underage",B587&lt;=24,"Young Adult",B587&lt;=34,"Early Career",B587&lt;=44,"Mid Career",B587&lt;=54,"Mature",B587&lt;=65,"Pre-Senior",B587&gt;65,"Senior")</f>
        <v>Early Career</v>
      </c>
      <c r="D587" s="1" t="s">
        <v>12</v>
      </c>
      <c r="E587" s="1" t="s">
        <v>34</v>
      </c>
      <c r="F587" s="1">
        <v>950000</v>
      </c>
      <c r="G587" s="1">
        <v>81</v>
      </c>
      <c r="H587" s="1" t="str" cm="1">
        <f t="array" ref="H587">_xlfn.IFS( OR(G587=" ",NOT(ISNUMBER(G587))),"Unknown",G587&lt;=33,"Low Spender",G587&lt;=66,"Medium Spender",TRUE, "High Spender")</f>
        <v>High Spender</v>
      </c>
      <c r="I587" s="1">
        <v>68</v>
      </c>
      <c r="J587" s="1">
        <v>2300</v>
      </c>
      <c r="K587" s="1">
        <v>85</v>
      </c>
      <c r="M587" s="1" t="s">
        <v>21</v>
      </c>
      <c r="N587" s="1" t="str">
        <f t="shared" si="18"/>
        <v>Lower</v>
      </c>
      <c r="O587" s="1" t="str">
        <f t="shared" si="19"/>
        <v>Early Career | High Spender | Lower</v>
      </c>
    </row>
    <row r="588" spans="1:15" x14ac:dyDescent="0.25">
      <c r="A588" s="1" t="s">
        <v>618</v>
      </c>
      <c r="B588" s="1" t="s">
        <v>73</v>
      </c>
      <c r="C588" s="1" t="str" cm="1">
        <f t="array" ref="C588">_xlfn.IFS(OR(B588=" ", B588="NA",NOT(ISNUMBER(B588))), "Unknown",B588&lt;18,"Underage",B588&lt;=24,"Young Adult",B588&lt;=34,"Early Career",B588&lt;=44,"Mid Career",B588&lt;=54,"Mature",B588&lt;=65,"Pre-Senior",B588&gt;65,"Senior")</f>
        <v>Unknown</v>
      </c>
      <c r="E588" s="1" t="s">
        <v>15</v>
      </c>
      <c r="F588" s="1">
        <v>1075000</v>
      </c>
      <c r="G588" s="1">
        <v>18</v>
      </c>
      <c r="H588" s="1" t="str" cm="1">
        <f t="array" ref="H588">_xlfn.IFS( OR(G588=" ",NOT(ISNUMBER(G588))),"Unknown",G588&lt;=33,"Low Spender",G588&lt;=66,"Medium Spender",TRUE, "High Spender")</f>
        <v>Low Spender</v>
      </c>
      <c r="I588" s="1">
        <v>48</v>
      </c>
      <c r="J588" s="1">
        <v>5600</v>
      </c>
      <c r="K588" s="1">
        <v>183</v>
      </c>
      <c r="L588" s="1" t="s">
        <v>35</v>
      </c>
      <c r="M588" s="1" t="s">
        <v>21</v>
      </c>
      <c r="N588" s="1" t="str">
        <f t="shared" si="18"/>
        <v>Lower</v>
      </c>
      <c r="O588" s="1" t="str">
        <f t="shared" si="19"/>
        <v>Unknown | Low Spender | Lower</v>
      </c>
    </row>
    <row r="589" spans="1:15" x14ac:dyDescent="0.25">
      <c r="A589" s="1" t="s">
        <v>619</v>
      </c>
      <c r="B589" s="1">
        <v>19</v>
      </c>
      <c r="C589" s="1" t="str" cm="1">
        <f t="array" ref="C589">_xlfn.IFS(OR(B589=" ", B589="NA",NOT(ISNUMBER(B589))), "Unknown",B589&lt;18,"Underage",B589&lt;=24,"Young Adult",B589&lt;=34,"Early Career",B589&lt;=44,"Mid Career",B589&lt;=54,"Mature",B589&lt;=65,"Pre-Senior",B589&gt;65,"Senior")</f>
        <v>Young Adult</v>
      </c>
      <c r="D589" s="1" t="s">
        <v>29</v>
      </c>
      <c r="E589" s="1" t="s">
        <v>23</v>
      </c>
      <c r="F589" s="1">
        <v>750000</v>
      </c>
      <c r="G589" s="1">
        <v>20</v>
      </c>
      <c r="H589" s="1" t="str" cm="1">
        <f t="array" ref="H589">_xlfn.IFS( OR(G589=" ",NOT(ISNUMBER(G589))),"Unknown",G589&lt;=33,"Low Spender",G589&lt;=66,"Medium Spender",TRUE, "High Spender")</f>
        <v>Low Spender</v>
      </c>
      <c r="J589" s="1">
        <v>6500</v>
      </c>
      <c r="K589" s="1">
        <v>239</v>
      </c>
      <c r="M589" s="1" t="s">
        <v>21</v>
      </c>
      <c r="N589" s="1" t="str">
        <f t="shared" si="18"/>
        <v>Higher</v>
      </c>
      <c r="O589" s="1" t="str">
        <f t="shared" si="19"/>
        <v>Young Adult | Low Spender | Higher</v>
      </c>
    </row>
    <row r="590" spans="1:15" x14ac:dyDescent="0.25">
      <c r="A590" s="1" t="s">
        <v>620</v>
      </c>
      <c r="B590" s="1">
        <v>66</v>
      </c>
      <c r="C590" s="1" t="str" cm="1">
        <f t="array" ref="C590">_xlfn.IFS(OR(B590=" ", B590="NA",NOT(ISNUMBER(B590))), "Unknown",B590&lt;18,"Underage",B590&lt;=24,"Young Adult",B590&lt;=34,"Early Career",B590&lt;=44,"Mid Career",B590&lt;=54,"Mature",B590&lt;=65,"Pre-Senior",B590&gt;65,"Senior")</f>
        <v>Senior</v>
      </c>
      <c r="D590" s="1" t="s">
        <v>12</v>
      </c>
      <c r="E590" s="1" t="s">
        <v>34</v>
      </c>
      <c r="F590" s="1">
        <v>775000</v>
      </c>
      <c r="G590" s="1">
        <v>62</v>
      </c>
      <c r="H590" s="1" t="str" cm="1">
        <f t="array" ref="H590">_xlfn.IFS( OR(G590=" ",NOT(ISNUMBER(G590))),"Unknown",G590&lt;=33,"Low Spender",G590&lt;=66,"Medium Spender",TRUE, "High Spender")</f>
        <v>Medium Spender</v>
      </c>
      <c r="I590" s="1">
        <v>62</v>
      </c>
      <c r="J590" s="1">
        <v>3200</v>
      </c>
      <c r="K590" s="1">
        <v>250</v>
      </c>
      <c r="N590" s="1" t="str">
        <f t="shared" si="18"/>
        <v>Lower</v>
      </c>
      <c r="O590" s="1" t="str">
        <f t="shared" si="19"/>
        <v>Senior | Medium Spender | Lower</v>
      </c>
    </row>
    <row r="591" spans="1:15" x14ac:dyDescent="0.25">
      <c r="A591" s="1" t="s">
        <v>621</v>
      </c>
      <c r="B591" s="1">
        <v>45</v>
      </c>
      <c r="C591" s="1" t="str" cm="1">
        <f t="array" ref="C591">_xlfn.IFS(OR(B591=" ", B591="NA",NOT(ISNUMBER(B591))), "Unknown",B591&lt;18,"Underage",B591&lt;=24,"Young Adult",B591&lt;=34,"Early Career",B591&lt;=44,"Mid Career",B591&lt;=54,"Mature",B591&lt;=65,"Pre-Senior",B591&gt;65,"Senior")</f>
        <v>Mature</v>
      </c>
      <c r="E591" s="1" t="s">
        <v>34</v>
      </c>
      <c r="F591" s="1" t="s">
        <v>25</v>
      </c>
      <c r="G591" s="1">
        <v>81</v>
      </c>
      <c r="H591" s="1" t="str" cm="1">
        <f t="array" ref="H591">_xlfn.IFS( OR(G591=" ",NOT(ISNUMBER(G591))),"Unknown",G591&lt;=33,"Low Spender",G591&lt;=66,"Medium Spender",TRUE, "High Spender")</f>
        <v>High Spender</v>
      </c>
      <c r="I591" s="1">
        <v>35</v>
      </c>
      <c r="J591" s="1">
        <v>7700</v>
      </c>
      <c r="K591" s="1">
        <v>71</v>
      </c>
      <c r="M591" s="1" t="s">
        <v>30</v>
      </c>
      <c r="N591" s="1" t="str">
        <f t="shared" si="18"/>
        <v>Lower</v>
      </c>
      <c r="O591" s="1" t="str">
        <f t="shared" si="19"/>
        <v>Mature | High Spender | Lower</v>
      </c>
    </row>
    <row r="592" spans="1:15" x14ac:dyDescent="0.25">
      <c r="A592" s="1" t="s">
        <v>622</v>
      </c>
      <c r="B592" s="1">
        <v>49</v>
      </c>
      <c r="C592" s="1" t="str" cm="1">
        <f t="array" ref="C592">_xlfn.IFS(OR(B592=" ", B592="NA",NOT(ISNUMBER(B592))), "Unknown",B592&lt;18,"Underage",B592&lt;=24,"Young Adult",B592&lt;=34,"Early Career",B592&lt;=44,"Mid Career",B592&lt;=54,"Mature",B592&lt;=65,"Pre-Senior",B592&gt;65,"Senior")</f>
        <v>Mature</v>
      </c>
      <c r="D592" s="1" t="s">
        <v>18</v>
      </c>
      <c r="F592" s="1">
        <v>1600000</v>
      </c>
      <c r="G592" s="1">
        <v>80</v>
      </c>
      <c r="H592" s="1" t="str" cm="1">
        <f t="array" ref="H592">_xlfn.IFS( OR(G592=" ",NOT(ISNUMBER(G592))),"Unknown",G592&lt;=33,"Low Spender",G592&lt;=66,"Medium Spender",TRUE, "High Spender")</f>
        <v>High Spender</v>
      </c>
      <c r="I592" s="1">
        <v>70</v>
      </c>
      <c r="J592" s="1">
        <v>7000</v>
      </c>
      <c r="K592" s="1">
        <v>228</v>
      </c>
      <c r="L592" s="1" t="s">
        <v>20</v>
      </c>
      <c r="M592" s="1" t="s">
        <v>32</v>
      </c>
      <c r="N592" s="1" t="str">
        <f t="shared" si="18"/>
        <v>Higher</v>
      </c>
      <c r="O592" s="1" t="str">
        <f t="shared" si="19"/>
        <v>Mature | High Spender | Higher</v>
      </c>
    </row>
    <row r="593" spans="1:15" x14ac:dyDescent="0.25">
      <c r="A593" s="1" t="s">
        <v>623</v>
      </c>
      <c r="B593" s="1">
        <v>44</v>
      </c>
      <c r="C593" s="1" t="str" cm="1">
        <f t="array" ref="C593">_xlfn.IFS(OR(B593=" ", B593="NA",NOT(ISNUMBER(B593))), "Unknown",B593&lt;18,"Underage",B593&lt;=24,"Young Adult",B593&lt;=34,"Early Career",B593&lt;=44,"Mid Career",B593&lt;=54,"Mature",B593&lt;=65,"Pre-Senior",B593&gt;65,"Senior")</f>
        <v>Mid Career</v>
      </c>
      <c r="E593" s="1" t="s">
        <v>58</v>
      </c>
      <c r="F593" s="1">
        <v>950000</v>
      </c>
      <c r="G593" s="1">
        <v>40</v>
      </c>
      <c r="H593" s="1" t="str" cm="1">
        <f t="array" ref="H593">_xlfn.IFS( OR(G593=" ",NOT(ISNUMBER(G593))),"Unknown",G593&lt;=33,"Low Spender",G593&lt;=66,"Medium Spender",TRUE, "High Spender")</f>
        <v>Medium Spender</v>
      </c>
      <c r="I593" s="1">
        <v>21</v>
      </c>
      <c r="J593" s="1">
        <v>9900</v>
      </c>
      <c r="K593" s="1">
        <v>85</v>
      </c>
      <c r="N593" s="1" t="str">
        <f t="shared" si="18"/>
        <v>Lower</v>
      </c>
      <c r="O593" s="1" t="str">
        <f t="shared" si="19"/>
        <v>Mid Career | Medium Spender | Lower</v>
      </c>
    </row>
    <row r="594" spans="1:15" x14ac:dyDescent="0.25">
      <c r="A594" s="1" t="s">
        <v>624</v>
      </c>
      <c r="B594" s="1">
        <v>37</v>
      </c>
      <c r="C594" s="1" t="str" cm="1">
        <f t="array" ref="C594">_xlfn.IFS(OR(B594=" ", B594="NA",NOT(ISNUMBER(B594))), "Unknown",B594&lt;18,"Underage",B594&lt;=24,"Young Adult",B594&lt;=34,"Early Career",B594&lt;=44,"Mid Career",B594&lt;=54,"Mature",B594&lt;=65,"Pre-Senior",B594&gt;65,"Senior")</f>
        <v>Mid Career</v>
      </c>
      <c r="D594" s="1" t="s">
        <v>18</v>
      </c>
      <c r="E594" s="1" t="s">
        <v>13</v>
      </c>
      <c r="F594" s="1">
        <v>1150000</v>
      </c>
      <c r="G594" s="1">
        <v>39</v>
      </c>
      <c r="H594" s="1" t="str" cm="1">
        <f t="array" ref="H594">_xlfn.IFS( OR(G594=" ",NOT(ISNUMBER(G594))),"Unknown",G594&lt;=33,"Low Spender",G594&lt;=66,"Medium Spender",TRUE, "High Spender")</f>
        <v>Medium Spender</v>
      </c>
      <c r="J594" s="1">
        <v>11300</v>
      </c>
      <c r="K594" s="1">
        <v>306</v>
      </c>
      <c r="M594" s="1" t="s">
        <v>21</v>
      </c>
      <c r="N594" s="1" t="str">
        <f t="shared" si="18"/>
        <v>Higher</v>
      </c>
      <c r="O594" s="1" t="str">
        <f t="shared" si="19"/>
        <v>Mid Career | Medium Spender | Higher</v>
      </c>
    </row>
    <row r="595" spans="1:15" x14ac:dyDescent="0.25">
      <c r="A595" s="1" t="s">
        <v>625</v>
      </c>
      <c r="B595" s="1">
        <v>41</v>
      </c>
      <c r="C595" s="1" t="str" cm="1">
        <f t="array" ref="C595">_xlfn.IFS(OR(B595=" ", B595="NA",NOT(ISNUMBER(B595))), "Unknown",B595&lt;18,"Underage",B595&lt;=24,"Young Adult",B595&lt;=34,"Early Career",B595&lt;=44,"Mid Career",B595&lt;=54,"Mature",B595&lt;=65,"Pre-Senior",B595&gt;65,"Senior")</f>
        <v>Mid Career</v>
      </c>
      <c r="D595" s="1" t="s">
        <v>18</v>
      </c>
      <c r="F595" s="1">
        <v>875000</v>
      </c>
      <c r="G595" s="1">
        <v>52</v>
      </c>
      <c r="H595" s="1" t="str" cm="1">
        <f t="array" ref="H595">_xlfn.IFS( OR(G595=" ",NOT(ISNUMBER(G595))),"Unknown",G595&lt;=33,"Low Spender",G595&lt;=66,"Medium Spender",TRUE, "High Spender")</f>
        <v>Medium Spender</v>
      </c>
      <c r="I595" s="1">
        <v>39</v>
      </c>
      <c r="J595" s="1">
        <v>7800</v>
      </c>
      <c r="K595" s="1">
        <v>271</v>
      </c>
      <c r="L595" s="1" t="s">
        <v>20</v>
      </c>
      <c r="M595" s="1" t="s">
        <v>30</v>
      </c>
      <c r="N595" s="1" t="str">
        <f t="shared" si="18"/>
        <v>Higher</v>
      </c>
      <c r="O595" s="1" t="str">
        <f t="shared" si="19"/>
        <v>Mid Career | Medium Spender | Higher</v>
      </c>
    </row>
    <row r="596" spans="1:15" x14ac:dyDescent="0.25">
      <c r="A596" s="1" t="s">
        <v>626</v>
      </c>
      <c r="B596" s="1">
        <v>29</v>
      </c>
      <c r="C596" s="1" t="str" cm="1">
        <f t="array" ref="C596">_xlfn.IFS(OR(B596=" ", B596="NA",NOT(ISNUMBER(B596))), "Unknown",B596&lt;18,"Underage",B596&lt;=24,"Young Adult",B596&lt;=34,"Early Career",B596&lt;=44,"Mid Career",B596&lt;=54,"Mature",B596&lt;=65,"Pre-Senior",B596&gt;65,"Senior")</f>
        <v>Early Career</v>
      </c>
      <c r="D596" s="1" t="s">
        <v>18</v>
      </c>
      <c r="E596" s="1" t="s">
        <v>58</v>
      </c>
      <c r="F596" s="1">
        <v>1550000</v>
      </c>
      <c r="G596" s="1">
        <v>32</v>
      </c>
      <c r="H596" s="1" t="str" cm="1">
        <f t="array" ref="H596">_xlfn.IFS( OR(G596=" ",NOT(ISNUMBER(G596))),"Unknown",G596&lt;=33,"Low Spender",G596&lt;=66,"Medium Spender",TRUE, "High Spender")</f>
        <v>Low Spender</v>
      </c>
      <c r="I596" s="1">
        <v>34</v>
      </c>
      <c r="J596" s="1">
        <v>7500</v>
      </c>
      <c r="K596" s="1">
        <v>290</v>
      </c>
      <c r="M596" s="1" t="s">
        <v>30</v>
      </c>
      <c r="N596" s="1" t="str">
        <f t="shared" si="18"/>
        <v>Higher</v>
      </c>
      <c r="O596" s="1" t="str">
        <f t="shared" si="19"/>
        <v>Early Career | Low Spender | Higher</v>
      </c>
    </row>
    <row r="597" spans="1:15" x14ac:dyDescent="0.25">
      <c r="A597" s="1" t="s">
        <v>627</v>
      </c>
      <c r="B597" s="1">
        <v>67</v>
      </c>
      <c r="C597" s="1" t="str" cm="1">
        <f t="array" ref="C597">_xlfn.IFS(OR(B597=" ", B597="NA",NOT(ISNUMBER(B597))), "Unknown",B597&lt;18,"Underage",B597&lt;=24,"Young Adult",B597&lt;=34,"Early Career",B597&lt;=44,"Mid Career",B597&lt;=54,"Mature",B597&lt;=65,"Pre-Senior",B597&gt;65,"Senior")</f>
        <v>Senior</v>
      </c>
      <c r="D597" s="1" t="s">
        <v>29</v>
      </c>
      <c r="F597" s="1">
        <v>1350000</v>
      </c>
      <c r="G597" s="1">
        <v>73</v>
      </c>
      <c r="H597" s="1" t="str" cm="1">
        <f t="array" ref="H597">_xlfn.IFS( OR(G597=" ",NOT(ISNUMBER(G597))),"Unknown",G597&lt;=33,"Low Spender",G597&lt;=66,"Medium Spender",TRUE, "High Spender")</f>
        <v>High Spender</v>
      </c>
      <c r="I597" s="1">
        <v>15</v>
      </c>
      <c r="J597" s="1">
        <v>3400</v>
      </c>
      <c r="K597" s="1">
        <v>236</v>
      </c>
      <c r="L597" s="1" t="s">
        <v>35</v>
      </c>
      <c r="M597" s="1" t="s">
        <v>30</v>
      </c>
      <c r="N597" s="1" t="str">
        <f t="shared" si="18"/>
        <v>Higher</v>
      </c>
      <c r="O597" s="1" t="str">
        <f t="shared" si="19"/>
        <v>Senior | High Spender | Higher</v>
      </c>
    </row>
    <row r="598" spans="1:15" x14ac:dyDescent="0.25">
      <c r="A598" s="1" t="s">
        <v>628</v>
      </c>
      <c r="B598" s="1">
        <v>52</v>
      </c>
      <c r="C598" s="1" t="str" cm="1">
        <f t="array" ref="C598">_xlfn.IFS(OR(B598=" ", B598="NA",NOT(ISNUMBER(B598))), "Unknown",B598&lt;18,"Underage",B598&lt;=24,"Young Adult",B598&lt;=34,"Early Career",B598&lt;=44,"Mid Career",B598&lt;=54,"Mature",B598&lt;=65,"Pre-Senior",B598&gt;65,"Senior")</f>
        <v>Mature</v>
      </c>
      <c r="D598" s="1" t="s">
        <v>29</v>
      </c>
      <c r="E598" s="1" t="s">
        <v>23</v>
      </c>
      <c r="F598" s="1">
        <v>1325000</v>
      </c>
      <c r="G598" s="1">
        <v>27</v>
      </c>
      <c r="H598" s="1" t="str" cm="1">
        <f t="array" ref="H598">_xlfn.IFS( OR(G598=" ",NOT(ISNUMBER(G598))),"Unknown",G598&lt;=33,"Low Spender",G598&lt;=66,"Medium Spender",TRUE, "High Spender")</f>
        <v>Low Spender</v>
      </c>
      <c r="I598" s="1">
        <v>6</v>
      </c>
      <c r="J598" s="1">
        <v>7700</v>
      </c>
      <c r="K598" s="1">
        <v>291</v>
      </c>
      <c r="L598" s="1" t="s">
        <v>16</v>
      </c>
      <c r="M598" s="1" t="s">
        <v>32</v>
      </c>
      <c r="N598" s="1" t="str">
        <f t="shared" si="18"/>
        <v>Higher</v>
      </c>
      <c r="O598" s="1" t="str">
        <f t="shared" si="19"/>
        <v>Mature | Low Spender | Higher</v>
      </c>
    </row>
    <row r="599" spans="1:15" x14ac:dyDescent="0.25">
      <c r="A599" s="1" t="s">
        <v>629</v>
      </c>
      <c r="B599" s="1">
        <v>50</v>
      </c>
      <c r="C599" s="1" t="str" cm="1">
        <f t="array" ref="C599">_xlfn.IFS(OR(B599=" ", B599="NA",NOT(ISNUMBER(B599))), "Unknown",B599&lt;18,"Underage",B599&lt;=24,"Young Adult",B599&lt;=34,"Early Career",B599&lt;=44,"Mid Career",B599&lt;=54,"Mature",B599&lt;=65,"Pre-Senior",B599&gt;65,"Senior")</f>
        <v>Mature</v>
      </c>
      <c r="D599" s="1" t="s">
        <v>18</v>
      </c>
      <c r="F599" s="1">
        <v>1925000</v>
      </c>
      <c r="G599" s="1">
        <v>52</v>
      </c>
      <c r="H599" s="1" t="str" cm="1">
        <f t="array" ref="H599">_xlfn.IFS( OR(G599=" ",NOT(ISNUMBER(G599))),"Unknown",G599&lt;=33,"Low Spender",G599&lt;=66,"Medium Spender",TRUE, "High Spender")</f>
        <v>Medium Spender</v>
      </c>
      <c r="I599" s="1">
        <v>66</v>
      </c>
      <c r="J599" s="1">
        <v>10300</v>
      </c>
      <c r="K599" s="1">
        <v>39</v>
      </c>
      <c r="L599" s="1" t="s">
        <v>16</v>
      </c>
      <c r="M599" s="1" t="s">
        <v>30</v>
      </c>
      <c r="N599" s="1" t="str">
        <f t="shared" si="18"/>
        <v>Higher</v>
      </c>
      <c r="O599" s="1" t="str">
        <f t="shared" si="19"/>
        <v>Mature | Medium Spender | Higher</v>
      </c>
    </row>
    <row r="600" spans="1:15" x14ac:dyDescent="0.25">
      <c r="A600" s="1" t="s">
        <v>630</v>
      </c>
      <c r="B600" s="1">
        <v>50</v>
      </c>
      <c r="C600" s="1" t="str" cm="1">
        <f t="array" ref="C600">_xlfn.IFS(OR(B600=" ", B600="NA",NOT(ISNUMBER(B600))), "Unknown",B600&lt;18,"Underage",B600&lt;=24,"Young Adult",B600&lt;=34,"Early Career",B600&lt;=44,"Mid Career",B600&lt;=54,"Mature",B600&lt;=65,"Pre-Senior",B600&gt;65,"Senior")</f>
        <v>Mature</v>
      </c>
      <c r="D600" s="1" t="s">
        <v>18</v>
      </c>
      <c r="F600" s="1">
        <v>1350000</v>
      </c>
      <c r="G600" s="1">
        <v>97</v>
      </c>
      <c r="H600" s="1" t="str" cm="1">
        <f t="array" ref="H600">_xlfn.IFS( OR(G600=" ",NOT(ISNUMBER(G600))),"Unknown",G600&lt;=33,"Low Spender",G600&lt;=66,"Medium Spender",TRUE, "High Spender")</f>
        <v>High Spender</v>
      </c>
      <c r="I600" s="1">
        <v>56</v>
      </c>
      <c r="J600" s="1">
        <v>2600</v>
      </c>
      <c r="K600" s="1">
        <v>206</v>
      </c>
      <c r="L600" s="1" t="s">
        <v>20</v>
      </c>
      <c r="N600" s="1" t="str">
        <f t="shared" si="18"/>
        <v>Higher</v>
      </c>
      <c r="O600" s="1" t="str">
        <f t="shared" si="19"/>
        <v>Mature | High Spender | Higher</v>
      </c>
    </row>
    <row r="601" spans="1:15" x14ac:dyDescent="0.25">
      <c r="A601" s="1" t="s">
        <v>631</v>
      </c>
      <c r="B601" s="1">
        <v>68</v>
      </c>
      <c r="C601" s="1" t="str" cm="1">
        <f t="array" ref="C601">_xlfn.IFS(OR(B601=" ", B601="NA",NOT(ISNUMBER(B601))), "Unknown",B601&lt;18,"Underage",B601&lt;=24,"Young Adult",B601&lt;=34,"Early Career",B601&lt;=44,"Mid Career",B601&lt;=54,"Mature",B601&lt;=65,"Pre-Senior",B601&gt;65,"Senior")</f>
        <v>Senior</v>
      </c>
      <c r="F601" s="1">
        <v>1300000</v>
      </c>
      <c r="G601" s="1">
        <v>63</v>
      </c>
      <c r="H601" s="1" t="str" cm="1">
        <f t="array" ref="H601">_xlfn.IFS( OR(G601=" ",NOT(ISNUMBER(G601))),"Unknown",G601&lt;=33,"Low Spender",G601&lt;=66,"Medium Spender",TRUE, "High Spender")</f>
        <v>Medium Spender</v>
      </c>
      <c r="I601" s="1">
        <v>49</v>
      </c>
      <c r="J601" s="1">
        <v>900</v>
      </c>
      <c r="K601" s="1">
        <v>183</v>
      </c>
      <c r="M601" s="1" t="s">
        <v>21</v>
      </c>
      <c r="N601" s="1" t="str">
        <f t="shared" si="18"/>
        <v>Lower</v>
      </c>
      <c r="O601" s="1" t="str">
        <f t="shared" si="19"/>
        <v>Senior | Medium Spender | Lower</v>
      </c>
    </row>
    <row r="602" spans="1:15" x14ac:dyDescent="0.25">
      <c r="A602" s="1" t="s">
        <v>632</v>
      </c>
      <c r="B602" s="1">
        <v>60</v>
      </c>
      <c r="C602" s="1" t="str" cm="1">
        <f t="array" ref="C602">_xlfn.IFS(OR(B602=" ", B602="NA",NOT(ISNUMBER(B602))), "Unknown",B602&lt;18,"Underage",B602&lt;=24,"Young Adult",B602&lt;=34,"Early Career",B602&lt;=44,"Mid Career",B602&lt;=54,"Mature",B602&lt;=65,"Pre-Senior",B602&gt;65,"Senior")</f>
        <v>Pre-Senior</v>
      </c>
      <c r="D602" s="1" t="s">
        <v>29</v>
      </c>
      <c r="E602" s="1" t="s">
        <v>27</v>
      </c>
      <c r="F602" s="1">
        <v>1525000</v>
      </c>
      <c r="G602" s="1">
        <v>74</v>
      </c>
      <c r="H602" s="1" t="str" cm="1">
        <f t="array" ref="H602">_xlfn.IFS( OR(G602=" ",NOT(ISNUMBER(G602))),"Unknown",G602&lt;=33,"Low Spender",G602&lt;=66,"Medium Spender",TRUE, "High Spender")</f>
        <v>High Spender</v>
      </c>
      <c r="I602" s="1">
        <v>1</v>
      </c>
      <c r="J602" s="1">
        <v>7400</v>
      </c>
      <c r="K602" s="1">
        <v>187</v>
      </c>
      <c r="N602" s="1" t="str">
        <f t="shared" si="18"/>
        <v>Higher</v>
      </c>
      <c r="O602" s="1" t="str">
        <f t="shared" si="19"/>
        <v>Pre-Senior | High Spender | Higher</v>
      </c>
    </row>
    <row r="603" spans="1:15" x14ac:dyDescent="0.25">
      <c r="A603" s="1" t="s">
        <v>633</v>
      </c>
      <c r="B603" s="1">
        <v>54</v>
      </c>
      <c r="C603" s="1" t="str" cm="1">
        <f t="array" ref="C603">_xlfn.IFS(OR(B603=" ", B603="NA",NOT(ISNUMBER(B603))), "Unknown",B603&lt;18,"Underage",B603&lt;=24,"Young Adult",B603&lt;=34,"Early Career",B603&lt;=44,"Mid Career",B603&lt;=54,"Mature",B603&lt;=65,"Pre-Senior",B603&gt;65,"Senior")</f>
        <v>Mature</v>
      </c>
      <c r="E603" s="1" t="s">
        <v>34</v>
      </c>
      <c r="F603" s="1">
        <v>1750000</v>
      </c>
      <c r="G603" s="1">
        <v>63</v>
      </c>
      <c r="H603" s="1" t="str" cm="1">
        <f t="array" ref="H603">_xlfn.IFS( OR(G603=" ",NOT(ISNUMBER(G603))),"Unknown",G603&lt;=33,"Low Spender",G603&lt;=66,"Medium Spender",TRUE, "High Spender")</f>
        <v>Medium Spender</v>
      </c>
      <c r="I603" s="1">
        <v>65</v>
      </c>
      <c r="J603" s="1">
        <v>9900</v>
      </c>
      <c r="K603" s="1">
        <v>133</v>
      </c>
      <c r="L603" s="1" t="s">
        <v>37</v>
      </c>
      <c r="M603" s="1" t="s">
        <v>21</v>
      </c>
      <c r="N603" s="1" t="str">
        <f t="shared" si="18"/>
        <v>Lower</v>
      </c>
      <c r="O603" s="1" t="str">
        <f t="shared" si="19"/>
        <v>Mature | Medium Spender | Lower</v>
      </c>
    </row>
    <row r="604" spans="1:15" x14ac:dyDescent="0.25">
      <c r="A604" s="1" t="s">
        <v>634</v>
      </c>
      <c r="B604" s="1">
        <v>29</v>
      </c>
      <c r="C604" s="1" t="str" cm="1">
        <f t="array" ref="C604">_xlfn.IFS(OR(B604=" ", B604="NA",NOT(ISNUMBER(B604))), "Unknown",B604&lt;18,"Underage",B604&lt;=24,"Young Adult",B604&lt;=34,"Early Career",B604&lt;=44,"Mid Career",B604&lt;=54,"Mature",B604&lt;=65,"Pre-Senior",B604&gt;65,"Senior")</f>
        <v>Early Career</v>
      </c>
      <c r="E604" s="1" t="s">
        <v>15</v>
      </c>
      <c r="F604" s="1">
        <v>425000</v>
      </c>
      <c r="G604" s="1">
        <v>17</v>
      </c>
      <c r="H604" s="1" t="str" cm="1">
        <f t="array" ref="H604">_xlfn.IFS( OR(G604=" ",NOT(ISNUMBER(G604))),"Unknown",G604&lt;=33,"Low Spender",G604&lt;=66,"Medium Spender",TRUE, "High Spender")</f>
        <v>Low Spender</v>
      </c>
      <c r="I604" s="1">
        <v>28</v>
      </c>
      <c r="J604" s="1">
        <v>9100</v>
      </c>
      <c r="K604" s="1">
        <v>30</v>
      </c>
      <c r="L604" s="1" t="s">
        <v>35</v>
      </c>
      <c r="M604" s="1" t="s">
        <v>41</v>
      </c>
      <c r="N604" s="1" t="str">
        <f t="shared" si="18"/>
        <v>Lower</v>
      </c>
      <c r="O604" s="1" t="str">
        <f t="shared" si="19"/>
        <v>Early Career | Low Spender | Lower</v>
      </c>
    </row>
    <row r="605" spans="1:15" x14ac:dyDescent="0.25">
      <c r="A605" s="1" t="s">
        <v>635</v>
      </c>
      <c r="B605" s="1">
        <v>20</v>
      </c>
      <c r="C605" s="1" t="str" cm="1">
        <f t="array" ref="C605">_xlfn.IFS(OR(B605=" ", B605="NA",NOT(ISNUMBER(B605))), "Unknown",B605&lt;18,"Underage",B605&lt;=24,"Young Adult",B605&lt;=34,"Early Career",B605&lt;=44,"Mid Career",B605&lt;=54,"Mature",B605&lt;=65,"Pre-Senior",B605&gt;65,"Senior")</f>
        <v>Young Adult</v>
      </c>
      <c r="D605" s="1" t="s">
        <v>29</v>
      </c>
      <c r="E605" s="1" t="s">
        <v>27</v>
      </c>
      <c r="F605" s="1">
        <v>1850000</v>
      </c>
      <c r="G605" s="1">
        <v>49</v>
      </c>
      <c r="H605" s="1" t="str" cm="1">
        <f t="array" ref="H605">_xlfn.IFS( OR(G605=" ",NOT(ISNUMBER(G605))),"Unknown",G605&lt;=33,"Low Spender",G605&lt;=66,"Medium Spender",TRUE, "High Spender")</f>
        <v>Medium Spender</v>
      </c>
      <c r="I605" s="1">
        <v>20</v>
      </c>
      <c r="J605" s="1">
        <v>300</v>
      </c>
      <c r="K605" s="1">
        <v>255</v>
      </c>
      <c r="N605" s="1" t="str">
        <f t="shared" si="18"/>
        <v>Higher</v>
      </c>
      <c r="O605" s="1" t="str">
        <f t="shared" si="19"/>
        <v>Young Adult | Medium Spender | Higher</v>
      </c>
    </row>
    <row r="606" spans="1:15" x14ac:dyDescent="0.25">
      <c r="A606" s="1" t="s">
        <v>636</v>
      </c>
      <c r="B606" s="1">
        <v>18</v>
      </c>
      <c r="C606" s="1" t="str" cm="1">
        <f t="array" ref="C606">_xlfn.IFS(OR(B606=" ", B606="NA",NOT(ISNUMBER(B606))), "Unknown",B606&lt;18,"Underage",B606&lt;=24,"Young Adult",B606&lt;=34,"Early Career",B606&lt;=44,"Mid Career",B606&lt;=54,"Mature",B606&lt;=65,"Pre-Senior",B606&gt;65,"Senior")</f>
        <v>Young Adult</v>
      </c>
      <c r="D606" s="1" t="s">
        <v>18</v>
      </c>
      <c r="F606" s="1">
        <v>275000</v>
      </c>
      <c r="G606" s="1">
        <v>100</v>
      </c>
      <c r="H606" s="1" t="str" cm="1">
        <f t="array" ref="H606">_xlfn.IFS( OR(G606=" ",NOT(ISNUMBER(G606))),"Unknown",G606&lt;=33,"Low Spender",G606&lt;=66,"Medium Spender",TRUE, "High Spender")</f>
        <v>High Spender</v>
      </c>
      <c r="I606" s="1">
        <v>48</v>
      </c>
      <c r="J606" s="1">
        <v>500</v>
      </c>
      <c r="K606" s="1">
        <v>143</v>
      </c>
      <c r="L606" s="1" t="s">
        <v>37</v>
      </c>
      <c r="M606" s="1" t="s">
        <v>30</v>
      </c>
      <c r="N606" s="1" t="str">
        <f t="shared" si="18"/>
        <v>Higher</v>
      </c>
      <c r="O606" s="1" t="str">
        <f t="shared" si="19"/>
        <v>Young Adult | High Spender | Higher</v>
      </c>
    </row>
    <row r="607" spans="1:15" x14ac:dyDescent="0.25">
      <c r="A607" s="1" t="s">
        <v>637</v>
      </c>
      <c r="B607" s="1">
        <v>50</v>
      </c>
      <c r="C607" s="1" t="str" cm="1">
        <f t="array" ref="C607">_xlfn.IFS(OR(B607=" ", B607="NA",NOT(ISNUMBER(B607))), "Unknown",B607&lt;18,"Underage",B607&lt;=24,"Young Adult",B607&lt;=34,"Early Career",B607&lt;=44,"Mid Career",B607&lt;=54,"Mature",B607&lt;=65,"Pre-Senior",B607&gt;65,"Senior")</f>
        <v>Mature</v>
      </c>
      <c r="D607" s="1" t="s">
        <v>29</v>
      </c>
      <c r="E607" s="1" t="s">
        <v>27</v>
      </c>
      <c r="F607" s="1">
        <v>1750000</v>
      </c>
      <c r="G607" s="1">
        <v>81</v>
      </c>
      <c r="H607" s="1" t="str" cm="1">
        <f t="array" ref="H607">_xlfn.IFS( OR(G607=" ",NOT(ISNUMBER(G607))),"Unknown",G607&lt;=33,"Low Spender",G607&lt;=66,"Medium Spender",TRUE, "High Spender")</f>
        <v>High Spender</v>
      </c>
      <c r="I607" s="1">
        <v>72</v>
      </c>
      <c r="J607" s="1">
        <v>10600</v>
      </c>
      <c r="K607" s="1">
        <v>103</v>
      </c>
      <c r="L607" s="1" t="s">
        <v>35</v>
      </c>
      <c r="N607" s="1" t="str">
        <f t="shared" si="18"/>
        <v>Higher</v>
      </c>
      <c r="O607" s="1" t="str">
        <f t="shared" si="19"/>
        <v>Mature | High Spender | Higher</v>
      </c>
    </row>
    <row r="608" spans="1:15" x14ac:dyDescent="0.25">
      <c r="A608" s="1" t="s">
        <v>638</v>
      </c>
      <c r="B608" s="1">
        <v>57</v>
      </c>
      <c r="C608" s="1" t="str" cm="1">
        <f t="array" ref="C608">_xlfn.IFS(OR(B608=" ", B608="NA",NOT(ISNUMBER(B608))), "Unknown",B608&lt;18,"Underage",B608&lt;=24,"Young Adult",B608&lt;=34,"Early Career",B608&lt;=44,"Mid Career",B608&lt;=54,"Mature",B608&lt;=65,"Pre-Senior",B608&gt;65,"Senior")</f>
        <v>Pre-Senior</v>
      </c>
      <c r="D608" s="1" t="s">
        <v>29</v>
      </c>
      <c r="E608" s="1" t="s">
        <v>15</v>
      </c>
      <c r="F608" s="1">
        <v>750000</v>
      </c>
      <c r="G608" s="1">
        <v>82</v>
      </c>
      <c r="H608" s="1" t="str" cm="1">
        <f t="array" ref="H608">_xlfn.IFS( OR(G608=" ",NOT(ISNUMBER(G608))),"Unknown",G608&lt;=33,"Low Spender",G608&lt;=66,"Medium Spender",TRUE, "High Spender")</f>
        <v>High Spender</v>
      </c>
      <c r="I608" s="1">
        <v>65</v>
      </c>
      <c r="J608" s="1">
        <v>3000</v>
      </c>
      <c r="K608" s="1">
        <v>74</v>
      </c>
      <c r="L608" s="1" t="s">
        <v>35</v>
      </c>
      <c r="N608" s="1" t="str">
        <f t="shared" si="18"/>
        <v>Higher</v>
      </c>
      <c r="O608" s="1" t="str">
        <f t="shared" si="19"/>
        <v>Pre-Senior | High Spender | Higher</v>
      </c>
    </row>
    <row r="609" spans="1:15" x14ac:dyDescent="0.25">
      <c r="A609" s="1" t="s">
        <v>639</v>
      </c>
      <c r="B609" s="1">
        <v>27</v>
      </c>
      <c r="C609" s="1" t="str" cm="1">
        <f t="array" ref="C609">_xlfn.IFS(OR(B609=" ", B609="NA",NOT(ISNUMBER(B609))), "Unknown",B609&lt;18,"Underage",B609&lt;=24,"Young Adult",B609&lt;=34,"Early Career",B609&lt;=44,"Mid Career",B609&lt;=54,"Mature",B609&lt;=65,"Pre-Senior",B609&gt;65,"Senior")</f>
        <v>Early Career</v>
      </c>
      <c r="F609" s="1">
        <v>150000</v>
      </c>
      <c r="G609" s="1">
        <v>23</v>
      </c>
      <c r="H609" s="1" t="str" cm="1">
        <f t="array" ref="H609">_xlfn.IFS( OR(G609=" ",NOT(ISNUMBER(G609))),"Unknown",G609&lt;=33,"Low Spender",G609&lt;=66,"Medium Spender",TRUE, "High Spender")</f>
        <v>Low Spender</v>
      </c>
      <c r="I609" s="1">
        <v>51</v>
      </c>
      <c r="J609" s="1">
        <v>4500</v>
      </c>
      <c r="K609" s="1">
        <v>55</v>
      </c>
      <c r="L609" s="1" t="s">
        <v>16</v>
      </c>
      <c r="N609" s="1" t="str">
        <f t="shared" si="18"/>
        <v>Lower</v>
      </c>
      <c r="O609" s="1" t="str">
        <f t="shared" si="19"/>
        <v>Early Career | Low Spender | Lower</v>
      </c>
    </row>
    <row r="610" spans="1:15" x14ac:dyDescent="0.25">
      <c r="A610" s="1" t="s">
        <v>640</v>
      </c>
      <c r="B610" s="1">
        <v>60</v>
      </c>
      <c r="C610" s="1" t="str" cm="1">
        <f t="array" ref="C610">_xlfn.IFS(OR(B610=" ", B610="NA",NOT(ISNUMBER(B610))), "Unknown",B610&lt;18,"Underage",B610&lt;=24,"Young Adult",B610&lt;=34,"Early Career",B610&lt;=44,"Mid Career",B610&lt;=54,"Mature",B610&lt;=65,"Pre-Senior",B610&gt;65,"Senior")</f>
        <v>Pre-Senior</v>
      </c>
      <c r="D610" s="1" t="s">
        <v>18</v>
      </c>
      <c r="F610" s="1">
        <v>925000</v>
      </c>
      <c r="G610" s="1">
        <v>98</v>
      </c>
      <c r="H610" s="1" t="str" cm="1">
        <f t="array" ref="H610">_xlfn.IFS( OR(G610=" ",NOT(ISNUMBER(G610))),"Unknown",G610&lt;=33,"Low Spender",G610&lt;=66,"Medium Spender",TRUE, "High Spender")</f>
        <v>High Spender</v>
      </c>
      <c r="I610" s="1">
        <v>43</v>
      </c>
      <c r="J610" s="1">
        <v>9900</v>
      </c>
      <c r="K610" s="1">
        <v>236</v>
      </c>
      <c r="L610" s="1" t="s">
        <v>20</v>
      </c>
      <c r="N610" s="1" t="str">
        <f t="shared" si="18"/>
        <v>Higher</v>
      </c>
      <c r="O610" s="1" t="str">
        <f t="shared" si="19"/>
        <v>Pre-Senior | High Spender | Higher</v>
      </c>
    </row>
    <row r="611" spans="1:15" x14ac:dyDescent="0.25">
      <c r="A611" s="1" t="s">
        <v>641</v>
      </c>
      <c r="B611" s="1">
        <v>61</v>
      </c>
      <c r="C611" s="1" t="str" cm="1">
        <f t="array" ref="C611">_xlfn.IFS(OR(B611=" ", B611="NA",NOT(ISNUMBER(B611))), "Unknown",B611&lt;18,"Underage",B611&lt;=24,"Young Adult",B611&lt;=34,"Early Career",B611&lt;=44,"Mid Career",B611&lt;=54,"Mature",B611&lt;=65,"Pre-Senior",B611&gt;65,"Senior")</f>
        <v>Pre-Senior</v>
      </c>
      <c r="D611" s="1" t="s">
        <v>18</v>
      </c>
      <c r="F611" s="1">
        <v>200000</v>
      </c>
      <c r="G611" s="1">
        <v>72</v>
      </c>
      <c r="H611" s="1" t="str" cm="1">
        <f t="array" ref="H611">_xlfn.IFS( OR(G611=" ",NOT(ISNUMBER(G611))),"Unknown",G611&lt;=33,"Low Spender",G611&lt;=66,"Medium Spender",TRUE, "High Spender")</f>
        <v>High Spender</v>
      </c>
      <c r="I611" s="1">
        <v>49</v>
      </c>
      <c r="J611" s="1">
        <v>4800</v>
      </c>
      <c r="K611" s="1">
        <v>60</v>
      </c>
      <c r="N611" s="1" t="str">
        <f t="shared" si="18"/>
        <v>Higher</v>
      </c>
      <c r="O611" s="1" t="str">
        <f t="shared" si="19"/>
        <v>Pre-Senior | High Spender | Higher</v>
      </c>
    </row>
    <row r="612" spans="1:15" x14ac:dyDescent="0.25">
      <c r="A612" s="1" t="s">
        <v>642</v>
      </c>
      <c r="B612" s="1">
        <v>46</v>
      </c>
      <c r="C612" s="1" t="str" cm="1">
        <f t="array" ref="C612">_xlfn.IFS(OR(B612=" ", B612="NA",NOT(ISNUMBER(B612))), "Unknown",B612&lt;18,"Underage",B612&lt;=24,"Young Adult",B612&lt;=34,"Early Career",B612&lt;=44,"Mid Career",B612&lt;=54,"Mature",B612&lt;=65,"Pre-Senior",B612&gt;65,"Senior")</f>
        <v>Mature</v>
      </c>
      <c r="D612" s="1" t="s">
        <v>29</v>
      </c>
      <c r="E612" s="1" t="s">
        <v>27</v>
      </c>
      <c r="F612" s="1">
        <v>1350000</v>
      </c>
      <c r="G612" s="1">
        <v>13</v>
      </c>
      <c r="H612" s="1" t="str" cm="1">
        <f t="array" ref="H612">_xlfn.IFS( OR(G612=" ",NOT(ISNUMBER(G612))),"Unknown",G612&lt;=33,"Low Spender",G612&lt;=66,"Medium Spender",TRUE, "High Spender")</f>
        <v>Low Spender</v>
      </c>
      <c r="I612" s="1">
        <v>25</v>
      </c>
      <c r="J612" s="1">
        <v>300</v>
      </c>
      <c r="K612" s="1">
        <v>24</v>
      </c>
      <c r="L612" s="1" t="s">
        <v>35</v>
      </c>
      <c r="N612" s="1" t="str">
        <f t="shared" si="18"/>
        <v>Higher</v>
      </c>
      <c r="O612" s="1" t="str">
        <f t="shared" si="19"/>
        <v>Mature | Low Spender | Higher</v>
      </c>
    </row>
    <row r="613" spans="1:15" x14ac:dyDescent="0.25">
      <c r="A613" s="1" t="s">
        <v>643</v>
      </c>
      <c r="B613" s="1">
        <v>30</v>
      </c>
      <c r="C613" s="1" t="str" cm="1">
        <f t="array" ref="C613">_xlfn.IFS(OR(B613=" ", B613="NA",NOT(ISNUMBER(B613))), "Unknown",B613&lt;18,"Underage",B613&lt;=24,"Young Adult",B613&lt;=34,"Early Career",B613&lt;=44,"Mid Career",B613&lt;=54,"Mature",B613&lt;=65,"Pre-Senior",B613&gt;65,"Senior")</f>
        <v>Early Career</v>
      </c>
      <c r="E613" s="1" t="s">
        <v>19</v>
      </c>
      <c r="F613" s="1">
        <v>600000</v>
      </c>
      <c r="G613" s="1">
        <v>23</v>
      </c>
      <c r="H613" s="1" t="str" cm="1">
        <f t="array" ref="H613">_xlfn.IFS( OR(G613=" ",NOT(ISNUMBER(G613))),"Unknown",G613&lt;=33,"Low Spender",G613&lt;=66,"Medium Spender",TRUE, "High Spender")</f>
        <v>Low Spender</v>
      </c>
      <c r="I613" s="1">
        <v>74</v>
      </c>
      <c r="J613" s="1">
        <v>4000</v>
      </c>
      <c r="K613" s="1">
        <v>22</v>
      </c>
      <c r="M613" s="1" t="s">
        <v>21</v>
      </c>
      <c r="N613" s="1" t="str">
        <f t="shared" si="18"/>
        <v>Lower</v>
      </c>
      <c r="O613" s="1" t="str">
        <f t="shared" si="19"/>
        <v>Early Career | Low Spender | Lower</v>
      </c>
    </row>
    <row r="614" spans="1:15" x14ac:dyDescent="0.25">
      <c r="A614" s="1" t="s">
        <v>644</v>
      </c>
      <c r="B614" s="1">
        <v>29</v>
      </c>
      <c r="C614" s="1" t="str" cm="1">
        <f t="array" ref="C614">_xlfn.IFS(OR(B614=" ", B614="NA",NOT(ISNUMBER(B614))), "Unknown",B614&lt;18,"Underage",B614&lt;=24,"Young Adult",B614&lt;=34,"Early Career",B614&lt;=44,"Mid Career",B614&lt;=54,"Mature",B614&lt;=65,"Pre-Senior",B614&gt;65,"Senior")</f>
        <v>Early Career</v>
      </c>
      <c r="D614" s="1" t="s">
        <v>18</v>
      </c>
      <c r="E614" s="1" t="s">
        <v>49</v>
      </c>
      <c r="F614" s="1">
        <v>1625000</v>
      </c>
      <c r="G614" s="1">
        <v>57</v>
      </c>
      <c r="H614" s="1" t="str" cm="1">
        <f t="array" ref="H614">_xlfn.IFS( OR(G614=" ",NOT(ISNUMBER(G614))),"Unknown",G614&lt;=33,"Low Spender",G614&lt;=66,"Medium Spender",TRUE, "High Spender")</f>
        <v>Medium Spender</v>
      </c>
      <c r="I614" s="1">
        <v>76</v>
      </c>
      <c r="J614" s="1">
        <v>11900</v>
      </c>
      <c r="K614" s="1">
        <v>32</v>
      </c>
      <c r="L614" s="1" t="s">
        <v>35</v>
      </c>
      <c r="M614" s="1" t="s">
        <v>32</v>
      </c>
      <c r="N614" s="1" t="str">
        <f t="shared" si="18"/>
        <v>Higher</v>
      </c>
      <c r="O614" s="1" t="str">
        <f t="shared" si="19"/>
        <v>Early Career | Medium Spender | Higher</v>
      </c>
    </row>
    <row r="615" spans="1:15" x14ac:dyDescent="0.25">
      <c r="A615" s="1" t="s">
        <v>645</v>
      </c>
      <c r="B615" s="1">
        <v>48</v>
      </c>
      <c r="C615" s="1" t="str" cm="1">
        <f t="array" ref="C615">_xlfn.IFS(OR(B615=" ", B615="NA",NOT(ISNUMBER(B615))), "Unknown",B615&lt;18,"Underage",B615&lt;=24,"Young Adult",B615&lt;=34,"Early Career",B615&lt;=44,"Mid Career",B615&lt;=54,"Mature",B615&lt;=65,"Pre-Senior",B615&gt;65,"Senior")</f>
        <v>Mature</v>
      </c>
      <c r="D615" s="1" t="s">
        <v>18</v>
      </c>
      <c r="F615" s="1">
        <v>850000</v>
      </c>
      <c r="G615" s="1">
        <v>62</v>
      </c>
      <c r="H615" s="1" t="str" cm="1">
        <f t="array" ref="H615">_xlfn.IFS( OR(G615=" ",NOT(ISNUMBER(G615))),"Unknown",G615&lt;=33,"Low Spender",G615&lt;=66,"Medium Spender",TRUE, "High Spender")</f>
        <v>Medium Spender</v>
      </c>
      <c r="I615" s="1">
        <v>41</v>
      </c>
      <c r="J615" s="1">
        <v>9300</v>
      </c>
      <c r="K615" s="1">
        <v>351</v>
      </c>
      <c r="M615" s="1" t="s">
        <v>30</v>
      </c>
      <c r="N615" s="1" t="str">
        <f t="shared" si="18"/>
        <v>Higher</v>
      </c>
      <c r="O615" s="1" t="str">
        <f t="shared" si="19"/>
        <v>Mature | Medium Spender | Higher</v>
      </c>
    </row>
    <row r="616" spans="1:15" x14ac:dyDescent="0.25">
      <c r="A616" s="1" t="s">
        <v>646</v>
      </c>
      <c r="B616" s="1">
        <v>63</v>
      </c>
      <c r="C616" s="1" t="str" cm="1">
        <f t="array" ref="C616">_xlfn.IFS(OR(B616=" ", B616="NA",NOT(ISNUMBER(B616))), "Unknown",B616&lt;18,"Underage",B616&lt;=24,"Young Adult",B616&lt;=34,"Early Career",B616&lt;=44,"Mid Career",B616&lt;=54,"Mature",B616&lt;=65,"Pre-Senior",B616&gt;65,"Senior")</f>
        <v>Pre-Senior</v>
      </c>
      <c r="D616" s="1" t="s">
        <v>12</v>
      </c>
      <c r="E616" s="1" t="s">
        <v>27</v>
      </c>
      <c r="F616" s="1">
        <v>1375000</v>
      </c>
      <c r="G616" s="1">
        <v>54</v>
      </c>
      <c r="H616" s="1" t="str" cm="1">
        <f t="array" ref="H616">_xlfn.IFS( OR(G616=" ",NOT(ISNUMBER(G616))),"Unknown",G616&lt;=33,"Low Spender",G616&lt;=66,"Medium Spender",TRUE, "High Spender")</f>
        <v>Medium Spender</v>
      </c>
      <c r="I616" s="1">
        <v>71</v>
      </c>
      <c r="J616" s="1">
        <v>10400</v>
      </c>
      <c r="K616" s="1">
        <v>339</v>
      </c>
      <c r="L616" s="1" t="s">
        <v>16</v>
      </c>
      <c r="M616" s="1" t="s">
        <v>30</v>
      </c>
      <c r="N616" s="1" t="str">
        <f t="shared" si="18"/>
        <v>Lower</v>
      </c>
      <c r="O616" s="1" t="str">
        <f t="shared" si="19"/>
        <v>Pre-Senior | Medium Spender | Lower</v>
      </c>
    </row>
    <row r="617" spans="1:15" x14ac:dyDescent="0.25">
      <c r="A617" s="1" t="s">
        <v>647</v>
      </c>
      <c r="B617" s="1">
        <v>19</v>
      </c>
      <c r="C617" s="1" t="str" cm="1">
        <f t="array" ref="C617">_xlfn.IFS(OR(B617=" ", B617="NA",NOT(ISNUMBER(B617))), "Unknown",B617&lt;18,"Underage",B617&lt;=24,"Young Adult",B617&lt;=34,"Early Career",B617&lt;=44,"Mid Career",B617&lt;=54,"Mature",B617&lt;=65,"Pre-Senior",B617&gt;65,"Senior")</f>
        <v>Young Adult</v>
      </c>
      <c r="E617" s="1" t="s">
        <v>13</v>
      </c>
      <c r="F617" s="1">
        <v>175000</v>
      </c>
      <c r="G617" s="1">
        <v>20</v>
      </c>
      <c r="H617" s="1" t="str" cm="1">
        <f t="array" ref="H617">_xlfn.IFS( OR(G617=" ",NOT(ISNUMBER(G617))),"Unknown",G617&lt;=33,"Low Spender",G617&lt;=66,"Medium Spender",TRUE, "High Spender")</f>
        <v>Low Spender</v>
      </c>
      <c r="I617" s="1">
        <v>64</v>
      </c>
      <c r="J617" s="1">
        <v>3700</v>
      </c>
      <c r="K617" s="1">
        <v>3</v>
      </c>
      <c r="L617" s="1" t="s">
        <v>20</v>
      </c>
      <c r="M617" s="1" t="s">
        <v>21</v>
      </c>
      <c r="N617" s="1" t="str">
        <f t="shared" si="18"/>
        <v>Lower</v>
      </c>
      <c r="O617" s="1" t="str">
        <f t="shared" si="19"/>
        <v>Young Adult | Low Spender | Lower</v>
      </c>
    </row>
    <row r="618" spans="1:15" x14ac:dyDescent="0.25">
      <c r="A618" s="1" t="s">
        <v>648</v>
      </c>
      <c r="B618" s="1">
        <v>68</v>
      </c>
      <c r="C618" s="1" t="str" cm="1">
        <f t="array" ref="C618">_xlfn.IFS(OR(B618=" ", B618="NA",NOT(ISNUMBER(B618))), "Unknown",B618&lt;18,"Underage",B618&lt;=24,"Young Adult",B618&lt;=34,"Early Career",B618&lt;=44,"Mid Career",B618&lt;=54,"Mature",B618&lt;=65,"Pre-Senior",B618&gt;65,"Senior")</f>
        <v>Senior</v>
      </c>
      <c r="D618" s="1" t="s">
        <v>18</v>
      </c>
      <c r="E618" s="1" t="s">
        <v>23</v>
      </c>
      <c r="F618" s="1">
        <v>1950000</v>
      </c>
      <c r="G618" s="1">
        <v>86</v>
      </c>
      <c r="H618" s="1" t="str" cm="1">
        <f t="array" ref="H618">_xlfn.IFS( OR(G618=" ",NOT(ISNUMBER(G618))),"Unknown",G618&lt;=33,"Low Spender",G618&lt;=66,"Medium Spender",TRUE, "High Spender")</f>
        <v>High Spender</v>
      </c>
      <c r="I618" s="1">
        <v>61</v>
      </c>
      <c r="J618" s="1">
        <v>7600</v>
      </c>
      <c r="K618" s="1">
        <v>70</v>
      </c>
      <c r="L618" s="1" t="s">
        <v>37</v>
      </c>
      <c r="N618" s="1" t="str">
        <f t="shared" si="18"/>
        <v>Higher</v>
      </c>
      <c r="O618" s="1" t="str">
        <f t="shared" si="19"/>
        <v>Senior | High Spender | Higher</v>
      </c>
    </row>
    <row r="619" spans="1:15" x14ac:dyDescent="0.25">
      <c r="A619" s="1" t="s">
        <v>649</v>
      </c>
      <c r="B619" s="1">
        <v>67</v>
      </c>
      <c r="C619" s="1" t="str" cm="1">
        <f t="array" ref="C619">_xlfn.IFS(OR(B619=" ", B619="NA",NOT(ISNUMBER(B619))), "Unknown",B619&lt;18,"Underage",B619&lt;=24,"Young Adult",B619&lt;=34,"Early Career",B619&lt;=44,"Mid Career",B619&lt;=54,"Mature",B619&lt;=65,"Pre-Senior",B619&gt;65,"Senior")</f>
        <v>Senior</v>
      </c>
      <c r="D619" s="1" t="s">
        <v>12</v>
      </c>
      <c r="E619" s="1" t="s">
        <v>13</v>
      </c>
      <c r="F619" s="1">
        <v>1525000</v>
      </c>
      <c r="G619" s="1">
        <v>52</v>
      </c>
      <c r="H619" s="1" t="str" cm="1">
        <f t="array" ref="H619">_xlfn.IFS( OR(G619=" ",NOT(ISNUMBER(G619))),"Unknown",G619&lt;=33,"Low Spender",G619&lt;=66,"Medium Spender",TRUE, "High Spender")</f>
        <v>Medium Spender</v>
      </c>
      <c r="I619" s="1">
        <v>12</v>
      </c>
      <c r="J619" s="1">
        <v>7800</v>
      </c>
      <c r="K619" s="1">
        <v>160</v>
      </c>
      <c r="L619" s="1" t="s">
        <v>37</v>
      </c>
      <c r="M619" s="1" t="s">
        <v>21</v>
      </c>
      <c r="N619" s="1" t="str">
        <f t="shared" si="18"/>
        <v>Lower</v>
      </c>
      <c r="O619" s="1" t="str">
        <f t="shared" si="19"/>
        <v>Senior | Medium Spender | Lower</v>
      </c>
    </row>
    <row r="620" spans="1:15" x14ac:dyDescent="0.25">
      <c r="A620" s="1" t="s">
        <v>650</v>
      </c>
      <c r="B620" s="1">
        <v>52</v>
      </c>
      <c r="C620" s="1" t="str" cm="1">
        <f t="array" ref="C620">_xlfn.IFS(OR(B620=" ", B620="NA",NOT(ISNUMBER(B620))), "Unknown",B620&lt;18,"Underage",B620&lt;=24,"Young Adult",B620&lt;=34,"Early Career",B620&lt;=44,"Mid Career",B620&lt;=54,"Mature",B620&lt;=65,"Pre-Senior",B620&gt;65,"Senior")</f>
        <v>Mature</v>
      </c>
      <c r="D620" s="1" t="s">
        <v>29</v>
      </c>
      <c r="E620" s="1" t="s">
        <v>27</v>
      </c>
      <c r="F620" s="1">
        <v>550000</v>
      </c>
      <c r="G620" s="1">
        <v>23</v>
      </c>
      <c r="H620" s="1" t="str" cm="1">
        <f t="array" ref="H620">_xlfn.IFS( OR(G620=" ",NOT(ISNUMBER(G620))),"Unknown",G620&lt;=33,"Low Spender",G620&lt;=66,"Medium Spender",TRUE, "High Spender")</f>
        <v>Low Spender</v>
      </c>
      <c r="J620" s="1">
        <v>7600</v>
      </c>
      <c r="K620" s="1">
        <v>88</v>
      </c>
      <c r="N620" s="1" t="str">
        <f t="shared" si="18"/>
        <v>Higher</v>
      </c>
      <c r="O620" s="1" t="str">
        <f t="shared" si="19"/>
        <v>Mature | Low Spender | Higher</v>
      </c>
    </row>
    <row r="621" spans="1:15" x14ac:dyDescent="0.25">
      <c r="A621" s="1" t="s">
        <v>651</v>
      </c>
      <c r="B621" s="1">
        <v>40</v>
      </c>
      <c r="C621" s="1" t="str" cm="1">
        <f t="array" ref="C621">_xlfn.IFS(OR(B621=" ", B621="NA",NOT(ISNUMBER(B621))), "Unknown",B621&lt;18,"Underage",B621&lt;=24,"Young Adult",B621&lt;=34,"Early Career",B621&lt;=44,"Mid Career",B621&lt;=54,"Mature",B621&lt;=65,"Pre-Senior",B621&gt;65,"Senior")</f>
        <v>Mid Career</v>
      </c>
      <c r="D621" s="1" t="s">
        <v>29</v>
      </c>
      <c r="E621" s="1" t="s">
        <v>34</v>
      </c>
      <c r="F621" s="1">
        <v>1625000</v>
      </c>
      <c r="G621" s="1">
        <v>35</v>
      </c>
      <c r="H621" s="1" t="str" cm="1">
        <f t="array" ref="H621">_xlfn.IFS( OR(G621=" ",NOT(ISNUMBER(G621))),"Unknown",G621&lt;=33,"Low Spender",G621&lt;=66,"Medium Spender",TRUE, "High Spender")</f>
        <v>Medium Spender</v>
      </c>
      <c r="I621" s="1">
        <v>69</v>
      </c>
      <c r="J621" s="1">
        <v>5600</v>
      </c>
      <c r="L621" s="1" t="s">
        <v>16</v>
      </c>
      <c r="M621" s="1" t="s">
        <v>32</v>
      </c>
      <c r="N621" s="1" t="str">
        <f t="shared" si="18"/>
        <v>Higher</v>
      </c>
      <c r="O621" s="1" t="str">
        <f t="shared" si="19"/>
        <v>Mid Career | Medium Spender | Higher</v>
      </c>
    </row>
    <row r="622" spans="1:15" x14ac:dyDescent="0.25">
      <c r="A622" s="1" t="s">
        <v>652</v>
      </c>
      <c r="B622" s="1">
        <v>34</v>
      </c>
      <c r="C622" s="1" t="str" cm="1">
        <f t="array" ref="C622">_xlfn.IFS(OR(B622=" ", B622="NA",NOT(ISNUMBER(B622))), "Unknown",B622&lt;18,"Underage",B622&lt;=24,"Young Adult",B622&lt;=34,"Early Career",B622&lt;=44,"Mid Career",B622&lt;=54,"Mature",B622&lt;=65,"Pre-Senior",B622&gt;65,"Senior")</f>
        <v>Early Career</v>
      </c>
      <c r="E622" s="1" t="s">
        <v>34</v>
      </c>
      <c r="F622" s="1">
        <v>1025000</v>
      </c>
      <c r="G622" s="1">
        <v>67</v>
      </c>
      <c r="H622" s="1" t="str" cm="1">
        <f t="array" ref="H622">_xlfn.IFS( OR(G622=" ",NOT(ISNUMBER(G622))),"Unknown",G622&lt;=33,"Low Spender",G622&lt;=66,"Medium Spender",TRUE, "High Spender")</f>
        <v>High Spender</v>
      </c>
      <c r="I622" s="1">
        <v>14</v>
      </c>
      <c r="J622" s="1">
        <v>10000</v>
      </c>
      <c r="K622" s="1">
        <v>59</v>
      </c>
      <c r="L622" s="1" t="s">
        <v>35</v>
      </c>
      <c r="M622" s="1" t="s">
        <v>30</v>
      </c>
      <c r="N622" s="1" t="str">
        <f t="shared" si="18"/>
        <v>Lower</v>
      </c>
      <c r="O622" s="1" t="str">
        <f t="shared" si="19"/>
        <v>Early Career | High Spender | Lower</v>
      </c>
    </row>
    <row r="623" spans="1:15" x14ac:dyDescent="0.25">
      <c r="A623" s="1" t="s">
        <v>653</v>
      </c>
      <c r="B623" s="1">
        <v>43</v>
      </c>
      <c r="C623" s="1" t="str" cm="1">
        <f t="array" ref="C623">_xlfn.IFS(OR(B623=" ", B623="NA",NOT(ISNUMBER(B623))), "Unknown",B623&lt;18,"Underage",B623&lt;=24,"Young Adult",B623&lt;=34,"Early Career",B623&lt;=44,"Mid Career",B623&lt;=54,"Mature",B623&lt;=65,"Pre-Senior",B623&gt;65,"Senior")</f>
        <v>Mid Career</v>
      </c>
      <c r="D623" s="1" t="s">
        <v>18</v>
      </c>
      <c r="E623" s="1" t="s">
        <v>27</v>
      </c>
      <c r="F623" s="1">
        <v>1650000</v>
      </c>
      <c r="G623" s="1">
        <v>34</v>
      </c>
      <c r="H623" s="1" t="str" cm="1">
        <f t="array" ref="H623">_xlfn.IFS( OR(G623=" ",NOT(ISNUMBER(G623))),"Unknown",G623&lt;=33,"Low Spender",G623&lt;=66,"Medium Spender",TRUE, "High Spender")</f>
        <v>Medium Spender</v>
      </c>
      <c r="I623" s="1">
        <v>34</v>
      </c>
      <c r="J623" s="1">
        <v>2600</v>
      </c>
      <c r="K623" s="1">
        <v>252</v>
      </c>
      <c r="L623" s="1" t="s">
        <v>16</v>
      </c>
      <c r="N623" s="1" t="str">
        <f t="shared" si="18"/>
        <v>Higher</v>
      </c>
      <c r="O623" s="1" t="str">
        <f t="shared" si="19"/>
        <v>Mid Career | Medium Spender | Higher</v>
      </c>
    </row>
    <row r="624" spans="1:15" x14ac:dyDescent="0.25">
      <c r="A624" s="1" t="s">
        <v>654</v>
      </c>
      <c r="B624" s="1">
        <v>25</v>
      </c>
      <c r="C624" s="1" t="str" cm="1">
        <f t="array" ref="C624">_xlfn.IFS(OR(B624=" ", B624="NA",NOT(ISNUMBER(B624))), "Unknown",B624&lt;18,"Underage",B624&lt;=24,"Young Adult",B624&lt;=34,"Early Career",B624&lt;=44,"Mid Career",B624&lt;=54,"Mature",B624&lt;=65,"Pre-Senior",B624&gt;65,"Senior")</f>
        <v>Early Career</v>
      </c>
      <c r="D624" s="1" t="s">
        <v>29</v>
      </c>
      <c r="F624" s="1">
        <v>550000</v>
      </c>
      <c r="G624" s="1">
        <v>33</v>
      </c>
      <c r="H624" s="1" t="str" cm="1">
        <f t="array" ref="H624">_xlfn.IFS( OR(G624=" ",NOT(ISNUMBER(G624))),"Unknown",G624&lt;=33,"Low Spender",G624&lt;=66,"Medium Spender",TRUE, "High Spender")</f>
        <v>Low Spender</v>
      </c>
      <c r="I624" s="1">
        <v>48</v>
      </c>
      <c r="J624" s="1">
        <v>3000</v>
      </c>
      <c r="K624" s="1">
        <v>219</v>
      </c>
      <c r="L624" s="1" t="s">
        <v>20</v>
      </c>
      <c r="M624" s="1" t="s">
        <v>41</v>
      </c>
      <c r="N624" s="1" t="str">
        <f t="shared" si="18"/>
        <v>Higher</v>
      </c>
      <c r="O624" s="1" t="str">
        <f t="shared" si="19"/>
        <v>Early Career | Low Spender | Higher</v>
      </c>
    </row>
    <row r="625" spans="1:15" x14ac:dyDescent="0.25">
      <c r="A625" s="1" t="s">
        <v>655</v>
      </c>
      <c r="B625" s="1">
        <v>46</v>
      </c>
      <c r="C625" s="1" t="str" cm="1">
        <f t="array" ref="C625">_xlfn.IFS(OR(B625=" ", B625="NA",NOT(ISNUMBER(B625))), "Unknown",B625&lt;18,"Underage",B625&lt;=24,"Young Adult",B625&lt;=34,"Early Career",B625&lt;=44,"Mid Career",B625&lt;=54,"Mature",B625&lt;=65,"Pre-Senior",B625&gt;65,"Senior")</f>
        <v>Mature</v>
      </c>
      <c r="D625" s="1" t="s">
        <v>12</v>
      </c>
      <c r="F625" s="1">
        <v>1350000</v>
      </c>
      <c r="G625" s="1">
        <v>46</v>
      </c>
      <c r="H625" s="1" t="str" cm="1">
        <f t="array" ref="H625">_xlfn.IFS( OR(G625=" ",NOT(ISNUMBER(G625))),"Unknown",G625&lt;=33,"Low Spender",G625&lt;=66,"Medium Spender",TRUE, "High Spender")</f>
        <v>Medium Spender</v>
      </c>
      <c r="I625" s="1">
        <v>61</v>
      </c>
      <c r="J625" s="1">
        <v>2400</v>
      </c>
      <c r="K625" s="1">
        <v>201</v>
      </c>
      <c r="L625" s="1" t="s">
        <v>37</v>
      </c>
      <c r="M625" s="1" t="s">
        <v>21</v>
      </c>
      <c r="N625" s="1" t="str">
        <f t="shared" si="18"/>
        <v>Lower</v>
      </c>
      <c r="O625" s="1" t="str">
        <f t="shared" si="19"/>
        <v>Mature | Medium Spender | Lower</v>
      </c>
    </row>
    <row r="626" spans="1:15" x14ac:dyDescent="0.25">
      <c r="A626" s="1" t="s">
        <v>656</v>
      </c>
      <c r="B626" s="1">
        <v>43</v>
      </c>
      <c r="C626" s="1" t="str" cm="1">
        <f t="array" ref="C626">_xlfn.IFS(OR(B626=" ", B626="NA",NOT(ISNUMBER(B626))), "Unknown",B626&lt;18,"Underage",B626&lt;=24,"Young Adult",B626&lt;=34,"Early Career",B626&lt;=44,"Mid Career",B626&lt;=54,"Mature",B626&lt;=65,"Pre-Senior",B626&gt;65,"Senior")</f>
        <v>Mid Career</v>
      </c>
      <c r="D626" s="1" t="s">
        <v>18</v>
      </c>
      <c r="G626" s="1">
        <v>81</v>
      </c>
      <c r="H626" s="1" t="str" cm="1">
        <f t="array" ref="H626">_xlfn.IFS( OR(G626=" ",NOT(ISNUMBER(G626))),"Unknown",G626&lt;=33,"Low Spender",G626&lt;=66,"Medium Spender",TRUE, "High Spender")</f>
        <v>High Spender</v>
      </c>
      <c r="J626" s="1">
        <v>11100</v>
      </c>
      <c r="K626" s="1">
        <v>77</v>
      </c>
      <c r="M626" s="1" t="s">
        <v>41</v>
      </c>
      <c r="N626" s="1" t="str">
        <f t="shared" si="18"/>
        <v>Higher</v>
      </c>
      <c r="O626" s="1" t="str">
        <f t="shared" si="19"/>
        <v>Mid Career | High Spender | Higher</v>
      </c>
    </row>
    <row r="627" spans="1:15" x14ac:dyDescent="0.25">
      <c r="A627" s="1" t="s">
        <v>657</v>
      </c>
      <c r="B627" s="1">
        <v>27</v>
      </c>
      <c r="C627" s="1" t="str" cm="1">
        <f t="array" ref="C627">_xlfn.IFS(OR(B627=" ", B627="NA",NOT(ISNUMBER(B627))), "Unknown",B627&lt;18,"Underage",B627&lt;=24,"Young Adult",B627&lt;=34,"Early Career",B627&lt;=44,"Mid Career",B627&lt;=54,"Mature",B627&lt;=65,"Pre-Senior",B627&gt;65,"Senior")</f>
        <v>Early Career</v>
      </c>
      <c r="D627" s="1" t="s">
        <v>18</v>
      </c>
      <c r="E627" s="1" t="s">
        <v>15</v>
      </c>
      <c r="F627" s="1">
        <v>1625000</v>
      </c>
      <c r="G627" s="1">
        <v>45</v>
      </c>
      <c r="H627" s="1" t="str" cm="1">
        <f t="array" ref="H627">_xlfn.IFS( OR(G627=" ",NOT(ISNUMBER(G627))),"Unknown",G627&lt;=33,"Low Spender",G627&lt;=66,"Medium Spender",TRUE, "High Spender")</f>
        <v>Medium Spender</v>
      </c>
      <c r="I627" s="1">
        <v>35</v>
      </c>
      <c r="J627" s="1">
        <v>1800</v>
      </c>
      <c r="K627" s="1">
        <v>255</v>
      </c>
      <c r="L627" s="1" t="s">
        <v>37</v>
      </c>
      <c r="M627" s="1" t="s">
        <v>30</v>
      </c>
      <c r="N627" s="1" t="str">
        <f t="shared" si="18"/>
        <v>Higher</v>
      </c>
      <c r="O627" s="1" t="str">
        <f t="shared" si="19"/>
        <v>Early Career | Medium Spender | Higher</v>
      </c>
    </row>
    <row r="628" spans="1:15" x14ac:dyDescent="0.25">
      <c r="A628" s="1" t="s">
        <v>658</v>
      </c>
      <c r="B628" s="1">
        <v>43</v>
      </c>
      <c r="C628" s="1" t="str" cm="1">
        <f t="array" ref="C628">_xlfn.IFS(OR(B628=" ", B628="NA",NOT(ISNUMBER(B628))), "Unknown",B628&lt;18,"Underage",B628&lt;=24,"Young Adult",B628&lt;=34,"Early Career",B628&lt;=44,"Mid Career",B628&lt;=54,"Mature",B628&lt;=65,"Pre-Senior",B628&gt;65,"Senior")</f>
        <v>Mid Career</v>
      </c>
      <c r="D628" s="1" t="s">
        <v>18</v>
      </c>
      <c r="E628" s="1" t="s">
        <v>49</v>
      </c>
      <c r="F628" s="1">
        <v>625000</v>
      </c>
      <c r="G628" s="1">
        <v>19</v>
      </c>
      <c r="H628" s="1" t="str" cm="1">
        <f t="array" ref="H628">_xlfn.IFS( OR(G628=" ",NOT(ISNUMBER(G628))),"Unknown",G628&lt;=33,"Low Spender",G628&lt;=66,"Medium Spender",TRUE, "High Spender")</f>
        <v>Low Spender</v>
      </c>
      <c r="I628" s="1">
        <v>65</v>
      </c>
      <c r="J628" s="1">
        <v>1500</v>
      </c>
      <c r="K628" s="1">
        <v>247</v>
      </c>
      <c r="L628" s="1" t="s">
        <v>20</v>
      </c>
      <c r="M628" s="1" t="s">
        <v>21</v>
      </c>
      <c r="N628" s="1" t="str">
        <f t="shared" si="18"/>
        <v>Higher</v>
      </c>
      <c r="O628" s="1" t="str">
        <f t="shared" si="19"/>
        <v>Mid Career | Low Spender | Higher</v>
      </c>
    </row>
    <row r="629" spans="1:15" x14ac:dyDescent="0.25">
      <c r="A629" s="1" t="s">
        <v>659</v>
      </c>
      <c r="B629" s="1">
        <v>51</v>
      </c>
      <c r="C629" s="1" t="str" cm="1">
        <f t="array" ref="C629">_xlfn.IFS(OR(B629=" ", B629="NA",NOT(ISNUMBER(B629))), "Unknown",B629&lt;18,"Underage",B629&lt;=24,"Young Adult",B629&lt;=34,"Early Career",B629&lt;=44,"Mid Career",B629&lt;=54,"Mature",B629&lt;=65,"Pre-Senior",B629&gt;65,"Senior")</f>
        <v>Mature</v>
      </c>
      <c r="D629" s="1" t="s">
        <v>18</v>
      </c>
      <c r="F629" s="1">
        <v>1375000</v>
      </c>
      <c r="G629" s="1">
        <v>94</v>
      </c>
      <c r="H629" s="1" t="str" cm="1">
        <f t="array" ref="H629">_xlfn.IFS( OR(G629=" ",NOT(ISNUMBER(G629))),"Unknown",G629&lt;=33,"Low Spender",G629&lt;=66,"Medium Spender",TRUE, "High Spender")</f>
        <v>High Spender</v>
      </c>
      <c r="I629" s="1">
        <v>59</v>
      </c>
      <c r="J629" s="1">
        <v>10200</v>
      </c>
      <c r="K629" s="1">
        <v>270</v>
      </c>
      <c r="L629" s="1" t="s">
        <v>35</v>
      </c>
      <c r="M629" s="1" t="s">
        <v>30</v>
      </c>
      <c r="N629" s="1" t="str">
        <f t="shared" si="18"/>
        <v>Higher</v>
      </c>
      <c r="O629" s="1" t="str">
        <f t="shared" si="19"/>
        <v>Mature | High Spender | Higher</v>
      </c>
    </row>
    <row r="630" spans="1:15" x14ac:dyDescent="0.25">
      <c r="A630" s="1" t="s">
        <v>660</v>
      </c>
      <c r="B630" s="1">
        <v>68</v>
      </c>
      <c r="C630" s="1" t="str" cm="1">
        <f t="array" ref="C630">_xlfn.IFS(OR(B630=" ", B630="NA",NOT(ISNUMBER(B630))), "Unknown",B630&lt;18,"Underage",B630&lt;=24,"Young Adult",B630&lt;=34,"Early Career",B630&lt;=44,"Mid Career",B630&lt;=54,"Mature",B630&lt;=65,"Pre-Senior",B630&gt;65,"Senior")</f>
        <v>Senior</v>
      </c>
      <c r="D630" s="1" t="s">
        <v>29</v>
      </c>
      <c r="E630" s="1" t="s">
        <v>13</v>
      </c>
      <c r="F630" s="1">
        <v>200000</v>
      </c>
      <c r="G630" s="1">
        <v>87</v>
      </c>
      <c r="H630" s="1" t="str" cm="1">
        <f t="array" ref="H630">_xlfn.IFS( OR(G630=" ",NOT(ISNUMBER(G630))),"Unknown",G630&lt;=33,"Low Spender",G630&lt;=66,"Medium Spender",TRUE, "High Spender")</f>
        <v>High Spender</v>
      </c>
      <c r="I630" s="1">
        <v>36</v>
      </c>
      <c r="J630" s="1">
        <v>10200</v>
      </c>
      <c r="K630" s="1">
        <v>307</v>
      </c>
      <c r="L630" s="1" t="s">
        <v>16</v>
      </c>
      <c r="M630" s="1" t="s">
        <v>21</v>
      </c>
      <c r="N630" s="1" t="str">
        <f t="shared" si="18"/>
        <v>Higher</v>
      </c>
      <c r="O630" s="1" t="str">
        <f t="shared" si="19"/>
        <v>Senior | High Spender | Higher</v>
      </c>
    </row>
    <row r="631" spans="1:15" x14ac:dyDescent="0.25">
      <c r="A631" s="1" t="s">
        <v>661</v>
      </c>
      <c r="B631" s="1">
        <v>58</v>
      </c>
      <c r="C631" s="1" t="str" cm="1">
        <f t="array" ref="C631">_xlfn.IFS(OR(B631=" ", B631="NA",NOT(ISNUMBER(B631))), "Unknown",B631&lt;18,"Underage",B631&lt;=24,"Young Adult",B631&lt;=34,"Early Career",B631&lt;=44,"Mid Career",B631&lt;=54,"Mature",B631&lt;=65,"Pre-Senior",B631&gt;65,"Senior")</f>
        <v>Pre-Senior</v>
      </c>
      <c r="D631" s="1" t="s">
        <v>29</v>
      </c>
      <c r="E631" s="1" t="s">
        <v>49</v>
      </c>
      <c r="F631" s="1">
        <v>1200000</v>
      </c>
      <c r="G631" s="1">
        <v>15</v>
      </c>
      <c r="H631" s="1" t="str" cm="1">
        <f t="array" ref="H631">_xlfn.IFS( OR(G631=" ",NOT(ISNUMBER(G631))),"Unknown",G631&lt;=33,"Low Spender",G631&lt;=66,"Medium Spender",TRUE, "High Spender")</f>
        <v>Low Spender</v>
      </c>
      <c r="I631" s="1">
        <v>79</v>
      </c>
      <c r="J631" s="1">
        <v>6400</v>
      </c>
      <c r="K631" s="1">
        <v>139</v>
      </c>
      <c r="L631" s="1" t="s">
        <v>37</v>
      </c>
      <c r="N631" s="1" t="str">
        <f t="shared" si="18"/>
        <v>Higher</v>
      </c>
      <c r="O631" s="1" t="str">
        <f t="shared" si="19"/>
        <v>Pre-Senior | Low Spender | Higher</v>
      </c>
    </row>
    <row r="632" spans="1:15" x14ac:dyDescent="0.25">
      <c r="A632" s="1" t="s">
        <v>662</v>
      </c>
      <c r="B632" s="1">
        <v>24</v>
      </c>
      <c r="C632" s="1" t="str" cm="1">
        <f t="array" ref="C632">_xlfn.IFS(OR(B632=" ", B632="NA",NOT(ISNUMBER(B632))), "Unknown",B632&lt;18,"Underage",B632&lt;=24,"Young Adult",B632&lt;=34,"Early Career",B632&lt;=44,"Mid Career",B632&lt;=54,"Mature",B632&lt;=65,"Pre-Senior",B632&gt;65,"Senior")</f>
        <v>Young Adult</v>
      </c>
      <c r="E632" s="1" t="s">
        <v>13</v>
      </c>
      <c r="F632" s="1">
        <v>1550000</v>
      </c>
      <c r="G632" s="1">
        <v>78</v>
      </c>
      <c r="H632" s="1" t="str" cm="1">
        <f t="array" ref="H632">_xlfn.IFS( OR(G632=" ",NOT(ISNUMBER(G632))),"Unknown",G632&lt;=33,"Low Spender",G632&lt;=66,"Medium Spender",TRUE, "High Spender")</f>
        <v>High Spender</v>
      </c>
      <c r="I632" s="1">
        <v>19</v>
      </c>
      <c r="J632" s="1">
        <v>4500</v>
      </c>
      <c r="K632" s="1">
        <v>78</v>
      </c>
      <c r="L632" s="1" t="s">
        <v>37</v>
      </c>
      <c r="M632" s="1" t="s">
        <v>30</v>
      </c>
      <c r="N632" s="1" t="str">
        <f t="shared" si="18"/>
        <v>Lower</v>
      </c>
      <c r="O632" s="1" t="str">
        <f t="shared" si="19"/>
        <v>Young Adult | High Spender | Lower</v>
      </c>
    </row>
    <row r="633" spans="1:15" x14ac:dyDescent="0.25">
      <c r="A633" s="1" t="s">
        <v>663</v>
      </c>
      <c r="B633" s="1">
        <v>21</v>
      </c>
      <c r="C633" s="1" t="str" cm="1">
        <f t="array" ref="C633">_xlfn.IFS(OR(B633=" ", B633="NA",NOT(ISNUMBER(B633))), "Unknown",B633&lt;18,"Underage",B633&lt;=24,"Young Adult",B633&lt;=34,"Early Career",B633&lt;=44,"Mid Career",B633&lt;=54,"Mature",B633&lt;=65,"Pre-Senior",B633&gt;65,"Senior")</f>
        <v>Young Adult</v>
      </c>
      <c r="F633" s="1">
        <v>1375000</v>
      </c>
      <c r="G633" s="1">
        <v>66</v>
      </c>
      <c r="H633" s="1" t="str" cm="1">
        <f t="array" ref="H633">_xlfn.IFS( OR(G633=" ",NOT(ISNUMBER(G633))),"Unknown",G633&lt;=33,"Low Spender",G633&lt;=66,"Medium Spender",TRUE, "High Spender")</f>
        <v>Medium Spender</v>
      </c>
      <c r="I633" s="1">
        <v>42</v>
      </c>
      <c r="J633" s="1">
        <v>8900</v>
      </c>
      <c r="K633" s="1">
        <v>80</v>
      </c>
      <c r="M633" s="1" t="s">
        <v>41</v>
      </c>
      <c r="N633" s="1" t="str">
        <f t="shared" si="18"/>
        <v>Lower</v>
      </c>
      <c r="O633" s="1" t="str">
        <f t="shared" si="19"/>
        <v>Young Adult | Medium Spender | Lower</v>
      </c>
    </row>
    <row r="634" spans="1:15" x14ac:dyDescent="0.25">
      <c r="A634" s="1" t="s">
        <v>664</v>
      </c>
      <c r="C634" s="1" t="str" cm="1">
        <f t="array" ref="C634">_xlfn.IFS(OR(B634=" ", B634="NA",NOT(ISNUMBER(B634))), "Unknown",B634&lt;18,"Underage",B634&lt;=24,"Young Adult",B634&lt;=34,"Early Career",B634&lt;=44,"Mid Career",B634&lt;=54,"Mature",B634&lt;=65,"Pre-Senior",B634&gt;65,"Senior")</f>
        <v>Unknown</v>
      </c>
      <c r="D634" s="1" t="s">
        <v>29</v>
      </c>
      <c r="E634" s="1" t="s">
        <v>27</v>
      </c>
      <c r="F634" s="1">
        <v>1825000</v>
      </c>
      <c r="G634" s="1">
        <v>39</v>
      </c>
      <c r="H634" s="1" t="str" cm="1">
        <f t="array" ref="H634">_xlfn.IFS( OR(G634=" ",NOT(ISNUMBER(G634))),"Unknown",G634&lt;=33,"Low Spender",G634&lt;=66,"Medium Spender",TRUE, "High Spender")</f>
        <v>Medium Spender</v>
      </c>
      <c r="I634" s="1">
        <v>69</v>
      </c>
      <c r="J634" s="1">
        <v>8000</v>
      </c>
      <c r="K634" s="1">
        <v>10</v>
      </c>
      <c r="L634" s="1" t="s">
        <v>16</v>
      </c>
      <c r="M634" s="1" t="s">
        <v>32</v>
      </c>
      <c r="N634" s="1" t="str">
        <f t="shared" si="18"/>
        <v>Higher</v>
      </c>
      <c r="O634" s="1" t="str">
        <f t="shared" si="19"/>
        <v>Unknown | Medium Spender | Higher</v>
      </c>
    </row>
    <row r="635" spans="1:15" x14ac:dyDescent="0.25">
      <c r="A635" s="1" t="s">
        <v>665</v>
      </c>
      <c r="B635" s="1">
        <v>67</v>
      </c>
      <c r="C635" s="1" t="str" cm="1">
        <f t="array" ref="C635">_xlfn.IFS(OR(B635=" ", B635="NA",NOT(ISNUMBER(B635))), "Unknown",B635&lt;18,"Underage",B635&lt;=24,"Young Adult",B635&lt;=34,"Early Career",B635&lt;=44,"Mid Career",B635&lt;=54,"Mature",B635&lt;=65,"Pre-Senior",B635&gt;65,"Senior")</f>
        <v>Senior</v>
      </c>
      <c r="E635" s="1" t="s">
        <v>15</v>
      </c>
      <c r="F635" s="1">
        <v>1375000</v>
      </c>
      <c r="G635" s="1">
        <v>18</v>
      </c>
      <c r="H635" s="1" t="str" cm="1">
        <f t="array" ref="H635">_xlfn.IFS( OR(G635=" ",NOT(ISNUMBER(G635))),"Unknown",G635&lt;=33,"Low Spender",G635&lt;=66,"Medium Spender",TRUE, "High Spender")</f>
        <v>Low Spender</v>
      </c>
      <c r="I635" s="1">
        <v>19</v>
      </c>
      <c r="J635" s="1">
        <v>3400</v>
      </c>
      <c r="K635" s="1">
        <v>336</v>
      </c>
      <c r="N635" s="1" t="str">
        <f t="shared" si="18"/>
        <v>Lower</v>
      </c>
      <c r="O635" s="1" t="str">
        <f t="shared" si="19"/>
        <v>Senior | Low Spender | Lower</v>
      </c>
    </row>
    <row r="636" spans="1:15" x14ac:dyDescent="0.25">
      <c r="A636" s="1" t="s">
        <v>666</v>
      </c>
      <c r="B636" s="1">
        <v>62</v>
      </c>
      <c r="C636" s="1" t="str" cm="1">
        <f t="array" ref="C636">_xlfn.IFS(OR(B636=" ", B636="NA",NOT(ISNUMBER(B636))), "Unknown",B636&lt;18,"Underage",B636&lt;=24,"Young Adult",B636&lt;=34,"Early Career",B636&lt;=44,"Mid Career",B636&lt;=54,"Mature",B636&lt;=65,"Pre-Senior",B636&gt;65,"Senior")</f>
        <v>Pre-Senior</v>
      </c>
      <c r="D636" s="1" t="s">
        <v>29</v>
      </c>
      <c r="E636" s="1" t="s">
        <v>13</v>
      </c>
      <c r="F636" s="1">
        <v>1050000</v>
      </c>
      <c r="G636" s="1">
        <v>70</v>
      </c>
      <c r="H636" s="1" t="str" cm="1">
        <f t="array" ref="H636">_xlfn.IFS( OR(G636=" ",NOT(ISNUMBER(G636))),"Unknown",G636&lt;=33,"Low Spender",G636&lt;=66,"Medium Spender",TRUE, "High Spender")</f>
        <v>High Spender</v>
      </c>
      <c r="I636" s="1">
        <v>39</v>
      </c>
      <c r="J636" s="1">
        <v>6900</v>
      </c>
      <c r="K636" s="1">
        <v>124</v>
      </c>
      <c r="N636" s="1" t="str">
        <f t="shared" si="18"/>
        <v>Higher</v>
      </c>
      <c r="O636" s="1" t="str">
        <f t="shared" si="19"/>
        <v>Pre-Senior | High Spender | Higher</v>
      </c>
    </row>
    <row r="637" spans="1:15" x14ac:dyDescent="0.25">
      <c r="A637" s="1" t="s">
        <v>667</v>
      </c>
      <c r="B637" s="1">
        <v>28</v>
      </c>
      <c r="C637" s="1" t="str" cm="1">
        <f t="array" ref="C637">_xlfn.IFS(OR(B637=" ", B637="NA",NOT(ISNUMBER(B637))), "Unknown",B637&lt;18,"Underage",B637&lt;=24,"Young Adult",B637&lt;=34,"Early Career",B637&lt;=44,"Mid Career",B637&lt;=54,"Mature",B637&lt;=65,"Pre-Senior",B637&gt;65,"Senior")</f>
        <v>Early Career</v>
      </c>
      <c r="D637" s="1" t="s">
        <v>29</v>
      </c>
      <c r="F637" s="1">
        <v>1275000</v>
      </c>
      <c r="G637" s="1">
        <v>59</v>
      </c>
      <c r="H637" s="1" t="str" cm="1">
        <f t="array" ref="H637">_xlfn.IFS( OR(G637=" ",NOT(ISNUMBER(G637))),"Unknown",G637&lt;=33,"Low Spender",G637&lt;=66,"Medium Spender",TRUE, "High Spender")</f>
        <v>Medium Spender</v>
      </c>
      <c r="I637" s="1">
        <v>69</v>
      </c>
      <c r="J637" s="1">
        <v>9300</v>
      </c>
      <c r="K637" s="1">
        <v>186</v>
      </c>
      <c r="L637" s="1" t="s">
        <v>35</v>
      </c>
      <c r="M637" s="1" t="s">
        <v>21</v>
      </c>
      <c r="N637" s="1" t="str">
        <f t="shared" si="18"/>
        <v>Higher</v>
      </c>
      <c r="O637" s="1" t="str">
        <f t="shared" si="19"/>
        <v>Early Career | Medium Spender | Higher</v>
      </c>
    </row>
    <row r="638" spans="1:15" x14ac:dyDescent="0.25">
      <c r="A638" s="1" t="s">
        <v>668</v>
      </c>
      <c r="B638" s="1">
        <v>46</v>
      </c>
      <c r="C638" s="1" t="str" cm="1">
        <f t="array" ref="C638">_xlfn.IFS(OR(B638=" ", B638="NA",NOT(ISNUMBER(B638))), "Unknown",B638&lt;18,"Underage",B638&lt;=24,"Young Adult",B638&lt;=34,"Early Career",B638&lt;=44,"Mid Career",B638&lt;=54,"Mature",B638&lt;=65,"Pre-Senior",B638&gt;65,"Senior")</f>
        <v>Mature</v>
      </c>
      <c r="D638" s="1" t="s">
        <v>29</v>
      </c>
      <c r="E638" s="1" t="s">
        <v>15</v>
      </c>
      <c r="F638" s="1">
        <v>1175000</v>
      </c>
      <c r="G638" s="1">
        <v>32</v>
      </c>
      <c r="H638" s="1" t="str" cm="1">
        <f t="array" ref="H638">_xlfn.IFS( OR(G638=" ",NOT(ISNUMBER(G638))),"Unknown",G638&lt;=33,"Low Spender",G638&lt;=66,"Medium Spender",TRUE, "High Spender")</f>
        <v>Low Spender</v>
      </c>
      <c r="I638" s="1">
        <v>52</v>
      </c>
      <c r="J638" s="1">
        <v>8500</v>
      </c>
      <c r="K638" s="1">
        <v>34</v>
      </c>
      <c r="L638" s="1" t="s">
        <v>37</v>
      </c>
      <c r="M638" s="1" t="s">
        <v>41</v>
      </c>
      <c r="N638" s="1" t="str">
        <f t="shared" si="18"/>
        <v>Higher</v>
      </c>
      <c r="O638" s="1" t="str">
        <f t="shared" si="19"/>
        <v>Mature | Low Spender | Higher</v>
      </c>
    </row>
    <row r="639" spans="1:15" x14ac:dyDescent="0.25">
      <c r="A639" s="1" t="s">
        <v>669</v>
      </c>
      <c r="B639" s="1">
        <v>53</v>
      </c>
      <c r="C639" s="1" t="str" cm="1">
        <f t="array" ref="C639">_xlfn.IFS(OR(B639=" ", B639="NA",NOT(ISNUMBER(B639))), "Unknown",B639&lt;18,"Underage",B639&lt;=24,"Young Adult",B639&lt;=34,"Early Career",B639&lt;=44,"Mid Career",B639&lt;=54,"Mature",B639&lt;=65,"Pre-Senior",B639&gt;65,"Senior")</f>
        <v>Mature</v>
      </c>
      <c r="F639" s="1">
        <v>500000</v>
      </c>
      <c r="G639" s="1">
        <v>21</v>
      </c>
      <c r="H639" s="1" t="str" cm="1">
        <f t="array" ref="H639">_xlfn.IFS( OR(G639=" ",NOT(ISNUMBER(G639))),"Unknown",G639&lt;=33,"Low Spender",G639&lt;=66,"Medium Spender",TRUE, "High Spender")</f>
        <v>Low Spender</v>
      </c>
      <c r="I639" s="1">
        <v>12</v>
      </c>
      <c r="J639" s="1">
        <v>8800</v>
      </c>
      <c r="K639" s="1">
        <v>121</v>
      </c>
      <c r="M639" s="1" t="s">
        <v>30</v>
      </c>
      <c r="N639" s="1" t="str">
        <f t="shared" si="18"/>
        <v>Lower</v>
      </c>
      <c r="O639" s="1" t="str">
        <f t="shared" si="19"/>
        <v>Mature | Low Spender | Lower</v>
      </c>
    </row>
    <row r="640" spans="1:15" x14ac:dyDescent="0.25">
      <c r="A640" s="1" t="s">
        <v>670</v>
      </c>
      <c r="B640" s="1">
        <v>42</v>
      </c>
      <c r="C640" s="1" t="str" cm="1">
        <f t="array" ref="C640">_xlfn.IFS(OR(B640=" ", B640="NA",NOT(ISNUMBER(B640))), "Unknown",B640&lt;18,"Underage",B640&lt;=24,"Young Adult",B640&lt;=34,"Early Career",B640&lt;=44,"Mid Career",B640&lt;=54,"Mature",B640&lt;=65,"Pre-Senior",B640&gt;65,"Senior")</f>
        <v>Mid Career</v>
      </c>
      <c r="D640" s="1" t="s">
        <v>12</v>
      </c>
      <c r="E640" s="1" t="s">
        <v>27</v>
      </c>
      <c r="F640" s="1">
        <v>950000</v>
      </c>
      <c r="G640" s="1">
        <v>40</v>
      </c>
      <c r="H640" s="1" t="str" cm="1">
        <f t="array" ref="H640">_xlfn.IFS( OR(G640=" ",NOT(ISNUMBER(G640))),"Unknown",G640&lt;=33,"Low Spender",G640&lt;=66,"Medium Spender",TRUE, "High Spender")</f>
        <v>Medium Spender</v>
      </c>
      <c r="I640" s="1">
        <v>47</v>
      </c>
      <c r="J640" s="1">
        <v>5900</v>
      </c>
      <c r="K640" s="1">
        <v>80</v>
      </c>
      <c r="L640" s="1" t="s">
        <v>16</v>
      </c>
      <c r="M640" s="1" t="s">
        <v>41</v>
      </c>
      <c r="N640" s="1" t="str">
        <f t="shared" si="18"/>
        <v>Lower</v>
      </c>
      <c r="O640" s="1" t="str">
        <f t="shared" si="19"/>
        <v>Mid Career | Medium Spender | Lower</v>
      </c>
    </row>
    <row r="641" spans="1:15" x14ac:dyDescent="0.25">
      <c r="A641" s="1" t="s">
        <v>671</v>
      </c>
      <c r="B641" s="1">
        <v>38</v>
      </c>
      <c r="C641" s="1" t="str" cm="1">
        <f t="array" ref="C641">_xlfn.IFS(OR(B641=" ", B641="NA",NOT(ISNUMBER(B641))), "Unknown",B641&lt;18,"Underage",B641&lt;=24,"Young Adult",B641&lt;=34,"Early Career",B641&lt;=44,"Mid Career",B641&lt;=54,"Mature",B641&lt;=65,"Pre-Senior",B641&gt;65,"Senior")</f>
        <v>Mid Career</v>
      </c>
      <c r="D641" s="1" t="s">
        <v>18</v>
      </c>
      <c r="E641" s="1" t="s">
        <v>23</v>
      </c>
      <c r="F641" s="1">
        <v>400000</v>
      </c>
      <c r="G641" s="1">
        <v>92</v>
      </c>
      <c r="H641" s="1" t="str" cm="1">
        <f t="array" ref="H641">_xlfn.IFS( OR(G641=" ",NOT(ISNUMBER(G641))),"Unknown",G641&lt;=33,"Low Spender",G641&lt;=66,"Medium Spender",TRUE, "High Spender")</f>
        <v>High Spender</v>
      </c>
      <c r="I641" s="1">
        <v>76</v>
      </c>
      <c r="J641" s="1">
        <v>6700</v>
      </c>
      <c r="K641" s="1">
        <v>206</v>
      </c>
      <c r="L641" s="1" t="s">
        <v>35</v>
      </c>
      <c r="N641" s="1" t="str">
        <f t="shared" si="18"/>
        <v>Higher</v>
      </c>
      <c r="O641" s="1" t="str">
        <f t="shared" si="19"/>
        <v>Mid Career | High Spender | Higher</v>
      </c>
    </row>
    <row r="642" spans="1:15" x14ac:dyDescent="0.25">
      <c r="A642" s="1" t="s">
        <v>672</v>
      </c>
      <c r="B642" s="1">
        <v>53</v>
      </c>
      <c r="C642" s="1" t="str" cm="1">
        <f t="array" ref="C642">_xlfn.IFS(OR(B642=" ", B642="NA",NOT(ISNUMBER(B642))), "Unknown",B642&lt;18,"Underage",B642&lt;=24,"Young Adult",B642&lt;=34,"Early Career",B642&lt;=44,"Mid Career",B642&lt;=54,"Mature",B642&lt;=65,"Pre-Senior",B642&gt;65,"Senior")</f>
        <v>Mature</v>
      </c>
      <c r="D642" s="1" t="s">
        <v>18</v>
      </c>
      <c r="E642" s="1" t="s">
        <v>34</v>
      </c>
      <c r="F642" s="1">
        <v>625000</v>
      </c>
      <c r="G642" s="1">
        <v>27</v>
      </c>
      <c r="H642" s="1" t="str" cm="1">
        <f t="array" ref="H642">_xlfn.IFS( OR(G642=" ",NOT(ISNUMBER(G642))),"Unknown",G642&lt;=33,"Low Spender",G642&lt;=66,"Medium Spender",TRUE, "High Spender")</f>
        <v>Low Spender</v>
      </c>
      <c r="I642" s="1">
        <v>36</v>
      </c>
      <c r="J642" s="1">
        <v>7100</v>
      </c>
      <c r="K642" s="1">
        <v>53</v>
      </c>
      <c r="M642" s="1" t="s">
        <v>21</v>
      </c>
      <c r="N642" s="1" t="str">
        <f t="shared" ref="N642:N705" si="20">IF(OR(UPPER(TRIM(D642))="Male",UPPER(TRIM(D642))="Female"),"Higher","Lower")</f>
        <v>Higher</v>
      </c>
      <c r="O642" s="1" t="str">
        <f t="shared" ref="O642:O705" si="21">_xlfn.TEXTJOIN(" | ", TRUE, C642, H642, N642)</f>
        <v>Mature | Low Spender | Higher</v>
      </c>
    </row>
    <row r="643" spans="1:15" x14ac:dyDescent="0.25">
      <c r="A643" s="1" t="s">
        <v>673</v>
      </c>
      <c r="B643" s="1">
        <v>27</v>
      </c>
      <c r="C643" s="1" t="str" cm="1">
        <f t="array" ref="C643">_xlfn.IFS(OR(B643=" ", B643="NA",NOT(ISNUMBER(B643))), "Unknown",B643&lt;18,"Underage",B643&lt;=24,"Young Adult",B643&lt;=34,"Early Career",B643&lt;=44,"Mid Career",B643&lt;=54,"Mature",B643&lt;=65,"Pre-Senior",B643&gt;65,"Senior")</f>
        <v>Early Career</v>
      </c>
      <c r="D643" s="1" t="s">
        <v>18</v>
      </c>
      <c r="E643" s="1" t="s">
        <v>58</v>
      </c>
      <c r="F643" s="1">
        <v>725000</v>
      </c>
      <c r="G643" s="1">
        <v>2</v>
      </c>
      <c r="H643" s="1" t="str" cm="1">
        <f t="array" ref="H643">_xlfn.IFS( OR(G643=" ",NOT(ISNUMBER(G643))),"Unknown",G643&lt;=33,"Low Spender",G643&lt;=66,"Medium Spender",TRUE, "High Spender")</f>
        <v>Low Spender</v>
      </c>
      <c r="I643" s="1">
        <v>63</v>
      </c>
      <c r="J643" s="1">
        <v>5100</v>
      </c>
      <c r="K643" s="1">
        <v>156</v>
      </c>
      <c r="L643" s="1" t="s">
        <v>35</v>
      </c>
      <c r="M643" s="1" t="s">
        <v>41</v>
      </c>
      <c r="N643" s="1" t="str">
        <f t="shared" si="20"/>
        <v>Higher</v>
      </c>
      <c r="O643" s="1" t="str">
        <f t="shared" si="21"/>
        <v>Early Career | Low Spender | Higher</v>
      </c>
    </row>
    <row r="644" spans="1:15" x14ac:dyDescent="0.25">
      <c r="A644" s="1" t="s">
        <v>674</v>
      </c>
      <c r="B644" s="1">
        <v>54</v>
      </c>
      <c r="C644" s="1" t="str" cm="1">
        <f t="array" ref="C644">_xlfn.IFS(OR(B644=" ", B644="NA",NOT(ISNUMBER(B644))), "Unknown",B644&lt;18,"Underage",B644&lt;=24,"Young Adult",B644&lt;=34,"Early Career",B644&lt;=44,"Mid Career",B644&lt;=54,"Mature",B644&lt;=65,"Pre-Senior",B644&gt;65,"Senior")</f>
        <v>Mature</v>
      </c>
      <c r="E644" s="1" t="s">
        <v>15</v>
      </c>
      <c r="F644" s="1">
        <v>1725000</v>
      </c>
      <c r="G644" s="1">
        <v>97</v>
      </c>
      <c r="H644" s="1" t="str" cm="1">
        <f t="array" ref="H644">_xlfn.IFS( OR(G644=" ",NOT(ISNUMBER(G644))),"Unknown",G644&lt;=33,"Low Spender",G644&lt;=66,"Medium Spender",TRUE, "High Spender")</f>
        <v>High Spender</v>
      </c>
      <c r="I644" s="1">
        <v>76</v>
      </c>
      <c r="J644" s="1">
        <v>3500</v>
      </c>
      <c r="K644" s="1">
        <v>274</v>
      </c>
      <c r="L644" s="1" t="s">
        <v>35</v>
      </c>
      <c r="M644" s="1" t="s">
        <v>30</v>
      </c>
      <c r="N644" s="1" t="str">
        <f t="shared" si="20"/>
        <v>Lower</v>
      </c>
      <c r="O644" s="1" t="str">
        <f t="shared" si="21"/>
        <v>Mature | High Spender | Lower</v>
      </c>
    </row>
    <row r="645" spans="1:15" x14ac:dyDescent="0.25">
      <c r="A645" s="1" t="s">
        <v>675</v>
      </c>
      <c r="B645" s="1">
        <v>26</v>
      </c>
      <c r="C645" s="1" t="str" cm="1">
        <f t="array" ref="C645">_xlfn.IFS(OR(B645=" ", B645="NA",NOT(ISNUMBER(B645))), "Unknown",B645&lt;18,"Underage",B645&lt;=24,"Young Adult",B645&lt;=34,"Early Career",B645&lt;=44,"Mid Career",B645&lt;=54,"Mature",B645&lt;=65,"Pre-Senior",B645&gt;65,"Senior")</f>
        <v>Early Career</v>
      </c>
      <c r="D645" s="1" t="s">
        <v>29</v>
      </c>
      <c r="E645" s="1" t="s">
        <v>23</v>
      </c>
      <c r="F645" s="1">
        <v>1750000</v>
      </c>
      <c r="G645" s="1">
        <v>80</v>
      </c>
      <c r="H645" s="1" t="str" cm="1">
        <f t="array" ref="H645">_xlfn.IFS( OR(G645=" ",NOT(ISNUMBER(G645))),"Unknown",G645&lt;=33,"Low Spender",G645&lt;=66,"Medium Spender",TRUE, "High Spender")</f>
        <v>High Spender</v>
      </c>
      <c r="I645" s="1">
        <v>51</v>
      </c>
      <c r="J645" s="1">
        <v>11700</v>
      </c>
      <c r="K645" s="1">
        <v>358</v>
      </c>
      <c r="L645" s="1" t="s">
        <v>20</v>
      </c>
      <c r="N645" s="1" t="str">
        <f t="shared" si="20"/>
        <v>Higher</v>
      </c>
      <c r="O645" s="1" t="str">
        <f t="shared" si="21"/>
        <v>Early Career | High Spender | Higher</v>
      </c>
    </row>
    <row r="646" spans="1:15" x14ac:dyDescent="0.25">
      <c r="A646" s="1" t="s">
        <v>676</v>
      </c>
      <c r="B646" s="1">
        <v>41</v>
      </c>
      <c r="C646" s="1" t="str" cm="1">
        <f t="array" ref="C646">_xlfn.IFS(OR(B646=" ", B646="NA",NOT(ISNUMBER(B646))), "Unknown",B646&lt;18,"Underage",B646&lt;=24,"Young Adult",B646&lt;=34,"Early Career",B646&lt;=44,"Mid Career",B646&lt;=54,"Mature",B646&lt;=65,"Pre-Senior",B646&gt;65,"Senior")</f>
        <v>Mid Career</v>
      </c>
      <c r="E646" s="1" t="s">
        <v>23</v>
      </c>
      <c r="F646" s="1">
        <v>1950000</v>
      </c>
      <c r="G646" s="1">
        <v>39</v>
      </c>
      <c r="H646" s="1" t="str" cm="1">
        <f t="array" ref="H646">_xlfn.IFS( OR(G646=" ",NOT(ISNUMBER(G646))),"Unknown",G646&lt;=33,"Low Spender",G646&lt;=66,"Medium Spender",TRUE, "High Spender")</f>
        <v>Medium Spender</v>
      </c>
      <c r="I646" s="1">
        <v>43</v>
      </c>
      <c r="J646" s="1">
        <v>2100</v>
      </c>
      <c r="K646" s="1">
        <v>135</v>
      </c>
      <c r="L646" s="1" t="s">
        <v>20</v>
      </c>
      <c r="N646" s="1" t="str">
        <f t="shared" si="20"/>
        <v>Lower</v>
      </c>
      <c r="O646" s="1" t="str">
        <f t="shared" si="21"/>
        <v>Mid Career | Medium Spender | Lower</v>
      </c>
    </row>
    <row r="647" spans="1:15" x14ac:dyDescent="0.25">
      <c r="A647" s="1" t="s">
        <v>677</v>
      </c>
      <c r="B647" s="1">
        <v>52</v>
      </c>
      <c r="C647" s="1" t="str" cm="1">
        <f t="array" ref="C647">_xlfn.IFS(OR(B647=" ", B647="NA",NOT(ISNUMBER(B647))), "Unknown",B647&lt;18,"Underage",B647&lt;=24,"Young Adult",B647&lt;=34,"Early Career",B647&lt;=44,"Mid Career",B647&lt;=54,"Mature",B647&lt;=65,"Pre-Senior",B647&gt;65,"Senior")</f>
        <v>Mature</v>
      </c>
      <c r="D647" s="1" t="s">
        <v>18</v>
      </c>
      <c r="E647" s="1" t="s">
        <v>15</v>
      </c>
      <c r="G647" s="1">
        <v>86</v>
      </c>
      <c r="H647" s="1" t="str" cm="1">
        <f t="array" ref="H647">_xlfn.IFS( OR(G647=" ",NOT(ISNUMBER(G647))),"Unknown",G647&lt;=33,"Low Spender",G647&lt;=66,"Medium Spender",TRUE, "High Spender")</f>
        <v>High Spender</v>
      </c>
      <c r="I647" s="1">
        <v>34</v>
      </c>
      <c r="J647" s="1">
        <v>3800</v>
      </c>
      <c r="K647" s="1">
        <v>98</v>
      </c>
      <c r="L647" s="1" t="s">
        <v>35</v>
      </c>
      <c r="M647" s="1" t="s">
        <v>32</v>
      </c>
      <c r="N647" s="1" t="str">
        <f t="shared" si="20"/>
        <v>Higher</v>
      </c>
      <c r="O647" s="1" t="str">
        <f t="shared" si="21"/>
        <v>Mature | High Spender | Higher</v>
      </c>
    </row>
    <row r="648" spans="1:15" x14ac:dyDescent="0.25">
      <c r="A648" s="1" t="s">
        <v>678</v>
      </c>
      <c r="B648" s="1">
        <v>66</v>
      </c>
      <c r="C648" s="1" t="str" cm="1">
        <f t="array" ref="C648">_xlfn.IFS(OR(B648=" ", B648="NA",NOT(ISNUMBER(B648))), "Unknown",B648&lt;18,"Underage",B648&lt;=24,"Young Adult",B648&lt;=34,"Early Career",B648&lt;=44,"Mid Career",B648&lt;=54,"Mature",B648&lt;=65,"Pre-Senior",B648&gt;65,"Senior")</f>
        <v>Senior</v>
      </c>
      <c r="D648" s="1" t="s">
        <v>29</v>
      </c>
      <c r="E648" s="1" t="s">
        <v>23</v>
      </c>
      <c r="F648" s="1">
        <v>550000</v>
      </c>
      <c r="G648" s="1">
        <v>56</v>
      </c>
      <c r="H648" s="1" t="str" cm="1">
        <f t="array" ref="H648">_xlfn.IFS( OR(G648=" ",NOT(ISNUMBER(G648))),"Unknown",G648&lt;=33,"Low Spender",G648&lt;=66,"Medium Spender",TRUE, "High Spender")</f>
        <v>Medium Spender</v>
      </c>
      <c r="I648" s="1">
        <v>49</v>
      </c>
      <c r="J648" s="1">
        <v>11700</v>
      </c>
      <c r="K648" s="1">
        <v>241</v>
      </c>
      <c r="L648" s="1" t="s">
        <v>20</v>
      </c>
      <c r="M648" s="1" t="s">
        <v>32</v>
      </c>
      <c r="N648" s="1" t="str">
        <f t="shared" si="20"/>
        <v>Higher</v>
      </c>
      <c r="O648" s="1" t="str">
        <f t="shared" si="21"/>
        <v>Senior | Medium Spender | Higher</v>
      </c>
    </row>
    <row r="649" spans="1:15" x14ac:dyDescent="0.25">
      <c r="A649" s="1" t="s">
        <v>679</v>
      </c>
      <c r="B649" s="1">
        <v>52</v>
      </c>
      <c r="C649" s="1" t="str" cm="1">
        <f t="array" ref="C649">_xlfn.IFS(OR(B649=" ", B649="NA",NOT(ISNUMBER(B649))), "Unknown",B649&lt;18,"Underage",B649&lt;=24,"Young Adult",B649&lt;=34,"Early Career",B649&lt;=44,"Mid Career",B649&lt;=54,"Mature",B649&lt;=65,"Pre-Senior",B649&gt;65,"Senior")</f>
        <v>Mature</v>
      </c>
      <c r="D649" s="1" t="s">
        <v>12</v>
      </c>
      <c r="E649" s="1" t="s">
        <v>13</v>
      </c>
      <c r="F649" s="1">
        <v>1650000</v>
      </c>
      <c r="G649" s="1">
        <v>13</v>
      </c>
      <c r="H649" s="1" t="str" cm="1">
        <f t="array" ref="H649">_xlfn.IFS( OR(G649=" ",NOT(ISNUMBER(G649))),"Unknown",G649&lt;=33,"Low Spender",G649&lt;=66,"Medium Spender",TRUE, "High Spender")</f>
        <v>Low Spender</v>
      </c>
      <c r="I649" s="1">
        <v>18</v>
      </c>
      <c r="J649" s="1">
        <v>7200</v>
      </c>
      <c r="K649" s="1">
        <v>45</v>
      </c>
      <c r="L649" s="1" t="s">
        <v>16</v>
      </c>
      <c r="N649" s="1" t="str">
        <f t="shared" si="20"/>
        <v>Lower</v>
      </c>
      <c r="O649" s="1" t="str">
        <f t="shared" si="21"/>
        <v>Mature | Low Spender | Lower</v>
      </c>
    </row>
    <row r="650" spans="1:15" x14ac:dyDescent="0.25">
      <c r="A650" s="1" t="s">
        <v>680</v>
      </c>
      <c r="B650" s="1">
        <v>65</v>
      </c>
      <c r="C650" s="1" t="str" cm="1">
        <f t="array" ref="C650">_xlfn.IFS(OR(B650=" ", B650="NA",NOT(ISNUMBER(B650))), "Unknown",B650&lt;18,"Underage",B650&lt;=24,"Young Adult",B650&lt;=34,"Early Career",B650&lt;=44,"Mid Career",B650&lt;=54,"Mature",B650&lt;=65,"Pre-Senior",B650&gt;65,"Senior")</f>
        <v>Pre-Senior</v>
      </c>
      <c r="D650" s="1" t="s">
        <v>18</v>
      </c>
      <c r="E650" s="1" t="s">
        <v>23</v>
      </c>
      <c r="F650" s="1">
        <v>500000</v>
      </c>
      <c r="G650" s="1">
        <v>56</v>
      </c>
      <c r="H650" s="1" t="str" cm="1">
        <f t="array" ref="H650">_xlfn.IFS( OR(G650=" ",NOT(ISNUMBER(G650))),"Unknown",G650&lt;=33,"Low Spender",G650&lt;=66,"Medium Spender",TRUE, "High Spender")</f>
        <v>Medium Spender</v>
      </c>
      <c r="I650" s="1">
        <v>61</v>
      </c>
      <c r="J650" s="1">
        <v>1700</v>
      </c>
      <c r="K650" s="1">
        <v>199</v>
      </c>
      <c r="L650" s="1" t="s">
        <v>37</v>
      </c>
      <c r="N650" s="1" t="str">
        <f t="shared" si="20"/>
        <v>Higher</v>
      </c>
      <c r="O650" s="1" t="str">
        <f t="shared" si="21"/>
        <v>Pre-Senior | Medium Spender | Higher</v>
      </c>
    </row>
    <row r="651" spans="1:15" x14ac:dyDescent="0.25">
      <c r="A651" s="1" t="s">
        <v>681</v>
      </c>
      <c r="B651" s="1">
        <v>53</v>
      </c>
      <c r="C651" s="1" t="str" cm="1">
        <f t="array" ref="C651">_xlfn.IFS(OR(B651=" ", B651="NA",NOT(ISNUMBER(B651))), "Unknown",B651&lt;18,"Underage",B651&lt;=24,"Young Adult",B651&lt;=34,"Early Career",B651&lt;=44,"Mid Career",B651&lt;=54,"Mature",B651&lt;=65,"Pre-Senior",B651&gt;65,"Senior")</f>
        <v>Mature</v>
      </c>
      <c r="D651" s="1" t="s">
        <v>12</v>
      </c>
      <c r="F651" s="1">
        <v>1400000</v>
      </c>
      <c r="G651" s="1">
        <v>66</v>
      </c>
      <c r="H651" s="1" t="str" cm="1">
        <f t="array" ref="H651">_xlfn.IFS( OR(G651=" ",NOT(ISNUMBER(G651))),"Unknown",G651&lt;=33,"Low Spender",G651&lt;=66,"Medium Spender",TRUE, "High Spender")</f>
        <v>Medium Spender</v>
      </c>
      <c r="I651" s="1">
        <v>57</v>
      </c>
      <c r="J651" s="1">
        <v>10200</v>
      </c>
      <c r="K651" s="1">
        <v>291</v>
      </c>
      <c r="M651" s="1" t="s">
        <v>21</v>
      </c>
      <c r="N651" s="1" t="str">
        <f t="shared" si="20"/>
        <v>Lower</v>
      </c>
      <c r="O651" s="1" t="str">
        <f t="shared" si="21"/>
        <v>Mature | Medium Spender | Lower</v>
      </c>
    </row>
    <row r="652" spans="1:15" x14ac:dyDescent="0.25">
      <c r="A652" s="1" t="s">
        <v>682</v>
      </c>
      <c r="B652" s="1">
        <v>35</v>
      </c>
      <c r="C652" s="1" t="str" cm="1">
        <f t="array" ref="C652">_xlfn.IFS(OR(B652=" ", B652="NA",NOT(ISNUMBER(B652))), "Unknown",B652&lt;18,"Underage",B652&lt;=24,"Young Adult",B652&lt;=34,"Early Career",B652&lt;=44,"Mid Career",B652&lt;=54,"Mature",B652&lt;=65,"Pre-Senior",B652&gt;65,"Senior")</f>
        <v>Mid Career</v>
      </c>
      <c r="E652" s="1" t="s">
        <v>49</v>
      </c>
      <c r="F652" s="1">
        <v>800000</v>
      </c>
      <c r="G652" s="1">
        <v>78</v>
      </c>
      <c r="H652" s="1" t="str" cm="1">
        <f t="array" ref="H652">_xlfn.IFS( OR(G652=" ",NOT(ISNUMBER(G652))),"Unknown",G652&lt;=33,"Low Spender",G652&lt;=66,"Medium Spender",TRUE, "High Spender")</f>
        <v>High Spender</v>
      </c>
      <c r="I652" s="1">
        <v>5</v>
      </c>
      <c r="J652" s="1">
        <v>9900</v>
      </c>
      <c r="K652" s="1">
        <v>114</v>
      </c>
      <c r="L652" s="1" t="s">
        <v>16</v>
      </c>
      <c r="M652" s="1" t="s">
        <v>41</v>
      </c>
      <c r="N652" s="1" t="str">
        <f t="shared" si="20"/>
        <v>Lower</v>
      </c>
      <c r="O652" s="1" t="str">
        <f t="shared" si="21"/>
        <v>Mid Career | High Spender | Lower</v>
      </c>
    </row>
    <row r="653" spans="1:15" x14ac:dyDescent="0.25">
      <c r="A653" s="1" t="s">
        <v>683</v>
      </c>
      <c r="B653" s="1">
        <v>66</v>
      </c>
      <c r="C653" s="1" t="str" cm="1">
        <f t="array" ref="C653">_xlfn.IFS(OR(B653=" ", B653="NA",NOT(ISNUMBER(B653))), "Unknown",B653&lt;18,"Underage",B653&lt;=24,"Young Adult",B653&lt;=34,"Early Career",B653&lt;=44,"Mid Career",B653&lt;=54,"Mature",B653&lt;=65,"Pre-Senior",B653&gt;65,"Senior")</f>
        <v>Senior</v>
      </c>
      <c r="D653" s="1" t="s">
        <v>29</v>
      </c>
      <c r="E653" s="1" t="s">
        <v>13</v>
      </c>
      <c r="F653" s="1">
        <v>1975000</v>
      </c>
      <c r="G653" s="1">
        <v>56</v>
      </c>
      <c r="H653" s="1" t="str" cm="1">
        <f t="array" ref="H653">_xlfn.IFS( OR(G653=" ",NOT(ISNUMBER(G653))),"Unknown",G653&lt;=33,"Low Spender",G653&lt;=66,"Medium Spender",TRUE, "High Spender")</f>
        <v>Medium Spender</v>
      </c>
      <c r="I653" s="1">
        <v>24</v>
      </c>
      <c r="J653" s="1">
        <v>2600</v>
      </c>
      <c r="K653" s="1">
        <v>277</v>
      </c>
      <c r="L653" s="1" t="s">
        <v>37</v>
      </c>
      <c r="M653" s="1" t="s">
        <v>41</v>
      </c>
      <c r="N653" s="1" t="str">
        <f t="shared" si="20"/>
        <v>Higher</v>
      </c>
      <c r="O653" s="1" t="str">
        <f t="shared" si="21"/>
        <v>Senior | Medium Spender | Higher</v>
      </c>
    </row>
    <row r="654" spans="1:15" x14ac:dyDescent="0.25">
      <c r="A654" s="1" t="s">
        <v>684</v>
      </c>
      <c r="B654" s="1">
        <v>56</v>
      </c>
      <c r="C654" s="1" t="str" cm="1">
        <f t="array" ref="C654">_xlfn.IFS(OR(B654=" ", B654="NA",NOT(ISNUMBER(B654))), "Unknown",B654&lt;18,"Underage",B654&lt;=24,"Young Adult",B654&lt;=34,"Early Career",B654&lt;=44,"Mid Career",B654&lt;=54,"Mature",B654&lt;=65,"Pre-Senior",B654&gt;65,"Senior")</f>
        <v>Pre-Senior</v>
      </c>
      <c r="D654" s="1" t="s">
        <v>29</v>
      </c>
      <c r="E654" s="1" t="s">
        <v>23</v>
      </c>
      <c r="F654" s="1">
        <v>1650000</v>
      </c>
      <c r="H654" s="1" t="str" cm="1">
        <f t="array" ref="H654">_xlfn.IFS( OR(G654=" ",NOT(ISNUMBER(G654))),"Unknown",G654&lt;=33,"Low Spender",G654&lt;=66,"Medium Spender",TRUE, "High Spender")</f>
        <v>Unknown</v>
      </c>
      <c r="I654" s="1">
        <v>64</v>
      </c>
      <c r="J654" s="1">
        <v>2900</v>
      </c>
      <c r="K654" s="1">
        <v>241</v>
      </c>
      <c r="L654" s="1" t="s">
        <v>20</v>
      </c>
      <c r="N654" s="1" t="str">
        <f t="shared" si="20"/>
        <v>Higher</v>
      </c>
      <c r="O654" s="1" t="str">
        <f t="shared" si="21"/>
        <v>Pre-Senior | Unknown | Higher</v>
      </c>
    </row>
    <row r="655" spans="1:15" x14ac:dyDescent="0.25">
      <c r="A655" s="1" t="s">
        <v>685</v>
      </c>
      <c r="B655" s="1">
        <v>49</v>
      </c>
      <c r="C655" s="1" t="str" cm="1">
        <f t="array" ref="C655">_xlfn.IFS(OR(B655=" ", B655="NA",NOT(ISNUMBER(B655))), "Unknown",B655&lt;18,"Underage",B655&lt;=24,"Young Adult",B655&lt;=34,"Early Career",B655&lt;=44,"Mid Career",B655&lt;=54,"Mature",B655&lt;=65,"Pre-Senior",B655&gt;65,"Senior")</f>
        <v>Mature</v>
      </c>
      <c r="D655" s="1" t="s">
        <v>29</v>
      </c>
      <c r="F655" s="1">
        <v>1575000</v>
      </c>
      <c r="G655" s="1">
        <v>28</v>
      </c>
      <c r="H655" s="1" t="str" cm="1">
        <f t="array" ref="H655">_xlfn.IFS( OR(G655=" ",NOT(ISNUMBER(G655))),"Unknown",G655&lt;=33,"Low Spender",G655&lt;=66,"Medium Spender",TRUE, "High Spender")</f>
        <v>Low Spender</v>
      </c>
      <c r="I655" s="1">
        <v>59</v>
      </c>
      <c r="J655" s="1">
        <v>5100</v>
      </c>
      <c r="K655" s="1">
        <v>156</v>
      </c>
      <c r="N655" s="1" t="str">
        <f t="shared" si="20"/>
        <v>Higher</v>
      </c>
      <c r="O655" s="1" t="str">
        <f t="shared" si="21"/>
        <v>Mature | Low Spender | Higher</v>
      </c>
    </row>
    <row r="656" spans="1:15" x14ac:dyDescent="0.25">
      <c r="A656" s="1" t="s">
        <v>686</v>
      </c>
      <c r="B656" s="1">
        <v>41</v>
      </c>
      <c r="C656" s="1" t="str" cm="1">
        <f t="array" ref="C656">_xlfn.IFS(OR(B656=" ", B656="NA",NOT(ISNUMBER(B656))), "Unknown",B656&lt;18,"Underage",B656&lt;=24,"Young Adult",B656&lt;=34,"Early Career",B656&lt;=44,"Mid Career",B656&lt;=54,"Mature",B656&lt;=65,"Pre-Senior",B656&gt;65,"Senior")</f>
        <v>Mid Career</v>
      </c>
      <c r="D656" s="1" t="s">
        <v>12</v>
      </c>
      <c r="E656" s="1" t="s">
        <v>34</v>
      </c>
      <c r="F656" s="1">
        <v>900000</v>
      </c>
      <c r="G656" s="1">
        <v>64</v>
      </c>
      <c r="H656" s="1" t="str" cm="1">
        <f t="array" ref="H656">_xlfn.IFS( OR(G656=" ",NOT(ISNUMBER(G656))),"Unknown",G656&lt;=33,"Low Spender",G656&lt;=66,"Medium Spender",TRUE, "High Spender")</f>
        <v>Medium Spender</v>
      </c>
      <c r="I656" s="1">
        <v>38</v>
      </c>
      <c r="J656" s="1">
        <v>7700</v>
      </c>
      <c r="K656" s="1">
        <v>352</v>
      </c>
      <c r="L656" s="1" t="s">
        <v>16</v>
      </c>
      <c r="M656" s="1" t="s">
        <v>30</v>
      </c>
      <c r="N656" s="1" t="str">
        <f t="shared" si="20"/>
        <v>Lower</v>
      </c>
      <c r="O656" s="1" t="str">
        <f t="shared" si="21"/>
        <v>Mid Career | Medium Spender | Lower</v>
      </c>
    </row>
    <row r="657" spans="1:15" x14ac:dyDescent="0.25">
      <c r="A657" s="1" t="s">
        <v>687</v>
      </c>
      <c r="B657" s="1">
        <v>40</v>
      </c>
      <c r="C657" s="1" t="str" cm="1">
        <f t="array" ref="C657">_xlfn.IFS(OR(B657=" ", B657="NA",NOT(ISNUMBER(B657))), "Unknown",B657&lt;18,"Underage",B657&lt;=24,"Young Adult",B657&lt;=34,"Early Career",B657&lt;=44,"Mid Career",B657&lt;=54,"Mature",B657&lt;=65,"Pre-Senior",B657&gt;65,"Senior")</f>
        <v>Mid Career</v>
      </c>
      <c r="D657" s="1" t="s">
        <v>18</v>
      </c>
      <c r="E657" s="1" t="s">
        <v>27</v>
      </c>
      <c r="F657" s="1">
        <v>425000</v>
      </c>
      <c r="G657" s="1">
        <v>71</v>
      </c>
      <c r="H657" s="1" t="str" cm="1">
        <f t="array" ref="H657">_xlfn.IFS( OR(G657=" ",NOT(ISNUMBER(G657))),"Unknown",G657&lt;=33,"Low Spender",G657&lt;=66,"Medium Spender",TRUE, "High Spender")</f>
        <v>High Spender</v>
      </c>
      <c r="I657" s="1">
        <v>33</v>
      </c>
      <c r="J657" s="1">
        <v>11500</v>
      </c>
      <c r="K657" s="1">
        <v>44</v>
      </c>
      <c r="M657" s="1" t="s">
        <v>30</v>
      </c>
      <c r="N657" s="1" t="str">
        <f t="shared" si="20"/>
        <v>Higher</v>
      </c>
      <c r="O657" s="1" t="str">
        <f t="shared" si="21"/>
        <v>Mid Career | High Spender | Higher</v>
      </c>
    </row>
    <row r="658" spans="1:15" x14ac:dyDescent="0.25">
      <c r="A658" s="1" t="s">
        <v>688</v>
      </c>
      <c r="B658" s="1">
        <v>49</v>
      </c>
      <c r="C658" s="1" t="str" cm="1">
        <f t="array" ref="C658">_xlfn.IFS(OR(B658=" ", B658="NA",NOT(ISNUMBER(B658))), "Unknown",B658&lt;18,"Underage",B658&lt;=24,"Young Adult",B658&lt;=34,"Early Career",B658&lt;=44,"Mid Career",B658&lt;=54,"Mature",B658&lt;=65,"Pre-Senior",B658&gt;65,"Senior")</f>
        <v>Mature</v>
      </c>
      <c r="D658" s="1" t="s">
        <v>18</v>
      </c>
      <c r="E658" s="1" t="s">
        <v>23</v>
      </c>
      <c r="F658" s="1">
        <v>1275000</v>
      </c>
      <c r="G658" s="1">
        <v>82</v>
      </c>
      <c r="H658" s="1" t="str" cm="1">
        <f t="array" ref="H658">_xlfn.IFS( OR(G658=" ",NOT(ISNUMBER(G658))),"Unknown",G658&lt;=33,"Low Spender",G658&lt;=66,"Medium Spender",TRUE, "High Spender")</f>
        <v>High Spender</v>
      </c>
      <c r="I658" s="1">
        <v>10</v>
      </c>
      <c r="J658" s="1">
        <v>2500</v>
      </c>
      <c r="K658" s="1">
        <v>80</v>
      </c>
      <c r="L658" s="1" t="s">
        <v>35</v>
      </c>
      <c r="M658" s="1" t="s">
        <v>32</v>
      </c>
      <c r="N658" s="1" t="str">
        <f t="shared" si="20"/>
        <v>Higher</v>
      </c>
      <c r="O658" s="1" t="str">
        <f t="shared" si="21"/>
        <v>Mature | High Spender | Higher</v>
      </c>
    </row>
    <row r="659" spans="1:15" x14ac:dyDescent="0.25">
      <c r="A659" s="1" t="s">
        <v>689</v>
      </c>
      <c r="B659" s="1">
        <v>54</v>
      </c>
      <c r="C659" s="1" t="str" cm="1">
        <f t="array" ref="C659">_xlfn.IFS(OR(B659=" ", B659="NA",NOT(ISNUMBER(B659))), "Unknown",B659&lt;18,"Underage",B659&lt;=24,"Young Adult",B659&lt;=34,"Early Career",B659&lt;=44,"Mid Career",B659&lt;=54,"Mature",B659&lt;=65,"Pre-Senior",B659&gt;65,"Senior")</f>
        <v>Mature</v>
      </c>
      <c r="D659" s="1" t="s">
        <v>29</v>
      </c>
      <c r="E659" s="1" t="s">
        <v>19</v>
      </c>
      <c r="F659" s="1">
        <v>900000</v>
      </c>
      <c r="G659" s="1">
        <v>64</v>
      </c>
      <c r="H659" s="1" t="str" cm="1">
        <f t="array" ref="H659">_xlfn.IFS( OR(G659=" ",NOT(ISNUMBER(G659))),"Unknown",G659&lt;=33,"Low Spender",G659&lt;=66,"Medium Spender",TRUE, "High Spender")</f>
        <v>Medium Spender</v>
      </c>
      <c r="I659" s="1">
        <v>37</v>
      </c>
      <c r="J659" s="1">
        <v>3500</v>
      </c>
      <c r="K659" s="1">
        <v>312</v>
      </c>
      <c r="L659" s="1" t="s">
        <v>37</v>
      </c>
      <c r="M659" s="1" t="s">
        <v>21</v>
      </c>
      <c r="N659" s="1" t="str">
        <f t="shared" si="20"/>
        <v>Higher</v>
      </c>
      <c r="O659" s="1" t="str">
        <f t="shared" si="21"/>
        <v>Mature | Medium Spender | Higher</v>
      </c>
    </row>
    <row r="660" spans="1:15" x14ac:dyDescent="0.25">
      <c r="A660" s="1" t="s">
        <v>690</v>
      </c>
      <c r="B660" s="1">
        <v>29</v>
      </c>
      <c r="C660" s="1" t="str" cm="1">
        <f t="array" ref="C660">_xlfn.IFS(OR(B660=" ", B660="NA",NOT(ISNUMBER(B660))), "Unknown",B660&lt;18,"Underage",B660&lt;=24,"Young Adult",B660&lt;=34,"Early Career",B660&lt;=44,"Mid Career",B660&lt;=54,"Mature",B660&lt;=65,"Pre-Senior",B660&gt;65,"Senior")</f>
        <v>Early Career</v>
      </c>
      <c r="E660" s="1" t="s">
        <v>34</v>
      </c>
      <c r="F660" s="1">
        <v>925000</v>
      </c>
      <c r="G660" s="1">
        <v>56</v>
      </c>
      <c r="H660" s="1" t="str" cm="1">
        <f t="array" ref="H660">_xlfn.IFS( OR(G660=" ",NOT(ISNUMBER(G660))),"Unknown",G660&lt;=33,"Low Spender",G660&lt;=66,"Medium Spender",TRUE, "High Spender")</f>
        <v>Medium Spender</v>
      </c>
      <c r="I660" s="1">
        <v>11</v>
      </c>
      <c r="J660" s="1">
        <v>4300</v>
      </c>
      <c r="K660" s="1">
        <v>138</v>
      </c>
      <c r="L660" s="1" t="s">
        <v>37</v>
      </c>
      <c r="M660" s="1" t="s">
        <v>21</v>
      </c>
      <c r="N660" s="1" t="str">
        <f t="shared" si="20"/>
        <v>Lower</v>
      </c>
      <c r="O660" s="1" t="str">
        <f t="shared" si="21"/>
        <v>Early Career | Medium Spender | Lower</v>
      </c>
    </row>
    <row r="661" spans="1:15" x14ac:dyDescent="0.25">
      <c r="A661" s="1" t="s">
        <v>691</v>
      </c>
      <c r="B661" s="1">
        <v>66</v>
      </c>
      <c r="C661" s="1" t="str" cm="1">
        <f t="array" ref="C661">_xlfn.IFS(OR(B661=" ", B661="NA",NOT(ISNUMBER(B661))), "Unknown",B661&lt;18,"Underage",B661&lt;=24,"Young Adult",B661&lt;=34,"Early Career",B661&lt;=44,"Mid Career",B661&lt;=54,"Mature",B661&lt;=65,"Pre-Senior",B661&gt;65,"Senior")</f>
        <v>Senior</v>
      </c>
      <c r="F661" s="1">
        <v>925000</v>
      </c>
      <c r="G661" s="1">
        <v>41</v>
      </c>
      <c r="H661" s="1" t="str" cm="1">
        <f t="array" ref="H661">_xlfn.IFS( OR(G661=" ",NOT(ISNUMBER(G661))),"Unknown",G661&lt;=33,"Low Spender",G661&lt;=66,"Medium Spender",TRUE, "High Spender")</f>
        <v>Medium Spender</v>
      </c>
      <c r="I661" s="1">
        <v>24</v>
      </c>
      <c r="J661" s="1">
        <v>11200</v>
      </c>
      <c r="K661" s="1">
        <v>151</v>
      </c>
      <c r="N661" s="1" t="str">
        <f t="shared" si="20"/>
        <v>Lower</v>
      </c>
      <c r="O661" s="1" t="str">
        <f t="shared" si="21"/>
        <v>Senior | Medium Spender | Lower</v>
      </c>
    </row>
    <row r="662" spans="1:15" x14ac:dyDescent="0.25">
      <c r="A662" s="1" t="s">
        <v>692</v>
      </c>
      <c r="B662" s="1" t="s">
        <v>73</v>
      </c>
      <c r="C662" s="1" t="str" cm="1">
        <f t="array" ref="C662">_xlfn.IFS(OR(B662=" ", B662="NA",NOT(ISNUMBER(B662))), "Unknown",B662&lt;18,"Underage",B662&lt;=24,"Young Adult",B662&lt;=34,"Early Career",B662&lt;=44,"Mid Career",B662&lt;=54,"Mature",B662&lt;=65,"Pre-Senior",B662&gt;65,"Senior")</f>
        <v>Unknown</v>
      </c>
      <c r="D662" s="1" t="s">
        <v>29</v>
      </c>
      <c r="F662" s="1">
        <v>1450000</v>
      </c>
      <c r="G662" s="1">
        <v>100</v>
      </c>
      <c r="H662" s="1" t="str" cm="1">
        <f t="array" ref="H662">_xlfn.IFS( OR(G662=" ",NOT(ISNUMBER(G662))),"Unknown",G662&lt;=33,"Low Spender",G662&lt;=66,"Medium Spender",TRUE, "High Spender")</f>
        <v>High Spender</v>
      </c>
      <c r="I662" s="1">
        <v>71</v>
      </c>
      <c r="J662" s="1">
        <v>11300</v>
      </c>
      <c r="K662" s="1">
        <v>242</v>
      </c>
      <c r="M662" s="1" t="s">
        <v>32</v>
      </c>
      <c r="N662" s="1" t="str">
        <f t="shared" si="20"/>
        <v>Higher</v>
      </c>
      <c r="O662" s="1" t="str">
        <f t="shared" si="21"/>
        <v>Unknown | High Spender | Higher</v>
      </c>
    </row>
    <row r="663" spans="1:15" x14ac:dyDescent="0.25">
      <c r="A663" s="1" t="s">
        <v>693</v>
      </c>
      <c r="B663" s="1">
        <v>30</v>
      </c>
      <c r="C663" s="1" t="str" cm="1">
        <f t="array" ref="C663">_xlfn.IFS(OR(B663=" ", B663="NA",NOT(ISNUMBER(B663))), "Unknown",B663&lt;18,"Underage",B663&lt;=24,"Young Adult",B663&lt;=34,"Early Career",B663&lt;=44,"Mid Career",B663&lt;=54,"Mature",B663&lt;=65,"Pre-Senior",B663&gt;65,"Senior")</f>
        <v>Early Career</v>
      </c>
      <c r="D663" s="1" t="s">
        <v>29</v>
      </c>
      <c r="E663" s="1" t="s">
        <v>23</v>
      </c>
      <c r="F663" s="1">
        <v>1650000</v>
      </c>
      <c r="G663" s="1">
        <v>41</v>
      </c>
      <c r="H663" s="1" t="str" cm="1">
        <f t="array" ref="H663">_xlfn.IFS( OR(G663=" ",NOT(ISNUMBER(G663))),"Unknown",G663&lt;=33,"Low Spender",G663&lt;=66,"Medium Spender",TRUE, "High Spender")</f>
        <v>Medium Spender</v>
      </c>
      <c r="I663" s="1">
        <v>21</v>
      </c>
      <c r="J663" s="1">
        <v>5800</v>
      </c>
      <c r="K663" s="1">
        <v>143</v>
      </c>
      <c r="L663" s="1" t="s">
        <v>35</v>
      </c>
      <c r="M663" s="1" t="s">
        <v>32</v>
      </c>
      <c r="N663" s="1" t="str">
        <f t="shared" si="20"/>
        <v>Higher</v>
      </c>
      <c r="O663" s="1" t="str">
        <f t="shared" si="21"/>
        <v>Early Career | Medium Spender | Higher</v>
      </c>
    </row>
    <row r="664" spans="1:15" x14ac:dyDescent="0.25">
      <c r="A664" s="1" t="s">
        <v>694</v>
      </c>
      <c r="B664" s="1">
        <v>40</v>
      </c>
      <c r="C664" s="1" t="str" cm="1">
        <f t="array" ref="C664">_xlfn.IFS(OR(B664=" ", B664="NA",NOT(ISNUMBER(B664))), "Unknown",B664&lt;18,"Underage",B664&lt;=24,"Young Adult",B664&lt;=34,"Early Career",B664&lt;=44,"Mid Career",B664&lt;=54,"Mature",B664&lt;=65,"Pre-Senior",B664&gt;65,"Senior")</f>
        <v>Mid Career</v>
      </c>
      <c r="D664" s="1" t="s">
        <v>18</v>
      </c>
      <c r="F664" s="1">
        <v>1275000</v>
      </c>
      <c r="G664" s="1">
        <v>100</v>
      </c>
      <c r="H664" s="1" t="str" cm="1">
        <f t="array" ref="H664">_xlfn.IFS( OR(G664=" ",NOT(ISNUMBER(G664))),"Unknown",G664&lt;=33,"Low Spender",G664&lt;=66,"Medium Spender",TRUE, "High Spender")</f>
        <v>High Spender</v>
      </c>
      <c r="I664" s="1">
        <v>20</v>
      </c>
      <c r="J664" s="1">
        <v>3100</v>
      </c>
      <c r="K664" s="1">
        <v>311</v>
      </c>
      <c r="L664" s="1" t="s">
        <v>20</v>
      </c>
      <c r="M664" s="1" t="s">
        <v>30</v>
      </c>
      <c r="N664" s="1" t="str">
        <f t="shared" si="20"/>
        <v>Higher</v>
      </c>
      <c r="O664" s="1" t="str">
        <f t="shared" si="21"/>
        <v>Mid Career | High Spender | Higher</v>
      </c>
    </row>
    <row r="665" spans="1:15" x14ac:dyDescent="0.25">
      <c r="A665" s="1" t="s">
        <v>695</v>
      </c>
      <c r="B665" s="1">
        <v>42</v>
      </c>
      <c r="C665" s="1" t="str" cm="1">
        <f t="array" ref="C665">_xlfn.IFS(OR(B665=" ", B665="NA",NOT(ISNUMBER(B665))), "Unknown",B665&lt;18,"Underage",B665&lt;=24,"Young Adult",B665&lt;=34,"Early Career",B665&lt;=44,"Mid Career",B665&lt;=54,"Mature",B665&lt;=65,"Pre-Senior",B665&gt;65,"Senior")</f>
        <v>Mid Career</v>
      </c>
      <c r="D665" s="1" t="s">
        <v>29</v>
      </c>
      <c r="E665" s="1" t="s">
        <v>23</v>
      </c>
      <c r="F665" s="1">
        <v>1975000</v>
      </c>
      <c r="G665" s="1">
        <v>4</v>
      </c>
      <c r="H665" s="1" t="str" cm="1">
        <f t="array" ref="H665">_xlfn.IFS( OR(G665=" ",NOT(ISNUMBER(G665))),"Unknown",G665&lt;=33,"Low Spender",G665&lt;=66,"Medium Spender",TRUE, "High Spender")</f>
        <v>Low Spender</v>
      </c>
      <c r="I665" s="1">
        <v>10</v>
      </c>
      <c r="J665" s="1">
        <v>3300</v>
      </c>
      <c r="K665" s="1">
        <v>299</v>
      </c>
      <c r="L665" s="1" t="s">
        <v>16</v>
      </c>
      <c r="M665" s="1" t="s">
        <v>41</v>
      </c>
      <c r="N665" s="1" t="str">
        <f t="shared" si="20"/>
        <v>Higher</v>
      </c>
      <c r="O665" s="1" t="str">
        <f t="shared" si="21"/>
        <v>Mid Career | Low Spender | Higher</v>
      </c>
    </row>
    <row r="666" spans="1:15" x14ac:dyDescent="0.25">
      <c r="A666" s="1" t="s">
        <v>696</v>
      </c>
      <c r="B666" s="1">
        <v>52</v>
      </c>
      <c r="C666" s="1" t="str" cm="1">
        <f t="array" ref="C666">_xlfn.IFS(OR(B666=" ", B666="NA",NOT(ISNUMBER(B666))), "Unknown",B666&lt;18,"Underage",B666&lt;=24,"Young Adult",B666&lt;=34,"Early Career",B666&lt;=44,"Mid Career",B666&lt;=54,"Mature",B666&lt;=65,"Pre-Senior",B666&gt;65,"Senior")</f>
        <v>Mature</v>
      </c>
      <c r="D666" s="1" t="s">
        <v>18</v>
      </c>
      <c r="E666" s="1" t="s">
        <v>58</v>
      </c>
      <c r="F666" s="1">
        <v>300000</v>
      </c>
      <c r="G666" s="1">
        <v>57</v>
      </c>
      <c r="H666" s="1" t="str" cm="1">
        <f t="array" ref="H666">_xlfn.IFS( OR(G666=" ",NOT(ISNUMBER(G666))),"Unknown",G666&lt;=33,"Low Spender",G666&lt;=66,"Medium Spender",TRUE, "High Spender")</f>
        <v>Medium Spender</v>
      </c>
      <c r="I666" s="1">
        <v>47</v>
      </c>
      <c r="J666" s="1">
        <v>6700</v>
      </c>
      <c r="K666" s="1">
        <v>50</v>
      </c>
      <c r="L666" s="1" t="s">
        <v>16</v>
      </c>
      <c r="M666" s="1" t="s">
        <v>21</v>
      </c>
      <c r="N666" s="1" t="str">
        <f t="shared" si="20"/>
        <v>Higher</v>
      </c>
      <c r="O666" s="1" t="str">
        <f t="shared" si="21"/>
        <v>Mature | Medium Spender | Higher</v>
      </c>
    </row>
    <row r="667" spans="1:15" x14ac:dyDescent="0.25">
      <c r="A667" s="1" t="s">
        <v>697</v>
      </c>
      <c r="B667" s="1">
        <v>58</v>
      </c>
      <c r="C667" s="1" t="str" cm="1">
        <f t="array" ref="C667">_xlfn.IFS(OR(B667=" ", B667="NA",NOT(ISNUMBER(B667))), "Unknown",B667&lt;18,"Underage",B667&lt;=24,"Young Adult",B667&lt;=34,"Early Career",B667&lt;=44,"Mid Career",B667&lt;=54,"Mature",B667&lt;=65,"Pre-Senior",B667&gt;65,"Senior")</f>
        <v>Pre-Senior</v>
      </c>
      <c r="E667" s="1" t="s">
        <v>49</v>
      </c>
      <c r="F667" s="1">
        <v>225000</v>
      </c>
      <c r="G667" s="1">
        <v>30</v>
      </c>
      <c r="H667" s="1" t="str" cm="1">
        <f t="array" ref="H667">_xlfn.IFS( OR(G667=" ",NOT(ISNUMBER(G667))),"Unknown",G667&lt;=33,"Low Spender",G667&lt;=66,"Medium Spender",TRUE, "High Spender")</f>
        <v>Low Spender</v>
      </c>
      <c r="I667" s="1">
        <v>47</v>
      </c>
      <c r="J667" s="1">
        <v>10000</v>
      </c>
      <c r="K667" s="1">
        <v>262</v>
      </c>
      <c r="L667" s="1" t="s">
        <v>16</v>
      </c>
      <c r="M667" s="1" t="s">
        <v>32</v>
      </c>
      <c r="N667" s="1" t="str">
        <f t="shared" si="20"/>
        <v>Lower</v>
      </c>
      <c r="O667" s="1" t="str">
        <f t="shared" si="21"/>
        <v>Pre-Senior | Low Spender | Lower</v>
      </c>
    </row>
    <row r="668" spans="1:15" x14ac:dyDescent="0.25">
      <c r="A668" s="1" t="s">
        <v>698</v>
      </c>
      <c r="B668" s="1">
        <v>47</v>
      </c>
      <c r="C668" s="1" t="str" cm="1">
        <f t="array" ref="C668">_xlfn.IFS(OR(B668=" ", B668="NA",NOT(ISNUMBER(B668))), "Unknown",B668&lt;18,"Underage",B668&lt;=24,"Young Adult",B668&lt;=34,"Early Career",B668&lt;=44,"Mid Career",B668&lt;=54,"Mature",B668&lt;=65,"Pre-Senior",B668&gt;65,"Senior")</f>
        <v>Mature</v>
      </c>
      <c r="D668" s="1" t="s">
        <v>29</v>
      </c>
      <c r="F668" s="1">
        <v>1425000</v>
      </c>
      <c r="G668" s="1">
        <v>88</v>
      </c>
      <c r="H668" s="1" t="str" cm="1">
        <f t="array" ref="H668">_xlfn.IFS( OR(G668=" ",NOT(ISNUMBER(G668))),"Unknown",G668&lt;=33,"Low Spender",G668&lt;=66,"Medium Spender",TRUE, "High Spender")</f>
        <v>High Spender</v>
      </c>
      <c r="I668" s="1">
        <v>15</v>
      </c>
      <c r="J668" s="1">
        <v>2000</v>
      </c>
      <c r="K668" s="1">
        <v>161</v>
      </c>
      <c r="L668" s="1" t="s">
        <v>20</v>
      </c>
      <c r="M668" s="1" t="s">
        <v>30</v>
      </c>
      <c r="N668" s="1" t="str">
        <f t="shared" si="20"/>
        <v>Higher</v>
      </c>
      <c r="O668" s="1" t="str">
        <f t="shared" si="21"/>
        <v>Mature | High Spender | Higher</v>
      </c>
    </row>
    <row r="669" spans="1:15" x14ac:dyDescent="0.25">
      <c r="A669" s="1" t="s">
        <v>699</v>
      </c>
      <c r="B669" s="1">
        <v>34</v>
      </c>
      <c r="C669" s="1" t="str" cm="1">
        <f t="array" ref="C669">_xlfn.IFS(OR(B669=" ", B669="NA",NOT(ISNUMBER(B669))), "Unknown",B669&lt;18,"Underage",B669&lt;=24,"Young Adult",B669&lt;=34,"Early Career",B669&lt;=44,"Mid Career",B669&lt;=54,"Mature",B669&lt;=65,"Pre-Senior",B669&gt;65,"Senior")</f>
        <v>Early Career</v>
      </c>
      <c r="D669" s="1" t="s">
        <v>12</v>
      </c>
      <c r="E669" s="1" t="s">
        <v>49</v>
      </c>
      <c r="F669" s="1">
        <v>900000</v>
      </c>
      <c r="G669" s="1">
        <v>84</v>
      </c>
      <c r="H669" s="1" t="str" cm="1">
        <f t="array" ref="H669">_xlfn.IFS( OR(G669=" ",NOT(ISNUMBER(G669))),"Unknown",G669&lt;=33,"Low Spender",G669&lt;=66,"Medium Spender",TRUE, "High Spender")</f>
        <v>High Spender</v>
      </c>
      <c r="I669" s="1">
        <v>44</v>
      </c>
      <c r="J669" s="1">
        <v>8400</v>
      </c>
      <c r="K669" s="1">
        <v>62</v>
      </c>
      <c r="L669" s="1" t="s">
        <v>35</v>
      </c>
      <c r="M669" s="1" t="s">
        <v>30</v>
      </c>
      <c r="N669" s="1" t="str">
        <f t="shared" si="20"/>
        <v>Lower</v>
      </c>
      <c r="O669" s="1" t="str">
        <f t="shared" si="21"/>
        <v>Early Career | High Spender | Lower</v>
      </c>
    </row>
    <row r="670" spans="1:15" x14ac:dyDescent="0.25">
      <c r="A670" s="1" t="s">
        <v>700</v>
      </c>
      <c r="B670" s="1">
        <v>66</v>
      </c>
      <c r="C670" s="1" t="str" cm="1">
        <f t="array" ref="C670">_xlfn.IFS(OR(B670=" ", B670="NA",NOT(ISNUMBER(B670))), "Unknown",B670&lt;18,"Underage",B670&lt;=24,"Young Adult",B670&lt;=34,"Early Career",B670&lt;=44,"Mid Career",B670&lt;=54,"Mature",B670&lt;=65,"Pre-Senior",B670&gt;65,"Senior")</f>
        <v>Senior</v>
      </c>
      <c r="E670" s="1" t="s">
        <v>34</v>
      </c>
      <c r="G670" s="1">
        <v>46</v>
      </c>
      <c r="H670" s="1" t="str" cm="1">
        <f t="array" ref="H670">_xlfn.IFS( OR(G670=" ",NOT(ISNUMBER(G670))),"Unknown",G670&lt;=33,"Low Spender",G670&lt;=66,"Medium Spender",TRUE, "High Spender")</f>
        <v>Medium Spender</v>
      </c>
      <c r="I670" s="1">
        <v>62</v>
      </c>
      <c r="J670" s="1">
        <v>800</v>
      </c>
      <c r="K670" s="1">
        <v>55</v>
      </c>
      <c r="L670" s="1" t="s">
        <v>16</v>
      </c>
      <c r="M670" s="1" t="s">
        <v>30</v>
      </c>
      <c r="N670" s="1" t="str">
        <f t="shared" si="20"/>
        <v>Lower</v>
      </c>
      <c r="O670" s="1" t="str">
        <f t="shared" si="21"/>
        <v>Senior | Medium Spender | Lower</v>
      </c>
    </row>
    <row r="671" spans="1:15" x14ac:dyDescent="0.25">
      <c r="A671" s="1" t="s">
        <v>701</v>
      </c>
      <c r="B671" s="1">
        <v>37</v>
      </c>
      <c r="C671" s="1" t="str" cm="1">
        <f t="array" ref="C671">_xlfn.IFS(OR(B671=" ", B671="NA",NOT(ISNUMBER(B671))), "Unknown",B671&lt;18,"Underage",B671&lt;=24,"Young Adult",B671&lt;=34,"Early Career",B671&lt;=44,"Mid Career",B671&lt;=54,"Mature",B671&lt;=65,"Pre-Senior",B671&gt;65,"Senior")</f>
        <v>Mid Career</v>
      </c>
      <c r="D671" s="1" t="s">
        <v>12</v>
      </c>
      <c r="E671" s="1" t="s">
        <v>58</v>
      </c>
      <c r="F671" s="1">
        <v>1025000</v>
      </c>
      <c r="G671" s="1">
        <v>56</v>
      </c>
      <c r="H671" s="1" t="str" cm="1">
        <f t="array" ref="H671">_xlfn.IFS( OR(G671=" ",NOT(ISNUMBER(G671))),"Unknown",G671&lt;=33,"Low Spender",G671&lt;=66,"Medium Spender",TRUE, "High Spender")</f>
        <v>Medium Spender</v>
      </c>
      <c r="I671" s="1">
        <v>6</v>
      </c>
      <c r="J671" s="1">
        <v>5400</v>
      </c>
      <c r="K671" s="1">
        <v>31</v>
      </c>
      <c r="L671" s="1" t="s">
        <v>37</v>
      </c>
      <c r="M671" s="1" t="s">
        <v>41</v>
      </c>
      <c r="N671" s="1" t="str">
        <f t="shared" si="20"/>
        <v>Lower</v>
      </c>
      <c r="O671" s="1" t="str">
        <f t="shared" si="21"/>
        <v>Mid Career | Medium Spender | Lower</v>
      </c>
    </row>
    <row r="672" spans="1:15" x14ac:dyDescent="0.25">
      <c r="A672" s="1" t="s">
        <v>702</v>
      </c>
      <c r="B672" s="1">
        <v>65</v>
      </c>
      <c r="C672" s="1" t="str" cm="1">
        <f t="array" ref="C672">_xlfn.IFS(OR(B672=" ", B672="NA",NOT(ISNUMBER(B672))), "Unknown",B672&lt;18,"Underage",B672&lt;=24,"Young Adult",B672&lt;=34,"Early Career",B672&lt;=44,"Mid Career",B672&lt;=54,"Mature",B672&lt;=65,"Pre-Senior",B672&gt;65,"Senior")</f>
        <v>Pre-Senior</v>
      </c>
      <c r="E672" s="1" t="s">
        <v>27</v>
      </c>
      <c r="F672" s="1">
        <v>1475000</v>
      </c>
      <c r="G672" s="1">
        <v>31</v>
      </c>
      <c r="H672" s="1" t="str" cm="1">
        <f t="array" ref="H672">_xlfn.IFS( OR(G672=" ",NOT(ISNUMBER(G672))),"Unknown",G672&lt;=33,"Low Spender",G672&lt;=66,"Medium Spender",TRUE, "High Spender")</f>
        <v>Low Spender</v>
      </c>
      <c r="I672" s="1">
        <v>66</v>
      </c>
      <c r="J672" s="1">
        <v>4200</v>
      </c>
      <c r="K672" s="1">
        <v>330</v>
      </c>
      <c r="L672" s="1" t="s">
        <v>37</v>
      </c>
      <c r="M672" s="1" t="s">
        <v>32</v>
      </c>
      <c r="N672" s="1" t="str">
        <f t="shared" si="20"/>
        <v>Lower</v>
      </c>
      <c r="O672" s="1" t="str">
        <f t="shared" si="21"/>
        <v>Pre-Senior | Low Spender | Lower</v>
      </c>
    </row>
    <row r="673" spans="1:15" x14ac:dyDescent="0.25">
      <c r="A673" s="1" t="s">
        <v>703</v>
      </c>
      <c r="B673" s="1">
        <v>42</v>
      </c>
      <c r="C673" s="1" t="str" cm="1">
        <f t="array" ref="C673">_xlfn.IFS(OR(B673=" ", B673="NA",NOT(ISNUMBER(B673))), "Unknown",B673&lt;18,"Underage",B673&lt;=24,"Young Adult",B673&lt;=34,"Early Career",B673&lt;=44,"Mid Career",B673&lt;=54,"Mature",B673&lt;=65,"Pre-Senior",B673&gt;65,"Senior")</f>
        <v>Mid Career</v>
      </c>
      <c r="D673" s="1" t="s">
        <v>18</v>
      </c>
      <c r="E673" s="1" t="s">
        <v>13</v>
      </c>
      <c r="F673" s="1">
        <v>1475000</v>
      </c>
      <c r="G673" s="1">
        <v>88</v>
      </c>
      <c r="H673" s="1" t="str" cm="1">
        <f t="array" ref="H673">_xlfn.IFS( OR(G673=" ",NOT(ISNUMBER(G673))),"Unknown",G673&lt;=33,"Low Spender",G673&lt;=66,"Medium Spender",TRUE, "High Spender")</f>
        <v>High Spender</v>
      </c>
      <c r="I673" s="1">
        <v>76</v>
      </c>
      <c r="J673" s="1">
        <v>6700</v>
      </c>
      <c r="K673" s="1">
        <v>290</v>
      </c>
      <c r="L673" s="1" t="s">
        <v>37</v>
      </c>
      <c r="N673" s="1" t="str">
        <f t="shared" si="20"/>
        <v>Higher</v>
      </c>
      <c r="O673" s="1" t="str">
        <f t="shared" si="21"/>
        <v>Mid Career | High Spender | Higher</v>
      </c>
    </row>
    <row r="674" spans="1:15" x14ac:dyDescent="0.25">
      <c r="A674" s="1" t="s">
        <v>704</v>
      </c>
      <c r="B674" s="1">
        <v>39</v>
      </c>
      <c r="C674" s="1" t="str" cm="1">
        <f t="array" ref="C674">_xlfn.IFS(OR(B674=" ", B674="NA",NOT(ISNUMBER(B674))), "Unknown",B674&lt;18,"Underage",B674&lt;=24,"Young Adult",B674&lt;=34,"Early Career",B674&lt;=44,"Mid Career",B674&lt;=54,"Mature",B674&lt;=65,"Pre-Senior",B674&gt;65,"Senior")</f>
        <v>Mid Career</v>
      </c>
      <c r="D674" s="1" t="s">
        <v>12</v>
      </c>
      <c r="E674" s="1" t="s">
        <v>49</v>
      </c>
      <c r="F674" s="1">
        <v>550000</v>
      </c>
      <c r="G674" s="1">
        <v>7</v>
      </c>
      <c r="H674" s="1" t="str" cm="1">
        <f t="array" ref="H674">_xlfn.IFS( OR(G674=" ",NOT(ISNUMBER(G674))),"Unknown",G674&lt;=33,"Low Spender",G674&lt;=66,"Medium Spender",TRUE, "High Spender")</f>
        <v>Low Spender</v>
      </c>
      <c r="I674" s="1">
        <v>4</v>
      </c>
      <c r="J674" s="1">
        <v>11300</v>
      </c>
      <c r="K674" s="1">
        <v>169</v>
      </c>
      <c r="N674" s="1" t="str">
        <f t="shared" si="20"/>
        <v>Lower</v>
      </c>
      <c r="O674" s="1" t="str">
        <f t="shared" si="21"/>
        <v>Mid Career | Low Spender | Lower</v>
      </c>
    </row>
    <row r="675" spans="1:15" x14ac:dyDescent="0.25">
      <c r="A675" s="1" t="s">
        <v>705</v>
      </c>
      <c r="B675" s="1">
        <v>30</v>
      </c>
      <c r="C675" s="1" t="str" cm="1">
        <f t="array" ref="C675">_xlfn.IFS(OR(B675=" ", B675="NA",NOT(ISNUMBER(B675))), "Unknown",B675&lt;18,"Underage",B675&lt;=24,"Young Adult",B675&lt;=34,"Early Career",B675&lt;=44,"Mid Career",B675&lt;=54,"Mature",B675&lt;=65,"Pre-Senior",B675&gt;65,"Senior")</f>
        <v>Early Career</v>
      </c>
      <c r="D675" s="1" t="s">
        <v>18</v>
      </c>
      <c r="E675" s="1" t="s">
        <v>58</v>
      </c>
      <c r="G675" s="1">
        <v>90</v>
      </c>
      <c r="H675" s="1" t="str" cm="1">
        <f t="array" ref="H675">_xlfn.IFS( OR(G675=" ",NOT(ISNUMBER(G675))),"Unknown",G675&lt;=33,"Low Spender",G675&lt;=66,"Medium Spender",TRUE, "High Spender")</f>
        <v>High Spender</v>
      </c>
      <c r="I675" s="1">
        <v>23</v>
      </c>
      <c r="J675" s="1">
        <v>4400</v>
      </c>
      <c r="K675" s="1">
        <v>266</v>
      </c>
      <c r="M675" s="1" t="s">
        <v>30</v>
      </c>
      <c r="N675" s="1" t="str">
        <f t="shared" si="20"/>
        <v>Higher</v>
      </c>
      <c r="O675" s="1" t="str">
        <f t="shared" si="21"/>
        <v>Early Career | High Spender | Higher</v>
      </c>
    </row>
    <row r="676" spans="1:15" x14ac:dyDescent="0.25">
      <c r="A676" s="1" t="s">
        <v>706</v>
      </c>
      <c r="B676" s="1">
        <v>36</v>
      </c>
      <c r="C676" s="1" t="str" cm="1">
        <f t="array" ref="C676">_xlfn.IFS(OR(B676=" ", B676="NA",NOT(ISNUMBER(B676))), "Unknown",B676&lt;18,"Underage",B676&lt;=24,"Young Adult",B676&lt;=34,"Early Career",B676&lt;=44,"Mid Career",B676&lt;=54,"Mature",B676&lt;=65,"Pre-Senior",B676&gt;65,"Senior")</f>
        <v>Mid Career</v>
      </c>
      <c r="D676" s="1" t="s">
        <v>12</v>
      </c>
      <c r="E676" s="1" t="s">
        <v>49</v>
      </c>
      <c r="F676" s="1">
        <v>875000</v>
      </c>
      <c r="G676" s="1">
        <v>77</v>
      </c>
      <c r="H676" s="1" t="str" cm="1">
        <f t="array" ref="H676">_xlfn.IFS( OR(G676=" ",NOT(ISNUMBER(G676))),"Unknown",G676&lt;=33,"Low Spender",G676&lt;=66,"Medium Spender",TRUE, "High Spender")</f>
        <v>High Spender</v>
      </c>
      <c r="I676" s="1">
        <v>13</v>
      </c>
      <c r="J676" s="1">
        <v>9600</v>
      </c>
      <c r="K676" s="1">
        <v>308</v>
      </c>
      <c r="L676" s="1" t="s">
        <v>20</v>
      </c>
      <c r="M676" s="1" t="s">
        <v>30</v>
      </c>
      <c r="N676" s="1" t="str">
        <f t="shared" si="20"/>
        <v>Lower</v>
      </c>
      <c r="O676" s="1" t="str">
        <f t="shared" si="21"/>
        <v>Mid Career | High Spender | Lower</v>
      </c>
    </row>
    <row r="677" spans="1:15" x14ac:dyDescent="0.25">
      <c r="A677" s="1" t="s">
        <v>707</v>
      </c>
      <c r="B677" s="1">
        <v>66</v>
      </c>
      <c r="C677" s="1" t="str" cm="1">
        <f t="array" ref="C677">_xlfn.IFS(OR(B677=" ", B677="NA",NOT(ISNUMBER(B677))), "Unknown",B677&lt;18,"Underage",B677&lt;=24,"Young Adult",B677&lt;=34,"Early Career",B677&lt;=44,"Mid Career",B677&lt;=54,"Mature",B677&lt;=65,"Pre-Senior",B677&gt;65,"Senior")</f>
        <v>Senior</v>
      </c>
      <c r="D677" s="1" t="s">
        <v>12</v>
      </c>
      <c r="E677" s="1" t="s">
        <v>15</v>
      </c>
      <c r="F677" s="1">
        <v>675000</v>
      </c>
      <c r="G677" s="1">
        <v>54</v>
      </c>
      <c r="H677" s="1" t="str" cm="1">
        <f t="array" ref="H677">_xlfn.IFS( OR(G677=" ",NOT(ISNUMBER(G677))),"Unknown",G677&lt;=33,"Low Spender",G677&lt;=66,"Medium Spender",TRUE, "High Spender")</f>
        <v>Medium Spender</v>
      </c>
      <c r="J677" s="1">
        <v>7000</v>
      </c>
      <c r="K677" s="1">
        <v>185</v>
      </c>
      <c r="L677" s="1" t="s">
        <v>16</v>
      </c>
      <c r="M677" s="1" t="s">
        <v>41</v>
      </c>
      <c r="N677" s="1" t="str">
        <f t="shared" si="20"/>
        <v>Lower</v>
      </c>
      <c r="O677" s="1" t="str">
        <f t="shared" si="21"/>
        <v>Senior | Medium Spender | Lower</v>
      </c>
    </row>
    <row r="678" spans="1:15" x14ac:dyDescent="0.25">
      <c r="A678" s="1" t="s">
        <v>708</v>
      </c>
      <c r="B678" s="1">
        <v>53</v>
      </c>
      <c r="C678" s="1" t="str" cm="1">
        <f t="array" ref="C678">_xlfn.IFS(OR(B678=" ", B678="NA",NOT(ISNUMBER(B678))), "Unknown",B678&lt;18,"Underage",B678&lt;=24,"Young Adult",B678&lt;=34,"Early Career",B678&lt;=44,"Mid Career",B678&lt;=54,"Mature",B678&lt;=65,"Pre-Senior",B678&gt;65,"Senior")</f>
        <v>Mature</v>
      </c>
      <c r="D678" s="1" t="s">
        <v>18</v>
      </c>
      <c r="F678" s="1">
        <v>1200000</v>
      </c>
      <c r="G678" s="1">
        <v>8</v>
      </c>
      <c r="H678" s="1" t="str" cm="1">
        <f t="array" ref="H678">_xlfn.IFS( OR(G678=" ",NOT(ISNUMBER(G678))),"Unknown",G678&lt;=33,"Low Spender",G678&lt;=66,"Medium Spender",TRUE, "High Spender")</f>
        <v>Low Spender</v>
      </c>
      <c r="I678" s="1">
        <v>31</v>
      </c>
      <c r="J678" s="1">
        <v>3400</v>
      </c>
      <c r="K678" s="1">
        <v>334</v>
      </c>
      <c r="M678" s="1" t="s">
        <v>30</v>
      </c>
      <c r="N678" s="1" t="str">
        <f t="shared" si="20"/>
        <v>Higher</v>
      </c>
      <c r="O678" s="1" t="str">
        <f t="shared" si="21"/>
        <v>Mature | Low Spender | Higher</v>
      </c>
    </row>
    <row r="679" spans="1:15" x14ac:dyDescent="0.25">
      <c r="A679" s="1" t="s">
        <v>709</v>
      </c>
      <c r="B679" s="1">
        <v>29</v>
      </c>
      <c r="C679" s="1" t="str" cm="1">
        <f t="array" ref="C679">_xlfn.IFS(OR(B679=" ", B679="NA",NOT(ISNUMBER(B679))), "Unknown",B679&lt;18,"Underage",B679&lt;=24,"Young Adult",B679&lt;=34,"Early Career",B679&lt;=44,"Mid Career",B679&lt;=54,"Mature",B679&lt;=65,"Pre-Senior",B679&gt;65,"Senior")</f>
        <v>Early Career</v>
      </c>
      <c r="D679" s="1" t="s">
        <v>18</v>
      </c>
      <c r="E679" s="1" t="s">
        <v>27</v>
      </c>
      <c r="F679" s="1">
        <v>800000</v>
      </c>
      <c r="G679" s="1">
        <v>55</v>
      </c>
      <c r="H679" s="1" t="str" cm="1">
        <f t="array" ref="H679">_xlfn.IFS( OR(G679=" ",NOT(ISNUMBER(G679))),"Unknown",G679&lt;=33,"Low Spender",G679&lt;=66,"Medium Spender",TRUE, "High Spender")</f>
        <v>Medium Spender</v>
      </c>
      <c r="I679" s="1">
        <v>16</v>
      </c>
      <c r="J679" s="1">
        <v>1200</v>
      </c>
      <c r="K679" s="1">
        <v>3</v>
      </c>
      <c r="L679" s="1" t="s">
        <v>37</v>
      </c>
      <c r="N679" s="1" t="str">
        <f t="shared" si="20"/>
        <v>Higher</v>
      </c>
      <c r="O679" s="1" t="str">
        <f t="shared" si="21"/>
        <v>Early Career | Medium Spender | Higher</v>
      </c>
    </row>
    <row r="680" spans="1:15" x14ac:dyDescent="0.25">
      <c r="A680" s="1" t="s">
        <v>710</v>
      </c>
      <c r="B680" s="1">
        <v>58</v>
      </c>
      <c r="C680" s="1" t="str" cm="1">
        <f t="array" ref="C680">_xlfn.IFS(OR(B680=" ", B680="NA",NOT(ISNUMBER(B680))), "Unknown",B680&lt;18,"Underage",B680&lt;=24,"Young Adult",B680&lt;=34,"Early Career",B680&lt;=44,"Mid Career",B680&lt;=54,"Mature",B680&lt;=65,"Pre-Senior",B680&gt;65,"Senior")</f>
        <v>Pre-Senior</v>
      </c>
      <c r="D680" s="1" t="s">
        <v>12</v>
      </c>
      <c r="F680" s="1">
        <v>1050000</v>
      </c>
      <c r="G680" s="1">
        <v>69</v>
      </c>
      <c r="H680" s="1" t="str" cm="1">
        <f t="array" ref="H680">_xlfn.IFS( OR(G680=" ",NOT(ISNUMBER(G680))),"Unknown",G680&lt;=33,"Low Spender",G680&lt;=66,"Medium Spender",TRUE, "High Spender")</f>
        <v>High Spender</v>
      </c>
      <c r="I680" s="1">
        <v>41</v>
      </c>
      <c r="J680" s="1">
        <v>10900</v>
      </c>
      <c r="K680" s="1">
        <v>161</v>
      </c>
      <c r="M680" s="1" t="s">
        <v>32</v>
      </c>
      <c r="N680" s="1" t="str">
        <f t="shared" si="20"/>
        <v>Lower</v>
      </c>
      <c r="O680" s="1" t="str">
        <f t="shared" si="21"/>
        <v>Pre-Senior | High Spender | Lower</v>
      </c>
    </row>
    <row r="681" spans="1:15" x14ac:dyDescent="0.25">
      <c r="A681" s="1" t="s">
        <v>711</v>
      </c>
      <c r="B681" s="1">
        <v>36</v>
      </c>
      <c r="C681" s="1" t="str" cm="1">
        <f t="array" ref="C681">_xlfn.IFS(OR(B681=" ", B681="NA",NOT(ISNUMBER(B681))), "Unknown",B681&lt;18,"Underage",B681&lt;=24,"Young Adult",B681&lt;=34,"Early Career",B681&lt;=44,"Mid Career",B681&lt;=54,"Mature",B681&lt;=65,"Pre-Senior",B681&gt;65,"Senior")</f>
        <v>Mid Career</v>
      </c>
      <c r="D681" s="1" t="s">
        <v>29</v>
      </c>
      <c r="E681" s="1" t="s">
        <v>23</v>
      </c>
      <c r="F681" s="1">
        <v>1275000</v>
      </c>
      <c r="G681" s="1">
        <v>44</v>
      </c>
      <c r="H681" s="1" t="str" cm="1">
        <f t="array" ref="H681">_xlfn.IFS( OR(G681=" ",NOT(ISNUMBER(G681))),"Unknown",G681&lt;=33,"Low Spender",G681&lt;=66,"Medium Spender",TRUE, "High Spender")</f>
        <v>Medium Spender</v>
      </c>
      <c r="I681" s="1">
        <v>1</v>
      </c>
      <c r="J681" s="1">
        <v>7100</v>
      </c>
      <c r="K681" s="1">
        <v>260</v>
      </c>
      <c r="L681" s="1" t="s">
        <v>37</v>
      </c>
      <c r="M681" s="1" t="s">
        <v>30</v>
      </c>
      <c r="N681" s="1" t="str">
        <f t="shared" si="20"/>
        <v>Higher</v>
      </c>
      <c r="O681" s="1" t="str">
        <f t="shared" si="21"/>
        <v>Mid Career | Medium Spender | Higher</v>
      </c>
    </row>
    <row r="682" spans="1:15" x14ac:dyDescent="0.25">
      <c r="A682" s="1" t="s">
        <v>712</v>
      </c>
      <c r="B682" s="1">
        <v>29</v>
      </c>
      <c r="C682" s="1" t="str" cm="1">
        <f t="array" ref="C682">_xlfn.IFS(OR(B682=" ", B682="NA",NOT(ISNUMBER(B682))), "Unknown",B682&lt;18,"Underage",B682&lt;=24,"Young Adult",B682&lt;=34,"Early Career",B682&lt;=44,"Mid Career",B682&lt;=54,"Mature",B682&lt;=65,"Pre-Senior",B682&gt;65,"Senior")</f>
        <v>Early Career</v>
      </c>
      <c r="E682" s="1" t="s">
        <v>49</v>
      </c>
      <c r="F682" s="1">
        <v>1000000</v>
      </c>
      <c r="G682" s="1">
        <v>13</v>
      </c>
      <c r="H682" s="1" t="str" cm="1">
        <f t="array" ref="H682">_xlfn.IFS( OR(G682=" ",NOT(ISNUMBER(G682))),"Unknown",G682&lt;=33,"Low Spender",G682&lt;=66,"Medium Spender",TRUE, "High Spender")</f>
        <v>Low Spender</v>
      </c>
      <c r="I682" s="1">
        <v>12</v>
      </c>
      <c r="J682" s="1">
        <v>1100</v>
      </c>
      <c r="K682" s="1">
        <v>48</v>
      </c>
      <c r="L682" s="1" t="s">
        <v>16</v>
      </c>
      <c r="M682" s="1" t="s">
        <v>30</v>
      </c>
      <c r="N682" s="1" t="str">
        <f t="shared" si="20"/>
        <v>Lower</v>
      </c>
      <c r="O682" s="1" t="str">
        <f t="shared" si="21"/>
        <v>Early Career | Low Spender | Lower</v>
      </c>
    </row>
    <row r="683" spans="1:15" x14ac:dyDescent="0.25">
      <c r="A683" s="1" t="s">
        <v>713</v>
      </c>
      <c r="B683" s="1">
        <v>26</v>
      </c>
      <c r="C683" s="1" t="str" cm="1">
        <f t="array" ref="C683">_xlfn.IFS(OR(B683=" ", B683="NA",NOT(ISNUMBER(B683))), "Unknown",B683&lt;18,"Underage",B683&lt;=24,"Young Adult",B683&lt;=34,"Early Career",B683&lt;=44,"Mid Career",B683&lt;=54,"Mature",B683&lt;=65,"Pre-Senior",B683&gt;65,"Senior")</f>
        <v>Early Career</v>
      </c>
      <c r="E683" s="1" t="s">
        <v>23</v>
      </c>
      <c r="F683" s="1">
        <v>225000</v>
      </c>
      <c r="G683" s="1">
        <v>93</v>
      </c>
      <c r="H683" s="1" t="str" cm="1">
        <f t="array" ref="H683">_xlfn.IFS( OR(G683=" ",NOT(ISNUMBER(G683))),"Unknown",G683&lt;=33,"Low Spender",G683&lt;=66,"Medium Spender",TRUE, "High Spender")</f>
        <v>High Spender</v>
      </c>
      <c r="I683" s="1">
        <v>56</v>
      </c>
      <c r="J683" s="1">
        <v>7100</v>
      </c>
      <c r="K683" s="1">
        <v>254</v>
      </c>
      <c r="L683" s="1" t="s">
        <v>20</v>
      </c>
      <c r="M683" s="1" t="s">
        <v>32</v>
      </c>
      <c r="N683" s="1" t="str">
        <f t="shared" si="20"/>
        <v>Lower</v>
      </c>
      <c r="O683" s="1" t="str">
        <f t="shared" si="21"/>
        <v>Early Career | High Spender | Lower</v>
      </c>
    </row>
    <row r="684" spans="1:15" x14ac:dyDescent="0.25">
      <c r="A684" s="1" t="s">
        <v>714</v>
      </c>
      <c r="B684" s="1">
        <v>24</v>
      </c>
      <c r="C684" s="1" t="str" cm="1">
        <f t="array" ref="C684">_xlfn.IFS(OR(B684=" ", B684="NA",NOT(ISNUMBER(B684))), "Unknown",B684&lt;18,"Underage",B684&lt;=24,"Young Adult",B684&lt;=34,"Early Career",B684&lt;=44,"Mid Career",B684&lt;=54,"Mature",B684&lt;=65,"Pre-Senior",B684&gt;65,"Senior")</f>
        <v>Young Adult</v>
      </c>
      <c r="D684" s="1" t="s">
        <v>18</v>
      </c>
      <c r="E684" s="1" t="s">
        <v>19</v>
      </c>
      <c r="F684" s="1">
        <v>775000</v>
      </c>
      <c r="G684" s="1">
        <v>20</v>
      </c>
      <c r="H684" s="1" t="str" cm="1">
        <f t="array" ref="H684">_xlfn.IFS( OR(G684=" ",NOT(ISNUMBER(G684))),"Unknown",G684&lt;=33,"Low Spender",G684&lt;=66,"Medium Spender",TRUE, "High Spender")</f>
        <v>Low Spender</v>
      </c>
      <c r="I684" s="1">
        <v>50</v>
      </c>
      <c r="J684" s="1">
        <v>6300</v>
      </c>
      <c r="K684" s="1">
        <v>74</v>
      </c>
      <c r="L684" s="1" t="s">
        <v>35</v>
      </c>
      <c r="M684" s="1" t="s">
        <v>21</v>
      </c>
      <c r="N684" s="1" t="str">
        <f t="shared" si="20"/>
        <v>Higher</v>
      </c>
      <c r="O684" s="1" t="str">
        <f t="shared" si="21"/>
        <v>Young Adult | Low Spender | Higher</v>
      </c>
    </row>
    <row r="685" spans="1:15" x14ac:dyDescent="0.25">
      <c r="A685" s="1" t="s">
        <v>715</v>
      </c>
      <c r="B685" s="1">
        <v>45</v>
      </c>
      <c r="C685" s="1" t="str" cm="1">
        <f t="array" ref="C685">_xlfn.IFS(OR(B685=" ", B685="NA",NOT(ISNUMBER(B685))), "Unknown",B685&lt;18,"Underage",B685&lt;=24,"Young Adult",B685&lt;=34,"Early Career",B685&lt;=44,"Mid Career",B685&lt;=54,"Mature",B685&lt;=65,"Pre-Senior",B685&gt;65,"Senior")</f>
        <v>Mature</v>
      </c>
      <c r="D685" s="1" t="s">
        <v>18</v>
      </c>
      <c r="E685" s="1" t="s">
        <v>49</v>
      </c>
      <c r="F685" s="1">
        <v>600000</v>
      </c>
      <c r="G685" s="1">
        <v>78</v>
      </c>
      <c r="H685" s="1" t="str" cm="1">
        <f t="array" ref="H685">_xlfn.IFS( OR(G685=" ",NOT(ISNUMBER(G685))),"Unknown",G685&lt;=33,"Low Spender",G685&lt;=66,"Medium Spender",TRUE, "High Spender")</f>
        <v>High Spender</v>
      </c>
      <c r="I685" s="1">
        <v>20</v>
      </c>
      <c r="J685" s="1">
        <v>1300</v>
      </c>
      <c r="K685" s="1">
        <v>335</v>
      </c>
      <c r="L685" s="1" t="s">
        <v>35</v>
      </c>
      <c r="N685" s="1" t="str">
        <f t="shared" si="20"/>
        <v>Higher</v>
      </c>
      <c r="O685" s="1" t="str">
        <f t="shared" si="21"/>
        <v>Mature | High Spender | Higher</v>
      </c>
    </row>
    <row r="686" spans="1:15" x14ac:dyDescent="0.25">
      <c r="A686" s="1" t="s">
        <v>716</v>
      </c>
      <c r="B686" s="1">
        <v>31</v>
      </c>
      <c r="C686" s="1" t="str" cm="1">
        <f t="array" ref="C686">_xlfn.IFS(OR(B686=" ", B686="NA",NOT(ISNUMBER(B686))), "Unknown",B686&lt;18,"Underage",B686&lt;=24,"Young Adult",B686&lt;=34,"Early Career",B686&lt;=44,"Mid Career",B686&lt;=54,"Mature",B686&lt;=65,"Pre-Senior",B686&gt;65,"Senior")</f>
        <v>Early Career</v>
      </c>
      <c r="D686" s="1" t="s">
        <v>18</v>
      </c>
      <c r="E686" s="1" t="s">
        <v>58</v>
      </c>
      <c r="F686" s="1">
        <v>1250000</v>
      </c>
      <c r="G686" s="1">
        <v>32</v>
      </c>
      <c r="H686" s="1" t="str" cm="1">
        <f t="array" ref="H686">_xlfn.IFS( OR(G686=" ",NOT(ISNUMBER(G686))),"Unknown",G686&lt;=33,"Low Spender",G686&lt;=66,"Medium Spender",TRUE, "High Spender")</f>
        <v>Low Spender</v>
      </c>
      <c r="I686" s="1">
        <v>66</v>
      </c>
      <c r="J686" s="1">
        <v>10100</v>
      </c>
      <c r="K686" s="1">
        <v>166</v>
      </c>
      <c r="L686" s="1" t="s">
        <v>37</v>
      </c>
      <c r="N686" s="1" t="str">
        <f t="shared" si="20"/>
        <v>Higher</v>
      </c>
      <c r="O686" s="1" t="str">
        <f t="shared" si="21"/>
        <v>Early Career | Low Spender | Higher</v>
      </c>
    </row>
    <row r="687" spans="1:15" x14ac:dyDescent="0.25">
      <c r="A687" s="1" t="s">
        <v>717</v>
      </c>
      <c r="B687" s="1">
        <v>48</v>
      </c>
      <c r="C687" s="1" t="str" cm="1">
        <f t="array" ref="C687">_xlfn.IFS(OR(B687=" ", B687="NA",NOT(ISNUMBER(B687))), "Unknown",B687&lt;18,"Underage",B687&lt;=24,"Young Adult",B687&lt;=34,"Early Career",B687&lt;=44,"Mid Career",B687&lt;=54,"Mature",B687&lt;=65,"Pre-Senior",B687&gt;65,"Senior")</f>
        <v>Mature</v>
      </c>
      <c r="D687" s="1" t="s">
        <v>29</v>
      </c>
      <c r="E687" s="1" t="s">
        <v>27</v>
      </c>
      <c r="F687" s="1">
        <v>775000</v>
      </c>
      <c r="G687" s="1">
        <v>60</v>
      </c>
      <c r="H687" s="1" t="str" cm="1">
        <f t="array" ref="H687">_xlfn.IFS( OR(G687=" ",NOT(ISNUMBER(G687))),"Unknown",G687&lt;=33,"Low Spender",G687&lt;=66,"Medium Spender",TRUE, "High Spender")</f>
        <v>Medium Spender</v>
      </c>
      <c r="I687" s="1">
        <v>36</v>
      </c>
      <c r="J687" s="1">
        <v>9300</v>
      </c>
      <c r="K687" s="1">
        <v>260</v>
      </c>
      <c r="N687" s="1" t="str">
        <f t="shared" si="20"/>
        <v>Higher</v>
      </c>
      <c r="O687" s="1" t="str">
        <f t="shared" si="21"/>
        <v>Mature | Medium Spender | Higher</v>
      </c>
    </row>
    <row r="688" spans="1:15" x14ac:dyDescent="0.25">
      <c r="A688" s="1" t="s">
        <v>718</v>
      </c>
      <c r="B688" s="1">
        <v>69</v>
      </c>
      <c r="C688" s="1" t="str" cm="1">
        <f t="array" ref="C688">_xlfn.IFS(OR(B688=" ", B688="NA",NOT(ISNUMBER(B688))), "Unknown",B688&lt;18,"Underage",B688&lt;=24,"Young Adult",B688&lt;=34,"Early Career",B688&lt;=44,"Mid Career",B688&lt;=54,"Mature",B688&lt;=65,"Pre-Senior",B688&gt;65,"Senior")</f>
        <v>Senior</v>
      </c>
      <c r="D688" s="1" t="s">
        <v>29</v>
      </c>
      <c r="E688" s="1" t="s">
        <v>23</v>
      </c>
      <c r="F688" s="1">
        <v>675000</v>
      </c>
      <c r="G688" s="1">
        <v>50</v>
      </c>
      <c r="H688" s="1" t="str" cm="1">
        <f t="array" ref="H688">_xlfn.IFS( OR(G688=" ",NOT(ISNUMBER(G688))),"Unknown",G688&lt;=33,"Low Spender",G688&lt;=66,"Medium Spender",TRUE, "High Spender")</f>
        <v>Medium Spender</v>
      </c>
      <c r="I688" s="1">
        <v>79</v>
      </c>
      <c r="J688" s="1">
        <v>7000</v>
      </c>
      <c r="K688" s="1">
        <v>4</v>
      </c>
      <c r="M688" s="1" t="s">
        <v>30</v>
      </c>
      <c r="N688" s="1" t="str">
        <f t="shared" si="20"/>
        <v>Higher</v>
      </c>
      <c r="O688" s="1" t="str">
        <f t="shared" si="21"/>
        <v>Senior | Medium Spender | Higher</v>
      </c>
    </row>
    <row r="689" spans="1:15" x14ac:dyDescent="0.25">
      <c r="A689" s="1" t="s">
        <v>719</v>
      </c>
      <c r="B689" s="1">
        <v>36</v>
      </c>
      <c r="C689" s="1" t="str" cm="1">
        <f t="array" ref="C689">_xlfn.IFS(OR(B689=" ", B689="NA",NOT(ISNUMBER(B689))), "Unknown",B689&lt;18,"Underage",B689&lt;=24,"Young Adult",B689&lt;=34,"Early Career",B689&lt;=44,"Mid Career",B689&lt;=54,"Mature",B689&lt;=65,"Pre-Senior",B689&gt;65,"Senior")</f>
        <v>Mid Career</v>
      </c>
      <c r="D689" s="1" t="s">
        <v>12</v>
      </c>
      <c r="E689" s="1" t="s">
        <v>49</v>
      </c>
      <c r="F689" s="1">
        <v>1575000</v>
      </c>
      <c r="G689" s="1">
        <v>27</v>
      </c>
      <c r="H689" s="1" t="str" cm="1">
        <f t="array" ref="H689">_xlfn.IFS( OR(G689=" ",NOT(ISNUMBER(G689))),"Unknown",G689&lt;=33,"Low Spender",G689&lt;=66,"Medium Spender",TRUE, "High Spender")</f>
        <v>Low Spender</v>
      </c>
      <c r="I689" s="1">
        <v>38</v>
      </c>
      <c r="J689" s="1">
        <v>7600</v>
      </c>
      <c r="K689" s="1">
        <v>119</v>
      </c>
      <c r="L689" s="1" t="s">
        <v>37</v>
      </c>
      <c r="M689" s="1" t="s">
        <v>32</v>
      </c>
      <c r="N689" s="1" t="str">
        <f t="shared" si="20"/>
        <v>Lower</v>
      </c>
      <c r="O689" s="1" t="str">
        <f t="shared" si="21"/>
        <v>Mid Career | Low Spender | Lower</v>
      </c>
    </row>
    <row r="690" spans="1:15" x14ac:dyDescent="0.25">
      <c r="A690" s="1" t="s">
        <v>720</v>
      </c>
      <c r="B690" s="1">
        <v>64</v>
      </c>
      <c r="C690" s="1" t="str" cm="1">
        <f t="array" ref="C690">_xlfn.IFS(OR(B690=" ", B690="NA",NOT(ISNUMBER(B690))), "Unknown",B690&lt;18,"Underage",B690&lt;=24,"Young Adult",B690&lt;=34,"Early Career",B690&lt;=44,"Mid Career",B690&lt;=54,"Mature",B690&lt;=65,"Pre-Senior",B690&gt;65,"Senior")</f>
        <v>Pre-Senior</v>
      </c>
      <c r="D690" s="1" t="s">
        <v>12</v>
      </c>
      <c r="E690" s="1" t="s">
        <v>19</v>
      </c>
      <c r="F690" s="1">
        <v>1700000</v>
      </c>
      <c r="G690" s="1">
        <v>25</v>
      </c>
      <c r="H690" s="1" t="str" cm="1">
        <f t="array" ref="H690">_xlfn.IFS( OR(G690=" ",NOT(ISNUMBER(G690))),"Unknown",G690&lt;=33,"Low Spender",G690&lt;=66,"Medium Spender",TRUE, "High Spender")</f>
        <v>Low Spender</v>
      </c>
      <c r="I690" s="1">
        <v>22</v>
      </c>
      <c r="J690" s="1">
        <v>10500</v>
      </c>
      <c r="K690" s="1">
        <v>273</v>
      </c>
      <c r="L690" s="1" t="s">
        <v>16</v>
      </c>
      <c r="N690" s="1" t="str">
        <f t="shared" si="20"/>
        <v>Lower</v>
      </c>
      <c r="O690" s="1" t="str">
        <f t="shared" si="21"/>
        <v>Pre-Senior | Low Spender | Lower</v>
      </c>
    </row>
    <row r="691" spans="1:15" x14ac:dyDescent="0.25">
      <c r="A691" s="1" t="s">
        <v>721</v>
      </c>
      <c r="B691" s="1">
        <v>33</v>
      </c>
      <c r="C691" s="1" t="str" cm="1">
        <f t="array" ref="C691">_xlfn.IFS(OR(B691=" ", B691="NA",NOT(ISNUMBER(B691))), "Unknown",B691&lt;18,"Underage",B691&lt;=24,"Young Adult",B691&lt;=34,"Early Career",B691&lt;=44,"Mid Career",B691&lt;=54,"Mature",B691&lt;=65,"Pre-Senior",B691&gt;65,"Senior")</f>
        <v>Early Career</v>
      </c>
      <c r="D691" s="1" t="s">
        <v>29</v>
      </c>
      <c r="F691" s="1">
        <v>825000</v>
      </c>
      <c r="G691" s="1">
        <v>52</v>
      </c>
      <c r="H691" s="1" t="str" cm="1">
        <f t="array" ref="H691">_xlfn.IFS( OR(G691=" ",NOT(ISNUMBER(G691))),"Unknown",G691&lt;=33,"Low Spender",G691&lt;=66,"Medium Spender",TRUE, "High Spender")</f>
        <v>Medium Spender</v>
      </c>
      <c r="I691" s="1">
        <v>61</v>
      </c>
      <c r="J691" s="1">
        <v>9900</v>
      </c>
      <c r="K691" s="1">
        <v>226</v>
      </c>
      <c r="L691" s="1" t="s">
        <v>37</v>
      </c>
      <c r="M691" s="1" t="s">
        <v>41</v>
      </c>
      <c r="N691" s="1" t="str">
        <f t="shared" si="20"/>
        <v>Higher</v>
      </c>
      <c r="O691" s="1" t="str">
        <f t="shared" si="21"/>
        <v>Early Career | Medium Spender | Higher</v>
      </c>
    </row>
    <row r="692" spans="1:15" x14ac:dyDescent="0.25">
      <c r="A692" s="1" t="s">
        <v>722</v>
      </c>
      <c r="C692" s="1" t="str" cm="1">
        <f t="array" ref="C692">_xlfn.IFS(OR(B692=" ", B692="NA",NOT(ISNUMBER(B692))), "Unknown",B692&lt;18,"Underage",B692&lt;=24,"Young Adult",B692&lt;=34,"Early Career",B692&lt;=44,"Mid Career",B692&lt;=54,"Mature",B692&lt;=65,"Pre-Senior",B692&gt;65,"Senior")</f>
        <v>Unknown</v>
      </c>
      <c r="E692" s="1" t="s">
        <v>58</v>
      </c>
      <c r="F692" s="1">
        <v>1750000</v>
      </c>
      <c r="G692" s="1">
        <v>68</v>
      </c>
      <c r="H692" s="1" t="str" cm="1">
        <f t="array" ref="H692">_xlfn.IFS( OR(G692=" ",NOT(ISNUMBER(G692))),"Unknown",G692&lt;=33,"Low Spender",G692&lt;=66,"Medium Spender",TRUE, "High Spender")</f>
        <v>High Spender</v>
      </c>
      <c r="I692" s="1">
        <v>50</v>
      </c>
      <c r="J692" s="1">
        <v>10400</v>
      </c>
      <c r="K692" s="1">
        <v>352</v>
      </c>
      <c r="L692" s="1" t="s">
        <v>16</v>
      </c>
      <c r="M692" s="1" t="s">
        <v>21</v>
      </c>
      <c r="N692" s="1" t="str">
        <f t="shared" si="20"/>
        <v>Lower</v>
      </c>
      <c r="O692" s="1" t="str">
        <f t="shared" si="21"/>
        <v>Unknown | High Spender | Lower</v>
      </c>
    </row>
    <row r="693" spans="1:15" x14ac:dyDescent="0.25">
      <c r="A693" s="1" t="s">
        <v>723</v>
      </c>
      <c r="B693" s="1">
        <v>22</v>
      </c>
      <c r="C693" s="1" t="str" cm="1">
        <f t="array" ref="C693">_xlfn.IFS(OR(B693=" ", B693="NA",NOT(ISNUMBER(B693))), "Unknown",B693&lt;18,"Underage",B693&lt;=24,"Young Adult",B693&lt;=34,"Early Career",B693&lt;=44,"Mid Career",B693&lt;=54,"Mature",B693&lt;=65,"Pre-Senior",B693&gt;65,"Senior")</f>
        <v>Young Adult</v>
      </c>
      <c r="E693" s="1" t="s">
        <v>15</v>
      </c>
      <c r="F693" s="1">
        <v>1225000</v>
      </c>
      <c r="G693" s="1">
        <v>21</v>
      </c>
      <c r="H693" s="1" t="str" cm="1">
        <f t="array" ref="H693">_xlfn.IFS( OR(G693=" ",NOT(ISNUMBER(G693))),"Unknown",G693&lt;=33,"Low Spender",G693&lt;=66,"Medium Spender",TRUE, "High Spender")</f>
        <v>Low Spender</v>
      </c>
      <c r="I693" s="1">
        <v>59</v>
      </c>
      <c r="J693" s="1">
        <v>1000</v>
      </c>
      <c r="K693" s="1">
        <v>70</v>
      </c>
      <c r="L693" s="1" t="s">
        <v>20</v>
      </c>
      <c r="M693" s="1" t="s">
        <v>30</v>
      </c>
      <c r="N693" s="1" t="str">
        <f t="shared" si="20"/>
        <v>Lower</v>
      </c>
      <c r="O693" s="1" t="str">
        <f t="shared" si="21"/>
        <v>Young Adult | Low Spender | Lower</v>
      </c>
    </row>
    <row r="694" spans="1:15" x14ac:dyDescent="0.25">
      <c r="A694" s="1" t="s">
        <v>724</v>
      </c>
      <c r="B694" s="1">
        <v>52</v>
      </c>
      <c r="C694" s="1" t="str" cm="1">
        <f t="array" ref="C694">_xlfn.IFS(OR(B694=" ", B694="NA",NOT(ISNUMBER(B694))), "Unknown",B694&lt;18,"Underage",B694&lt;=24,"Young Adult",B694&lt;=34,"Early Career",B694&lt;=44,"Mid Career",B694&lt;=54,"Mature",B694&lt;=65,"Pre-Senior",B694&gt;65,"Senior")</f>
        <v>Mature</v>
      </c>
      <c r="D694" s="1" t="s">
        <v>18</v>
      </c>
      <c r="E694" s="1" t="s">
        <v>49</v>
      </c>
      <c r="F694" s="1">
        <v>1200000</v>
      </c>
      <c r="G694" s="1">
        <v>18</v>
      </c>
      <c r="H694" s="1" t="str" cm="1">
        <f t="array" ref="H694">_xlfn.IFS( OR(G694=" ",NOT(ISNUMBER(G694))),"Unknown",G694&lt;=33,"Low Spender",G694&lt;=66,"Medium Spender",TRUE, "High Spender")</f>
        <v>Low Spender</v>
      </c>
      <c r="I694" s="1">
        <v>20</v>
      </c>
      <c r="J694" s="1">
        <v>5100</v>
      </c>
      <c r="K694" s="1">
        <v>182</v>
      </c>
      <c r="L694" s="1" t="s">
        <v>20</v>
      </c>
      <c r="M694" s="1" t="s">
        <v>21</v>
      </c>
      <c r="N694" s="1" t="str">
        <f t="shared" si="20"/>
        <v>Higher</v>
      </c>
      <c r="O694" s="1" t="str">
        <f t="shared" si="21"/>
        <v>Mature | Low Spender | Higher</v>
      </c>
    </row>
    <row r="695" spans="1:15" x14ac:dyDescent="0.25">
      <c r="A695" s="1" t="s">
        <v>725</v>
      </c>
      <c r="B695" s="1">
        <v>29</v>
      </c>
      <c r="C695" s="1" t="str" cm="1">
        <f t="array" ref="C695">_xlfn.IFS(OR(B695=" ", B695="NA",NOT(ISNUMBER(B695))), "Unknown",B695&lt;18,"Underage",B695&lt;=24,"Young Adult",B695&lt;=34,"Early Career",B695&lt;=44,"Mid Career",B695&lt;=54,"Mature",B695&lt;=65,"Pre-Senior",B695&gt;65,"Senior")</f>
        <v>Early Career</v>
      </c>
      <c r="D695" s="1" t="s">
        <v>29</v>
      </c>
      <c r="E695" s="1" t="s">
        <v>15</v>
      </c>
      <c r="F695" s="1">
        <v>1050000</v>
      </c>
      <c r="G695" s="1">
        <v>39</v>
      </c>
      <c r="H695" s="1" t="str" cm="1">
        <f t="array" ref="H695">_xlfn.IFS( OR(G695=" ",NOT(ISNUMBER(G695))),"Unknown",G695&lt;=33,"Low Spender",G695&lt;=66,"Medium Spender",TRUE, "High Spender")</f>
        <v>Medium Spender</v>
      </c>
      <c r="I695" s="1">
        <v>36</v>
      </c>
      <c r="J695" s="1">
        <v>2600</v>
      </c>
      <c r="K695" s="1">
        <v>353</v>
      </c>
      <c r="L695" s="1" t="s">
        <v>37</v>
      </c>
      <c r="M695" s="1" t="s">
        <v>30</v>
      </c>
      <c r="N695" s="1" t="str">
        <f t="shared" si="20"/>
        <v>Higher</v>
      </c>
      <c r="O695" s="1" t="str">
        <f t="shared" si="21"/>
        <v>Early Career | Medium Spender | Higher</v>
      </c>
    </row>
    <row r="696" spans="1:15" x14ac:dyDescent="0.25">
      <c r="A696" s="1" t="s">
        <v>726</v>
      </c>
      <c r="B696" s="1">
        <v>42</v>
      </c>
      <c r="C696" s="1" t="str" cm="1">
        <f t="array" ref="C696">_xlfn.IFS(OR(B696=" ", B696="NA",NOT(ISNUMBER(B696))), "Unknown",B696&lt;18,"Underage",B696&lt;=24,"Young Adult",B696&lt;=34,"Early Career",B696&lt;=44,"Mid Career",B696&lt;=54,"Mature",B696&lt;=65,"Pre-Senior",B696&gt;65,"Senior")</f>
        <v>Mid Career</v>
      </c>
      <c r="D696" s="1" t="s">
        <v>12</v>
      </c>
      <c r="E696" s="1" t="s">
        <v>34</v>
      </c>
      <c r="F696" s="1">
        <v>1775000</v>
      </c>
      <c r="G696" s="1">
        <v>15</v>
      </c>
      <c r="H696" s="1" t="str" cm="1">
        <f t="array" ref="H696">_xlfn.IFS( OR(G696=" ",NOT(ISNUMBER(G696))),"Unknown",G696&lt;=33,"Low Spender",G696&lt;=66,"Medium Spender",TRUE, "High Spender")</f>
        <v>Low Spender</v>
      </c>
      <c r="I696" s="1">
        <v>15</v>
      </c>
      <c r="J696" s="1">
        <v>10500</v>
      </c>
      <c r="K696" s="1">
        <v>264</v>
      </c>
      <c r="L696" s="1" t="s">
        <v>20</v>
      </c>
      <c r="M696" s="1" t="s">
        <v>30</v>
      </c>
      <c r="N696" s="1" t="str">
        <f t="shared" si="20"/>
        <v>Lower</v>
      </c>
      <c r="O696" s="1" t="str">
        <f t="shared" si="21"/>
        <v>Mid Career | Low Spender | Lower</v>
      </c>
    </row>
    <row r="697" spans="1:15" x14ac:dyDescent="0.25">
      <c r="A697" s="1" t="s">
        <v>727</v>
      </c>
      <c r="B697" s="1">
        <v>69</v>
      </c>
      <c r="C697" s="1" t="str" cm="1">
        <f t="array" ref="C697">_xlfn.IFS(OR(B697=" ", B697="NA",NOT(ISNUMBER(B697))), "Unknown",B697&lt;18,"Underage",B697&lt;=24,"Young Adult",B697&lt;=34,"Early Career",B697&lt;=44,"Mid Career",B697&lt;=54,"Mature",B697&lt;=65,"Pre-Senior",B697&gt;65,"Senior")</f>
        <v>Senior</v>
      </c>
      <c r="E697" s="1" t="s">
        <v>27</v>
      </c>
      <c r="F697" s="1">
        <v>550000</v>
      </c>
      <c r="G697" s="1">
        <v>53</v>
      </c>
      <c r="H697" s="1" t="str" cm="1">
        <f t="array" ref="H697">_xlfn.IFS( OR(G697=" ",NOT(ISNUMBER(G697))),"Unknown",G697&lt;=33,"Low Spender",G697&lt;=66,"Medium Spender",TRUE, "High Spender")</f>
        <v>Medium Spender</v>
      </c>
      <c r="I697" s="1">
        <v>62</v>
      </c>
      <c r="J697" s="1">
        <v>3500</v>
      </c>
      <c r="K697" s="1">
        <v>181</v>
      </c>
      <c r="M697" s="1" t="s">
        <v>30</v>
      </c>
      <c r="N697" s="1" t="str">
        <f t="shared" si="20"/>
        <v>Lower</v>
      </c>
      <c r="O697" s="1" t="str">
        <f t="shared" si="21"/>
        <v>Senior | Medium Spender | Lower</v>
      </c>
    </row>
    <row r="698" spans="1:15" x14ac:dyDescent="0.25">
      <c r="A698" s="1" t="s">
        <v>728</v>
      </c>
      <c r="B698" s="1">
        <v>38</v>
      </c>
      <c r="C698" s="1" t="str" cm="1">
        <f t="array" ref="C698">_xlfn.IFS(OR(B698=" ", B698="NA",NOT(ISNUMBER(B698))), "Unknown",B698&lt;18,"Underage",B698&lt;=24,"Young Adult",B698&lt;=34,"Early Career",B698&lt;=44,"Mid Career",B698&lt;=54,"Mature",B698&lt;=65,"Pre-Senior",B698&gt;65,"Senior")</f>
        <v>Mid Career</v>
      </c>
      <c r="D698" s="1" t="s">
        <v>18</v>
      </c>
      <c r="E698" s="1" t="s">
        <v>49</v>
      </c>
      <c r="F698" s="1">
        <v>1125000</v>
      </c>
      <c r="G698" s="1">
        <v>38</v>
      </c>
      <c r="H698" s="1" t="str" cm="1">
        <f t="array" ref="H698">_xlfn.IFS( OR(G698=" ",NOT(ISNUMBER(G698))),"Unknown",G698&lt;=33,"Low Spender",G698&lt;=66,"Medium Spender",TRUE, "High Spender")</f>
        <v>Medium Spender</v>
      </c>
      <c r="I698" s="1">
        <v>3</v>
      </c>
      <c r="J698" s="1">
        <v>10700</v>
      </c>
      <c r="K698" s="1">
        <v>5</v>
      </c>
      <c r="L698" s="1" t="s">
        <v>16</v>
      </c>
      <c r="M698" s="1" t="s">
        <v>21</v>
      </c>
      <c r="N698" s="1" t="str">
        <f t="shared" si="20"/>
        <v>Higher</v>
      </c>
      <c r="O698" s="1" t="str">
        <f t="shared" si="21"/>
        <v>Mid Career | Medium Spender | Higher</v>
      </c>
    </row>
    <row r="699" spans="1:15" x14ac:dyDescent="0.25">
      <c r="A699" s="1" t="s">
        <v>729</v>
      </c>
      <c r="B699" s="1">
        <v>53</v>
      </c>
      <c r="C699" s="1" t="str" cm="1">
        <f t="array" ref="C699">_xlfn.IFS(OR(B699=" ", B699="NA",NOT(ISNUMBER(B699))), "Unknown",B699&lt;18,"Underage",B699&lt;=24,"Young Adult",B699&lt;=34,"Early Career",B699&lt;=44,"Mid Career",B699&lt;=54,"Mature",B699&lt;=65,"Pre-Senior",B699&gt;65,"Senior")</f>
        <v>Mature</v>
      </c>
      <c r="D699" s="1" t="s">
        <v>12</v>
      </c>
      <c r="F699" s="1">
        <v>1075000</v>
      </c>
      <c r="G699" s="1">
        <v>48</v>
      </c>
      <c r="H699" s="1" t="str" cm="1">
        <f t="array" ref="H699">_xlfn.IFS( OR(G699=" ",NOT(ISNUMBER(G699))),"Unknown",G699&lt;=33,"Low Spender",G699&lt;=66,"Medium Spender",TRUE, "High Spender")</f>
        <v>Medium Spender</v>
      </c>
      <c r="I699" s="1">
        <v>5</v>
      </c>
      <c r="J699" s="1">
        <v>10900</v>
      </c>
      <c r="K699" s="1">
        <v>197</v>
      </c>
      <c r="L699" s="1" t="s">
        <v>35</v>
      </c>
      <c r="N699" s="1" t="str">
        <f t="shared" si="20"/>
        <v>Lower</v>
      </c>
      <c r="O699" s="1" t="str">
        <f t="shared" si="21"/>
        <v>Mature | Medium Spender | Lower</v>
      </c>
    </row>
    <row r="700" spans="1:15" x14ac:dyDescent="0.25">
      <c r="A700" s="1" t="s">
        <v>730</v>
      </c>
      <c r="C700" s="1" t="str" cm="1">
        <f t="array" ref="C700">_xlfn.IFS(OR(B700=" ", B700="NA",NOT(ISNUMBER(B700))), "Unknown",B700&lt;18,"Underage",B700&lt;=24,"Young Adult",B700&lt;=34,"Early Career",B700&lt;=44,"Mid Career",B700&lt;=54,"Mature",B700&lt;=65,"Pre-Senior",B700&gt;65,"Senior")</f>
        <v>Unknown</v>
      </c>
      <c r="D700" s="1" t="s">
        <v>12</v>
      </c>
      <c r="E700" s="1" t="s">
        <v>19</v>
      </c>
      <c r="F700" s="1">
        <v>1650000</v>
      </c>
      <c r="G700" s="1">
        <v>52</v>
      </c>
      <c r="H700" s="1" t="str" cm="1">
        <f t="array" ref="H700">_xlfn.IFS( OR(G700=" ",NOT(ISNUMBER(G700))),"Unknown",G700&lt;=33,"Low Spender",G700&lt;=66,"Medium Spender",TRUE, "High Spender")</f>
        <v>Medium Spender</v>
      </c>
      <c r="I700" s="1">
        <v>56</v>
      </c>
      <c r="J700" s="1">
        <v>2100</v>
      </c>
      <c r="K700" s="1">
        <v>47</v>
      </c>
      <c r="L700" s="1" t="s">
        <v>35</v>
      </c>
      <c r="M700" s="1" t="s">
        <v>41</v>
      </c>
      <c r="N700" s="1" t="str">
        <f t="shared" si="20"/>
        <v>Lower</v>
      </c>
      <c r="O700" s="1" t="str">
        <f t="shared" si="21"/>
        <v>Unknown | Medium Spender | Lower</v>
      </c>
    </row>
    <row r="701" spans="1:15" x14ac:dyDescent="0.25">
      <c r="A701" s="1" t="s">
        <v>731</v>
      </c>
      <c r="B701" s="1">
        <v>40</v>
      </c>
      <c r="C701" s="1" t="str" cm="1">
        <f t="array" ref="C701">_xlfn.IFS(OR(B701=" ", B701="NA",NOT(ISNUMBER(B701))), "Unknown",B701&lt;18,"Underage",B701&lt;=24,"Young Adult",B701&lt;=34,"Early Career",B701&lt;=44,"Mid Career",B701&lt;=54,"Mature",B701&lt;=65,"Pre-Senior",B701&gt;65,"Senior")</f>
        <v>Mid Career</v>
      </c>
      <c r="D701" s="1" t="s">
        <v>29</v>
      </c>
      <c r="E701" s="1" t="s">
        <v>23</v>
      </c>
      <c r="F701" s="1">
        <v>350000</v>
      </c>
      <c r="G701" s="1">
        <v>88</v>
      </c>
      <c r="H701" s="1" t="str" cm="1">
        <f t="array" ref="H701">_xlfn.IFS( OR(G701=" ",NOT(ISNUMBER(G701))),"Unknown",G701&lt;=33,"Low Spender",G701&lt;=66,"Medium Spender",TRUE, "High Spender")</f>
        <v>High Spender</v>
      </c>
      <c r="I701" s="1">
        <v>31</v>
      </c>
      <c r="J701" s="1">
        <v>400</v>
      </c>
      <c r="K701" s="1">
        <v>40</v>
      </c>
      <c r="L701" s="1" t="s">
        <v>20</v>
      </c>
      <c r="N701" s="1" t="str">
        <f t="shared" si="20"/>
        <v>Higher</v>
      </c>
      <c r="O701" s="1" t="str">
        <f t="shared" si="21"/>
        <v>Mid Career | High Spender | Higher</v>
      </c>
    </row>
    <row r="702" spans="1:15" x14ac:dyDescent="0.25">
      <c r="A702" s="1" t="s">
        <v>732</v>
      </c>
      <c r="B702" s="1">
        <v>33</v>
      </c>
      <c r="C702" s="1" t="str" cm="1">
        <f t="array" ref="C702">_xlfn.IFS(OR(B702=" ", B702="NA",NOT(ISNUMBER(B702))), "Unknown",B702&lt;18,"Underage",B702&lt;=24,"Young Adult",B702&lt;=34,"Early Career",B702&lt;=44,"Mid Career",B702&lt;=54,"Mature",B702&lt;=65,"Pre-Senior",B702&gt;65,"Senior")</f>
        <v>Early Career</v>
      </c>
      <c r="D702" s="1" t="s">
        <v>29</v>
      </c>
      <c r="F702" s="1" t="s">
        <v>25</v>
      </c>
      <c r="G702" s="1">
        <v>72</v>
      </c>
      <c r="H702" s="1" t="str" cm="1">
        <f t="array" ref="H702">_xlfn.IFS( OR(G702=" ",NOT(ISNUMBER(G702))),"Unknown",G702&lt;=33,"Low Spender",G702&lt;=66,"Medium Spender",TRUE, "High Spender")</f>
        <v>High Spender</v>
      </c>
      <c r="I702" s="1">
        <v>35</v>
      </c>
      <c r="J702" s="1">
        <v>5700</v>
      </c>
      <c r="K702" s="1">
        <v>122</v>
      </c>
      <c r="L702" s="1" t="s">
        <v>16</v>
      </c>
      <c r="M702" s="1" t="s">
        <v>32</v>
      </c>
      <c r="N702" s="1" t="str">
        <f t="shared" si="20"/>
        <v>Higher</v>
      </c>
      <c r="O702" s="1" t="str">
        <f t="shared" si="21"/>
        <v>Early Career | High Spender | Higher</v>
      </c>
    </row>
    <row r="703" spans="1:15" x14ac:dyDescent="0.25">
      <c r="A703" s="1" t="s">
        <v>733</v>
      </c>
      <c r="B703" s="1">
        <v>56</v>
      </c>
      <c r="C703" s="1" t="str" cm="1">
        <f t="array" ref="C703">_xlfn.IFS(OR(B703=" ", B703="NA",NOT(ISNUMBER(B703))), "Unknown",B703&lt;18,"Underage",B703&lt;=24,"Young Adult",B703&lt;=34,"Early Career",B703&lt;=44,"Mid Career",B703&lt;=54,"Mature",B703&lt;=65,"Pre-Senior",B703&gt;65,"Senior")</f>
        <v>Pre-Senior</v>
      </c>
      <c r="D703" s="1" t="s">
        <v>12</v>
      </c>
      <c r="E703" s="1" t="s">
        <v>34</v>
      </c>
      <c r="G703" s="1">
        <v>28</v>
      </c>
      <c r="H703" s="1" t="str" cm="1">
        <f t="array" ref="H703">_xlfn.IFS( OR(G703=" ",NOT(ISNUMBER(G703))),"Unknown",G703&lt;=33,"Low Spender",G703&lt;=66,"Medium Spender",TRUE, "High Spender")</f>
        <v>Low Spender</v>
      </c>
      <c r="I703" s="1">
        <v>71</v>
      </c>
      <c r="J703" s="1">
        <v>1300</v>
      </c>
      <c r="K703" s="1">
        <v>135</v>
      </c>
      <c r="M703" s="1" t="s">
        <v>32</v>
      </c>
      <c r="N703" s="1" t="str">
        <f t="shared" si="20"/>
        <v>Lower</v>
      </c>
      <c r="O703" s="1" t="str">
        <f t="shared" si="21"/>
        <v>Pre-Senior | Low Spender | Lower</v>
      </c>
    </row>
    <row r="704" spans="1:15" x14ac:dyDescent="0.25">
      <c r="A704" s="1" t="s">
        <v>734</v>
      </c>
      <c r="B704" s="1">
        <v>62</v>
      </c>
      <c r="C704" s="1" t="str" cm="1">
        <f t="array" ref="C704">_xlfn.IFS(OR(B704=" ", B704="NA",NOT(ISNUMBER(B704))), "Unknown",B704&lt;18,"Underage",B704&lt;=24,"Young Adult",B704&lt;=34,"Early Career",B704&lt;=44,"Mid Career",B704&lt;=54,"Mature",B704&lt;=65,"Pre-Senior",B704&gt;65,"Senior")</f>
        <v>Pre-Senior</v>
      </c>
      <c r="D704" s="1" t="s">
        <v>18</v>
      </c>
      <c r="E704" s="1" t="s">
        <v>27</v>
      </c>
      <c r="F704" s="1">
        <v>1650000</v>
      </c>
      <c r="G704" s="1">
        <v>85</v>
      </c>
      <c r="H704" s="1" t="str" cm="1">
        <f t="array" ref="H704">_xlfn.IFS( OR(G704=" ",NOT(ISNUMBER(G704))),"Unknown",G704&lt;=33,"Low Spender",G704&lt;=66,"Medium Spender",TRUE, "High Spender")</f>
        <v>High Spender</v>
      </c>
      <c r="I704" s="1">
        <v>70</v>
      </c>
      <c r="J704" s="1">
        <v>10100</v>
      </c>
      <c r="K704" s="1">
        <v>140</v>
      </c>
      <c r="L704" s="1" t="s">
        <v>35</v>
      </c>
      <c r="N704" s="1" t="str">
        <f t="shared" si="20"/>
        <v>Higher</v>
      </c>
      <c r="O704" s="1" t="str">
        <f t="shared" si="21"/>
        <v>Pre-Senior | High Spender | Higher</v>
      </c>
    </row>
    <row r="705" spans="1:15" x14ac:dyDescent="0.25">
      <c r="A705" s="1" t="s">
        <v>735</v>
      </c>
      <c r="C705" s="1" t="str" cm="1">
        <f t="array" ref="C705">_xlfn.IFS(OR(B705=" ", B705="NA",NOT(ISNUMBER(B705))), "Unknown",B705&lt;18,"Underage",B705&lt;=24,"Young Adult",B705&lt;=34,"Early Career",B705&lt;=44,"Mid Career",B705&lt;=54,"Mature",B705&lt;=65,"Pre-Senior",B705&gt;65,"Senior")</f>
        <v>Unknown</v>
      </c>
      <c r="D705" s="1" t="s">
        <v>12</v>
      </c>
      <c r="F705" s="1">
        <v>525000</v>
      </c>
      <c r="G705" s="1">
        <v>16</v>
      </c>
      <c r="H705" s="1" t="str" cm="1">
        <f t="array" ref="H705">_xlfn.IFS( OR(G705=" ",NOT(ISNUMBER(G705))),"Unknown",G705&lt;=33,"Low Spender",G705&lt;=66,"Medium Spender",TRUE, "High Spender")</f>
        <v>Low Spender</v>
      </c>
      <c r="I705" s="1">
        <v>26</v>
      </c>
      <c r="J705" s="1">
        <v>1900</v>
      </c>
      <c r="K705" s="1">
        <v>350</v>
      </c>
      <c r="M705" s="1" t="s">
        <v>41</v>
      </c>
      <c r="N705" s="1" t="str">
        <f t="shared" si="20"/>
        <v>Lower</v>
      </c>
      <c r="O705" s="1" t="str">
        <f t="shared" si="21"/>
        <v>Unknown | Low Spender | Lower</v>
      </c>
    </row>
    <row r="706" spans="1:15" x14ac:dyDescent="0.25">
      <c r="A706" s="1" t="s">
        <v>736</v>
      </c>
      <c r="B706" s="1">
        <v>59</v>
      </c>
      <c r="C706" s="1" t="str" cm="1">
        <f t="array" ref="C706">_xlfn.IFS(OR(B706=" ", B706="NA",NOT(ISNUMBER(B706))), "Unknown",B706&lt;18,"Underage",B706&lt;=24,"Young Adult",B706&lt;=34,"Early Career",B706&lt;=44,"Mid Career",B706&lt;=54,"Mature",B706&lt;=65,"Pre-Senior",B706&gt;65,"Senior")</f>
        <v>Pre-Senior</v>
      </c>
      <c r="E706" s="1" t="s">
        <v>58</v>
      </c>
      <c r="F706" s="1">
        <v>175000</v>
      </c>
      <c r="G706" s="1">
        <v>16</v>
      </c>
      <c r="H706" s="1" t="str" cm="1">
        <f t="array" ref="H706">_xlfn.IFS( OR(G706=" ",NOT(ISNUMBER(G706))),"Unknown",G706&lt;=33,"Low Spender",G706&lt;=66,"Medium Spender",TRUE, "High Spender")</f>
        <v>Low Spender</v>
      </c>
      <c r="I706" s="1">
        <v>1</v>
      </c>
      <c r="J706" s="1">
        <v>4400</v>
      </c>
      <c r="K706" s="1">
        <v>153</v>
      </c>
      <c r="M706" s="1" t="s">
        <v>41</v>
      </c>
      <c r="N706" s="1" t="str">
        <f t="shared" ref="N706:N769" si="22">IF(OR(UPPER(TRIM(D706))="Male",UPPER(TRIM(D706))="Female"),"Higher","Lower")</f>
        <v>Lower</v>
      </c>
      <c r="O706" s="1" t="str">
        <f t="shared" ref="O706:O769" si="23">_xlfn.TEXTJOIN(" | ", TRUE, C706, H706, N706)</f>
        <v>Pre-Senior | Low Spender | Lower</v>
      </c>
    </row>
    <row r="707" spans="1:15" x14ac:dyDescent="0.25">
      <c r="A707" s="1" t="s">
        <v>737</v>
      </c>
      <c r="B707" s="1">
        <v>56</v>
      </c>
      <c r="C707" s="1" t="str" cm="1">
        <f t="array" ref="C707">_xlfn.IFS(OR(B707=" ", B707="NA",NOT(ISNUMBER(B707))), "Unknown",B707&lt;18,"Underage",B707&lt;=24,"Young Adult",B707&lt;=34,"Early Career",B707&lt;=44,"Mid Career",B707&lt;=54,"Mature",B707&lt;=65,"Pre-Senior",B707&gt;65,"Senior")</f>
        <v>Pre-Senior</v>
      </c>
      <c r="D707" s="1" t="s">
        <v>12</v>
      </c>
      <c r="E707" s="1" t="s">
        <v>15</v>
      </c>
      <c r="F707" s="1">
        <v>1925000</v>
      </c>
      <c r="G707" s="1">
        <v>35</v>
      </c>
      <c r="H707" s="1" t="str" cm="1">
        <f t="array" ref="H707">_xlfn.IFS( OR(G707=" ",NOT(ISNUMBER(G707))),"Unknown",G707&lt;=33,"Low Spender",G707&lt;=66,"Medium Spender",TRUE, "High Spender")</f>
        <v>Medium Spender</v>
      </c>
      <c r="I707" s="1">
        <v>7</v>
      </c>
      <c r="J707" s="1">
        <v>6300</v>
      </c>
      <c r="K707" s="1">
        <v>28</v>
      </c>
      <c r="L707" s="1" t="s">
        <v>35</v>
      </c>
      <c r="M707" s="1" t="s">
        <v>30</v>
      </c>
      <c r="N707" s="1" t="str">
        <f t="shared" si="22"/>
        <v>Lower</v>
      </c>
      <c r="O707" s="1" t="str">
        <f t="shared" si="23"/>
        <v>Pre-Senior | Medium Spender | Lower</v>
      </c>
    </row>
    <row r="708" spans="1:15" x14ac:dyDescent="0.25">
      <c r="A708" s="1" t="s">
        <v>738</v>
      </c>
      <c r="B708" s="1">
        <v>31</v>
      </c>
      <c r="C708" s="1" t="str" cm="1">
        <f t="array" ref="C708">_xlfn.IFS(OR(B708=" ", B708="NA",NOT(ISNUMBER(B708))), "Unknown",B708&lt;18,"Underage",B708&lt;=24,"Young Adult",B708&lt;=34,"Early Career",B708&lt;=44,"Mid Career",B708&lt;=54,"Mature",B708&lt;=65,"Pre-Senior",B708&gt;65,"Senior")</f>
        <v>Early Career</v>
      </c>
      <c r="D708" s="1" t="s">
        <v>29</v>
      </c>
      <c r="E708" s="1" t="s">
        <v>34</v>
      </c>
      <c r="F708" s="1">
        <v>1200000</v>
      </c>
      <c r="G708" s="1">
        <v>17</v>
      </c>
      <c r="H708" s="1" t="str" cm="1">
        <f t="array" ref="H708">_xlfn.IFS( OR(G708=" ",NOT(ISNUMBER(G708))),"Unknown",G708&lt;=33,"Low Spender",G708&lt;=66,"Medium Spender",TRUE, "High Spender")</f>
        <v>Low Spender</v>
      </c>
      <c r="I708" s="1">
        <v>36</v>
      </c>
      <c r="J708" s="1">
        <v>500</v>
      </c>
      <c r="K708" s="1">
        <v>77</v>
      </c>
      <c r="L708" s="1" t="s">
        <v>35</v>
      </c>
      <c r="M708" s="1" t="s">
        <v>30</v>
      </c>
      <c r="N708" s="1" t="str">
        <f t="shared" si="22"/>
        <v>Higher</v>
      </c>
      <c r="O708" s="1" t="str">
        <f t="shared" si="23"/>
        <v>Early Career | Low Spender | Higher</v>
      </c>
    </row>
    <row r="709" spans="1:15" x14ac:dyDescent="0.25">
      <c r="A709" s="1" t="s">
        <v>739</v>
      </c>
      <c r="B709" s="1">
        <v>48</v>
      </c>
      <c r="C709" s="1" t="str" cm="1">
        <f t="array" ref="C709">_xlfn.IFS(OR(B709=" ", B709="NA",NOT(ISNUMBER(B709))), "Unknown",B709&lt;18,"Underage",B709&lt;=24,"Young Adult",B709&lt;=34,"Early Career",B709&lt;=44,"Mid Career",B709&lt;=54,"Mature",B709&lt;=65,"Pre-Senior",B709&gt;65,"Senior")</f>
        <v>Mature</v>
      </c>
      <c r="E709" s="1" t="s">
        <v>23</v>
      </c>
      <c r="F709" s="1">
        <v>1175000</v>
      </c>
      <c r="G709" s="1">
        <v>73</v>
      </c>
      <c r="H709" s="1" t="str" cm="1">
        <f t="array" ref="H709">_xlfn.IFS( OR(G709=" ",NOT(ISNUMBER(G709))),"Unknown",G709&lt;=33,"Low Spender",G709&lt;=66,"Medium Spender",TRUE, "High Spender")</f>
        <v>High Spender</v>
      </c>
      <c r="I709" s="1">
        <v>76</v>
      </c>
      <c r="J709" s="1">
        <v>8800</v>
      </c>
      <c r="K709" s="1">
        <v>175</v>
      </c>
      <c r="L709" s="1" t="s">
        <v>20</v>
      </c>
      <c r="M709" s="1" t="s">
        <v>32</v>
      </c>
      <c r="N709" s="1" t="str">
        <f t="shared" si="22"/>
        <v>Lower</v>
      </c>
      <c r="O709" s="1" t="str">
        <f t="shared" si="23"/>
        <v>Mature | High Spender | Lower</v>
      </c>
    </row>
    <row r="710" spans="1:15" x14ac:dyDescent="0.25">
      <c r="A710" s="1" t="s">
        <v>740</v>
      </c>
      <c r="B710" s="1">
        <v>22</v>
      </c>
      <c r="C710" s="1" t="str" cm="1">
        <f t="array" ref="C710">_xlfn.IFS(OR(B710=" ", B710="NA",NOT(ISNUMBER(B710))), "Unknown",B710&lt;18,"Underage",B710&lt;=24,"Young Adult",B710&lt;=34,"Early Career",B710&lt;=44,"Mid Career",B710&lt;=54,"Mature",B710&lt;=65,"Pre-Senior",B710&gt;65,"Senior")</f>
        <v>Young Adult</v>
      </c>
      <c r="D710" s="1" t="s">
        <v>29</v>
      </c>
      <c r="E710" s="1" t="s">
        <v>58</v>
      </c>
      <c r="F710" s="1" t="s">
        <v>25</v>
      </c>
      <c r="G710" s="1">
        <v>99</v>
      </c>
      <c r="H710" s="1" t="str" cm="1">
        <f t="array" ref="H710">_xlfn.IFS( OR(G710=" ",NOT(ISNUMBER(G710))),"Unknown",G710&lt;=33,"Low Spender",G710&lt;=66,"Medium Spender",TRUE, "High Spender")</f>
        <v>High Spender</v>
      </c>
      <c r="I710" s="1">
        <v>25</v>
      </c>
      <c r="J710" s="1">
        <v>3700</v>
      </c>
      <c r="K710" s="1">
        <v>49</v>
      </c>
      <c r="L710" s="1" t="s">
        <v>16</v>
      </c>
      <c r="M710" s="1" t="s">
        <v>30</v>
      </c>
      <c r="N710" s="1" t="str">
        <f t="shared" si="22"/>
        <v>Higher</v>
      </c>
      <c r="O710" s="1" t="str">
        <f t="shared" si="23"/>
        <v>Young Adult | High Spender | Higher</v>
      </c>
    </row>
    <row r="711" spans="1:15" x14ac:dyDescent="0.25">
      <c r="A711" s="1" t="s">
        <v>741</v>
      </c>
      <c r="B711" s="1">
        <v>52</v>
      </c>
      <c r="C711" s="1" t="str" cm="1">
        <f t="array" ref="C711">_xlfn.IFS(OR(B711=" ", B711="NA",NOT(ISNUMBER(B711))), "Unknown",B711&lt;18,"Underage",B711&lt;=24,"Young Adult",B711&lt;=34,"Early Career",B711&lt;=44,"Mid Career",B711&lt;=54,"Mature",B711&lt;=65,"Pre-Senior",B711&gt;65,"Senior")</f>
        <v>Mature</v>
      </c>
      <c r="D711" s="1" t="s">
        <v>29</v>
      </c>
      <c r="F711" s="1">
        <v>1550000</v>
      </c>
      <c r="G711" s="1">
        <v>52</v>
      </c>
      <c r="H711" s="1" t="str" cm="1">
        <f t="array" ref="H711">_xlfn.IFS( OR(G711=" ",NOT(ISNUMBER(G711))),"Unknown",G711&lt;=33,"Low Spender",G711&lt;=66,"Medium Spender",TRUE, "High Spender")</f>
        <v>Medium Spender</v>
      </c>
      <c r="I711" s="1">
        <v>59</v>
      </c>
      <c r="J711" s="1">
        <v>8700</v>
      </c>
      <c r="K711" s="1">
        <v>342</v>
      </c>
      <c r="L711" s="1" t="s">
        <v>37</v>
      </c>
      <c r="M711" s="1" t="s">
        <v>30</v>
      </c>
      <c r="N711" s="1" t="str">
        <f t="shared" si="22"/>
        <v>Higher</v>
      </c>
      <c r="O711" s="1" t="str">
        <f t="shared" si="23"/>
        <v>Mature | Medium Spender | Higher</v>
      </c>
    </row>
    <row r="712" spans="1:15" x14ac:dyDescent="0.25">
      <c r="A712" s="1" t="s">
        <v>742</v>
      </c>
      <c r="B712" s="1">
        <v>40</v>
      </c>
      <c r="C712" s="1" t="str" cm="1">
        <f t="array" ref="C712">_xlfn.IFS(OR(B712=" ", B712="NA",NOT(ISNUMBER(B712))), "Unknown",B712&lt;18,"Underage",B712&lt;=24,"Young Adult",B712&lt;=34,"Early Career",B712&lt;=44,"Mid Career",B712&lt;=54,"Mature",B712&lt;=65,"Pre-Senior",B712&gt;65,"Senior")</f>
        <v>Mid Career</v>
      </c>
      <c r="D712" s="1" t="s">
        <v>18</v>
      </c>
      <c r="E712" s="1" t="s">
        <v>23</v>
      </c>
      <c r="F712" s="1">
        <v>1800000</v>
      </c>
      <c r="G712" s="1">
        <v>93</v>
      </c>
      <c r="H712" s="1" t="str" cm="1">
        <f t="array" ref="H712">_xlfn.IFS( OR(G712=" ",NOT(ISNUMBER(G712))),"Unknown",G712&lt;=33,"Low Spender",G712&lt;=66,"Medium Spender",TRUE, "High Spender")</f>
        <v>High Spender</v>
      </c>
      <c r="I712" s="1">
        <v>61</v>
      </c>
      <c r="J712" s="1">
        <v>9100</v>
      </c>
      <c r="K712" s="1">
        <v>310</v>
      </c>
      <c r="L712" s="1" t="s">
        <v>16</v>
      </c>
      <c r="M712" s="1" t="s">
        <v>41</v>
      </c>
      <c r="N712" s="1" t="str">
        <f t="shared" si="22"/>
        <v>Higher</v>
      </c>
      <c r="O712" s="1" t="str">
        <f t="shared" si="23"/>
        <v>Mid Career | High Spender | Higher</v>
      </c>
    </row>
    <row r="713" spans="1:15" x14ac:dyDescent="0.25">
      <c r="A713" s="1" t="s">
        <v>743</v>
      </c>
      <c r="B713" s="1">
        <v>46</v>
      </c>
      <c r="C713" s="1" t="str" cm="1">
        <f t="array" ref="C713">_xlfn.IFS(OR(B713=" ", B713="NA",NOT(ISNUMBER(B713))), "Unknown",B713&lt;18,"Underage",B713&lt;=24,"Young Adult",B713&lt;=34,"Early Career",B713&lt;=44,"Mid Career",B713&lt;=54,"Mature",B713&lt;=65,"Pre-Senior",B713&gt;65,"Senior")</f>
        <v>Mature</v>
      </c>
      <c r="D713" s="1" t="s">
        <v>18</v>
      </c>
      <c r="E713" s="1" t="s">
        <v>19</v>
      </c>
      <c r="F713" s="1">
        <v>875000</v>
      </c>
      <c r="G713" s="1">
        <v>82</v>
      </c>
      <c r="H713" s="1" t="str" cm="1">
        <f t="array" ref="H713">_xlfn.IFS( OR(G713=" ",NOT(ISNUMBER(G713))),"Unknown",G713&lt;=33,"Low Spender",G713&lt;=66,"Medium Spender",TRUE, "High Spender")</f>
        <v>High Spender</v>
      </c>
      <c r="I713" s="1">
        <v>29</v>
      </c>
      <c r="J713" s="1">
        <v>10500</v>
      </c>
      <c r="K713" s="1">
        <v>274</v>
      </c>
      <c r="L713" s="1" t="s">
        <v>37</v>
      </c>
      <c r="M713" s="1" t="s">
        <v>21</v>
      </c>
      <c r="N713" s="1" t="str">
        <f t="shared" si="22"/>
        <v>Higher</v>
      </c>
      <c r="O713" s="1" t="str">
        <f t="shared" si="23"/>
        <v>Mature | High Spender | Higher</v>
      </c>
    </row>
    <row r="714" spans="1:15" x14ac:dyDescent="0.25">
      <c r="A714" s="1" t="s">
        <v>744</v>
      </c>
      <c r="B714" s="1">
        <v>60</v>
      </c>
      <c r="C714" s="1" t="str" cm="1">
        <f t="array" ref="C714">_xlfn.IFS(OR(B714=" ", B714="NA",NOT(ISNUMBER(B714))), "Unknown",B714&lt;18,"Underage",B714&lt;=24,"Young Adult",B714&lt;=34,"Early Career",B714&lt;=44,"Mid Career",B714&lt;=54,"Mature",B714&lt;=65,"Pre-Senior",B714&gt;65,"Senior")</f>
        <v>Pre-Senior</v>
      </c>
      <c r="D714" s="1" t="s">
        <v>12</v>
      </c>
      <c r="E714" s="1" t="s">
        <v>15</v>
      </c>
      <c r="F714" s="1">
        <v>450000</v>
      </c>
      <c r="G714" s="1">
        <v>12</v>
      </c>
      <c r="H714" s="1" t="str" cm="1">
        <f t="array" ref="H714">_xlfn.IFS( OR(G714=" ",NOT(ISNUMBER(G714))),"Unknown",G714&lt;=33,"Low Spender",G714&lt;=66,"Medium Spender",TRUE, "High Spender")</f>
        <v>Low Spender</v>
      </c>
      <c r="I714" s="1">
        <v>18</v>
      </c>
      <c r="J714" s="1">
        <v>6800</v>
      </c>
      <c r="K714" s="1">
        <v>27</v>
      </c>
      <c r="L714" s="1" t="s">
        <v>35</v>
      </c>
      <c r="N714" s="1" t="str">
        <f t="shared" si="22"/>
        <v>Lower</v>
      </c>
      <c r="O714" s="1" t="str">
        <f t="shared" si="23"/>
        <v>Pre-Senior | Low Spender | Lower</v>
      </c>
    </row>
    <row r="715" spans="1:15" x14ac:dyDescent="0.25">
      <c r="A715" s="1" t="s">
        <v>745</v>
      </c>
      <c r="B715" s="1">
        <v>28</v>
      </c>
      <c r="C715" s="1" t="str" cm="1">
        <f t="array" ref="C715">_xlfn.IFS(OR(B715=" ", B715="NA",NOT(ISNUMBER(B715))), "Unknown",B715&lt;18,"Underage",B715&lt;=24,"Young Adult",B715&lt;=34,"Early Career",B715&lt;=44,"Mid Career",B715&lt;=54,"Mature",B715&lt;=65,"Pre-Senior",B715&gt;65,"Senior")</f>
        <v>Early Career</v>
      </c>
      <c r="D715" s="1" t="s">
        <v>29</v>
      </c>
      <c r="F715" s="1">
        <v>600000</v>
      </c>
      <c r="G715" s="1">
        <v>83</v>
      </c>
      <c r="H715" s="1" t="str" cm="1">
        <f t="array" ref="H715">_xlfn.IFS( OR(G715=" ",NOT(ISNUMBER(G715))),"Unknown",G715&lt;=33,"Low Spender",G715&lt;=66,"Medium Spender",TRUE, "High Spender")</f>
        <v>High Spender</v>
      </c>
      <c r="I715" s="1">
        <v>41</v>
      </c>
      <c r="J715" s="1">
        <v>300</v>
      </c>
      <c r="K715" s="1">
        <v>328</v>
      </c>
      <c r="N715" s="1" t="str">
        <f t="shared" si="22"/>
        <v>Higher</v>
      </c>
      <c r="O715" s="1" t="str">
        <f t="shared" si="23"/>
        <v>Early Career | High Spender | Higher</v>
      </c>
    </row>
    <row r="716" spans="1:15" x14ac:dyDescent="0.25">
      <c r="A716" s="1" t="s">
        <v>746</v>
      </c>
      <c r="B716" s="1">
        <v>35</v>
      </c>
      <c r="C716" s="1" t="str" cm="1">
        <f t="array" ref="C716">_xlfn.IFS(OR(B716=" ", B716="NA",NOT(ISNUMBER(B716))), "Unknown",B716&lt;18,"Underage",B716&lt;=24,"Young Adult",B716&lt;=34,"Early Career",B716&lt;=44,"Mid Career",B716&lt;=54,"Mature",B716&lt;=65,"Pre-Senior",B716&gt;65,"Senior")</f>
        <v>Mid Career</v>
      </c>
      <c r="D716" s="1" t="s">
        <v>18</v>
      </c>
      <c r="E716" s="1" t="s">
        <v>49</v>
      </c>
      <c r="F716" s="1">
        <v>300000</v>
      </c>
      <c r="G716" s="1">
        <v>48</v>
      </c>
      <c r="H716" s="1" t="str" cm="1">
        <f t="array" ref="H716">_xlfn.IFS( OR(G716=" ",NOT(ISNUMBER(G716))),"Unknown",G716&lt;=33,"Low Spender",G716&lt;=66,"Medium Spender",TRUE, "High Spender")</f>
        <v>Medium Spender</v>
      </c>
      <c r="I716" s="1">
        <v>19</v>
      </c>
      <c r="J716" s="1">
        <v>900</v>
      </c>
      <c r="K716" s="1">
        <v>221</v>
      </c>
      <c r="L716" s="1" t="s">
        <v>16</v>
      </c>
      <c r="N716" s="1" t="str">
        <f t="shared" si="22"/>
        <v>Higher</v>
      </c>
      <c r="O716" s="1" t="str">
        <f t="shared" si="23"/>
        <v>Mid Career | Medium Spender | Higher</v>
      </c>
    </row>
    <row r="717" spans="1:15" x14ac:dyDescent="0.25">
      <c r="A717" s="1" t="s">
        <v>747</v>
      </c>
      <c r="B717" s="1">
        <v>64</v>
      </c>
      <c r="C717" s="1" t="str" cm="1">
        <f t="array" ref="C717">_xlfn.IFS(OR(B717=" ", B717="NA",NOT(ISNUMBER(B717))), "Unknown",B717&lt;18,"Underage",B717&lt;=24,"Young Adult",B717&lt;=34,"Early Career",B717&lt;=44,"Mid Career",B717&lt;=54,"Mature",B717&lt;=65,"Pre-Senior",B717&gt;65,"Senior")</f>
        <v>Pre-Senior</v>
      </c>
      <c r="D717" s="1" t="s">
        <v>29</v>
      </c>
      <c r="E717" s="1" t="s">
        <v>34</v>
      </c>
      <c r="F717" s="1">
        <v>350000</v>
      </c>
      <c r="G717" s="1">
        <v>22</v>
      </c>
      <c r="H717" s="1" t="str" cm="1">
        <f t="array" ref="H717">_xlfn.IFS( OR(G717=" ",NOT(ISNUMBER(G717))),"Unknown",G717&lt;=33,"Low Spender",G717&lt;=66,"Medium Spender",TRUE, "High Spender")</f>
        <v>Low Spender</v>
      </c>
      <c r="I717" s="1">
        <v>4</v>
      </c>
      <c r="J717" s="1">
        <v>2200</v>
      </c>
      <c r="K717" s="1">
        <v>122</v>
      </c>
      <c r="M717" s="1" t="s">
        <v>30</v>
      </c>
      <c r="N717" s="1" t="str">
        <f t="shared" si="22"/>
        <v>Higher</v>
      </c>
      <c r="O717" s="1" t="str">
        <f t="shared" si="23"/>
        <v>Pre-Senior | Low Spender | Higher</v>
      </c>
    </row>
    <row r="718" spans="1:15" x14ac:dyDescent="0.25">
      <c r="A718" s="1" t="s">
        <v>748</v>
      </c>
      <c r="B718" s="1">
        <v>29</v>
      </c>
      <c r="C718" s="1" t="str" cm="1">
        <f t="array" ref="C718">_xlfn.IFS(OR(B718=" ", B718="NA",NOT(ISNUMBER(B718))), "Unknown",B718&lt;18,"Underage",B718&lt;=24,"Young Adult",B718&lt;=34,"Early Career",B718&lt;=44,"Mid Career",B718&lt;=54,"Mature",B718&lt;=65,"Pre-Senior",B718&gt;65,"Senior")</f>
        <v>Early Career</v>
      </c>
      <c r="D718" s="1" t="s">
        <v>12</v>
      </c>
      <c r="E718" s="1" t="s">
        <v>49</v>
      </c>
      <c r="F718" s="1">
        <v>1475000</v>
      </c>
      <c r="G718" s="1">
        <v>49</v>
      </c>
      <c r="H718" s="1" t="str" cm="1">
        <f t="array" ref="H718">_xlfn.IFS( OR(G718=" ",NOT(ISNUMBER(G718))),"Unknown",G718&lt;=33,"Low Spender",G718&lt;=66,"Medium Spender",TRUE, "High Spender")</f>
        <v>Medium Spender</v>
      </c>
      <c r="I718" s="1">
        <v>65</v>
      </c>
      <c r="J718" s="1">
        <v>4500</v>
      </c>
      <c r="K718" s="1">
        <v>361</v>
      </c>
      <c r="L718" s="1" t="s">
        <v>16</v>
      </c>
      <c r="M718" s="1" t="s">
        <v>30</v>
      </c>
      <c r="N718" s="1" t="str">
        <f t="shared" si="22"/>
        <v>Lower</v>
      </c>
      <c r="O718" s="1" t="str">
        <f t="shared" si="23"/>
        <v>Early Career | Medium Spender | Lower</v>
      </c>
    </row>
    <row r="719" spans="1:15" x14ac:dyDescent="0.25">
      <c r="A719" s="1" t="s">
        <v>749</v>
      </c>
      <c r="B719" s="1">
        <v>26</v>
      </c>
      <c r="C719" s="1" t="str" cm="1">
        <f t="array" ref="C719">_xlfn.IFS(OR(B719=" ", B719="NA",NOT(ISNUMBER(B719))), "Unknown",B719&lt;18,"Underage",B719&lt;=24,"Young Adult",B719&lt;=34,"Early Career",B719&lt;=44,"Mid Career",B719&lt;=54,"Mature",B719&lt;=65,"Pre-Senior",B719&gt;65,"Senior")</f>
        <v>Early Career</v>
      </c>
      <c r="E719" s="1" t="s">
        <v>58</v>
      </c>
      <c r="F719" s="1">
        <v>1650000</v>
      </c>
      <c r="G719" s="1">
        <v>52</v>
      </c>
      <c r="H719" s="1" t="str" cm="1">
        <f t="array" ref="H719">_xlfn.IFS( OR(G719=" ",NOT(ISNUMBER(G719))),"Unknown",G719&lt;=33,"Low Spender",G719&lt;=66,"Medium Spender",TRUE, "High Spender")</f>
        <v>Medium Spender</v>
      </c>
      <c r="I719" s="1">
        <v>41</v>
      </c>
      <c r="K719" s="1">
        <v>69</v>
      </c>
      <c r="N719" s="1" t="str">
        <f t="shared" si="22"/>
        <v>Lower</v>
      </c>
      <c r="O719" s="1" t="str">
        <f t="shared" si="23"/>
        <v>Early Career | Medium Spender | Lower</v>
      </c>
    </row>
    <row r="720" spans="1:15" x14ac:dyDescent="0.25">
      <c r="A720" s="1" t="s">
        <v>750</v>
      </c>
      <c r="B720" s="1">
        <v>27</v>
      </c>
      <c r="C720" s="1" t="str" cm="1">
        <f t="array" ref="C720">_xlfn.IFS(OR(B720=" ", B720="NA",NOT(ISNUMBER(B720))), "Unknown",B720&lt;18,"Underage",B720&lt;=24,"Young Adult",B720&lt;=34,"Early Career",B720&lt;=44,"Mid Career",B720&lt;=54,"Mature",B720&lt;=65,"Pre-Senior",B720&gt;65,"Senior")</f>
        <v>Early Career</v>
      </c>
      <c r="E720" s="1" t="s">
        <v>49</v>
      </c>
      <c r="F720" s="1">
        <v>175000</v>
      </c>
      <c r="G720" s="1">
        <v>79</v>
      </c>
      <c r="H720" s="1" t="str" cm="1">
        <f t="array" ref="H720">_xlfn.IFS( OR(G720=" ",NOT(ISNUMBER(G720))),"Unknown",G720&lt;=33,"Low Spender",G720&lt;=66,"Medium Spender",TRUE, "High Spender")</f>
        <v>High Spender</v>
      </c>
      <c r="I720" s="1">
        <v>15</v>
      </c>
      <c r="J720" s="1">
        <v>800</v>
      </c>
      <c r="K720" s="1">
        <v>71</v>
      </c>
      <c r="L720" s="1" t="s">
        <v>16</v>
      </c>
      <c r="N720" s="1" t="str">
        <f t="shared" si="22"/>
        <v>Lower</v>
      </c>
      <c r="O720" s="1" t="str">
        <f t="shared" si="23"/>
        <v>Early Career | High Spender | Lower</v>
      </c>
    </row>
    <row r="721" spans="1:15" x14ac:dyDescent="0.25">
      <c r="A721" s="1" t="s">
        <v>751</v>
      </c>
      <c r="B721" s="1">
        <v>61</v>
      </c>
      <c r="C721" s="1" t="str" cm="1">
        <f t="array" ref="C721">_xlfn.IFS(OR(B721=" ", B721="NA",NOT(ISNUMBER(B721))), "Unknown",B721&lt;18,"Underage",B721&lt;=24,"Young Adult",B721&lt;=34,"Early Career",B721&lt;=44,"Mid Career",B721&lt;=54,"Mature",B721&lt;=65,"Pre-Senior",B721&gt;65,"Senior")</f>
        <v>Pre-Senior</v>
      </c>
      <c r="D721" s="1" t="s">
        <v>18</v>
      </c>
      <c r="F721" s="1">
        <v>1375000</v>
      </c>
      <c r="G721" s="1">
        <v>1</v>
      </c>
      <c r="H721" s="1" t="str" cm="1">
        <f t="array" ref="H721">_xlfn.IFS( OR(G721=" ",NOT(ISNUMBER(G721))),"Unknown",G721&lt;=33,"Low Spender",G721&lt;=66,"Medium Spender",TRUE, "High Spender")</f>
        <v>Low Spender</v>
      </c>
      <c r="I721" s="1">
        <v>54</v>
      </c>
      <c r="J721" s="1">
        <v>5700</v>
      </c>
      <c r="K721" s="1">
        <v>150</v>
      </c>
      <c r="M721" s="1" t="s">
        <v>41</v>
      </c>
      <c r="N721" s="1" t="str">
        <f t="shared" si="22"/>
        <v>Higher</v>
      </c>
      <c r="O721" s="1" t="str">
        <f t="shared" si="23"/>
        <v>Pre-Senior | Low Spender | Higher</v>
      </c>
    </row>
    <row r="722" spans="1:15" x14ac:dyDescent="0.25">
      <c r="A722" s="1" t="s">
        <v>752</v>
      </c>
      <c r="B722" s="1">
        <v>34</v>
      </c>
      <c r="C722" s="1" t="str" cm="1">
        <f t="array" ref="C722">_xlfn.IFS(OR(B722=" ", B722="NA",NOT(ISNUMBER(B722))), "Unknown",B722&lt;18,"Underage",B722&lt;=24,"Young Adult",B722&lt;=34,"Early Career",B722&lt;=44,"Mid Career",B722&lt;=54,"Mature",B722&lt;=65,"Pre-Senior",B722&gt;65,"Senior")</f>
        <v>Early Career</v>
      </c>
      <c r="D722" s="1" t="s">
        <v>12</v>
      </c>
      <c r="E722" s="1" t="s">
        <v>13</v>
      </c>
      <c r="G722" s="1">
        <v>66</v>
      </c>
      <c r="H722" s="1" t="str" cm="1">
        <f t="array" ref="H722">_xlfn.IFS( OR(G722=" ",NOT(ISNUMBER(G722))),"Unknown",G722&lt;=33,"Low Spender",G722&lt;=66,"Medium Spender",TRUE, "High Spender")</f>
        <v>Medium Spender</v>
      </c>
      <c r="I722" s="1">
        <v>64</v>
      </c>
      <c r="J722" s="1">
        <v>10200</v>
      </c>
      <c r="K722" s="1">
        <v>187</v>
      </c>
      <c r="N722" s="1" t="str">
        <f t="shared" si="22"/>
        <v>Lower</v>
      </c>
      <c r="O722" s="1" t="str">
        <f t="shared" si="23"/>
        <v>Early Career | Medium Spender | Lower</v>
      </c>
    </row>
    <row r="723" spans="1:15" x14ac:dyDescent="0.25">
      <c r="A723" s="1" t="s">
        <v>753</v>
      </c>
      <c r="B723" s="1">
        <v>55</v>
      </c>
      <c r="C723" s="1" t="str" cm="1">
        <f t="array" ref="C723">_xlfn.IFS(OR(B723=" ", B723="NA",NOT(ISNUMBER(B723))), "Unknown",B723&lt;18,"Underage",B723&lt;=24,"Young Adult",B723&lt;=34,"Early Career",B723&lt;=44,"Mid Career",B723&lt;=54,"Mature",B723&lt;=65,"Pre-Senior",B723&gt;65,"Senior")</f>
        <v>Pre-Senior</v>
      </c>
      <c r="D723" s="1" t="s">
        <v>18</v>
      </c>
      <c r="E723" s="1" t="s">
        <v>58</v>
      </c>
      <c r="F723" s="1">
        <v>900000</v>
      </c>
      <c r="G723" s="1">
        <v>64</v>
      </c>
      <c r="H723" s="1" t="str" cm="1">
        <f t="array" ref="H723">_xlfn.IFS( OR(G723=" ",NOT(ISNUMBER(G723))),"Unknown",G723&lt;=33,"Low Spender",G723&lt;=66,"Medium Spender",TRUE, "High Spender")</f>
        <v>Medium Spender</v>
      </c>
      <c r="I723" s="1">
        <v>72</v>
      </c>
      <c r="J723" s="1">
        <v>11700</v>
      </c>
      <c r="K723" s="1">
        <v>246</v>
      </c>
      <c r="L723" s="1" t="s">
        <v>20</v>
      </c>
      <c r="N723" s="1" t="str">
        <f t="shared" si="22"/>
        <v>Higher</v>
      </c>
      <c r="O723" s="1" t="str">
        <f t="shared" si="23"/>
        <v>Pre-Senior | Medium Spender | Higher</v>
      </c>
    </row>
    <row r="724" spans="1:15" x14ac:dyDescent="0.25">
      <c r="A724" s="1" t="s">
        <v>754</v>
      </c>
      <c r="B724" s="1">
        <v>24</v>
      </c>
      <c r="C724" s="1" t="str" cm="1">
        <f t="array" ref="C724">_xlfn.IFS(OR(B724=" ", B724="NA",NOT(ISNUMBER(B724))), "Unknown",B724&lt;18,"Underage",B724&lt;=24,"Young Adult",B724&lt;=34,"Early Career",B724&lt;=44,"Mid Career",B724&lt;=54,"Mature",B724&lt;=65,"Pre-Senior",B724&gt;65,"Senior")</f>
        <v>Young Adult</v>
      </c>
      <c r="D724" s="1" t="s">
        <v>29</v>
      </c>
      <c r="E724" s="1" t="s">
        <v>15</v>
      </c>
      <c r="F724" s="1">
        <v>950000</v>
      </c>
      <c r="G724" s="1">
        <v>8</v>
      </c>
      <c r="H724" s="1" t="str" cm="1">
        <f t="array" ref="H724">_xlfn.IFS( OR(G724=" ",NOT(ISNUMBER(G724))),"Unknown",G724&lt;=33,"Low Spender",G724&lt;=66,"Medium Spender",TRUE, "High Spender")</f>
        <v>Low Spender</v>
      </c>
      <c r="I724" s="1">
        <v>15</v>
      </c>
      <c r="J724" s="1">
        <v>2300</v>
      </c>
      <c r="K724" s="1">
        <v>196</v>
      </c>
      <c r="L724" s="1" t="s">
        <v>35</v>
      </c>
      <c r="N724" s="1" t="str">
        <f t="shared" si="22"/>
        <v>Higher</v>
      </c>
      <c r="O724" s="1" t="str">
        <f t="shared" si="23"/>
        <v>Young Adult | Low Spender | Higher</v>
      </c>
    </row>
    <row r="725" spans="1:15" x14ac:dyDescent="0.25">
      <c r="A725" s="1" t="s">
        <v>755</v>
      </c>
      <c r="B725" s="1">
        <v>63</v>
      </c>
      <c r="C725" s="1" t="str" cm="1">
        <f t="array" ref="C725">_xlfn.IFS(OR(B725=" ", B725="NA",NOT(ISNUMBER(B725))), "Unknown",B725&lt;18,"Underage",B725&lt;=24,"Young Adult",B725&lt;=34,"Early Career",B725&lt;=44,"Mid Career",B725&lt;=54,"Mature",B725&lt;=65,"Pre-Senior",B725&gt;65,"Senior")</f>
        <v>Pre-Senior</v>
      </c>
      <c r="E725" s="1" t="s">
        <v>23</v>
      </c>
      <c r="F725" s="1">
        <v>400000</v>
      </c>
      <c r="G725" s="1">
        <v>86</v>
      </c>
      <c r="H725" s="1" t="str" cm="1">
        <f t="array" ref="H725">_xlfn.IFS( OR(G725=" ",NOT(ISNUMBER(G725))),"Unknown",G725&lt;=33,"Low Spender",G725&lt;=66,"Medium Spender",TRUE, "High Spender")</f>
        <v>High Spender</v>
      </c>
      <c r="I725" s="1">
        <v>79</v>
      </c>
      <c r="J725" s="1">
        <v>5300</v>
      </c>
      <c r="K725" s="1">
        <v>32</v>
      </c>
      <c r="L725" s="1" t="s">
        <v>20</v>
      </c>
      <c r="M725" s="1" t="s">
        <v>30</v>
      </c>
      <c r="N725" s="1" t="str">
        <f t="shared" si="22"/>
        <v>Lower</v>
      </c>
      <c r="O725" s="1" t="str">
        <f t="shared" si="23"/>
        <v>Pre-Senior | High Spender | Lower</v>
      </c>
    </row>
    <row r="726" spans="1:15" x14ac:dyDescent="0.25">
      <c r="A726" s="1" t="s">
        <v>756</v>
      </c>
      <c r="B726" s="1">
        <v>30</v>
      </c>
      <c r="C726" s="1" t="str" cm="1">
        <f t="array" ref="C726">_xlfn.IFS(OR(B726=" ", B726="NA",NOT(ISNUMBER(B726))), "Unknown",B726&lt;18,"Underage",B726&lt;=24,"Young Adult",B726&lt;=34,"Early Career",B726&lt;=44,"Mid Career",B726&lt;=54,"Mature",B726&lt;=65,"Pre-Senior",B726&gt;65,"Senior")</f>
        <v>Early Career</v>
      </c>
      <c r="D726" s="1" t="s">
        <v>18</v>
      </c>
      <c r="E726" s="1" t="s">
        <v>15</v>
      </c>
      <c r="F726" s="1">
        <v>950000</v>
      </c>
      <c r="G726" s="1">
        <v>25</v>
      </c>
      <c r="H726" s="1" t="str" cm="1">
        <f t="array" ref="H726">_xlfn.IFS( OR(G726=" ",NOT(ISNUMBER(G726))),"Unknown",G726&lt;=33,"Low Spender",G726&lt;=66,"Medium Spender",TRUE, "High Spender")</f>
        <v>Low Spender</v>
      </c>
      <c r="I726" s="1">
        <v>50</v>
      </c>
      <c r="J726" s="1">
        <v>4800</v>
      </c>
      <c r="K726" s="1">
        <v>109</v>
      </c>
      <c r="L726" s="1" t="s">
        <v>20</v>
      </c>
      <c r="M726" s="1" t="s">
        <v>30</v>
      </c>
      <c r="N726" s="1" t="str">
        <f t="shared" si="22"/>
        <v>Higher</v>
      </c>
      <c r="O726" s="1" t="str">
        <f t="shared" si="23"/>
        <v>Early Career | Low Spender | Higher</v>
      </c>
    </row>
    <row r="727" spans="1:15" x14ac:dyDescent="0.25">
      <c r="A727" s="1" t="s">
        <v>757</v>
      </c>
      <c r="B727" s="1">
        <v>57</v>
      </c>
      <c r="C727" s="1" t="str" cm="1">
        <f t="array" ref="C727">_xlfn.IFS(OR(B727=" ", B727="NA",NOT(ISNUMBER(B727))), "Unknown",B727&lt;18,"Underage",B727&lt;=24,"Young Adult",B727&lt;=34,"Early Career",B727&lt;=44,"Mid Career",B727&lt;=54,"Mature",B727&lt;=65,"Pre-Senior",B727&gt;65,"Senior")</f>
        <v>Pre-Senior</v>
      </c>
      <c r="D727" s="1" t="s">
        <v>29</v>
      </c>
      <c r="E727" s="1" t="s">
        <v>49</v>
      </c>
      <c r="F727" s="1">
        <v>300000</v>
      </c>
      <c r="G727" s="1">
        <v>66</v>
      </c>
      <c r="H727" s="1" t="str" cm="1">
        <f t="array" ref="H727">_xlfn.IFS( OR(G727=" ",NOT(ISNUMBER(G727))),"Unknown",G727&lt;=33,"Low Spender",G727&lt;=66,"Medium Spender",TRUE, "High Spender")</f>
        <v>Medium Spender</v>
      </c>
      <c r="I727" s="1">
        <v>22</v>
      </c>
      <c r="J727" s="1">
        <v>3700</v>
      </c>
      <c r="K727" s="1">
        <v>353</v>
      </c>
      <c r="L727" s="1" t="s">
        <v>16</v>
      </c>
      <c r="N727" s="1" t="str">
        <f t="shared" si="22"/>
        <v>Higher</v>
      </c>
      <c r="O727" s="1" t="str">
        <f t="shared" si="23"/>
        <v>Pre-Senior | Medium Spender | Higher</v>
      </c>
    </row>
    <row r="728" spans="1:15" x14ac:dyDescent="0.25">
      <c r="A728" s="1" t="s">
        <v>758</v>
      </c>
      <c r="B728" s="1">
        <v>59</v>
      </c>
      <c r="C728" s="1" t="str" cm="1">
        <f t="array" ref="C728">_xlfn.IFS(OR(B728=" ", B728="NA",NOT(ISNUMBER(B728))), "Unknown",B728&lt;18,"Underage",B728&lt;=24,"Young Adult",B728&lt;=34,"Early Career",B728&lt;=44,"Mid Career",B728&lt;=54,"Mature",B728&lt;=65,"Pre-Senior",B728&gt;65,"Senior")</f>
        <v>Pre-Senior</v>
      </c>
      <c r="D728" s="1" t="s">
        <v>29</v>
      </c>
      <c r="E728" s="1" t="s">
        <v>27</v>
      </c>
      <c r="F728" s="1">
        <v>900000</v>
      </c>
      <c r="G728" s="1">
        <v>73</v>
      </c>
      <c r="H728" s="1" t="str" cm="1">
        <f t="array" ref="H728">_xlfn.IFS( OR(G728=" ",NOT(ISNUMBER(G728))),"Unknown",G728&lt;=33,"Low Spender",G728&lt;=66,"Medium Spender",TRUE, "High Spender")</f>
        <v>High Spender</v>
      </c>
      <c r="I728" s="1">
        <v>18</v>
      </c>
      <c r="J728" s="1">
        <v>10200</v>
      </c>
      <c r="K728" s="1">
        <v>1</v>
      </c>
      <c r="L728" s="1" t="s">
        <v>35</v>
      </c>
      <c r="N728" s="1" t="str">
        <f t="shared" si="22"/>
        <v>Higher</v>
      </c>
      <c r="O728" s="1" t="str">
        <f t="shared" si="23"/>
        <v>Pre-Senior | High Spender | Higher</v>
      </c>
    </row>
    <row r="729" spans="1:15" x14ac:dyDescent="0.25">
      <c r="A729" s="1" t="s">
        <v>759</v>
      </c>
      <c r="B729" s="1">
        <v>26</v>
      </c>
      <c r="C729" s="1" t="str" cm="1">
        <f t="array" ref="C729">_xlfn.IFS(OR(B729=" ", B729="NA",NOT(ISNUMBER(B729))), "Unknown",B729&lt;18,"Underage",B729&lt;=24,"Young Adult",B729&lt;=34,"Early Career",B729&lt;=44,"Mid Career",B729&lt;=54,"Mature",B729&lt;=65,"Pre-Senior",B729&gt;65,"Senior")</f>
        <v>Early Career</v>
      </c>
      <c r="D729" s="1" t="s">
        <v>18</v>
      </c>
      <c r="E729" s="1" t="s">
        <v>58</v>
      </c>
      <c r="F729" s="1">
        <v>1325000</v>
      </c>
      <c r="G729" s="1">
        <v>73</v>
      </c>
      <c r="H729" s="1" t="str" cm="1">
        <f t="array" ref="H729">_xlfn.IFS( OR(G729=" ",NOT(ISNUMBER(G729))),"Unknown",G729&lt;=33,"Low Spender",G729&lt;=66,"Medium Spender",TRUE, "High Spender")</f>
        <v>High Spender</v>
      </c>
      <c r="J729" s="1">
        <v>1000</v>
      </c>
      <c r="K729" s="1">
        <v>182</v>
      </c>
      <c r="M729" s="1" t="s">
        <v>30</v>
      </c>
      <c r="N729" s="1" t="str">
        <f t="shared" si="22"/>
        <v>Higher</v>
      </c>
      <c r="O729" s="1" t="str">
        <f t="shared" si="23"/>
        <v>Early Career | High Spender | Higher</v>
      </c>
    </row>
    <row r="730" spans="1:15" x14ac:dyDescent="0.25">
      <c r="A730" s="1" t="s">
        <v>760</v>
      </c>
      <c r="B730" s="1">
        <v>67</v>
      </c>
      <c r="C730" s="1" t="str" cm="1">
        <f t="array" ref="C730">_xlfn.IFS(OR(B730=" ", B730="NA",NOT(ISNUMBER(B730))), "Unknown",B730&lt;18,"Underage",B730&lt;=24,"Young Adult",B730&lt;=34,"Early Career",B730&lt;=44,"Mid Career",B730&lt;=54,"Mature",B730&lt;=65,"Pre-Senior",B730&gt;65,"Senior")</f>
        <v>Senior</v>
      </c>
      <c r="E730" s="1" t="s">
        <v>23</v>
      </c>
      <c r="F730" s="1">
        <v>1300000</v>
      </c>
      <c r="G730" s="1">
        <v>77</v>
      </c>
      <c r="H730" s="1" t="str" cm="1">
        <f t="array" ref="H730">_xlfn.IFS( OR(G730=" ",NOT(ISNUMBER(G730))),"Unknown",G730&lt;=33,"Low Spender",G730&lt;=66,"Medium Spender",TRUE, "High Spender")</f>
        <v>High Spender</v>
      </c>
      <c r="I730" s="1">
        <v>2</v>
      </c>
      <c r="J730" s="1">
        <v>11600</v>
      </c>
      <c r="K730" s="1">
        <v>174</v>
      </c>
      <c r="L730" s="1" t="s">
        <v>16</v>
      </c>
      <c r="N730" s="1" t="str">
        <f t="shared" si="22"/>
        <v>Lower</v>
      </c>
      <c r="O730" s="1" t="str">
        <f t="shared" si="23"/>
        <v>Senior | High Spender | Lower</v>
      </c>
    </row>
    <row r="731" spans="1:15" x14ac:dyDescent="0.25">
      <c r="A731" s="1" t="s">
        <v>761</v>
      </c>
      <c r="B731" s="1">
        <v>44</v>
      </c>
      <c r="C731" s="1" t="str" cm="1">
        <f t="array" ref="C731">_xlfn.IFS(OR(B731=" ", B731="NA",NOT(ISNUMBER(B731))), "Unknown",B731&lt;18,"Underage",B731&lt;=24,"Young Adult",B731&lt;=34,"Early Career",B731&lt;=44,"Mid Career",B731&lt;=54,"Mature",B731&lt;=65,"Pre-Senior",B731&gt;65,"Senior")</f>
        <v>Mid Career</v>
      </c>
      <c r="D731" s="1" t="s">
        <v>12</v>
      </c>
      <c r="F731" s="1">
        <v>1450000</v>
      </c>
      <c r="G731" s="1">
        <v>70</v>
      </c>
      <c r="H731" s="1" t="str" cm="1">
        <f t="array" ref="H731">_xlfn.IFS( OR(G731=" ",NOT(ISNUMBER(G731))),"Unknown",G731&lt;=33,"Low Spender",G731&lt;=66,"Medium Spender",TRUE, "High Spender")</f>
        <v>High Spender</v>
      </c>
      <c r="I731" s="1">
        <v>36</v>
      </c>
      <c r="J731" s="1">
        <v>7000</v>
      </c>
      <c r="K731" s="1">
        <v>169</v>
      </c>
      <c r="L731" s="1" t="s">
        <v>37</v>
      </c>
      <c r="N731" s="1" t="str">
        <f t="shared" si="22"/>
        <v>Lower</v>
      </c>
      <c r="O731" s="1" t="str">
        <f t="shared" si="23"/>
        <v>Mid Career | High Spender | Lower</v>
      </c>
    </row>
    <row r="732" spans="1:15" x14ac:dyDescent="0.25">
      <c r="A732" s="1" t="s">
        <v>762</v>
      </c>
      <c r="B732" s="1">
        <v>19</v>
      </c>
      <c r="C732" s="1" t="str" cm="1">
        <f t="array" ref="C732">_xlfn.IFS(OR(B732=" ", B732="NA",NOT(ISNUMBER(B732))), "Unknown",B732&lt;18,"Underage",B732&lt;=24,"Young Adult",B732&lt;=34,"Early Career",B732&lt;=44,"Mid Career",B732&lt;=54,"Mature",B732&lt;=65,"Pre-Senior",B732&gt;65,"Senior")</f>
        <v>Young Adult</v>
      </c>
      <c r="D732" s="1" t="s">
        <v>29</v>
      </c>
      <c r="E732" s="1" t="s">
        <v>19</v>
      </c>
      <c r="F732" s="1">
        <v>600000</v>
      </c>
      <c r="G732" s="1">
        <v>94</v>
      </c>
      <c r="H732" s="1" t="str" cm="1">
        <f t="array" ref="H732">_xlfn.IFS( OR(G732=" ",NOT(ISNUMBER(G732))),"Unknown",G732&lt;=33,"Low Spender",G732&lt;=66,"Medium Spender",TRUE, "High Spender")</f>
        <v>High Spender</v>
      </c>
      <c r="I732" s="1">
        <v>20</v>
      </c>
      <c r="J732" s="1">
        <v>10900</v>
      </c>
      <c r="K732" s="1">
        <v>248</v>
      </c>
      <c r="L732" s="1" t="s">
        <v>16</v>
      </c>
      <c r="M732" s="1" t="s">
        <v>41</v>
      </c>
      <c r="N732" s="1" t="str">
        <f t="shared" si="22"/>
        <v>Higher</v>
      </c>
      <c r="O732" s="1" t="str">
        <f t="shared" si="23"/>
        <v>Young Adult | High Spender | Higher</v>
      </c>
    </row>
    <row r="733" spans="1:15" x14ac:dyDescent="0.25">
      <c r="A733" s="1" t="s">
        <v>763</v>
      </c>
      <c r="B733" s="1">
        <v>22</v>
      </c>
      <c r="C733" s="1" t="str" cm="1">
        <f t="array" ref="C733">_xlfn.IFS(OR(B733=" ", B733="NA",NOT(ISNUMBER(B733))), "Unknown",B733&lt;18,"Underage",B733&lt;=24,"Young Adult",B733&lt;=34,"Early Career",B733&lt;=44,"Mid Career",B733&lt;=54,"Mature",B733&lt;=65,"Pre-Senior",B733&gt;65,"Senior")</f>
        <v>Young Adult</v>
      </c>
      <c r="D733" s="1" t="s">
        <v>12</v>
      </c>
      <c r="E733" s="1" t="s">
        <v>15</v>
      </c>
      <c r="F733" s="1">
        <v>275000</v>
      </c>
      <c r="G733" s="1">
        <v>79</v>
      </c>
      <c r="H733" s="1" t="str" cm="1">
        <f t="array" ref="H733">_xlfn.IFS( OR(G733=" ",NOT(ISNUMBER(G733))),"Unknown",G733&lt;=33,"Low Spender",G733&lt;=66,"Medium Spender",TRUE, "High Spender")</f>
        <v>High Spender</v>
      </c>
      <c r="I733" s="1">
        <v>16</v>
      </c>
      <c r="J733" s="1">
        <v>1800</v>
      </c>
      <c r="K733" s="1">
        <v>108</v>
      </c>
      <c r="M733" s="1" t="s">
        <v>30</v>
      </c>
      <c r="N733" s="1" t="str">
        <f t="shared" si="22"/>
        <v>Lower</v>
      </c>
      <c r="O733" s="1" t="str">
        <f t="shared" si="23"/>
        <v>Young Adult | High Spender | Lower</v>
      </c>
    </row>
    <row r="734" spans="1:15" x14ac:dyDescent="0.25">
      <c r="A734" s="1" t="s">
        <v>764</v>
      </c>
      <c r="B734" s="1">
        <v>46</v>
      </c>
      <c r="C734" s="1" t="str" cm="1">
        <f t="array" ref="C734">_xlfn.IFS(OR(B734=" ", B734="NA",NOT(ISNUMBER(B734))), "Unknown",B734&lt;18,"Underage",B734&lt;=24,"Young Adult",B734&lt;=34,"Early Career",B734&lt;=44,"Mid Career",B734&lt;=54,"Mature",B734&lt;=65,"Pre-Senior",B734&gt;65,"Senior")</f>
        <v>Mature</v>
      </c>
      <c r="E734" s="1" t="s">
        <v>15</v>
      </c>
      <c r="F734" s="1">
        <v>1350000</v>
      </c>
      <c r="G734" s="1">
        <v>51</v>
      </c>
      <c r="H734" s="1" t="str" cm="1">
        <f t="array" ref="H734">_xlfn.IFS( OR(G734=" ",NOT(ISNUMBER(G734))),"Unknown",G734&lt;=33,"Low Spender",G734&lt;=66,"Medium Spender",TRUE, "High Spender")</f>
        <v>Medium Spender</v>
      </c>
      <c r="I734" s="1">
        <v>67</v>
      </c>
      <c r="J734" s="1">
        <v>6900</v>
      </c>
      <c r="K734" s="1">
        <v>297</v>
      </c>
      <c r="M734" s="1" t="s">
        <v>21</v>
      </c>
      <c r="N734" s="1" t="str">
        <f t="shared" si="22"/>
        <v>Lower</v>
      </c>
      <c r="O734" s="1" t="str">
        <f t="shared" si="23"/>
        <v>Mature | Medium Spender | Lower</v>
      </c>
    </row>
    <row r="735" spans="1:15" x14ac:dyDescent="0.25">
      <c r="A735" s="1" t="s">
        <v>765</v>
      </c>
      <c r="B735" s="1">
        <v>54</v>
      </c>
      <c r="C735" s="1" t="str" cm="1">
        <f t="array" ref="C735">_xlfn.IFS(OR(B735=" ", B735="NA",NOT(ISNUMBER(B735))), "Unknown",B735&lt;18,"Underage",B735&lt;=24,"Young Adult",B735&lt;=34,"Early Career",B735&lt;=44,"Mid Career",B735&lt;=54,"Mature",B735&lt;=65,"Pre-Senior",B735&gt;65,"Senior")</f>
        <v>Mature</v>
      </c>
      <c r="D735" s="1" t="s">
        <v>18</v>
      </c>
      <c r="E735" s="1" t="s">
        <v>58</v>
      </c>
      <c r="F735" s="1">
        <v>1950000</v>
      </c>
      <c r="G735" s="1">
        <v>53</v>
      </c>
      <c r="H735" s="1" t="str" cm="1">
        <f t="array" ref="H735">_xlfn.IFS( OR(G735=" ",NOT(ISNUMBER(G735))),"Unknown",G735&lt;=33,"Low Spender",G735&lt;=66,"Medium Spender",TRUE, "High Spender")</f>
        <v>Medium Spender</v>
      </c>
      <c r="I735" s="1">
        <v>30</v>
      </c>
      <c r="J735" s="1">
        <v>7300</v>
      </c>
      <c r="K735" s="1">
        <v>264</v>
      </c>
      <c r="L735" s="1" t="s">
        <v>16</v>
      </c>
      <c r="N735" s="1" t="str">
        <f t="shared" si="22"/>
        <v>Higher</v>
      </c>
      <c r="O735" s="1" t="str">
        <f t="shared" si="23"/>
        <v>Mature | Medium Spender | Higher</v>
      </c>
    </row>
    <row r="736" spans="1:15" x14ac:dyDescent="0.25">
      <c r="A736" s="1" t="s">
        <v>766</v>
      </c>
      <c r="B736" s="1">
        <v>55</v>
      </c>
      <c r="C736" s="1" t="str" cm="1">
        <f t="array" ref="C736">_xlfn.IFS(OR(B736=" ", B736="NA",NOT(ISNUMBER(B736))), "Unknown",B736&lt;18,"Underage",B736&lt;=24,"Young Adult",B736&lt;=34,"Early Career",B736&lt;=44,"Mid Career",B736&lt;=54,"Mature",B736&lt;=65,"Pre-Senior",B736&gt;65,"Senior")</f>
        <v>Pre-Senior</v>
      </c>
      <c r="D736" s="1" t="s">
        <v>29</v>
      </c>
      <c r="E736" s="1" t="s">
        <v>27</v>
      </c>
      <c r="F736" s="1">
        <v>1375000</v>
      </c>
      <c r="G736" s="1">
        <v>15</v>
      </c>
      <c r="H736" s="1" t="str" cm="1">
        <f t="array" ref="H736">_xlfn.IFS( OR(G736=" ",NOT(ISNUMBER(G736))),"Unknown",G736&lt;=33,"Low Spender",G736&lt;=66,"Medium Spender",TRUE, "High Spender")</f>
        <v>Low Spender</v>
      </c>
      <c r="I736" s="1">
        <v>55</v>
      </c>
      <c r="J736" s="1">
        <v>6600</v>
      </c>
      <c r="K736" s="1">
        <v>30</v>
      </c>
      <c r="L736" s="1" t="s">
        <v>37</v>
      </c>
      <c r="M736" s="1" t="s">
        <v>30</v>
      </c>
      <c r="N736" s="1" t="str">
        <f t="shared" si="22"/>
        <v>Higher</v>
      </c>
      <c r="O736" s="1" t="str">
        <f t="shared" si="23"/>
        <v>Pre-Senior | Low Spender | Higher</v>
      </c>
    </row>
    <row r="737" spans="1:15" x14ac:dyDescent="0.25">
      <c r="A737" s="1" t="s">
        <v>767</v>
      </c>
      <c r="B737" s="1">
        <v>36</v>
      </c>
      <c r="C737" s="1" t="str" cm="1">
        <f t="array" ref="C737">_xlfn.IFS(OR(B737=" ", B737="NA",NOT(ISNUMBER(B737))), "Unknown",B737&lt;18,"Underage",B737&lt;=24,"Young Adult",B737&lt;=34,"Early Career",B737&lt;=44,"Mid Career",B737&lt;=54,"Mature",B737&lt;=65,"Pre-Senior",B737&gt;65,"Senior")</f>
        <v>Mid Career</v>
      </c>
      <c r="D737" s="1" t="s">
        <v>18</v>
      </c>
      <c r="E737" s="1" t="s">
        <v>49</v>
      </c>
      <c r="F737" s="1">
        <v>425000</v>
      </c>
      <c r="G737" s="1">
        <v>50</v>
      </c>
      <c r="H737" s="1" t="str" cm="1">
        <f t="array" ref="H737">_xlfn.IFS( OR(G737=" ",NOT(ISNUMBER(G737))),"Unknown",G737&lt;=33,"Low Spender",G737&lt;=66,"Medium Spender",TRUE, "High Spender")</f>
        <v>Medium Spender</v>
      </c>
      <c r="I737" s="1">
        <v>66</v>
      </c>
      <c r="J737" s="1">
        <v>400</v>
      </c>
      <c r="K737" s="1">
        <v>302</v>
      </c>
      <c r="L737" s="1" t="s">
        <v>16</v>
      </c>
      <c r="M737" s="1" t="s">
        <v>41</v>
      </c>
      <c r="N737" s="1" t="str">
        <f t="shared" si="22"/>
        <v>Higher</v>
      </c>
      <c r="O737" s="1" t="str">
        <f t="shared" si="23"/>
        <v>Mid Career | Medium Spender | Higher</v>
      </c>
    </row>
    <row r="738" spans="1:15" x14ac:dyDescent="0.25">
      <c r="A738" s="1" t="s">
        <v>768</v>
      </c>
      <c r="B738" s="1">
        <v>25</v>
      </c>
      <c r="C738" s="1" t="str" cm="1">
        <f t="array" ref="C738">_xlfn.IFS(OR(B738=" ", B738="NA",NOT(ISNUMBER(B738))), "Unknown",B738&lt;18,"Underage",B738&lt;=24,"Young Adult",B738&lt;=34,"Early Career",B738&lt;=44,"Mid Career",B738&lt;=54,"Mature",B738&lt;=65,"Pre-Senior",B738&gt;65,"Senior")</f>
        <v>Early Career</v>
      </c>
      <c r="D738" s="1" t="s">
        <v>29</v>
      </c>
      <c r="E738" s="1" t="s">
        <v>49</v>
      </c>
      <c r="F738" s="1">
        <v>700000</v>
      </c>
      <c r="G738" s="1">
        <v>71</v>
      </c>
      <c r="H738" s="1" t="str" cm="1">
        <f t="array" ref="H738">_xlfn.IFS( OR(G738=" ",NOT(ISNUMBER(G738))),"Unknown",G738&lt;=33,"Low Spender",G738&lt;=66,"Medium Spender",TRUE, "High Spender")</f>
        <v>High Spender</v>
      </c>
      <c r="I738" s="1">
        <v>26</v>
      </c>
      <c r="J738" s="1">
        <v>300</v>
      </c>
      <c r="K738" s="1">
        <v>361</v>
      </c>
      <c r="M738" s="1" t="s">
        <v>41</v>
      </c>
      <c r="N738" s="1" t="str">
        <f t="shared" si="22"/>
        <v>Higher</v>
      </c>
      <c r="O738" s="1" t="str">
        <f t="shared" si="23"/>
        <v>Early Career | High Spender | Higher</v>
      </c>
    </row>
    <row r="739" spans="1:15" x14ac:dyDescent="0.25">
      <c r="A739" s="1" t="s">
        <v>769</v>
      </c>
      <c r="B739" s="1">
        <v>65</v>
      </c>
      <c r="C739" s="1" t="str" cm="1">
        <f t="array" ref="C739">_xlfn.IFS(OR(B739=" ", B739="NA",NOT(ISNUMBER(B739))), "Unknown",B739&lt;18,"Underage",B739&lt;=24,"Young Adult",B739&lt;=34,"Early Career",B739&lt;=44,"Mid Career",B739&lt;=54,"Mature",B739&lt;=65,"Pre-Senior",B739&gt;65,"Senior")</f>
        <v>Pre-Senior</v>
      </c>
      <c r="D739" s="1" t="s">
        <v>12</v>
      </c>
      <c r="E739" s="1" t="s">
        <v>58</v>
      </c>
      <c r="F739" s="1">
        <v>1475000</v>
      </c>
      <c r="G739" s="1">
        <v>75</v>
      </c>
      <c r="H739" s="1" t="str" cm="1">
        <f t="array" ref="H739">_xlfn.IFS( OR(G739=" ",NOT(ISNUMBER(G739))),"Unknown",G739&lt;=33,"Low Spender",G739&lt;=66,"Medium Spender",TRUE, "High Spender")</f>
        <v>High Spender</v>
      </c>
      <c r="I739" s="1">
        <v>57</v>
      </c>
      <c r="J739" s="1">
        <v>6000</v>
      </c>
      <c r="K739" s="1">
        <v>352</v>
      </c>
      <c r="L739" s="1" t="s">
        <v>37</v>
      </c>
      <c r="M739" s="1" t="s">
        <v>30</v>
      </c>
      <c r="N739" s="1" t="str">
        <f t="shared" si="22"/>
        <v>Lower</v>
      </c>
      <c r="O739" s="1" t="str">
        <f t="shared" si="23"/>
        <v>Pre-Senior | High Spender | Lower</v>
      </c>
    </row>
    <row r="740" spans="1:15" x14ac:dyDescent="0.25">
      <c r="A740" s="1" t="s">
        <v>770</v>
      </c>
      <c r="B740" s="1">
        <v>62</v>
      </c>
      <c r="C740" s="1" t="str" cm="1">
        <f t="array" ref="C740">_xlfn.IFS(OR(B740=" ", B740="NA",NOT(ISNUMBER(B740))), "Unknown",B740&lt;18,"Underage",B740&lt;=24,"Young Adult",B740&lt;=34,"Early Career",B740&lt;=44,"Mid Career",B740&lt;=54,"Mature",B740&lt;=65,"Pre-Senior",B740&gt;65,"Senior")</f>
        <v>Pre-Senior</v>
      </c>
      <c r="D740" s="1" t="s">
        <v>29</v>
      </c>
      <c r="E740" s="1" t="s">
        <v>15</v>
      </c>
      <c r="F740" s="1">
        <v>1850000</v>
      </c>
      <c r="G740" s="1">
        <v>38</v>
      </c>
      <c r="H740" s="1" t="str" cm="1">
        <f t="array" ref="H740">_xlfn.IFS( OR(G740=" ",NOT(ISNUMBER(G740))),"Unknown",G740&lt;=33,"Low Spender",G740&lt;=66,"Medium Spender",TRUE, "High Spender")</f>
        <v>Medium Spender</v>
      </c>
      <c r="I740" s="1">
        <v>69</v>
      </c>
      <c r="J740" s="1">
        <v>300</v>
      </c>
      <c r="K740" s="1">
        <v>317</v>
      </c>
      <c r="L740" s="1" t="s">
        <v>35</v>
      </c>
      <c r="M740" s="1" t="s">
        <v>32</v>
      </c>
      <c r="N740" s="1" t="str">
        <f t="shared" si="22"/>
        <v>Higher</v>
      </c>
      <c r="O740" s="1" t="str">
        <f t="shared" si="23"/>
        <v>Pre-Senior | Medium Spender | Higher</v>
      </c>
    </row>
    <row r="741" spans="1:15" x14ac:dyDescent="0.25">
      <c r="A741" s="1" t="s">
        <v>771</v>
      </c>
      <c r="B741" s="1">
        <v>18</v>
      </c>
      <c r="C741" s="1" t="str" cm="1">
        <f t="array" ref="C741">_xlfn.IFS(OR(B741=" ", B741="NA",NOT(ISNUMBER(B741))), "Unknown",B741&lt;18,"Underage",B741&lt;=24,"Young Adult",B741&lt;=34,"Early Career",B741&lt;=44,"Mid Career",B741&lt;=54,"Mature",B741&lt;=65,"Pre-Senior",B741&gt;65,"Senior")</f>
        <v>Young Adult</v>
      </c>
      <c r="D741" s="1" t="s">
        <v>29</v>
      </c>
      <c r="E741" s="1" t="s">
        <v>23</v>
      </c>
      <c r="F741" s="1">
        <v>1600000</v>
      </c>
      <c r="G741" s="1">
        <v>40</v>
      </c>
      <c r="H741" s="1" t="str" cm="1">
        <f t="array" ref="H741">_xlfn.IFS( OR(G741=" ",NOT(ISNUMBER(G741))),"Unknown",G741&lt;=33,"Low Spender",G741&lt;=66,"Medium Spender",TRUE, "High Spender")</f>
        <v>Medium Spender</v>
      </c>
      <c r="I741" s="1">
        <v>2</v>
      </c>
      <c r="J741" s="1">
        <v>10400</v>
      </c>
      <c r="K741" s="1">
        <v>225</v>
      </c>
      <c r="N741" s="1" t="str">
        <f t="shared" si="22"/>
        <v>Higher</v>
      </c>
      <c r="O741" s="1" t="str">
        <f t="shared" si="23"/>
        <v>Young Adult | Medium Spender | Higher</v>
      </c>
    </row>
    <row r="742" spans="1:15" x14ac:dyDescent="0.25">
      <c r="A742" s="1" t="s">
        <v>772</v>
      </c>
      <c r="B742" s="1">
        <v>39</v>
      </c>
      <c r="C742" s="1" t="str" cm="1">
        <f t="array" ref="C742">_xlfn.IFS(OR(B742=" ", B742="NA",NOT(ISNUMBER(B742))), "Unknown",B742&lt;18,"Underage",B742&lt;=24,"Young Adult",B742&lt;=34,"Early Career",B742&lt;=44,"Mid Career",B742&lt;=54,"Mature",B742&lt;=65,"Pre-Senior",B742&gt;65,"Senior")</f>
        <v>Mid Career</v>
      </c>
      <c r="D742" s="1" t="s">
        <v>18</v>
      </c>
      <c r="E742" s="1" t="s">
        <v>19</v>
      </c>
      <c r="F742" s="1">
        <v>1025000</v>
      </c>
      <c r="G742" s="1">
        <v>66</v>
      </c>
      <c r="H742" s="1" t="str" cm="1">
        <f t="array" ref="H742">_xlfn.IFS( OR(G742=" ",NOT(ISNUMBER(G742))),"Unknown",G742&lt;=33,"Low Spender",G742&lt;=66,"Medium Spender",TRUE, "High Spender")</f>
        <v>Medium Spender</v>
      </c>
      <c r="I742" s="1">
        <v>56</v>
      </c>
      <c r="J742" s="1">
        <v>11700</v>
      </c>
      <c r="K742" s="1">
        <v>89</v>
      </c>
      <c r="L742" s="1" t="s">
        <v>16</v>
      </c>
      <c r="N742" s="1" t="str">
        <f t="shared" si="22"/>
        <v>Higher</v>
      </c>
      <c r="O742" s="1" t="str">
        <f t="shared" si="23"/>
        <v>Mid Career | Medium Spender | Higher</v>
      </c>
    </row>
    <row r="743" spans="1:15" x14ac:dyDescent="0.25">
      <c r="A743" s="1" t="s">
        <v>773</v>
      </c>
      <c r="B743" s="1">
        <v>69</v>
      </c>
      <c r="C743" s="1" t="str" cm="1">
        <f t="array" ref="C743">_xlfn.IFS(OR(B743=" ", B743="NA",NOT(ISNUMBER(B743))), "Unknown",B743&lt;18,"Underage",B743&lt;=24,"Young Adult",B743&lt;=34,"Early Career",B743&lt;=44,"Mid Career",B743&lt;=54,"Mature",B743&lt;=65,"Pre-Senior",B743&gt;65,"Senior")</f>
        <v>Senior</v>
      </c>
      <c r="D743" s="1" t="s">
        <v>18</v>
      </c>
      <c r="E743" s="1" t="s">
        <v>58</v>
      </c>
      <c r="F743" s="1">
        <v>200000</v>
      </c>
      <c r="G743" s="1">
        <v>39</v>
      </c>
      <c r="H743" s="1" t="str" cm="1">
        <f t="array" ref="H743">_xlfn.IFS( OR(G743=" ",NOT(ISNUMBER(G743))),"Unknown",G743&lt;=33,"Low Spender",G743&lt;=66,"Medium Spender",TRUE, "High Spender")</f>
        <v>Medium Spender</v>
      </c>
      <c r="I743" s="1">
        <v>62</v>
      </c>
      <c r="J743" s="1">
        <v>900</v>
      </c>
      <c r="K743" s="1">
        <v>234</v>
      </c>
      <c r="L743" s="1" t="s">
        <v>37</v>
      </c>
      <c r="N743" s="1" t="str">
        <f t="shared" si="22"/>
        <v>Higher</v>
      </c>
      <c r="O743" s="1" t="str">
        <f t="shared" si="23"/>
        <v>Senior | Medium Spender | Higher</v>
      </c>
    </row>
    <row r="744" spans="1:15" x14ac:dyDescent="0.25">
      <c r="A744" s="1" t="s">
        <v>774</v>
      </c>
      <c r="B744" s="1">
        <v>34</v>
      </c>
      <c r="C744" s="1" t="str" cm="1">
        <f t="array" ref="C744">_xlfn.IFS(OR(B744=" ", B744="NA",NOT(ISNUMBER(B744))), "Unknown",B744&lt;18,"Underage",B744&lt;=24,"Young Adult",B744&lt;=34,"Early Career",B744&lt;=44,"Mid Career",B744&lt;=54,"Mature",B744&lt;=65,"Pre-Senior",B744&gt;65,"Senior")</f>
        <v>Early Career</v>
      </c>
      <c r="E744" s="1" t="s">
        <v>23</v>
      </c>
      <c r="F744" s="1">
        <v>1575000</v>
      </c>
      <c r="G744" s="1">
        <v>74</v>
      </c>
      <c r="H744" s="1" t="str" cm="1">
        <f t="array" ref="H744">_xlfn.IFS( OR(G744=" ",NOT(ISNUMBER(G744))),"Unknown",G744&lt;=33,"Low Spender",G744&lt;=66,"Medium Spender",TRUE, "High Spender")</f>
        <v>High Spender</v>
      </c>
      <c r="I744" s="1">
        <v>34</v>
      </c>
      <c r="J744" s="1">
        <v>9000</v>
      </c>
      <c r="K744" s="1">
        <v>168</v>
      </c>
      <c r="M744" s="1" t="s">
        <v>41</v>
      </c>
      <c r="N744" s="1" t="str">
        <f t="shared" si="22"/>
        <v>Lower</v>
      </c>
      <c r="O744" s="1" t="str">
        <f t="shared" si="23"/>
        <v>Early Career | High Spender | Lower</v>
      </c>
    </row>
    <row r="745" spans="1:15" x14ac:dyDescent="0.25">
      <c r="A745" s="1" t="s">
        <v>775</v>
      </c>
      <c r="B745" s="1">
        <v>24</v>
      </c>
      <c r="C745" s="1" t="str" cm="1">
        <f t="array" ref="C745">_xlfn.IFS(OR(B745=" ", B745="NA",NOT(ISNUMBER(B745))), "Unknown",B745&lt;18,"Underage",B745&lt;=24,"Young Adult",B745&lt;=34,"Early Career",B745&lt;=44,"Mid Career",B745&lt;=54,"Mature",B745&lt;=65,"Pre-Senior",B745&gt;65,"Senior")</f>
        <v>Young Adult</v>
      </c>
      <c r="D745" s="1" t="s">
        <v>29</v>
      </c>
      <c r="E745" s="1" t="s">
        <v>23</v>
      </c>
      <c r="F745" s="1">
        <v>1500000</v>
      </c>
      <c r="G745" s="1">
        <v>17</v>
      </c>
      <c r="H745" s="1" t="str" cm="1">
        <f t="array" ref="H745">_xlfn.IFS( OR(G745=" ",NOT(ISNUMBER(G745))),"Unknown",G745&lt;=33,"Low Spender",G745&lt;=66,"Medium Spender",TRUE, "High Spender")</f>
        <v>Low Spender</v>
      </c>
      <c r="I745" s="1">
        <v>56</v>
      </c>
      <c r="J745" s="1">
        <v>7100</v>
      </c>
      <c r="K745" s="1">
        <v>231</v>
      </c>
      <c r="L745" s="1" t="s">
        <v>35</v>
      </c>
      <c r="M745" s="1" t="s">
        <v>30</v>
      </c>
      <c r="N745" s="1" t="str">
        <f t="shared" si="22"/>
        <v>Higher</v>
      </c>
      <c r="O745" s="1" t="str">
        <f t="shared" si="23"/>
        <v>Young Adult | Low Spender | Higher</v>
      </c>
    </row>
    <row r="746" spans="1:15" x14ac:dyDescent="0.25">
      <c r="A746" s="1" t="s">
        <v>776</v>
      </c>
      <c r="B746" s="1">
        <v>42</v>
      </c>
      <c r="C746" s="1" t="str" cm="1">
        <f t="array" ref="C746">_xlfn.IFS(OR(B746=" ", B746="NA",NOT(ISNUMBER(B746))), "Unknown",B746&lt;18,"Underage",B746&lt;=24,"Young Adult",B746&lt;=34,"Early Career",B746&lt;=44,"Mid Career",B746&lt;=54,"Mature",B746&lt;=65,"Pre-Senior",B746&gt;65,"Senior")</f>
        <v>Mid Career</v>
      </c>
      <c r="D746" s="1" t="s">
        <v>18</v>
      </c>
      <c r="F746" s="1">
        <v>1550000</v>
      </c>
      <c r="G746" s="1">
        <v>7</v>
      </c>
      <c r="H746" s="1" t="str" cm="1">
        <f t="array" ref="H746">_xlfn.IFS( OR(G746=" ",NOT(ISNUMBER(G746))),"Unknown",G746&lt;=33,"Low Spender",G746&lt;=66,"Medium Spender",TRUE, "High Spender")</f>
        <v>Low Spender</v>
      </c>
      <c r="I746" s="1">
        <v>55</v>
      </c>
      <c r="J746" s="1">
        <v>8700</v>
      </c>
      <c r="K746" s="1">
        <v>126</v>
      </c>
      <c r="M746" s="1" t="s">
        <v>32</v>
      </c>
      <c r="N746" s="1" t="str">
        <f t="shared" si="22"/>
        <v>Higher</v>
      </c>
      <c r="O746" s="1" t="str">
        <f t="shared" si="23"/>
        <v>Mid Career | Low Spender | Higher</v>
      </c>
    </row>
    <row r="747" spans="1:15" x14ac:dyDescent="0.25">
      <c r="A747" s="1" t="s">
        <v>777</v>
      </c>
      <c r="B747" s="1">
        <v>62</v>
      </c>
      <c r="C747" s="1" t="str" cm="1">
        <f t="array" ref="C747">_xlfn.IFS(OR(B747=" ", B747="NA",NOT(ISNUMBER(B747))), "Unknown",B747&lt;18,"Underage",B747&lt;=24,"Young Adult",B747&lt;=34,"Early Career",B747&lt;=44,"Mid Career",B747&lt;=54,"Mature",B747&lt;=65,"Pre-Senior",B747&gt;65,"Senior")</f>
        <v>Pre-Senior</v>
      </c>
      <c r="D747" s="1" t="s">
        <v>29</v>
      </c>
      <c r="F747" s="1">
        <v>550000</v>
      </c>
      <c r="G747" s="1">
        <v>39</v>
      </c>
      <c r="H747" s="1" t="str" cm="1">
        <f t="array" ref="H747">_xlfn.IFS( OR(G747=" ",NOT(ISNUMBER(G747))),"Unknown",G747&lt;=33,"Low Spender",G747&lt;=66,"Medium Spender",TRUE, "High Spender")</f>
        <v>Medium Spender</v>
      </c>
      <c r="I747" s="1">
        <v>20</v>
      </c>
      <c r="J747" s="1">
        <v>9400</v>
      </c>
      <c r="K747" s="1">
        <v>61</v>
      </c>
      <c r="L747" s="1" t="s">
        <v>20</v>
      </c>
      <c r="N747" s="1" t="str">
        <f t="shared" si="22"/>
        <v>Higher</v>
      </c>
      <c r="O747" s="1" t="str">
        <f t="shared" si="23"/>
        <v>Pre-Senior | Medium Spender | Higher</v>
      </c>
    </row>
    <row r="748" spans="1:15" x14ac:dyDescent="0.25">
      <c r="A748" s="1" t="s">
        <v>778</v>
      </c>
      <c r="B748" s="1">
        <v>21</v>
      </c>
      <c r="C748" s="1" t="str" cm="1">
        <f t="array" ref="C748">_xlfn.IFS(OR(B748=" ", B748="NA",NOT(ISNUMBER(B748))), "Unknown",B748&lt;18,"Underage",B748&lt;=24,"Young Adult",B748&lt;=34,"Early Career",B748&lt;=44,"Mid Career",B748&lt;=54,"Mature",B748&lt;=65,"Pre-Senior",B748&gt;65,"Senior")</f>
        <v>Young Adult</v>
      </c>
      <c r="D748" s="1" t="s">
        <v>12</v>
      </c>
      <c r="E748" s="1" t="s">
        <v>13</v>
      </c>
      <c r="F748" s="1">
        <v>1100000</v>
      </c>
      <c r="G748" s="1">
        <v>68</v>
      </c>
      <c r="H748" s="1" t="str" cm="1">
        <f t="array" ref="H748">_xlfn.IFS( OR(G748=" ",NOT(ISNUMBER(G748))),"Unknown",G748&lt;=33,"Low Spender",G748&lt;=66,"Medium Spender",TRUE, "High Spender")</f>
        <v>High Spender</v>
      </c>
      <c r="I748" s="1">
        <v>50</v>
      </c>
      <c r="J748" s="1">
        <v>2000</v>
      </c>
      <c r="K748" s="1">
        <v>120</v>
      </c>
      <c r="L748" s="1" t="s">
        <v>37</v>
      </c>
      <c r="M748" s="1" t="s">
        <v>21</v>
      </c>
      <c r="N748" s="1" t="str">
        <f t="shared" si="22"/>
        <v>Lower</v>
      </c>
      <c r="O748" s="1" t="str">
        <f t="shared" si="23"/>
        <v>Young Adult | High Spender | Lower</v>
      </c>
    </row>
    <row r="749" spans="1:15" x14ac:dyDescent="0.25">
      <c r="A749" s="1" t="s">
        <v>779</v>
      </c>
      <c r="B749" s="1">
        <v>53</v>
      </c>
      <c r="C749" s="1" t="str" cm="1">
        <f t="array" ref="C749">_xlfn.IFS(OR(B749=" ", B749="NA",NOT(ISNUMBER(B749))), "Unknown",B749&lt;18,"Underage",B749&lt;=24,"Young Adult",B749&lt;=34,"Early Career",B749&lt;=44,"Mid Career",B749&lt;=54,"Mature",B749&lt;=65,"Pre-Senior",B749&gt;65,"Senior")</f>
        <v>Mature</v>
      </c>
      <c r="E749" s="1" t="s">
        <v>19</v>
      </c>
      <c r="F749" s="1">
        <v>1825000</v>
      </c>
      <c r="G749" s="1">
        <v>35</v>
      </c>
      <c r="H749" s="1" t="str" cm="1">
        <f t="array" ref="H749">_xlfn.IFS( OR(G749=" ",NOT(ISNUMBER(G749))),"Unknown",G749&lt;=33,"Low Spender",G749&lt;=66,"Medium Spender",TRUE, "High Spender")</f>
        <v>Medium Spender</v>
      </c>
      <c r="I749" s="1">
        <v>25</v>
      </c>
      <c r="J749" s="1">
        <v>9000</v>
      </c>
      <c r="K749" s="1">
        <v>190</v>
      </c>
      <c r="N749" s="1" t="str">
        <f t="shared" si="22"/>
        <v>Lower</v>
      </c>
      <c r="O749" s="1" t="str">
        <f t="shared" si="23"/>
        <v>Mature | Medium Spender | Lower</v>
      </c>
    </row>
    <row r="750" spans="1:15" x14ac:dyDescent="0.25">
      <c r="A750" s="1" t="s">
        <v>780</v>
      </c>
      <c r="B750" s="1">
        <v>23</v>
      </c>
      <c r="C750" s="1" t="str" cm="1">
        <f t="array" ref="C750">_xlfn.IFS(OR(B750=" ", B750="NA",NOT(ISNUMBER(B750))), "Unknown",B750&lt;18,"Underage",B750&lt;=24,"Young Adult",B750&lt;=34,"Early Career",B750&lt;=44,"Mid Career",B750&lt;=54,"Mature",B750&lt;=65,"Pre-Senior",B750&gt;65,"Senior")</f>
        <v>Young Adult</v>
      </c>
      <c r="D750" s="1" t="s">
        <v>12</v>
      </c>
      <c r="E750" s="1" t="s">
        <v>34</v>
      </c>
      <c r="F750" s="1">
        <v>1500000</v>
      </c>
      <c r="G750" s="1">
        <v>51</v>
      </c>
      <c r="H750" s="1" t="str" cm="1">
        <f t="array" ref="H750">_xlfn.IFS( OR(G750=" ",NOT(ISNUMBER(G750))),"Unknown",G750&lt;=33,"Low Spender",G750&lt;=66,"Medium Spender",TRUE, "High Spender")</f>
        <v>Medium Spender</v>
      </c>
      <c r="I750" s="1">
        <v>25</v>
      </c>
      <c r="J750" s="1">
        <v>3400</v>
      </c>
      <c r="K750" s="1">
        <v>121</v>
      </c>
      <c r="L750" s="1" t="s">
        <v>35</v>
      </c>
      <c r="N750" s="1" t="str">
        <f t="shared" si="22"/>
        <v>Lower</v>
      </c>
      <c r="O750" s="1" t="str">
        <f t="shared" si="23"/>
        <v>Young Adult | Medium Spender | Lower</v>
      </c>
    </row>
    <row r="751" spans="1:15" x14ac:dyDescent="0.25">
      <c r="A751" s="1" t="s">
        <v>781</v>
      </c>
      <c r="B751" s="1">
        <v>48</v>
      </c>
      <c r="C751" s="1" t="str" cm="1">
        <f t="array" ref="C751">_xlfn.IFS(OR(B751=" ", B751="NA",NOT(ISNUMBER(B751))), "Unknown",B751&lt;18,"Underage",B751&lt;=24,"Young Adult",B751&lt;=34,"Early Career",B751&lt;=44,"Mid Career",B751&lt;=54,"Mature",B751&lt;=65,"Pre-Senior",B751&gt;65,"Senior")</f>
        <v>Mature</v>
      </c>
      <c r="D751" s="1" t="s">
        <v>18</v>
      </c>
      <c r="E751" s="1" t="s">
        <v>27</v>
      </c>
      <c r="F751" s="1">
        <v>1250000</v>
      </c>
      <c r="G751" s="1">
        <v>47</v>
      </c>
      <c r="H751" s="1" t="str" cm="1">
        <f t="array" ref="H751">_xlfn.IFS( OR(G751=" ",NOT(ISNUMBER(G751))),"Unknown",G751&lt;=33,"Low Spender",G751&lt;=66,"Medium Spender",TRUE, "High Spender")</f>
        <v>Medium Spender</v>
      </c>
      <c r="I751" s="1">
        <v>53</v>
      </c>
      <c r="J751" s="1">
        <v>4700</v>
      </c>
      <c r="K751" s="1">
        <v>48</v>
      </c>
      <c r="N751" s="1" t="str">
        <f t="shared" si="22"/>
        <v>Higher</v>
      </c>
      <c r="O751" s="1" t="str">
        <f t="shared" si="23"/>
        <v>Mature | Medium Spender | Higher</v>
      </c>
    </row>
    <row r="752" spans="1:15" x14ac:dyDescent="0.25">
      <c r="A752" s="1" t="s">
        <v>782</v>
      </c>
      <c r="B752" s="1">
        <v>36</v>
      </c>
      <c r="C752" s="1" t="str" cm="1">
        <f t="array" ref="C752">_xlfn.IFS(OR(B752=" ", B752="NA",NOT(ISNUMBER(B752))), "Unknown",B752&lt;18,"Underage",B752&lt;=24,"Young Adult",B752&lt;=34,"Early Career",B752&lt;=44,"Mid Career",B752&lt;=54,"Mature",B752&lt;=65,"Pre-Senior",B752&gt;65,"Senior")</f>
        <v>Mid Career</v>
      </c>
      <c r="D752" s="1" t="s">
        <v>12</v>
      </c>
      <c r="E752" s="1" t="s">
        <v>13</v>
      </c>
      <c r="G752" s="1">
        <v>36</v>
      </c>
      <c r="H752" s="1" t="str" cm="1">
        <f t="array" ref="H752">_xlfn.IFS( OR(G752=" ",NOT(ISNUMBER(G752))),"Unknown",G752&lt;=33,"Low Spender",G752&lt;=66,"Medium Spender",TRUE, "High Spender")</f>
        <v>Medium Spender</v>
      </c>
      <c r="I752" s="1">
        <v>14</v>
      </c>
      <c r="J752" s="1">
        <v>3500</v>
      </c>
      <c r="K752" s="1">
        <v>202</v>
      </c>
      <c r="L752" s="1" t="s">
        <v>16</v>
      </c>
      <c r="M752" s="1" t="s">
        <v>32</v>
      </c>
      <c r="N752" s="1" t="str">
        <f t="shared" si="22"/>
        <v>Lower</v>
      </c>
      <c r="O752" s="1" t="str">
        <f t="shared" si="23"/>
        <v>Mid Career | Medium Spender | Lower</v>
      </c>
    </row>
    <row r="753" spans="1:15" x14ac:dyDescent="0.25">
      <c r="A753" s="1" t="s">
        <v>783</v>
      </c>
      <c r="B753" s="1">
        <v>61</v>
      </c>
      <c r="C753" s="1" t="str" cm="1">
        <f t="array" ref="C753">_xlfn.IFS(OR(B753=" ", B753="NA",NOT(ISNUMBER(B753))), "Unknown",B753&lt;18,"Underage",B753&lt;=24,"Young Adult",B753&lt;=34,"Early Career",B753&lt;=44,"Mid Career",B753&lt;=54,"Mature",B753&lt;=65,"Pre-Senior",B753&gt;65,"Senior")</f>
        <v>Pre-Senior</v>
      </c>
      <c r="D753" s="1" t="s">
        <v>29</v>
      </c>
      <c r="F753" s="1">
        <v>150000</v>
      </c>
      <c r="G753" s="1">
        <v>64</v>
      </c>
      <c r="H753" s="1" t="str" cm="1">
        <f t="array" ref="H753">_xlfn.IFS( OR(G753=" ",NOT(ISNUMBER(G753))),"Unknown",G753&lt;=33,"Low Spender",G753&lt;=66,"Medium Spender",TRUE, "High Spender")</f>
        <v>Medium Spender</v>
      </c>
      <c r="I753" s="1">
        <v>60</v>
      </c>
      <c r="J753" s="1">
        <v>7600</v>
      </c>
      <c r="K753" s="1">
        <v>59</v>
      </c>
      <c r="L753" s="1" t="s">
        <v>20</v>
      </c>
      <c r="N753" s="1" t="str">
        <f t="shared" si="22"/>
        <v>Higher</v>
      </c>
      <c r="O753" s="1" t="str">
        <f t="shared" si="23"/>
        <v>Pre-Senior | Medium Spender | Higher</v>
      </c>
    </row>
    <row r="754" spans="1:15" x14ac:dyDescent="0.25">
      <c r="A754" s="1" t="s">
        <v>784</v>
      </c>
      <c r="C754" s="1" t="str" cm="1">
        <f t="array" ref="C754">_xlfn.IFS(OR(B754=" ", B754="NA",NOT(ISNUMBER(B754))), "Unknown",B754&lt;18,"Underage",B754&lt;=24,"Young Adult",B754&lt;=34,"Early Career",B754&lt;=44,"Mid Career",B754&lt;=54,"Mature",B754&lt;=65,"Pre-Senior",B754&gt;65,"Senior")</f>
        <v>Unknown</v>
      </c>
      <c r="D754" s="1" t="s">
        <v>12</v>
      </c>
      <c r="E754" s="1" t="s">
        <v>19</v>
      </c>
      <c r="F754" s="1">
        <v>650000</v>
      </c>
      <c r="G754" s="1">
        <v>95</v>
      </c>
      <c r="H754" s="1" t="str" cm="1">
        <f t="array" ref="H754">_xlfn.IFS( OR(G754=" ",NOT(ISNUMBER(G754))),"Unknown",G754&lt;=33,"Low Spender",G754&lt;=66,"Medium Spender",TRUE, "High Spender")</f>
        <v>High Spender</v>
      </c>
      <c r="I754" s="1">
        <v>43</v>
      </c>
      <c r="J754" s="1">
        <v>7500</v>
      </c>
      <c r="K754" s="1">
        <v>185</v>
      </c>
      <c r="L754" s="1" t="s">
        <v>37</v>
      </c>
      <c r="N754" s="1" t="str">
        <f t="shared" si="22"/>
        <v>Lower</v>
      </c>
      <c r="O754" s="1" t="str">
        <f t="shared" si="23"/>
        <v>Unknown | High Spender | Lower</v>
      </c>
    </row>
    <row r="755" spans="1:15" x14ac:dyDescent="0.25">
      <c r="A755" s="1" t="s">
        <v>785</v>
      </c>
      <c r="B755" s="1">
        <v>56</v>
      </c>
      <c r="C755" s="1" t="str" cm="1">
        <f t="array" ref="C755">_xlfn.IFS(OR(B755=" ", B755="NA",NOT(ISNUMBER(B755))), "Unknown",B755&lt;18,"Underage",B755&lt;=24,"Young Adult",B755&lt;=34,"Early Career",B755&lt;=44,"Mid Career",B755&lt;=54,"Mature",B755&lt;=65,"Pre-Senior",B755&gt;65,"Senior")</f>
        <v>Pre-Senior</v>
      </c>
      <c r="D755" s="1" t="s">
        <v>18</v>
      </c>
      <c r="E755" s="1" t="s">
        <v>49</v>
      </c>
      <c r="F755" s="1">
        <v>650000</v>
      </c>
      <c r="G755" s="1">
        <v>89</v>
      </c>
      <c r="H755" s="1" t="str" cm="1">
        <f t="array" ref="H755">_xlfn.IFS( OR(G755=" ",NOT(ISNUMBER(G755))),"Unknown",G755&lt;=33,"Low Spender",G755&lt;=66,"Medium Spender",TRUE, "High Spender")</f>
        <v>High Spender</v>
      </c>
      <c r="I755" s="1">
        <v>62</v>
      </c>
      <c r="J755" s="1">
        <v>5100</v>
      </c>
      <c r="K755" s="1">
        <v>223</v>
      </c>
      <c r="M755" s="1" t="s">
        <v>30</v>
      </c>
      <c r="N755" s="1" t="str">
        <f t="shared" si="22"/>
        <v>Higher</v>
      </c>
      <c r="O755" s="1" t="str">
        <f t="shared" si="23"/>
        <v>Pre-Senior | High Spender | Higher</v>
      </c>
    </row>
    <row r="756" spans="1:15" x14ac:dyDescent="0.25">
      <c r="A756" s="1" t="s">
        <v>786</v>
      </c>
      <c r="B756" s="1">
        <v>44</v>
      </c>
      <c r="C756" s="1" t="str" cm="1">
        <f t="array" ref="C756">_xlfn.IFS(OR(B756=" ", B756="NA",NOT(ISNUMBER(B756))), "Unknown",B756&lt;18,"Underage",B756&lt;=24,"Young Adult",B756&lt;=34,"Early Career",B756&lt;=44,"Mid Career",B756&lt;=54,"Mature",B756&lt;=65,"Pre-Senior",B756&gt;65,"Senior")</f>
        <v>Mid Career</v>
      </c>
      <c r="E756" s="1" t="s">
        <v>13</v>
      </c>
      <c r="F756" s="1">
        <v>1425000</v>
      </c>
      <c r="G756" s="1">
        <v>13</v>
      </c>
      <c r="H756" s="1" t="str" cm="1">
        <f t="array" ref="H756">_xlfn.IFS( OR(G756=" ",NOT(ISNUMBER(G756))),"Unknown",G756&lt;=33,"Low Spender",G756&lt;=66,"Medium Spender",TRUE, "High Spender")</f>
        <v>Low Spender</v>
      </c>
      <c r="I756" s="1">
        <v>76</v>
      </c>
      <c r="J756" s="1">
        <v>3500</v>
      </c>
      <c r="K756" s="1">
        <v>11</v>
      </c>
      <c r="L756" s="1" t="s">
        <v>35</v>
      </c>
      <c r="N756" s="1" t="str">
        <f t="shared" si="22"/>
        <v>Lower</v>
      </c>
      <c r="O756" s="1" t="str">
        <f t="shared" si="23"/>
        <v>Mid Career | Low Spender | Lower</v>
      </c>
    </row>
    <row r="757" spans="1:15" x14ac:dyDescent="0.25">
      <c r="A757" s="1" t="s">
        <v>787</v>
      </c>
      <c r="B757" s="1">
        <v>27</v>
      </c>
      <c r="C757" s="1" t="str" cm="1">
        <f t="array" ref="C757">_xlfn.IFS(OR(B757=" ", B757="NA",NOT(ISNUMBER(B757))), "Unknown",B757&lt;18,"Underage",B757&lt;=24,"Young Adult",B757&lt;=34,"Early Career",B757&lt;=44,"Mid Career",B757&lt;=54,"Mature",B757&lt;=65,"Pre-Senior",B757&gt;65,"Senior")</f>
        <v>Early Career</v>
      </c>
      <c r="D757" s="1" t="s">
        <v>29</v>
      </c>
      <c r="E757" s="1" t="s">
        <v>49</v>
      </c>
      <c r="F757" s="1">
        <v>1200000</v>
      </c>
      <c r="G757" s="1">
        <v>18</v>
      </c>
      <c r="H757" s="1" t="str" cm="1">
        <f t="array" ref="H757">_xlfn.IFS( OR(G757=" ",NOT(ISNUMBER(G757))),"Unknown",G757&lt;=33,"Low Spender",G757&lt;=66,"Medium Spender",TRUE, "High Spender")</f>
        <v>Low Spender</v>
      </c>
      <c r="I757" s="1">
        <v>69</v>
      </c>
      <c r="J757" s="1">
        <v>9900</v>
      </c>
      <c r="K757" s="1">
        <v>281</v>
      </c>
      <c r="L757" s="1" t="s">
        <v>20</v>
      </c>
      <c r="M757" s="1" t="s">
        <v>21</v>
      </c>
      <c r="N757" s="1" t="str">
        <f t="shared" si="22"/>
        <v>Higher</v>
      </c>
      <c r="O757" s="1" t="str">
        <f t="shared" si="23"/>
        <v>Early Career | Low Spender | Higher</v>
      </c>
    </row>
    <row r="758" spans="1:15" x14ac:dyDescent="0.25">
      <c r="A758" s="1" t="s">
        <v>788</v>
      </c>
      <c r="B758" s="1">
        <v>43</v>
      </c>
      <c r="C758" s="1" t="str" cm="1">
        <f t="array" ref="C758">_xlfn.IFS(OR(B758=" ", B758="NA",NOT(ISNUMBER(B758))), "Unknown",B758&lt;18,"Underage",B758&lt;=24,"Young Adult",B758&lt;=34,"Early Career",B758&lt;=44,"Mid Career",B758&lt;=54,"Mature",B758&lt;=65,"Pre-Senior",B758&gt;65,"Senior")</f>
        <v>Mid Career</v>
      </c>
      <c r="E758" s="1" t="s">
        <v>27</v>
      </c>
      <c r="F758" s="1">
        <v>1425000</v>
      </c>
      <c r="G758" s="1">
        <v>21</v>
      </c>
      <c r="H758" s="1" t="str" cm="1">
        <f t="array" ref="H758">_xlfn.IFS( OR(G758=" ",NOT(ISNUMBER(G758))),"Unknown",G758&lt;=33,"Low Spender",G758&lt;=66,"Medium Spender",TRUE, "High Spender")</f>
        <v>Low Spender</v>
      </c>
      <c r="I758" s="1">
        <v>63</v>
      </c>
      <c r="J758" s="1">
        <v>7300</v>
      </c>
      <c r="K758" s="1">
        <v>189</v>
      </c>
      <c r="L758" s="1" t="s">
        <v>35</v>
      </c>
      <c r="M758" s="1" t="s">
        <v>30</v>
      </c>
      <c r="N758" s="1" t="str">
        <f t="shared" si="22"/>
        <v>Lower</v>
      </c>
      <c r="O758" s="1" t="str">
        <f t="shared" si="23"/>
        <v>Mid Career | Low Spender | Lower</v>
      </c>
    </row>
    <row r="759" spans="1:15" x14ac:dyDescent="0.25">
      <c r="A759" s="1" t="s">
        <v>789</v>
      </c>
      <c r="B759" s="1">
        <v>36</v>
      </c>
      <c r="C759" s="1" t="str" cm="1">
        <f t="array" ref="C759">_xlfn.IFS(OR(B759=" ", B759="NA",NOT(ISNUMBER(B759))), "Unknown",B759&lt;18,"Underage",B759&lt;=24,"Young Adult",B759&lt;=34,"Early Career",B759&lt;=44,"Mid Career",B759&lt;=54,"Mature",B759&lt;=65,"Pre-Senior",B759&gt;65,"Senior")</f>
        <v>Mid Career</v>
      </c>
      <c r="D759" s="1" t="s">
        <v>29</v>
      </c>
      <c r="E759" s="1" t="s">
        <v>49</v>
      </c>
      <c r="F759" s="1">
        <v>1800000</v>
      </c>
      <c r="G759" s="1">
        <v>65</v>
      </c>
      <c r="H759" s="1" t="str" cm="1">
        <f t="array" ref="H759">_xlfn.IFS( OR(G759=" ",NOT(ISNUMBER(G759))),"Unknown",G759&lt;=33,"Low Spender",G759&lt;=66,"Medium Spender",TRUE, "High Spender")</f>
        <v>Medium Spender</v>
      </c>
      <c r="I759" s="1">
        <v>2</v>
      </c>
      <c r="J759" s="1">
        <v>7000</v>
      </c>
      <c r="K759" s="1">
        <v>302</v>
      </c>
      <c r="M759" s="1" t="s">
        <v>41</v>
      </c>
      <c r="N759" s="1" t="str">
        <f t="shared" si="22"/>
        <v>Higher</v>
      </c>
      <c r="O759" s="1" t="str">
        <f t="shared" si="23"/>
        <v>Mid Career | Medium Spender | Higher</v>
      </c>
    </row>
    <row r="760" spans="1:15" x14ac:dyDescent="0.25">
      <c r="A760" s="1" t="s">
        <v>790</v>
      </c>
      <c r="B760" s="1">
        <v>56</v>
      </c>
      <c r="C760" s="1" t="str" cm="1">
        <f t="array" ref="C760">_xlfn.IFS(OR(B760=" ", B760="NA",NOT(ISNUMBER(B760))), "Unknown",B760&lt;18,"Underage",B760&lt;=24,"Young Adult",B760&lt;=34,"Early Career",B760&lt;=44,"Mid Career",B760&lt;=54,"Mature",B760&lt;=65,"Pre-Senior",B760&gt;65,"Senior")</f>
        <v>Pre-Senior</v>
      </c>
      <c r="D760" s="1" t="s">
        <v>12</v>
      </c>
      <c r="E760" s="1" t="s">
        <v>27</v>
      </c>
      <c r="F760" s="1">
        <v>1225000</v>
      </c>
      <c r="G760" s="1">
        <v>100</v>
      </c>
      <c r="H760" s="1" t="str" cm="1">
        <f t="array" ref="H760">_xlfn.IFS( OR(G760=" ",NOT(ISNUMBER(G760))),"Unknown",G760&lt;=33,"Low Spender",G760&lt;=66,"Medium Spender",TRUE, "High Spender")</f>
        <v>High Spender</v>
      </c>
      <c r="I760" s="1">
        <v>54</v>
      </c>
      <c r="J760" s="1">
        <v>3000</v>
      </c>
      <c r="K760" s="1">
        <v>310</v>
      </c>
      <c r="L760" s="1" t="s">
        <v>35</v>
      </c>
      <c r="M760" s="1" t="s">
        <v>32</v>
      </c>
      <c r="N760" s="1" t="str">
        <f t="shared" si="22"/>
        <v>Lower</v>
      </c>
      <c r="O760" s="1" t="str">
        <f t="shared" si="23"/>
        <v>Pre-Senior | High Spender | Lower</v>
      </c>
    </row>
    <row r="761" spans="1:15" x14ac:dyDescent="0.25">
      <c r="A761" s="1" t="s">
        <v>791</v>
      </c>
      <c r="B761" s="1">
        <v>20</v>
      </c>
      <c r="C761" s="1" t="str" cm="1">
        <f t="array" ref="C761">_xlfn.IFS(OR(B761=" ", B761="NA",NOT(ISNUMBER(B761))), "Unknown",B761&lt;18,"Underage",B761&lt;=24,"Young Adult",B761&lt;=34,"Early Career",B761&lt;=44,"Mid Career",B761&lt;=54,"Mature",B761&lt;=65,"Pre-Senior",B761&gt;65,"Senior")</f>
        <v>Young Adult</v>
      </c>
      <c r="D761" s="1" t="s">
        <v>18</v>
      </c>
      <c r="E761" s="1" t="s">
        <v>19</v>
      </c>
      <c r="F761" s="1">
        <v>925000</v>
      </c>
      <c r="G761" s="1">
        <v>8</v>
      </c>
      <c r="H761" s="1" t="str" cm="1">
        <f t="array" ref="H761">_xlfn.IFS( OR(G761=" ",NOT(ISNUMBER(G761))),"Unknown",G761&lt;=33,"Low Spender",G761&lt;=66,"Medium Spender",TRUE, "High Spender")</f>
        <v>Low Spender</v>
      </c>
      <c r="I761" s="1">
        <v>16</v>
      </c>
      <c r="J761" s="1">
        <v>8900</v>
      </c>
      <c r="K761" s="1">
        <v>237</v>
      </c>
      <c r="L761" s="1" t="s">
        <v>35</v>
      </c>
      <c r="N761" s="1" t="str">
        <f t="shared" si="22"/>
        <v>Higher</v>
      </c>
      <c r="O761" s="1" t="str">
        <f t="shared" si="23"/>
        <v>Young Adult | Low Spender | Higher</v>
      </c>
    </row>
    <row r="762" spans="1:15" x14ac:dyDescent="0.25">
      <c r="A762" s="1" t="s">
        <v>792</v>
      </c>
      <c r="B762" s="1">
        <v>62</v>
      </c>
      <c r="C762" s="1" t="str" cm="1">
        <f t="array" ref="C762">_xlfn.IFS(OR(B762=" ", B762="NA",NOT(ISNUMBER(B762))), "Unknown",B762&lt;18,"Underage",B762&lt;=24,"Young Adult",B762&lt;=34,"Early Career",B762&lt;=44,"Mid Career",B762&lt;=54,"Mature",B762&lt;=65,"Pre-Senior",B762&gt;65,"Senior")</f>
        <v>Pre-Senior</v>
      </c>
      <c r="D762" s="1" t="s">
        <v>29</v>
      </c>
      <c r="E762" s="1" t="s">
        <v>15</v>
      </c>
      <c r="F762" s="1">
        <v>375000</v>
      </c>
      <c r="G762" s="1">
        <v>48</v>
      </c>
      <c r="H762" s="1" t="str" cm="1">
        <f t="array" ref="H762">_xlfn.IFS( OR(G762=" ",NOT(ISNUMBER(G762))),"Unknown",G762&lt;=33,"Low Spender",G762&lt;=66,"Medium Spender",TRUE, "High Spender")</f>
        <v>Medium Spender</v>
      </c>
      <c r="I762" s="1">
        <v>55</v>
      </c>
      <c r="J762" s="1">
        <v>5500</v>
      </c>
      <c r="K762" s="1">
        <v>34</v>
      </c>
      <c r="M762" s="1" t="s">
        <v>30</v>
      </c>
      <c r="N762" s="1" t="str">
        <f t="shared" si="22"/>
        <v>Higher</v>
      </c>
      <c r="O762" s="1" t="str">
        <f t="shared" si="23"/>
        <v>Pre-Senior | Medium Spender | Higher</v>
      </c>
    </row>
    <row r="763" spans="1:15" x14ac:dyDescent="0.25">
      <c r="A763" s="1" t="s">
        <v>793</v>
      </c>
      <c r="B763" s="1">
        <v>30</v>
      </c>
      <c r="C763" s="1" t="str" cm="1">
        <f t="array" ref="C763">_xlfn.IFS(OR(B763=" ", B763="NA",NOT(ISNUMBER(B763))), "Unknown",B763&lt;18,"Underage",B763&lt;=24,"Young Adult",B763&lt;=34,"Early Career",B763&lt;=44,"Mid Career",B763&lt;=54,"Mature",B763&lt;=65,"Pre-Senior",B763&gt;65,"Senior")</f>
        <v>Early Career</v>
      </c>
      <c r="E763" s="1" t="s">
        <v>27</v>
      </c>
      <c r="F763" s="1">
        <v>1725000</v>
      </c>
      <c r="G763" s="1">
        <v>85</v>
      </c>
      <c r="H763" s="1" t="str" cm="1">
        <f t="array" ref="H763">_xlfn.IFS( OR(G763=" ",NOT(ISNUMBER(G763))),"Unknown",G763&lt;=33,"Low Spender",G763&lt;=66,"Medium Spender",TRUE, "High Spender")</f>
        <v>High Spender</v>
      </c>
      <c r="I763" s="1">
        <v>43</v>
      </c>
      <c r="J763" s="1">
        <v>9800</v>
      </c>
      <c r="K763" s="1">
        <v>340</v>
      </c>
      <c r="N763" s="1" t="str">
        <f t="shared" si="22"/>
        <v>Lower</v>
      </c>
      <c r="O763" s="1" t="str">
        <f t="shared" si="23"/>
        <v>Early Career | High Spender | Lower</v>
      </c>
    </row>
    <row r="764" spans="1:15" x14ac:dyDescent="0.25">
      <c r="A764" s="1" t="s">
        <v>794</v>
      </c>
      <c r="B764" s="1">
        <v>67</v>
      </c>
      <c r="C764" s="1" t="str" cm="1">
        <f t="array" ref="C764">_xlfn.IFS(OR(B764=" ", B764="NA",NOT(ISNUMBER(B764))), "Unknown",B764&lt;18,"Underage",B764&lt;=24,"Young Adult",B764&lt;=34,"Early Career",B764&lt;=44,"Mid Career",B764&lt;=54,"Mature",B764&lt;=65,"Pre-Senior",B764&gt;65,"Senior")</f>
        <v>Senior</v>
      </c>
      <c r="D764" s="1" t="s">
        <v>12</v>
      </c>
      <c r="E764" s="1" t="s">
        <v>23</v>
      </c>
      <c r="F764" s="1">
        <v>1850000</v>
      </c>
      <c r="G764" s="1">
        <v>43</v>
      </c>
      <c r="H764" s="1" t="str" cm="1">
        <f t="array" ref="H764">_xlfn.IFS( OR(G764=" ",NOT(ISNUMBER(G764))),"Unknown",G764&lt;=33,"Low Spender",G764&lt;=66,"Medium Spender",TRUE, "High Spender")</f>
        <v>Medium Spender</v>
      </c>
      <c r="I764" s="1">
        <v>61</v>
      </c>
      <c r="J764" s="1">
        <v>4600</v>
      </c>
      <c r="K764" s="1">
        <v>135</v>
      </c>
      <c r="L764" s="1" t="s">
        <v>20</v>
      </c>
      <c r="M764" s="1" t="s">
        <v>30</v>
      </c>
      <c r="N764" s="1" t="str">
        <f t="shared" si="22"/>
        <v>Lower</v>
      </c>
      <c r="O764" s="1" t="str">
        <f t="shared" si="23"/>
        <v>Senior | Medium Spender | Lower</v>
      </c>
    </row>
    <row r="765" spans="1:15" x14ac:dyDescent="0.25">
      <c r="A765" s="1" t="s">
        <v>795</v>
      </c>
      <c r="B765" s="1">
        <v>45</v>
      </c>
      <c r="C765" s="1" t="str" cm="1">
        <f t="array" ref="C765">_xlfn.IFS(OR(B765=" ", B765="NA",NOT(ISNUMBER(B765))), "Unknown",B765&lt;18,"Underage",B765&lt;=24,"Young Adult",B765&lt;=34,"Early Career",B765&lt;=44,"Mid Career",B765&lt;=54,"Mature",B765&lt;=65,"Pre-Senior",B765&gt;65,"Senior")</f>
        <v>Mature</v>
      </c>
      <c r="E765" s="1" t="s">
        <v>34</v>
      </c>
      <c r="F765" s="1">
        <v>1825000</v>
      </c>
      <c r="G765" s="1">
        <v>53</v>
      </c>
      <c r="H765" s="1" t="str" cm="1">
        <f t="array" ref="H765">_xlfn.IFS( OR(G765=" ",NOT(ISNUMBER(G765))),"Unknown",G765&lt;=33,"Low Spender",G765&lt;=66,"Medium Spender",TRUE, "High Spender")</f>
        <v>Medium Spender</v>
      </c>
      <c r="I765" s="1">
        <v>38</v>
      </c>
      <c r="J765" s="1">
        <v>8200</v>
      </c>
      <c r="K765" s="1">
        <v>62</v>
      </c>
      <c r="L765" s="1" t="s">
        <v>37</v>
      </c>
      <c r="N765" s="1" t="str">
        <f t="shared" si="22"/>
        <v>Lower</v>
      </c>
      <c r="O765" s="1" t="str">
        <f t="shared" si="23"/>
        <v>Mature | Medium Spender | Lower</v>
      </c>
    </row>
    <row r="766" spans="1:15" x14ac:dyDescent="0.25">
      <c r="A766" s="1" t="s">
        <v>796</v>
      </c>
      <c r="B766" s="1">
        <v>37</v>
      </c>
      <c r="C766" s="1" t="str" cm="1">
        <f t="array" ref="C766">_xlfn.IFS(OR(B766=" ", B766="NA",NOT(ISNUMBER(B766))), "Unknown",B766&lt;18,"Underage",B766&lt;=24,"Young Adult",B766&lt;=34,"Early Career",B766&lt;=44,"Mid Career",B766&lt;=54,"Mature",B766&lt;=65,"Pre-Senior",B766&gt;65,"Senior")</f>
        <v>Mid Career</v>
      </c>
      <c r="D766" s="1" t="s">
        <v>18</v>
      </c>
      <c r="E766" s="1" t="s">
        <v>34</v>
      </c>
      <c r="F766" s="1">
        <v>825000</v>
      </c>
      <c r="G766" s="1">
        <v>85</v>
      </c>
      <c r="H766" s="1" t="str" cm="1">
        <f t="array" ref="H766">_xlfn.IFS( OR(G766=" ",NOT(ISNUMBER(G766))),"Unknown",G766&lt;=33,"Low Spender",G766&lt;=66,"Medium Spender",TRUE, "High Spender")</f>
        <v>High Spender</v>
      </c>
      <c r="I766" s="1">
        <v>45</v>
      </c>
      <c r="J766" s="1">
        <v>11200</v>
      </c>
      <c r="K766" s="1">
        <v>313</v>
      </c>
      <c r="M766" s="1" t="s">
        <v>41</v>
      </c>
      <c r="N766" s="1" t="str">
        <f t="shared" si="22"/>
        <v>Higher</v>
      </c>
      <c r="O766" s="1" t="str">
        <f t="shared" si="23"/>
        <v>Mid Career | High Spender | Higher</v>
      </c>
    </row>
    <row r="767" spans="1:15" x14ac:dyDescent="0.25">
      <c r="A767" s="1" t="s">
        <v>797</v>
      </c>
      <c r="B767" s="1">
        <v>45</v>
      </c>
      <c r="C767" s="1" t="str" cm="1">
        <f t="array" ref="C767">_xlfn.IFS(OR(B767=" ", B767="NA",NOT(ISNUMBER(B767))), "Unknown",B767&lt;18,"Underage",B767&lt;=24,"Young Adult",B767&lt;=34,"Early Career",B767&lt;=44,"Mid Career",B767&lt;=54,"Mature",B767&lt;=65,"Pre-Senior",B767&gt;65,"Senior")</f>
        <v>Mature</v>
      </c>
      <c r="E767" s="1" t="s">
        <v>58</v>
      </c>
      <c r="F767" s="1">
        <v>1450000</v>
      </c>
      <c r="G767" s="1">
        <v>27</v>
      </c>
      <c r="H767" s="1" t="str" cm="1">
        <f t="array" ref="H767">_xlfn.IFS( OR(G767=" ",NOT(ISNUMBER(G767))),"Unknown",G767&lt;=33,"Low Spender",G767&lt;=66,"Medium Spender",TRUE, "High Spender")</f>
        <v>Low Spender</v>
      </c>
      <c r="I767" s="1">
        <v>51</v>
      </c>
      <c r="J767" s="1">
        <v>5700</v>
      </c>
      <c r="K767" s="1">
        <v>227</v>
      </c>
      <c r="L767" s="1" t="s">
        <v>20</v>
      </c>
      <c r="N767" s="1" t="str">
        <f t="shared" si="22"/>
        <v>Lower</v>
      </c>
      <c r="O767" s="1" t="str">
        <f t="shared" si="23"/>
        <v>Mature | Low Spender | Lower</v>
      </c>
    </row>
    <row r="768" spans="1:15" x14ac:dyDescent="0.25">
      <c r="A768" s="1" t="s">
        <v>798</v>
      </c>
      <c r="B768" s="1">
        <v>25</v>
      </c>
      <c r="C768" s="1" t="str" cm="1">
        <f t="array" ref="C768">_xlfn.IFS(OR(B768=" ", B768="NA",NOT(ISNUMBER(B768))), "Unknown",B768&lt;18,"Underage",B768&lt;=24,"Young Adult",B768&lt;=34,"Early Career",B768&lt;=44,"Mid Career",B768&lt;=54,"Mature",B768&lt;=65,"Pre-Senior",B768&gt;65,"Senior")</f>
        <v>Early Career</v>
      </c>
      <c r="D768" s="1" t="s">
        <v>12</v>
      </c>
      <c r="E768" s="1" t="s">
        <v>34</v>
      </c>
      <c r="F768" s="1">
        <v>1400000</v>
      </c>
      <c r="G768" s="1">
        <v>19</v>
      </c>
      <c r="H768" s="1" t="str" cm="1">
        <f t="array" ref="H768">_xlfn.IFS( OR(G768=" ",NOT(ISNUMBER(G768))),"Unknown",G768&lt;=33,"Low Spender",G768&lt;=66,"Medium Spender",TRUE, "High Spender")</f>
        <v>Low Spender</v>
      </c>
      <c r="I768" s="1">
        <v>42</v>
      </c>
      <c r="J768" s="1">
        <v>1200</v>
      </c>
      <c r="K768" s="1">
        <v>93</v>
      </c>
      <c r="L768" s="1" t="s">
        <v>35</v>
      </c>
      <c r="M768" s="1" t="s">
        <v>41</v>
      </c>
      <c r="N768" s="1" t="str">
        <f t="shared" si="22"/>
        <v>Lower</v>
      </c>
      <c r="O768" s="1" t="str">
        <f t="shared" si="23"/>
        <v>Early Career | Low Spender | Lower</v>
      </c>
    </row>
    <row r="769" spans="1:15" x14ac:dyDescent="0.25">
      <c r="A769" s="1" t="s">
        <v>799</v>
      </c>
      <c r="B769" s="1">
        <v>58</v>
      </c>
      <c r="C769" s="1" t="str" cm="1">
        <f t="array" ref="C769">_xlfn.IFS(OR(B769=" ", B769="NA",NOT(ISNUMBER(B769))), "Unknown",B769&lt;18,"Underage",B769&lt;=24,"Young Adult",B769&lt;=34,"Early Career",B769&lt;=44,"Mid Career",B769&lt;=54,"Mature",B769&lt;=65,"Pre-Senior",B769&gt;65,"Senior")</f>
        <v>Pre-Senior</v>
      </c>
      <c r="E769" s="1" t="s">
        <v>58</v>
      </c>
      <c r="F769" s="1">
        <v>1450000</v>
      </c>
      <c r="G769" s="1">
        <v>23</v>
      </c>
      <c r="H769" s="1" t="str" cm="1">
        <f t="array" ref="H769">_xlfn.IFS( OR(G769=" ",NOT(ISNUMBER(G769))),"Unknown",G769&lt;=33,"Low Spender",G769&lt;=66,"Medium Spender",TRUE, "High Spender")</f>
        <v>Low Spender</v>
      </c>
      <c r="I769" s="1">
        <v>24</v>
      </c>
      <c r="J769" s="1">
        <v>1600</v>
      </c>
      <c r="K769" s="1">
        <v>116</v>
      </c>
      <c r="L769" s="1" t="s">
        <v>35</v>
      </c>
      <c r="N769" s="1" t="str">
        <f t="shared" si="22"/>
        <v>Lower</v>
      </c>
      <c r="O769" s="1" t="str">
        <f t="shared" si="23"/>
        <v>Pre-Senior | Low Spender | Lower</v>
      </c>
    </row>
    <row r="770" spans="1:15" x14ac:dyDescent="0.25">
      <c r="A770" s="1" t="s">
        <v>800</v>
      </c>
      <c r="B770" s="1">
        <v>56</v>
      </c>
      <c r="C770" s="1" t="str" cm="1">
        <f t="array" ref="C770">_xlfn.IFS(OR(B770=" ", B770="NA",NOT(ISNUMBER(B770))), "Unknown",B770&lt;18,"Underage",B770&lt;=24,"Young Adult",B770&lt;=34,"Early Career",B770&lt;=44,"Mid Career",B770&lt;=54,"Mature",B770&lt;=65,"Pre-Senior",B770&gt;65,"Senior")</f>
        <v>Pre-Senior</v>
      </c>
      <c r="D770" s="1" t="s">
        <v>29</v>
      </c>
      <c r="E770" s="1" t="s">
        <v>34</v>
      </c>
      <c r="F770" s="1">
        <v>225000</v>
      </c>
      <c r="G770" s="1">
        <v>50</v>
      </c>
      <c r="H770" s="1" t="str" cm="1">
        <f t="array" ref="H770">_xlfn.IFS( OR(G770=" ",NOT(ISNUMBER(G770))),"Unknown",G770&lt;=33,"Low Spender",G770&lt;=66,"Medium Spender",TRUE, "High Spender")</f>
        <v>Medium Spender</v>
      </c>
      <c r="I770" s="1">
        <v>30</v>
      </c>
      <c r="J770" s="1">
        <v>10500</v>
      </c>
      <c r="K770" s="1">
        <v>332</v>
      </c>
      <c r="N770" s="1" t="str">
        <f t="shared" ref="N770:N833" si="24">IF(OR(UPPER(TRIM(D770))="Male",UPPER(TRIM(D770))="Female"),"Higher","Lower")</f>
        <v>Higher</v>
      </c>
      <c r="O770" s="1" t="str">
        <f t="shared" ref="O770:O833" si="25">_xlfn.TEXTJOIN(" | ", TRUE, C770, H770, N770)</f>
        <v>Pre-Senior | Medium Spender | Higher</v>
      </c>
    </row>
    <row r="771" spans="1:15" x14ac:dyDescent="0.25">
      <c r="A771" s="1" t="s">
        <v>801</v>
      </c>
      <c r="B771" s="1">
        <v>18</v>
      </c>
      <c r="C771" s="1" t="str" cm="1">
        <f t="array" ref="C771">_xlfn.IFS(OR(B771=" ", B771="NA",NOT(ISNUMBER(B771))), "Unknown",B771&lt;18,"Underage",B771&lt;=24,"Young Adult",B771&lt;=34,"Early Career",B771&lt;=44,"Mid Career",B771&lt;=54,"Mature",B771&lt;=65,"Pre-Senior",B771&gt;65,"Senior")</f>
        <v>Young Adult</v>
      </c>
      <c r="E771" s="1" t="s">
        <v>27</v>
      </c>
      <c r="F771" s="1">
        <v>550000</v>
      </c>
      <c r="G771" s="1">
        <v>51</v>
      </c>
      <c r="H771" s="1" t="str" cm="1">
        <f t="array" ref="H771">_xlfn.IFS( OR(G771=" ",NOT(ISNUMBER(G771))),"Unknown",G771&lt;=33,"Low Spender",G771&lt;=66,"Medium Spender",TRUE, "High Spender")</f>
        <v>Medium Spender</v>
      </c>
      <c r="I771" s="1">
        <v>37</v>
      </c>
      <c r="J771" s="1">
        <v>3800</v>
      </c>
      <c r="K771" s="1">
        <v>133</v>
      </c>
      <c r="L771" s="1" t="s">
        <v>16</v>
      </c>
      <c r="M771" s="1" t="s">
        <v>30</v>
      </c>
      <c r="N771" s="1" t="str">
        <f t="shared" si="24"/>
        <v>Lower</v>
      </c>
      <c r="O771" s="1" t="str">
        <f t="shared" si="25"/>
        <v>Young Adult | Medium Spender | Lower</v>
      </c>
    </row>
    <row r="772" spans="1:15" x14ac:dyDescent="0.25">
      <c r="A772" s="1" t="s">
        <v>802</v>
      </c>
      <c r="B772" s="1">
        <v>20</v>
      </c>
      <c r="C772" s="1" t="str" cm="1">
        <f t="array" ref="C772">_xlfn.IFS(OR(B772=" ", B772="NA",NOT(ISNUMBER(B772))), "Unknown",B772&lt;18,"Underage",B772&lt;=24,"Young Adult",B772&lt;=34,"Early Career",B772&lt;=44,"Mid Career",B772&lt;=54,"Mature",B772&lt;=65,"Pre-Senior",B772&gt;65,"Senior")</f>
        <v>Young Adult</v>
      </c>
      <c r="D772" s="1" t="s">
        <v>18</v>
      </c>
      <c r="E772" s="1" t="s">
        <v>23</v>
      </c>
      <c r="F772" s="1">
        <v>1800000</v>
      </c>
      <c r="G772" s="1">
        <v>43</v>
      </c>
      <c r="H772" s="1" t="str" cm="1">
        <f t="array" ref="H772">_xlfn.IFS( OR(G772=" ",NOT(ISNUMBER(G772))),"Unknown",G772&lt;=33,"Low Spender",G772&lt;=66,"Medium Spender",TRUE, "High Spender")</f>
        <v>Medium Spender</v>
      </c>
      <c r="I772" s="1">
        <v>53</v>
      </c>
      <c r="J772" s="1">
        <v>3600</v>
      </c>
      <c r="K772" s="1">
        <v>332</v>
      </c>
      <c r="M772" s="1" t="s">
        <v>21</v>
      </c>
      <c r="N772" s="1" t="str">
        <f t="shared" si="24"/>
        <v>Higher</v>
      </c>
      <c r="O772" s="1" t="str">
        <f t="shared" si="25"/>
        <v>Young Adult | Medium Spender | Higher</v>
      </c>
    </row>
    <row r="773" spans="1:15" x14ac:dyDescent="0.25">
      <c r="A773" s="1" t="s">
        <v>803</v>
      </c>
      <c r="B773" s="1">
        <v>30</v>
      </c>
      <c r="C773" s="1" t="str" cm="1">
        <f t="array" ref="C773">_xlfn.IFS(OR(B773=" ", B773="NA",NOT(ISNUMBER(B773))), "Unknown",B773&lt;18,"Underage",B773&lt;=24,"Young Adult",B773&lt;=34,"Early Career",B773&lt;=44,"Mid Career",B773&lt;=54,"Mature",B773&lt;=65,"Pre-Senior",B773&gt;65,"Senior")</f>
        <v>Early Career</v>
      </c>
      <c r="D773" s="1" t="s">
        <v>12</v>
      </c>
      <c r="E773" s="1" t="s">
        <v>15</v>
      </c>
      <c r="F773" s="1">
        <v>1975000</v>
      </c>
      <c r="G773" s="1">
        <v>99</v>
      </c>
      <c r="H773" s="1" t="str" cm="1">
        <f t="array" ref="H773">_xlfn.IFS( OR(G773=" ",NOT(ISNUMBER(G773))),"Unknown",G773&lt;=33,"Low Spender",G773&lt;=66,"Medium Spender",TRUE, "High Spender")</f>
        <v>High Spender</v>
      </c>
      <c r="I773" s="1">
        <v>63</v>
      </c>
      <c r="J773" s="1">
        <v>9000</v>
      </c>
      <c r="K773" s="1">
        <v>293</v>
      </c>
      <c r="L773" s="1" t="s">
        <v>20</v>
      </c>
      <c r="M773" s="1" t="s">
        <v>21</v>
      </c>
      <c r="N773" s="1" t="str">
        <f t="shared" si="24"/>
        <v>Lower</v>
      </c>
      <c r="O773" s="1" t="str">
        <f t="shared" si="25"/>
        <v>Early Career | High Spender | Lower</v>
      </c>
    </row>
    <row r="774" spans="1:15" x14ac:dyDescent="0.25">
      <c r="A774" s="1" t="s">
        <v>804</v>
      </c>
      <c r="B774" s="1">
        <v>45</v>
      </c>
      <c r="C774" s="1" t="str" cm="1">
        <f t="array" ref="C774">_xlfn.IFS(OR(B774=" ", B774="NA",NOT(ISNUMBER(B774))), "Unknown",B774&lt;18,"Underage",B774&lt;=24,"Young Adult",B774&lt;=34,"Early Career",B774&lt;=44,"Mid Career",B774&lt;=54,"Mature",B774&lt;=65,"Pre-Senior",B774&gt;65,"Senior")</f>
        <v>Mature</v>
      </c>
      <c r="D774" s="1" t="s">
        <v>29</v>
      </c>
      <c r="E774" s="1" t="s">
        <v>49</v>
      </c>
      <c r="F774" s="1">
        <v>1300000</v>
      </c>
      <c r="G774" s="1">
        <v>51</v>
      </c>
      <c r="H774" s="1" t="str" cm="1">
        <f t="array" ref="H774">_xlfn.IFS( OR(G774=" ",NOT(ISNUMBER(G774))),"Unknown",G774&lt;=33,"Low Spender",G774&lt;=66,"Medium Spender",TRUE, "High Spender")</f>
        <v>Medium Spender</v>
      </c>
      <c r="I774" s="1">
        <v>11</v>
      </c>
      <c r="J774" s="1">
        <v>2000</v>
      </c>
      <c r="K774" s="1">
        <v>193</v>
      </c>
      <c r="N774" s="1" t="str">
        <f t="shared" si="24"/>
        <v>Higher</v>
      </c>
      <c r="O774" s="1" t="str">
        <f t="shared" si="25"/>
        <v>Mature | Medium Spender | Higher</v>
      </c>
    </row>
    <row r="775" spans="1:15" x14ac:dyDescent="0.25">
      <c r="A775" s="1" t="s">
        <v>805</v>
      </c>
      <c r="B775" s="1">
        <v>66</v>
      </c>
      <c r="C775" s="1" t="str" cm="1">
        <f t="array" ref="C775">_xlfn.IFS(OR(B775=" ", B775="NA",NOT(ISNUMBER(B775))), "Unknown",B775&lt;18,"Underage",B775&lt;=24,"Young Adult",B775&lt;=34,"Early Career",B775&lt;=44,"Mid Career",B775&lt;=54,"Mature",B775&lt;=65,"Pre-Senior",B775&gt;65,"Senior")</f>
        <v>Senior</v>
      </c>
      <c r="D775" s="1" t="s">
        <v>18</v>
      </c>
      <c r="F775" s="1">
        <v>1525000</v>
      </c>
      <c r="G775" s="1">
        <v>69</v>
      </c>
      <c r="H775" s="1" t="str" cm="1">
        <f t="array" ref="H775">_xlfn.IFS( OR(G775=" ",NOT(ISNUMBER(G775))),"Unknown",G775&lt;=33,"Low Spender",G775&lt;=66,"Medium Spender",TRUE, "High Spender")</f>
        <v>High Spender</v>
      </c>
      <c r="I775" s="1">
        <v>78</v>
      </c>
      <c r="J775" s="1">
        <v>1800</v>
      </c>
      <c r="K775" s="1">
        <v>30</v>
      </c>
      <c r="L775" s="1" t="s">
        <v>20</v>
      </c>
      <c r="M775" s="1" t="s">
        <v>30</v>
      </c>
      <c r="N775" s="1" t="str">
        <f t="shared" si="24"/>
        <v>Higher</v>
      </c>
      <c r="O775" s="1" t="str">
        <f t="shared" si="25"/>
        <v>Senior | High Spender | Higher</v>
      </c>
    </row>
    <row r="776" spans="1:15" x14ac:dyDescent="0.25">
      <c r="A776" s="1" t="s">
        <v>806</v>
      </c>
      <c r="B776" s="1">
        <v>42</v>
      </c>
      <c r="C776" s="1" t="str" cm="1">
        <f t="array" ref="C776">_xlfn.IFS(OR(B776=" ", B776="NA",NOT(ISNUMBER(B776))), "Unknown",B776&lt;18,"Underage",B776&lt;=24,"Young Adult",B776&lt;=34,"Early Career",B776&lt;=44,"Mid Career",B776&lt;=54,"Mature",B776&lt;=65,"Pre-Senior",B776&gt;65,"Senior")</f>
        <v>Mid Career</v>
      </c>
      <c r="D776" s="1" t="s">
        <v>29</v>
      </c>
      <c r="E776" s="1" t="s">
        <v>34</v>
      </c>
      <c r="F776" s="1">
        <v>700000</v>
      </c>
      <c r="G776" s="1">
        <v>41</v>
      </c>
      <c r="H776" s="1" t="str" cm="1">
        <f t="array" ref="H776">_xlfn.IFS( OR(G776=" ",NOT(ISNUMBER(G776))),"Unknown",G776&lt;=33,"Low Spender",G776&lt;=66,"Medium Spender",TRUE, "High Spender")</f>
        <v>Medium Spender</v>
      </c>
      <c r="I776" s="1">
        <v>23</v>
      </c>
      <c r="J776" s="1">
        <v>10700</v>
      </c>
      <c r="K776" s="1">
        <v>298</v>
      </c>
      <c r="L776" s="1" t="s">
        <v>37</v>
      </c>
      <c r="M776" s="1" t="s">
        <v>21</v>
      </c>
      <c r="N776" s="1" t="str">
        <f t="shared" si="24"/>
        <v>Higher</v>
      </c>
      <c r="O776" s="1" t="str">
        <f t="shared" si="25"/>
        <v>Mid Career | Medium Spender | Higher</v>
      </c>
    </row>
    <row r="777" spans="1:15" x14ac:dyDescent="0.25">
      <c r="A777" s="1" t="s">
        <v>807</v>
      </c>
      <c r="B777" s="1">
        <v>50</v>
      </c>
      <c r="C777" s="1" t="str" cm="1">
        <f t="array" ref="C777">_xlfn.IFS(OR(B777=" ", B777="NA",NOT(ISNUMBER(B777))), "Unknown",B777&lt;18,"Underage",B777&lt;=24,"Young Adult",B777&lt;=34,"Early Career",B777&lt;=44,"Mid Career",B777&lt;=54,"Mature",B777&lt;=65,"Pre-Senior",B777&gt;65,"Senior")</f>
        <v>Mature</v>
      </c>
      <c r="E777" s="1" t="s">
        <v>15</v>
      </c>
      <c r="F777" s="1">
        <v>575000</v>
      </c>
      <c r="G777" s="1">
        <v>72</v>
      </c>
      <c r="H777" s="1" t="str" cm="1">
        <f t="array" ref="H777">_xlfn.IFS( OR(G777=" ",NOT(ISNUMBER(G777))),"Unknown",G777&lt;=33,"Low Spender",G777&lt;=66,"Medium Spender",TRUE, "High Spender")</f>
        <v>High Spender</v>
      </c>
      <c r="J777" s="1">
        <v>3900</v>
      </c>
      <c r="K777" s="1">
        <v>61</v>
      </c>
      <c r="N777" s="1" t="str">
        <f t="shared" si="24"/>
        <v>Lower</v>
      </c>
      <c r="O777" s="1" t="str">
        <f t="shared" si="25"/>
        <v>Mature | High Spender | Lower</v>
      </c>
    </row>
    <row r="778" spans="1:15" x14ac:dyDescent="0.25">
      <c r="A778" s="1" t="s">
        <v>808</v>
      </c>
      <c r="B778" s="1">
        <v>55</v>
      </c>
      <c r="C778" s="1" t="str" cm="1">
        <f t="array" ref="C778">_xlfn.IFS(OR(B778=" ", B778="NA",NOT(ISNUMBER(B778))), "Unknown",B778&lt;18,"Underage",B778&lt;=24,"Young Adult",B778&lt;=34,"Early Career",B778&lt;=44,"Mid Career",B778&lt;=54,"Mature",B778&lt;=65,"Pre-Senior",B778&gt;65,"Senior")</f>
        <v>Pre-Senior</v>
      </c>
      <c r="D778" s="1" t="s">
        <v>18</v>
      </c>
      <c r="E778" s="1" t="s">
        <v>15</v>
      </c>
      <c r="F778" s="1">
        <v>150000</v>
      </c>
      <c r="G778" s="1">
        <v>11</v>
      </c>
      <c r="H778" s="1" t="str" cm="1">
        <f t="array" ref="H778">_xlfn.IFS( OR(G778=" ",NOT(ISNUMBER(G778))),"Unknown",G778&lt;=33,"Low Spender",G778&lt;=66,"Medium Spender",TRUE, "High Spender")</f>
        <v>Low Spender</v>
      </c>
      <c r="I778" s="1">
        <v>50</v>
      </c>
      <c r="J778" s="1">
        <v>4300</v>
      </c>
      <c r="K778" s="1">
        <v>304</v>
      </c>
      <c r="L778" s="1" t="s">
        <v>20</v>
      </c>
      <c r="M778" s="1" t="s">
        <v>41</v>
      </c>
      <c r="N778" s="1" t="str">
        <f t="shared" si="24"/>
        <v>Higher</v>
      </c>
      <c r="O778" s="1" t="str">
        <f t="shared" si="25"/>
        <v>Pre-Senior | Low Spender | Higher</v>
      </c>
    </row>
    <row r="779" spans="1:15" x14ac:dyDescent="0.25">
      <c r="A779" s="1" t="s">
        <v>809</v>
      </c>
      <c r="C779" s="1" t="str" cm="1">
        <f t="array" ref="C779">_xlfn.IFS(OR(B779=" ", B779="NA",NOT(ISNUMBER(B779))), "Unknown",B779&lt;18,"Underage",B779&lt;=24,"Young Adult",B779&lt;=34,"Early Career",B779&lt;=44,"Mid Career",B779&lt;=54,"Mature",B779&lt;=65,"Pre-Senior",B779&gt;65,"Senior")</f>
        <v>Unknown</v>
      </c>
      <c r="D779" s="1" t="s">
        <v>18</v>
      </c>
      <c r="E779" s="1" t="s">
        <v>27</v>
      </c>
      <c r="F779" s="1">
        <v>1000000</v>
      </c>
      <c r="G779" s="1">
        <v>80</v>
      </c>
      <c r="H779" s="1" t="str" cm="1">
        <f t="array" ref="H779">_xlfn.IFS( OR(G779=" ",NOT(ISNUMBER(G779))),"Unknown",G779&lt;=33,"Low Spender",G779&lt;=66,"Medium Spender",TRUE, "High Spender")</f>
        <v>High Spender</v>
      </c>
      <c r="I779" s="1">
        <v>55</v>
      </c>
      <c r="J779" s="1">
        <v>2700</v>
      </c>
      <c r="K779" s="1">
        <v>340</v>
      </c>
      <c r="M779" s="1" t="s">
        <v>30</v>
      </c>
      <c r="N779" s="1" t="str">
        <f t="shared" si="24"/>
        <v>Higher</v>
      </c>
      <c r="O779" s="1" t="str">
        <f t="shared" si="25"/>
        <v>Unknown | High Spender | Higher</v>
      </c>
    </row>
    <row r="780" spans="1:15" x14ac:dyDescent="0.25">
      <c r="A780" s="1" t="s">
        <v>810</v>
      </c>
      <c r="B780" s="1">
        <v>23</v>
      </c>
      <c r="C780" s="1" t="str" cm="1">
        <f t="array" ref="C780">_xlfn.IFS(OR(B780=" ", B780="NA",NOT(ISNUMBER(B780))), "Unknown",B780&lt;18,"Underage",B780&lt;=24,"Young Adult",B780&lt;=34,"Early Career",B780&lt;=44,"Mid Career",B780&lt;=54,"Mature",B780&lt;=65,"Pre-Senior",B780&gt;65,"Senior")</f>
        <v>Young Adult</v>
      </c>
      <c r="E780" s="1" t="s">
        <v>19</v>
      </c>
      <c r="F780" s="1">
        <v>1725000</v>
      </c>
      <c r="G780" s="1">
        <v>88</v>
      </c>
      <c r="H780" s="1" t="str" cm="1">
        <f t="array" ref="H780">_xlfn.IFS( OR(G780=" ",NOT(ISNUMBER(G780))),"Unknown",G780&lt;=33,"Low Spender",G780&lt;=66,"Medium Spender",TRUE, "High Spender")</f>
        <v>High Spender</v>
      </c>
      <c r="I780" s="1">
        <v>55</v>
      </c>
      <c r="J780" s="1">
        <v>1000</v>
      </c>
      <c r="K780" s="1">
        <v>349</v>
      </c>
      <c r="L780" s="1" t="s">
        <v>20</v>
      </c>
      <c r="M780" s="1" t="s">
        <v>41</v>
      </c>
      <c r="N780" s="1" t="str">
        <f t="shared" si="24"/>
        <v>Lower</v>
      </c>
      <c r="O780" s="1" t="str">
        <f t="shared" si="25"/>
        <v>Young Adult | High Spender | Lower</v>
      </c>
    </row>
    <row r="781" spans="1:15" x14ac:dyDescent="0.25">
      <c r="A781" s="1" t="s">
        <v>811</v>
      </c>
      <c r="B781" s="1">
        <v>61</v>
      </c>
      <c r="C781" s="1" t="str" cm="1">
        <f t="array" ref="C781">_xlfn.IFS(OR(B781=" ", B781="NA",NOT(ISNUMBER(B781))), "Unknown",B781&lt;18,"Underage",B781&lt;=24,"Young Adult",B781&lt;=34,"Early Career",B781&lt;=44,"Mid Career",B781&lt;=54,"Mature",B781&lt;=65,"Pre-Senior",B781&gt;65,"Senior")</f>
        <v>Pre-Senior</v>
      </c>
      <c r="D781" s="1" t="s">
        <v>29</v>
      </c>
      <c r="E781" s="1" t="s">
        <v>19</v>
      </c>
      <c r="F781" s="1">
        <v>1575000</v>
      </c>
      <c r="G781" s="1">
        <v>85</v>
      </c>
      <c r="H781" s="1" t="str" cm="1">
        <f t="array" ref="H781">_xlfn.IFS( OR(G781=" ",NOT(ISNUMBER(G781))),"Unknown",G781&lt;=33,"Low Spender",G781&lt;=66,"Medium Spender",TRUE, "High Spender")</f>
        <v>High Spender</v>
      </c>
      <c r="I781" s="1">
        <v>4</v>
      </c>
      <c r="J781" s="1">
        <v>9000</v>
      </c>
      <c r="K781" s="1">
        <v>324</v>
      </c>
      <c r="L781" s="1" t="s">
        <v>16</v>
      </c>
      <c r="M781" s="1" t="s">
        <v>30</v>
      </c>
      <c r="N781" s="1" t="str">
        <f t="shared" si="24"/>
        <v>Higher</v>
      </c>
      <c r="O781" s="1" t="str">
        <f t="shared" si="25"/>
        <v>Pre-Senior | High Spender | Higher</v>
      </c>
    </row>
    <row r="782" spans="1:15" x14ac:dyDescent="0.25">
      <c r="A782" s="1" t="s">
        <v>812</v>
      </c>
      <c r="B782" s="1">
        <v>62</v>
      </c>
      <c r="C782" s="1" t="str" cm="1">
        <f t="array" ref="C782">_xlfn.IFS(OR(B782=" ", B782="NA",NOT(ISNUMBER(B782))), "Unknown",B782&lt;18,"Underage",B782&lt;=24,"Young Adult",B782&lt;=34,"Early Career",B782&lt;=44,"Mid Career",B782&lt;=54,"Mature",B782&lt;=65,"Pre-Senior",B782&gt;65,"Senior")</f>
        <v>Pre-Senior</v>
      </c>
      <c r="D782" s="1" t="s">
        <v>29</v>
      </c>
      <c r="E782" s="1" t="s">
        <v>34</v>
      </c>
      <c r="F782" s="1">
        <v>1600000</v>
      </c>
      <c r="G782" s="1">
        <v>52</v>
      </c>
      <c r="H782" s="1" t="str" cm="1">
        <f t="array" ref="H782">_xlfn.IFS( OR(G782=" ",NOT(ISNUMBER(G782))),"Unknown",G782&lt;=33,"Low Spender",G782&lt;=66,"Medium Spender",TRUE, "High Spender")</f>
        <v>Medium Spender</v>
      </c>
      <c r="I782" s="1">
        <v>54</v>
      </c>
      <c r="J782" s="1">
        <v>8600</v>
      </c>
      <c r="K782" s="1">
        <v>302</v>
      </c>
      <c r="L782" s="1" t="s">
        <v>35</v>
      </c>
      <c r="M782" s="1" t="s">
        <v>41</v>
      </c>
      <c r="N782" s="1" t="str">
        <f t="shared" si="24"/>
        <v>Higher</v>
      </c>
      <c r="O782" s="1" t="str">
        <f t="shared" si="25"/>
        <v>Pre-Senior | Medium Spender | Higher</v>
      </c>
    </row>
    <row r="783" spans="1:15" x14ac:dyDescent="0.25">
      <c r="A783" s="1" t="s">
        <v>813</v>
      </c>
      <c r="B783" s="1">
        <v>49</v>
      </c>
      <c r="C783" s="1" t="str" cm="1">
        <f t="array" ref="C783">_xlfn.IFS(OR(B783=" ", B783="NA",NOT(ISNUMBER(B783))), "Unknown",B783&lt;18,"Underage",B783&lt;=24,"Young Adult",B783&lt;=34,"Early Career",B783&lt;=44,"Mid Career",B783&lt;=54,"Mature",B783&lt;=65,"Pre-Senior",B783&gt;65,"Senior")</f>
        <v>Mature</v>
      </c>
      <c r="D783" s="1" t="s">
        <v>29</v>
      </c>
      <c r="F783" s="1">
        <v>150000</v>
      </c>
      <c r="G783" s="1">
        <v>23</v>
      </c>
      <c r="H783" s="1" t="str" cm="1">
        <f t="array" ref="H783">_xlfn.IFS( OR(G783=" ",NOT(ISNUMBER(G783))),"Unknown",G783&lt;=33,"Low Spender",G783&lt;=66,"Medium Spender",TRUE, "High Spender")</f>
        <v>Low Spender</v>
      </c>
      <c r="I783" s="1">
        <v>61</v>
      </c>
      <c r="J783" s="1">
        <v>11400</v>
      </c>
      <c r="K783" s="1">
        <v>28</v>
      </c>
      <c r="L783" s="1" t="s">
        <v>35</v>
      </c>
      <c r="M783" s="1" t="s">
        <v>41</v>
      </c>
      <c r="N783" s="1" t="str">
        <f t="shared" si="24"/>
        <v>Higher</v>
      </c>
      <c r="O783" s="1" t="str">
        <f t="shared" si="25"/>
        <v>Mature | Low Spender | Higher</v>
      </c>
    </row>
    <row r="784" spans="1:15" x14ac:dyDescent="0.25">
      <c r="A784" s="1" t="s">
        <v>814</v>
      </c>
      <c r="B784" s="1">
        <v>62</v>
      </c>
      <c r="C784" s="1" t="str" cm="1">
        <f t="array" ref="C784">_xlfn.IFS(OR(B784=" ", B784="NA",NOT(ISNUMBER(B784))), "Unknown",B784&lt;18,"Underage",B784&lt;=24,"Young Adult",B784&lt;=34,"Early Career",B784&lt;=44,"Mid Career",B784&lt;=54,"Mature",B784&lt;=65,"Pre-Senior",B784&gt;65,"Senior")</f>
        <v>Pre-Senior</v>
      </c>
      <c r="D784" s="1" t="s">
        <v>18</v>
      </c>
      <c r="E784" s="1" t="s">
        <v>34</v>
      </c>
      <c r="F784" s="1">
        <v>200000</v>
      </c>
      <c r="G784" s="1">
        <v>49</v>
      </c>
      <c r="H784" s="1" t="str" cm="1">
        <f t="array" ref="H784">_xlfn.IFS( OR(G784=" ",NOT(ISNUMBER(G784))),"Unknown",G784&lt;=33,"Low Spender",G784&lt;=66,"Medium Spender",TRUE, "High Spender")</f>
        <v>Medium Spender</v>
      </c>
      <c r="I784" s="1">
        <v>78</v>
      </c>
      <c r="J784" s="1">
        <v>9600</v>
      </c>
      <c r="K784" s="1">
        <v>77</v>
      </c>
      <c r="M784" s="1" t="s">
        <v>21</v>
      </c>
      <c r="N784" s="1" t="str">
        <f t="shared" si="24"/>
        <v>Higher</v>
      </c>
      <c r="O784" s="1" t="str">
        <f t="shared" si="25"/>
        <v>Pre-Senior | Medium Spender | Higher</v>
      </c>
    </row>
    <row r="785" spans="1:15" x14ac:dyDescent="0.25">
      <c r="A785" s="1" t="s">
        <v>815</v>
      </c>
      <c r="B785" s="1">
        <v>64</v>
      </c>
      <c r="C785" s="1" t="str" cm="1">
        <f t="array" ref="C785">_xlfn.IFS(OR(B785=" ", B785="NA",NOT(ISNUMBER(B785))), "Unknown",B785&lt;18,"Underage",B785&lt;=24,"Young Adult",B785&lt;=34,"Early Career",B785&lt;=44,"Mid Career",B785&lt;=54,"Mature",B785&lt;=65,"Pre-Senior",B785&gt;65,"Senior")</f>
        <v>Pre-Senior</v>
      </c>
      <c r="D785" s="1" t="s">
        <v>18</v>
      </c>
      <c r="E785" s="1" t="s">
        <v>34</v>
      </c>
      <c r="F785" s="1">
        <v>1800000</v>
      </c>
      <c r="G785" s="1">
        <v>38</v>
      </c>
      <c r="H785" s="1" t="str" cm="1">
        <f t="array" ref="H785">_xlfn.IFS( OR(G785=" ",NOT(ISNUMBER(G785))),"Unknown",G785&lt;=33,"Low Spender",G785&lt;=66,"Medium Spender",TRUE, "High Spender")</f>
        <v>Medium Spender</v>
      </c>
      <c r="I785" s="1">
        <v>5</v>
      </c>
      <c r="J785" s="1">
        <v>8600</v>
      </c>
      <c r="K785" s="1">
        <v>121</v>
      </c>
      <c r="L785" s="1" t="s">
        <v>20</v>
      </c>
      <c r="M785" s="1" t="s">
        <v>30</v>
      </c>
      <c r="N785" s="1" t="str">
        <f t="shared" si="24"/>
        <v>Higher</v>
      </c>
      <c r="O785" s="1" t="str">
        <f t="shared" si="25"/>
        <v>Pre-Senior | Medium Spender | Higher</v>
      </c>
    </row>
    <row r="786" spans="1:15" x14ac:dyDescent="0.25">
      <c r="A786" s="1" t="s">
        <v>816</v>
      </c>
      <c r="B786" s="1">
        <v>38</v>
      </c>
      <c r="C786" s="1" t="str" cm="1">
        <f t="array" ref="C786">_xlfn.IFS(OR(B786=" ", B786="NA",NOT(ISNUMBER(B786))), "Unknown",B786&lt;18,"Underage",B786&lt;=24,"Young Adult",B786&lt;=34,"Early Career",B786&lt;=44,"Mid Career",B786&lt;=54,"Mature",B786&lt;=65,"Pre-Senior",B786&gt;65,"Senior")</f>
        <v>Mid Career</v>
      </c>
      <c r="D786" s="1" t="s">
        <v>18</v>
      </c>
      <c r="E786" s="1" t="s">
        <v>58</v>
      </c>
      <c r="F786" s="1">
        <v>1050000</v>
      </c>
      <c r="G786" s="1">
        <v>47</v>
      </c>
      <c r="H786" s="1" t="str" cm="1">
        <f t="array" ref="H786">_xlfn.IFS( OR(G786=" ",NOT(ISNUMBER(G786))),"Unknown",G786&lt;=33,"Low Spender",G786&lt;=66,"Medium Spender",TRUE, "High Spender")</f>
        <v>Medium Spender</v>
      </c>
      <c r="I786" s="1">
        <v>18</v>
      </c>
      <c r="J786" s="1">
        <v>2000</v>
      </c>
      <c r="K786" s="1">
        <v>3</v>
      </c>
      <c r="L786" s="1" t="s">
        <v>20</v>
      </c>
      <c r="N786" s="1" t="str">
        <f t="shared" si="24"/>
        <v>Higher</v>
      </c>
      <c r="O786" s="1" t="str">
        <f t="shared" si="25"/>
        <v>Mid Career | Medium Spender | Higher</v>
      </c>
    </row>
    <row r="787" spans="1:15" x14ac:dyDescent="0.25">
      <c r="A787" s="1" t="s">
        <v>817</v>
      </c>
      <c r="B787" s="1">
        <v>33</v>
      </c>
      <c r="C787" s="1" t="str" cm="1">
        <f t="array" ref="C787">_xlfn.IFS(OR(B787=" ", B787="NA",NOT(ISNUMBER(B787))), "Unknown",B787&lt;18,"Underage",B787&lt;=24,"Young Adult",B787&lt;=34,"Early Career",B787&lt;=44,"Mid Career",B787&lt;=54,"Mature",B787&lt;=65,"Pre-Senior",B787&gt;65,"Senior")</f>
        <v>Early Career</v>
      </c>
      <c r="D787" s="1" t="s">
        <v>18</v>
      </c>
      <c r="E787" s="1" t="s">
        <v>23</v>
      </c>
      <c r="F787" s="1">
        <v>850000</v>
      </c>
      <c r="G787" s="1">
        <v>72</v>
      </c>
      <c r="H787" s="1" t="str" cm="1">
        <f t="array" ref="H787">_xlfn.IFS( OR(G787=" ",NOT(ISNUMBER(G787))),"Unknown",G787&lt;=33,"Low Spender",G787&lt;=66,"Medium Spender",TRUE, "High Spender")</f>
        <v>High Spender</v>
      </c>
      <c r="I787" s="1">
        <v>44</v>
      </c>
      <c r="J787" s="1">
        <v>7000</v>
      </c>
      <c r="K787" s="1">
        <v>37</v>
      </c>
      <c r="L787" s="1" t="s">
        <v>20</v>
      </c>
      <c r="M787" s="1" t="s">
        <v>21</v>
      </c>
      <c r="N787" s="1" t="str">
        <f t="shared" si="24"/>
        <v>Higher</v>
      </c>
      <c r="O787" s="1" t="str">
        <f t="shared" si="25"/>
        <v>Early Career | High Spender | Higher</v>
      </c>
    </row>
    <row r="788" spans="1:15" x14ac:dyDescent="0.25">
      <c r="A788" s="1" t="s">
        <v>818</v>
      </c>
      <c r="C788" s="1" t="str" cm="1">
        <f t="array" ref="C788">_xlfn.IFS(OR(B788=" ", B788="NA",NOT(ISNUMBER(B788))), "Unknown",B788&lt;18,"Underage",B788&lt;=24,"Young Adult",B788&lt;=34,"Early Career",B788&lt;=44,"Mid Career",B788&lt;=54,"Mature",B788&lt;=65,"Pre-Senior",B788&gt;65,"Senior")</f>
        <v>Unknown</v>
      </c>
      <c r="E788" s="1" t="s">
        <v>23</v>
      </c>
      <c r="F788" s="1">
        <v>950000</v>
      </c>
      <c r="G788" s="1">
        <v>7</v>
      </c>
      <c r="H788" s="1" t="str" cm="1">
        <f t="array" ref="H788">_xlfn.IFS( OR(G788=" ",NOT(ISNUMBER(G788))),"Unknown",G788&lt;=33,"Low Spender",G788&lt;=66,"Medium Spender",TRUE, "High Spender")</f>
        <v>Low Spender</v>
      </c>
      <c r="I788" s="1">
        <v>31</v>
      </c>
      <c r="J788" s="1">
        <v>5000</v>
      </c>
      <c r="K788" s="1">
        <v>147</v>
      </c>
      <c r="L788" s="1" t="s">
        <v>20</v>
      </c>
      <c r="M788" s="1" t="s">
        <v>41</v>
      </c>
      <c r="N788" s="1" t="str">
        <f t="shared" si="24"/>
        <v>Lower</v>
      </c>
      <c r="O788" s="1" t="str">
        <f t="shared" si="25"/>
        <v>Unknown | Low Spender | Lower</v>
      </c>
    </row>
    <row r="789" spans="1:15" x14ac:dyDescent="0.25">
      <c r="A789" s="1" t="s">
        <v>819</v>
      </c>
      <c r="B789" s="1">
        <v>38</v>
      </c>
      <c r="C789" s="1" t="str" cm="1">
        <f t="array" ref="C789">_xlfn.IFS(OR(B789=" ", B789="NA",NOT(ISNUMBER(B789))), "Unknown",B789&lt;18,"Underage",B789&lt;=24,"Young Adult",B789&lt;=34,"Early Career",B789&lt;=44,"Mid Career",B789&lt;=54,"Mature",B789&lt;=65,"Pre-Senior",B789&gt;65,"Senior")</f>
        <v>Mid Career</v>
      </c>
      <c r="F789" s="1">
        <v>1650000</v>
      </c>
      <c r="G789" s="1">
        <v>66</v>
      </c>
      <c r="H789" s="1" t="str" cm="1">
        <f t="array" ref="H789">_xlfn.IFS( OR(G789=" ",NOT(ISNUMBER(G789))),"Unknown",G789&lt;=33,"Low Spender",G789&lt;=66,"Medium Spender",TRUE, "High Spender")</f>
        <v>Medium Spender</v>
      </c>
      <c r="I789" s="1">
        <v>21</v>
      </c>
      <c r="J789" s="1">
        <v>10200</v>
      </c>
      <c r="K789" s="1">
        <v>92</v>
      </c>
      <c r="L789" s="1" t="s">
        <v>16</v>
      </c>
      <c r="M789" s="1" t="s">
        <v>41</v>
      </c>
      <c r="N789" s="1" t="str">
        <f t="shared" si="24"/>
        <v>Lower</v>
      </c>
      <c r="O789" s="1" t="str">
        <f t="shared" si="25"/>
        <v>Mid Career | Medium Spender | Lower</v>
      </c>
    </row>
    <row r="790" spans="1:15" x14ac:dyDescent="0.25">
      <c r="A790" s="1" t="s">
        <v>820</v>
      </c>
      <c r="B790" s="1">
        <v>28</v>
      </c>
      <c r="C790" s="1" t="str" cm="1">
        <f t="array" ref="C790">_xlfn.IFS(OR(B790=" ", B790="NA",NOT(ISNUMBER(B790))), "Unknown",B790&lt;18,"Underage",B790&lt;=24,"Young Adult",B790&lt;=34,"Early Career",B790&lt;=44,"Mid Career",B790&lt;=54,"Mature",B790&lt;=65,"Pre-Senior",B790&gt;65,"Senior")</f>
        <v>Early Career</v>
      </c>
      <c r="E790" s="1" t="s">
        <v>58</v>
      </c>
      <c r="F790" s="1">
        <v>225000</v>
      </c>
      <c r="G790" s="1">
        <v>94</v>
      </c>
      <c r="H790" s="1" t="str" cm="1">
        <f t="array" ref="H790">_xlfn.IFS( OR(G790=" ",NOT(ISNUMBER(G790))),"Unknown",G790&lt;=33,"Low Spender",G790&lt;=66,"Medium Spender",TRUE, "High Spender")</f>
        <v>High Spender</v>
      </c>
      <c r="I790" s="1">
        <v>47</v>
      </c>
      <c r="J790" s="1">
        <v>7200</v>
      </c>
      <c r="K790" s="1">
        <v>339</v>
      </c>
      <c r="N790" s="1" t="str">
        <f t="shared" si="24"/>
        <v>Lower</v>
      </c>
      <c r="O790" s="1" t="str">
        <f t="shared" si="25"/>
        <v>Early Career | High Spender | Lower</v>
      </c>
    </row>
    <row r="791" spans="1:15" x14ac:dyDescent="0.25">
      <c r="A791" s="1" t="s">
        <v>821</v>
      </c>
      <c r="B791" s="1">
        <v>54</v>
      </c>
      <c r="C791" s="1" t="str" cm="1">
        <f t="array" ref="C791">_xlfn.IFS(OR(B791=" ", B791="NA",NOT(ISNUMBER(B791))), "Unknown",B791&lt;18,"Underage",B791&lt;=24,"Young Adult",B791&lt;=34,"Early Career",B791&lt;=44,"Mid Career",B791&lt;=54,"Mature",B791&lt;=65,"Pre-Senior",B791&gt;65,"Senior")</f>
        <v>Mature</v>
      </c>
      <c r="D791" s="1" t="s">
        <v>18</v>
      </c>
      <c r="E791" s="1" t="s">
        <v>15</v>
      </c>
      <c r="F791" s="1">
        <v>475000</v>
      </c>
      <c r="G791" s="1">
        <v>77</v>
      </c>
      <c r="H791" s="1" t="str" cm="1">
        <f t="array" ref="H791">_xlfn.IFS( OR(G791=" ",NOT(ISNUMBER(G791))),"Unknown",G791&lt;=33,"Low Spender",G791&lt;=66,"Medium Spender",TRUE, "High Spender")</f>
        <v>High Spender</v>
      </c>
      <c r="I791" s="1">
        <v>30</v>
      </c>
      <c r="J791" s="1">
        <v>6900</v>
      </c>
      <c r="K791" s="1">
        <v>273</v>
      </c>
      <c r="L791" s="1" t="s">
        <v>16</v>
      </c>
      <c r="N791" s="1" t="str">
        <f t="shared" si="24"/>
        <v>Higher</v>
      </c>
      <c r="O791" s="1" t="str">
        <f t="shared" si="25"/>
        <v>Mature | High Spender | Higher</v>
      </c>
    </row>
    <row r="792" spans="1:15" x14ac:dyDescent="0.25">
      <c r="A792" s="1" t="s">
        <v>822</v>
      </c>
      <c r="B792" s="1">
        <v>53</v>
      </c>
      <c r="C792" s="1" t="str" cm="1">
        <f t="array" ref="C792">_xlfn.IFS(OR(B792=" ", B792="NA",NOT(ISNUMBER(B792))), "Unknown",B792&lt;18,"Underage",B792&lt;=24,"Young Adult",B792&lt;=34,"Early Career",B792&lt;=44,"Mid Career",B792&lt;=54,"Mature",B792&lt;=65,"Pre-Senior",B792&gt;65,"Senior")</f>
        <v>Mature</v>
      </c>
      <c r="D792" s="1" t="s">
        <v>18</v>
      </c>
      <c r="E792" s="1" t="s">
        <v>58</v>
      </c>
      <c r="F792" s="1">
        <v>950000</v>
      </c>
      <c r="G792" s="1">
        <v>62</v>
      </c>
      <c r="H792" s="1" t="str" cm="1">
        <f t="array" ref="H792">_xlfn.IFS( OR(G792=" ",NOT(ISNUMBER(G792))),"Unknown",G792&lt;=33,"Low Spender",G792&lt;=66,"Medium Spender",TRUE, "High Spender")</f>
        <v>Medium Spender</v>
      </c>
      <c r="I792" s="1">
        <v>55</v>
      </c>
      <c r="J792" s="1">
        <v>2000</v>
      </c>
      <c r="K792" s="1">
        <v>87</v>
      </c>
      <c r="L792" s="1" t="s">
        <v>16</v>
      </c>
      <c r="M792" s="1" t="s">
        <v>41</v>
      </c>
      <c r="N792" s="1" t="str">
        <f t="shared" si="24"/>
        <v>Higher</v>
      </c>
      <c r="O792" s="1" t="str">
        <f t="shared" si="25"/>
        <v>Mature | Medium Spender | Higher</v>
      </c>
    </row>
    <row r="793" spans="1:15" x14ac:dyDescent="0.25">
      <c r="A793" s="1" t="s">
        <v>823</v>
      </c>
      <c r="B793" s="1">
        <v>52</v>
      </c>
      <c r="C793" s="1" t="str" cm="1">
        <f t="array" ref="C793">_xlfn.IFS(OR(B793=" ", B793="NA",NOT(ISNUMBER(B793))), "Unknown",B793&lt;18,"Underage",B793&lt;=24,"Young Adult",B793&lt;=34,"Early Career",B793&lt;=44,"Mid Career",B793&lt;=54,"Mature",B793&lt;=65,"Pre-Senior",B793&gt;65,"Senior")</f>
        <v>Mature</v>
      </c>
      <c r="E793" s="1" t="s">
        <v>34</v>
      </c>
      <c r="F793" s="1">
        <v>675000</v>
      </c>
      <c r="G793" s="1">
        <v>87</v>
      </c>
      <c r="H793" s="1" t="str" cm="1">
        <f t="array" ref="H793">_xlfn.IFS( OR(G793=" ",NOT(ISNUMBER(G793))),"Unknown",G793&lt;=33,"Low Spender",G793&lt;=66,"Medium Spender",TRUE, "High Spender")</f>
        <v>High Spender</v>
      </c>
      <c r="I793" s="1">
        <v>68</v>
      </c>
      <c r="J793" s="1">
        <v>11300</v>
      </c>
      <c r="K793" s="1">
        <v>40</v>
      </c>
      <c r="L793" s="1" t="s">
        <v>16</v>
      </c>
      <c r="N793" s="1" t="str">
        <f t="shared" si="24"/>
        <v>Lower</v>
      </c>
      <c r="O793" s="1" t="str">
        <f t="shared" si="25"/>
        <v>Mature | High Spender | Lower</v>
      </c>
    </row>
    <row r="794" spans="1:15" x14ac:dyDescent="0.25">
      <c r="A794" s="1" t="s">
        <v>824</v>
      </c>
      <c r="B794" s="1">
        <v>36</v>
      </c>
      <c r="C794" s="1" t="str" cm="1">
        <f t="array" ref="C794">_xlfn.IFS(OR(B794=" ", B794="NA",NOT(ISNUMBER(B794))), "Unknown",B794&lt;18,"Underage",B794&lt;=24,"Young Adult",B794&lt;=34,"Early Career",B794&lt;=44,"Mid Career",B794&lt;=54,"Mature",B794&lt;=65,"Pre-Senior",B794&gt;65,"Senior")</f>
        <v>Mid Career</v>
      </c>
      <c r="D794" s="1" t="s">
        <v>29</v>
      </c>
      <c r="E794" s="1" t="s">
        <v>19</v>
      </c>
      <c r="F794" s="1">
        <v>1325000</v>
      </c>
      <c r="G794" s="1">
        <v>29</v>
      </c>
      <c r="H794" s="1" t="str" cm="1">
        <f t="array" ref="H794">_xlfn.IFS( OR(G794=" ",NOT(ISNUMBER(G794))),"Unknown",G794&lt;=33,"Low Spender",G794&lt;=66,"Medium Spender",TRUE, "High Spender")</f>
        <v>Low Spender</v>
      </c>
      <c r="I794" s="1">
        <v>69</v>
      </c>
      <c r="J794" s="1">
        <v>10600</v>
      </c>
      <c r="K794" s="1">
        <v>178</v>
      </c>
      <c r="L794" s="1" t="s">
        <v>35</v>
      </c>
      <c r="M794" s="1" t="s">
        <v>32</v>
      </c>
      <c r="N794" s="1" t="str">
        <f t="shared" si="24"/>
        <v>Higher</v>
      </c>
      <c r="O794" s="1" t="str">
        <f t="shared" si="25"/>
        <v>Mid Career | Low Spender | Higher</v>
      </c>
    </row>
    <row r="795" spans="1:15" x14ac:dyDescent="0.25">
      <c r="A795" s="1" t="s">
        <v>825</v>
      </c>
      <c r="B795" s="1">
        <v>37</v>
      </c>
      <c r="C795" s="1" t="str" cm="1">
        <f t="array" ref="C795">_xlfn.IFS(OR(B795=" ", B795="NA",NOT(ISNUMBER(B795))), "Unknown",B795&lt;18,"Underage",B795&lt;=24,"Young Adult",B795&lt;=34,"Early Career",B795&lt;=44,"Mid Career",B795&lt;=54,"Mature",B795&lt;=65,"Pre-Senior",B795&gt;65,"Senior")</f>
        <v>Mid Career</v>
      </c>
      <c r="D795" s="1" t="s">
        <v>29</v>
      </c>
      <c r="E795" s="1" t="s">
        <v>13</v>
      </c>
      <c r="F795" s="1">
        <v>200000</v>
      </c>
      <c r="G795" s="1">
        <v>38</v>
      </c>
      <c r="H795" s="1" t="str" cm="1">
        <f t="array" ref="H795">_xlfn.IFS( OR(G795=" ",NOT(ISNUMBER(G795))),"Unknown",G795&lt;=33,"Low Spender",G795&lt;=66,"Medium Spender",TRUE, "High Spender")</f>
        <v>Medium Spender</v>
      </c>
      <c r="I795" s="1">
        <v>41</v>
      </c>
      <c r="J795" s="1">
        <v>2000</v>
      </c>
      <c r="K795" s="1">
        <v>329</v>
      </c>
      <c r="L795" s="1" t="s">
        <v>16</v>
      </c>
      <c r="M795" s="1" t="s">
        <v>21</v>
      </c>
      <c r="N795" s="1" t="str">
        <f t="shared" si="24"/>
        <v>Higher</v>
      </c>
      <c r="O795" s="1" t="str">
        <f t="shared" si="25"/>
        <v>Mid Career | Medium Spender | Higher</v>
      </c>
    </row>
    <row r="796" spans="1:15" x14ac:dyDescent="0.25">
      <c r="A796" s="1" t="s">
        <v>826</v>
      </c>
      <c r="B796" s="1">
        <v>35</v>
      </c>
      <c r="C796" s="1" t="str" cm="1">
        <f t="array" ref="C796">_xlfn.IFS(OR(B796=" ", B796="NA",NOT(ISNUMBER(B796))), "Unknown",B796&lt;18,"Underage",B796&lt;=24,"Young Adult",B796&lt;=34,"Early Career",B796&lt;=44,"Mid Career",B796&lt;=54,"Mature",B796&lt;=65,"Pre-Senior",B796&gt;65,"Senior")</f>
        <v>Mid Career</v>
      </c>
      <c r="F796" s="1">
        <v>700000</v>
      </c>
      <c r="H796" s="1" t="str" cm="1">
        <f t="array" ref="H796">_xlfn.IFS( OR(G796=" ",NOT(ISNUMBER(G796))),"Unknown",G796&lt;=33,"Low Spender",G796&lt;=66,"Medium Spender",TRUE, "High Spender")</f>
        <v>Unknown</v>
      </c>
      <c r="I796" s="1">
        <v>45</v>
      </c>
      <c r="J796" s="1">
        <v>5800</v>
      </c>
      <c r="K796" s="1">
        <v>285</v>
      </c>
      <c r="L796" s="1" t="s">
        <v>20</v>
      </c>
      <c r="M796" s="1" t="s">
        <v>30</v>
      </c>
      <c r="N796" s="1" t="str">
        <f t="shared" si="24"/>
        <v>Lower</v>
      </c>
      <c r="O796" s="1" t="str">
        <f t="shared" si="25"/>
        <v>Mid Career | Unknown | Lower</v>
      </c>
    </row>
    <row r="797" spans="1:15" x14ac:dyDescent="0.25">
      <c r="A797" s="1" t="s">
        <v>827</v>
      </c>
      <c r="B797" s="1">
        <v>64</v>
      </c>
      <c r="C797" s="1" t="str" cm="1">
        <f t="array" ref="C797">_xlfn.IFS(OR(B797=" ", B797="NA",NOT(ISNUMBER(B797))), "Unknown",B797&lt;18,"Underage",B797&lt;=24,"Young Adult",B797&lt;=34,"Early Career",B797&lt;=44,"Mid Career",B797&lt;=54,"Mature",B797&lt;=65,"Pre-Senior",B797&gt;65,"Senior")</f>
        <v>Pre-Senior</v>
      </c>
      <c r="E797" s="1" t="s">
        <v>15</v>
      </c>
      <c r="F797" s="1">
        <v>1825000</v>
      </c>
      <c r="G797" s="1">
        <v>84</v>
      </c>
      <c r="H797" s="1" t="str" cm="1">
        <f t="array" ref="H797">_xlfn.IFS( OR(G797=" ",NOT(ISNUMBER(G797))),"Unknown",G797&lt;=33,"Low Spender",G797&lt;=66,"Medium Spender",TRUE, "High Spender")</f>
        <v>High Spender</v>
      </c>
      <c r="I797" s="1">
        <v>74</v>
      </c>
      <c r="J797" s="1">
        <v>2500</v>
      </c>
      <c r="K797" s="1">
        <v>42</v>
      </c>
      <c r="L797" s="1" t="s">
        <v>16</v>
      </c>
      <c r="N797" s="1" t="str">
        <f t="shared" si="24"/>
        <v>Lower</v>
      </c>
      <c r="O797" s="1" t="str">
        <f t="shared" si="25"/>
        <v>Pre-Senior | High Spender | Lower</v>
      </c>
    </row>
    <row r="798" spans="1:15" x14ac:dyDescent="0.25">
      <c r="A798" s="1" t="s">
        <v>828</v>
      </c>
      <c r="B798" s="1">
        <v>58</v>
      </c>
      <c r="C798" s="1" t="str" cm="1">
        <f t="array" ref="C798">_xlfn.IFS(OR(B798=" ", B798="NA",NOT(ISNUMBER(B798))), "Unknown",B798&lt;18,"Underage",B798&lt;=24,"Young Adult",B798&lt;=34,"Early Career",B798&lt;=44,"Mid Career",B798&lt;=54,"Mature",B798&lt;=65,"Pre-Senior",B798&gt;65,"Senior")</f>
        <v>Pre-Senior</v>
      </c>
      <c r="E798" s="1" t="s">
        <v>27</v>
      </c>
      <c r="F798" s="1">
        <v>650000</v>
      </c>
      <c r="G798" s="1">
        <v>33</v>
      </c>
      <c r="H798" s="1" t="str" cm="1">
        <f t="array" ref="H798">_xlfn.IFS( OR(G798=" ",NOT(ISNUMBER(G798))),"Unknown",G798&lt;=33,"Low Spender",G798&lt;=66,"Medium Spender",TRUE, "High Spender")</f>
        <v>Low Spender</v>
      </c>
      <c r="J798" s="1">
        <v>3700</v>
      </c>
      <c r="K798" s="1">
        <v>285</v>
      </c>
      <c r="L798" s="1" t="s">
        <v>20</v>
      </c>
      <c r="N798" s="1" t="str">
        <f t="shared" si="24"/>
        <v>Lower</v>
      </c>
      <c r="O798" s="1" t="str">
        <f t="shared" si="25"/>
        <v>Pre-Senior | Low Spender | Lower</v>
      </c>
    </row>
    <row r="799" spans="1:15" x14ac:dyDescent="0.25">
      <c r="A799" s="1" t="s">
        <v>829</v>
      </c>
      <c r="B799" s="1">
        <v>66</v>
      </c>
      <c r="C799" s="1" t="str" cm="1">
        <f t="array" ref="C799">_xlfn.IFS(OR(B799=" ", B799="NA",NOT(ISNUMBER(B799))), "Unknown",B799&lt;18,"Underage",B799&lt;=24,"Young Adult",B799&lt;=34,"Early Career",B799&lt;=44,"Mid Career",B799&lt;=54,"Mature",B799&lt;=65,"Pre-Senior",B799&gt;65,"Senior")</f>
        <v>Senior</v>
      </c>
      <c r="D799" s="1" t="s">
        <v>29</v>
      </c>
      <c r="E799" s="1" t="s">
        <v>13</v>
      </c>
      <c r="F799" s="1">
        <v>1200000</v>
      </c>
      <c r="G799" s="1">
        <v>29</v>
      </c>
      <c r="H799" s="1" t="str" cm="1">
        <f t="array" ref="H799">_xlfn.IFS( OR(G799=" ",NOT(ISNUMBER(G799))),"Unknown",G799&lt;=33,"Low Spender",G799&lt;=66,"Medium Spender",TRUE, "High Spender")</f>
        <v>Low Spender</v>
      </c>
      <c r="I799" s="1">
        <v>30</v>
      </c>
      <c r="J799" s="1">
        <v>800</v>
      </c>
      <c r="K799" s="1">
        <v>66</v>
      </c>
      <c r="M799" s="1" t="s">
        <v>32</v>
      </c>
      <c r="N799" s="1" t="str">
        <f t="shared" si="24"/>
        <v>Higher</v>
      </c>
      <c r="O799" s="1" t="str">
        <f t="shared" si="25"/>
        <v>Senior | Low Spender | Higher</v>
      </c>
    </row>
    <row r="800" spans="1:15" x14ac:dyDescent="0.25">
      <c r="A800" s="1" t="s">
        <v>830</v>
      </c>
      <c r="B800" s="1">
        <v>31</v>
      </c>
      <c r="C800" s="1" t="str" cm="1">
        <f t="array" ref="C800">_xlfn.IFS(OR(B800=" ", B800="NA",NOT(ISNUMBER(B800))), "Unknown",B800&lt;18,"Underage",B800&lt;=24,"Young Adult",B800&lt;=34,"Early Career",B800&lt;=44,"Mid Career",B800&lt;=54,"Mature",B800&lt;=65,"Pre-Senior",B800&gt;65,"Senior")</f>
        <v>Early Career</v>
      </c>
      <c r="D800" s="1" t="s">
        <v>29</v>
      </c>
      <c r="E800" s="1" t="s">
        <v>13</v>
      </c>
      <c r="F800" s="1">
        <v>775000</v>
      </c>
      <c r="G800" s="1">
        <v>79</v>
      </c>
      <c r="H800" s="1" t="str" cm="1">
        <f t="array" ref="H800">_xlfn.IFS( OR(G800=" ",NOT(ISNUMBER(G800))),"Unknown",G800&lt;=33,"Low Spender",G800&lt;=66,"Medium Spender",TRUE, "High Spender")</f>
        <v>High Spender</v>
      </c>
      <c r="I800" s="1">
        <v>77</v>
      </c>
      <c r="K800" s="1">
        <v>124</v>
      </c>
      <c r="M800" s="1" t="s">
        <v>30</v>
      </c>
      <c r="N800" s="1" t="str">
        <f t="shared" si="24"/>
        <v>Higher</v>
      </c>
      <c r="O800" s="1" t="str">
        <f t="shared" si="25"/>
        <v>Early Career | High Spender | Higher</v>
      </c>
    </row>
    <row r="801" spans="1:15" x14ac:dyDescent="0.25">
      <c r="A801" s="1" t="s">
        <v>831</v>
      </c>
      <c r="B801" s="1">
        <v>32</v>
      </c>
      <c r="C801" s="1" t="str" cm="1">
        <f t="array" ref="C801">_xlfn.IFS(OR(B801=" ", B801="NA",NOT(ISNUMBER(B801))), "Unknown",B801&lt;18,"Underage",B801&lt;=24,"Young Adult",B801&lt;=34,"Early Career",B801&lt;=44,"Mid Career",B801&lt;=54,"Mature",B801&lt;=65,"Pre-Senior",B801&gt;65,"Senior")</f>
        <v>Early Career</v>
      </c>
      <c r="D801" s="1" t="s">
        <v>29</v>
      </c>
      <c r="E801" s="1" t="s">
        <v>58</v>
      </c>
      <c r="F801" s="1">
        <v>1150000</v>
      </c>
      <c r="G801" s="1">
        <v>23</v>
      </c>
      <c r="H801" s="1" t="str" cm="1">
        <f t="array" ref="H801">_xlfn.IFS( OR(G801=" ",NOT(ISNUMBER(G801))),"Unknown",G801&lt;=33,"Low Spender",G801&lt;=66,"Medium Spender",TRUE, "High Spender")</f>
        <v>Low Spender</v>
      </c>
      <c r="I801" s="1">
        <v>45</v>
      </c>
      <c r="J801" s="1">
        <v>2800</v>
      </c>
      <c r="K801" s="1">
        <v>145</v>
      </c>
      <c r="L801" s="1" t="s">
        <v>35</v>
      </c>
      <c r="M801" s="1" t="s">
        <v>32</v>
      </c>
      <c r="N801" s="1" t="str">
        <f t="shared" si="24"/>
        <v>Higher</v>
      </c>
      <c r="O801" s="1" t="str">
        <f t="shared" si="25"/>
        <v>Early Career | Low Spender | Higher</v>
      </c>
    </row>
    <row r="802" spans="1:15" x14ac:dyDescent="0.25">
      <c r="A802" s="1" t="s">
        <v>832</v>
      </c>
      <c r="B802" s="1">
        <v>48</v>
      </c>
      <c r="C802" s="1" t="str" cm="1">
        <f t="array" ref="C802">_xlfn.IFS(OR(B802=" ", B802="NA",NOT(ISNUMBER(B802))), "Unknown",B802&lt;18,"Underage",B802&lt;=24,"Young Adult",B802&lt;=34,"Early Career",B802&lt;=44,"Mid Career",B802&lt;=54,"Mature",B802&lt;=65,"Pre-Senior",B802&gt;65,"Senior")</f>
        <v>Mature</v>
      </c>
      <c r="D802" s="1" t="s">
        <v>29</v>
      </c>
      <c r="E802" s="1" t="s">
        <v>49</v>
      </c>
      <c r="F802" s="1">
        <v>1075000</v>
      </c>
      <c r="G802" s="1">
        <v>3</v>
      </c>
      <c r="H802" s="1" t="str" cm="1">
        <f t="array" ref="H802">_xlfn.IFS( OR(G802=" ",NOT(ISNUMBER(G802))),"Unknown",G802&lt;=33,"Low Spender",G802&lt;=66,"Medium Spender",TRUE, "High Spender")</f>
        <v>Low Spender</v>
      </c>
      <c r="I802" s="1">
        <v>45</v>
      </c>
      <c r="J802" s="1">
        <v>8700</v>
      </c>
      <c r="K802" s="1">
        <v>120</v>
      </c>
      <c r="M802" s="1" t="s">
        <v>30</v>
      </c>
      <c r="N802" s="1" t="str">
        <f t="shared" si="24"/>
        <v>Higher</v>
      </c>
      <c r="O802" s="1" t="str">
        <f t="shared" si="25"/>
        <v>Mature | Low Spender | Higher</v>
      </c>
    </row>
    <row r="803" spans="1:15" x14ac:dyDescent="0.25">
      <c r="A803" s="1" t="s">
        <v>833</v>
      </c>
      <c r="B803" s="1">
        <v>18</v>
      </c>
      <c r="C803" s="1" t="str" cm="1">
        <f t="array" ref="C803">_xlfn.IFS(OR(B803=" ", B803="NA",NOT(ISNUMBER(B803))), "Unknown",B803&lt;18,"Underage",B803&lt;=24,"Young Adult",B803&lt;=34,"Early Career",B803&lt;=44,"Mid Career",B803&lt;=54,"Mature",B803&lt;=65,"Pre-Senior",B803&gt;65,"Senior")</f>
        <v>Young Adult</v>
      </c>
      <c r="D803" s="1" t="s">
        <v>18</v>
      </c>
      <c r="E803" s="1" t="s">
        <v>13</v>
      </c>
      <c r="F803" s="1">
        <v>400000</v>
      </c>
      <c r="H803" s="1" t="str" cm="1">
        <f t="array" ref="H803">_xlfn.IFS( OR(G803=" ",NOT(ISNUMBER(G803))),"Unknown",G803&lt;=33,"Low Spender",G803&lt;=66,"Medium Spender",TRUE, "High Spender")</f>
        <v>Unknown</v>
      </c>
      <c r="I803" s="1">
        <v>79</v>
      </c>
      <c r="J803" s="1">
        <v>6300</v>
      </c>
      <c r="K803" s="1">
        <v>109</v>
      </c>
      <c r="M803" s="1" t="s">
        <v>21</v>
      </c>
      <c r="N803" s="1" t="str">
        <f t="shared" si="24"/>
        <v>Higher</v>
      </c>
      <c r="O803" s="1" t="str">
        <f t="shared" si="25"/>
        <v>Young Adult | Unknown | Higher</v>
      </c>
    </row>
    <row r="804" spans="1:15" x14ac:dyDescent="0.25">
      <c r="A804" s="1" t="s">
        <v>834</v>
      </c>
      <c r="C804" s="1" t="str" cm="1">
        <f t="array" ref="C804">_xlfn.IFS(OR(B804=" ", B804="NA",NOT(ISNUMBER(B804))), "Unknown",B804&lt;18,"Underage",B804&lt;=24,"Young Adult",B804&lt;=34,"Early Career",B804&lt;=44,"Mid Career",B804&lt;=54,"Mature",B804&lt;=65,"Pre-Senior",B804&gt;65,"Senior")</f>
        <v>Unknown</v>
      </c>
      <c r="D804" s="1" t="s">
        <v>29</v>
      </c>
      <c r="E804" s="1" t="s">
        <v>34</v>
      </c>
      <c r="F804" s="1">
        <v>850000</v>
      </c>
      <c r="G804" s="1">
        <v>93</v>
      </c>
      <c r="H804" s="1" t="str" cm="1">
        <f t="array" ref="H804">_xlfn.IFS( OR(G804=" ",NOT(ISNUMBER(G804))),"Unknown",G804&lt;=33,"Low Spender",G804&lt;=66,"Medium Spender",TRUE, "High Spender")</f>
        <v>High Spender</v>
      </c>
      <c r="I804" s="1">
        <v>45</v>
      </c>
      <c r="J804" s="1">
        <v>9000</v>
      </c>
      <c r="K804" s="1">
        <v>92</v>
      </c>
      <c r="N804" s="1" t="str">
        <f t="shared" si="24"/>
        <v>Higher</v>
      </c>
      <c r="O804" s="1" t="str">
        <f t="shared" si="25"/>
        <v>Unknown | High Spender | Higher</v>
      </c>
    </row>
    <row r="805" spans="1:15" x14ac:dyDescent="0.25">
      <c r="A805" s="1" t="s">
        <v>835</v>
      </c>
      <c r="C805" s="1" t="str" cm="1">
        <f t="array" ref="C805">_xlfn.IFS(OR(B805=" ", B805="NA",NOT(ISNUMBER(B805))), "Unknown",B805&lt;18,"Underage",B805&lt;=24,"Young Adult",B805&lt;=34,"Early Career",B805&lt;=44,"Mid Career",B805&lt;=54,"Mature",B805&lt;=65,"Pre-Senior",B805&gt;65,"Senior")</f>
        <v>Unknown</v>
      </c>
      <c r="D805" s="1" t="s">
        <v>29</v>
      </c>
      <c r="F805" s="1">
        <v>1625000</v>
      </c>
      <c r="G805" s="1">
        <v>45</v>
      </c>
      <c r="H805" s="1" t="str" cm="1">
        <f t="array" ref="H805">_xlfn.IFS( OR(G805=" ",NOT(ISNUMBER(G805))),"Unknown",G805&lt;=33,"Low Spender",G805&lt;=66,"Medium Spender",TRUE, "High Spender")</f>
        <v>Medium Spender</v>
      </c>
      <c r="I805" s="1">
        <v>55</v>
      </c>
      <c r="J805" s="1">
        <v>1700</v>
      </c>
      <c r="K805" s="1">
        <v>308</v>
      </c>
      <c r="L805" s="1" t="s">
        <v>35</v>
      </c>
      <c r="M805" s="1" t="s">
        <v>21</v>
      </c>
      <c r="N805" s="1" t="str">
        <f t="shared" si="24"/>
        <v>Higher</v>
      </c>
      <c r="O805" s="1" t="str">
        <f t="shared" si="25"/>
        <v>Unknown | Medium Spender | Higher</v>
      </c>
    </row>
    <row r="806" spans="1:15" x14ac:dyDescent="0.25">
      <c r="A806" s="1" t="s">
        <v>836</v>
      </c>
      <c r="C806" s="1" t="str" cm="1">
        <f t="array" ref="C806">_xlfn.IFS(OR(B806=" ", B806="NA",NOT(ISNUMBER(B806))), "Unknown",B806&lt;18,"Underage",B806&lt;=24,"Young Adult",B806&lt;=34,"Early Career",B806&lt;=44,"Mid Career",B806&lt;=54,"Mature",B806&lt;=65,"Pre-Senior",B806&gt;65,"Senior")</f>
        <v>Unknown</v>
      </c>
      <c r="D806" s="1" t="s">
        <v>12</v>
      </c>
      <c r="E806" s="1" t="s">
        <v>19</v>
      </c>
      <c r="F806" s="1">
        <v>1800000</v>
      </c>
      <c r="G806" s="1">
        <v>8</v>
      </c>
      <c r="H806" s="1" t="str" cm="1">
        <f t="array" ref="H806">_xlfn.IFS( OR(G806=" ",NOT(ISNUMBER(G806))),"Unknown",G806&lt;=33,"Low Spender",G806&lt;=66,"Medium Spender",TRUE, "High Spender")</f>
        <v>Low Spender</v>
      </c>
      <c r="I806" s="1">
        <v>59</v>
      </c>
      <c r="J806" s="1">
        <v>9300</v>
      </c>
      <c r="K806" s="1">
        <v>60</v>
      </c>
      <c r="L806" s="1" t="s">
        <v>20</v>
      </c>
      <c r="M806" s="1" t="s">
        <v>30</v>
      </c>
      <c r="N806" s="1" t="str">
        <f t="shared" si="24"/>
        <v>Lower</v>
      </c>
      <c r="O806" s="1" t="str">
        <f t="shared" si="25"/>
        <v>Unknown | Low Spender | Lower</v>
      </c>
    </row>
    <row r="807" spans="1:15" x14ac:dyDescent="0.25">
      <c r="A807" s="1" t="s">
        <v>837</v>
      </c>
      <c r="B807" s="1">
        <v>20</v>
      </c>
      <c r="C807" s="1" t="str" cm="1">
        <f t="array" ref="C807">_xlfn.IFS(OR(B807=" ", B807="NA",NOT(ISNUMBER(B807))), "Unknown",B807&lt;18,"Underage",B807&lt;=24,"Young Adult",B807&lt;=34,"Early Career",B807&lt;=44,"Mid Career",B807&lt;=54,"Mature",B807&lt;=65,"Pre-Senior",B807&gt;65,"Senior")</f>
        <v>Young Adult</v>
      </c>
      <c r="E807" s="1" t="s">
        <v>19</v>
      </c>
      <c r="F807" s="1">
        <v>1750000</v>
      </c>
      <c r="G807" s="1">
        <v>86</v>
      </c>
      <c r="H807" s="1" t="str" cm="1">
        <f t="array" ref="H807">_xlfn.IFS( OR(G807=" ",NOT(ISNUMBER(G807))),"Unknown",G807&lt;=33,"Low Spender",G807&lt;=66,"Medium Spender",TRUE, "High Spender")</f>
        <v>High Spender</v>
      </c>
      <c r="I807" s="1">
        <v>5</v>
      </c>
      <c r="J807" s="1">
        <v>3400</v>
      </c>
      <c r="K807" s="1">
        <v>350</v>
      </c>
      <c r="N807" s="1" t="str">
        <f t="shared" si="24"/>
        <v>Lower</v>
      </c>
      <c r="O807" s="1" t="str">
        <f t="shared" si="25"/>
        <v>Young Adult | High Spender | Lower</v>
      </c>
    </row>
    <row r="808" spans="1:15" x14ac:dyDescent="0.25">
      <c r="A808" s="1" t="s">
        <v>838</v>
      </c>
      <c r="B808" s="1">
        <v>33</v>
      </c>
      <c r="C808" s="1" t="str" cm="1">
        <f t="array" ref="C808">_xlfn.IFS(OR(B808=" ", B808="NA",NOT(ISNUMBER(B808))), "Unknown",B808&lt;18,"Underage",B808&lt;=24,"Young Adult",B808&lt;=34,"Early Career",B808&lt;=44,"Mid Career",B808&lt;=54,"Mature",B808&lt;=65,"Pre-Senior",B808&gt;65,"Senior")</f>
        <v>Early Career</v>
      </c>
      <c r="D808" s="1" t="s">
        <v>29</v>
      </c>
      <c r="F808" s="1">
        <v>1650000</v>
      </c>
      <c r="G808" s="1">
        <v>29</v>
      </c>
      <c r="H808" s="1" t="str" cm="1">
        <f t="array" ref="H808">_xlfn.IFS( OR(G808=" ",NOT(ISNUMBER(G808))),"Unknown",G808&lt;=33,"Low Spender",G808&lt;=66,"Medium Spender",TRUE, "High Spender")</f>
        <v>Low Spender</v>
      </c>
      <c r="I808" s="1">
        <v>32</v>
      </c>
      <c r="J808" s="1">
        <v>1400</v>
      </c>
      <c r="K808" s="1">
        <v>227</v>
      </c>
      <c r="M808" s="1" t="s">
        <v>32</v>
      </c>
      <c r="N808" s="1" t="str">
        <f t="shared" si="24"/>
        <v>Higher</v>
      </c>
      <c r="O808" s="1" t="str">
        <f t="shared" si="25"/>
        <v>Early Career | Low Spender | Higher</v>
      </c>
    </row>
    <row r="809" spans="1:15" x14ac:dyDescent="0.25">
      <c r="A809" s="1" t="s">
        <v>839</v>
      </c>
      <c r="B809" s="1">
        <v>40</v>
      </c>
      <c r="C809" s="1" t="str" cm="1">
        <f t="array" ref="C809">_xlfn.IFS(OR(B809=" ", B809="NA",NOT(ISNUMBER(B809))), "Unknown",B809&lt;18,"Underage",B809&lt;=24,"Young Adult",B809&lt;=34,"Early Career",B809&lt;=44,"Mid Career",B809&lt;=54,"Mature",B809&lt;=65,"Pre-Senior",B809&gt;65,"Senior")</f>
        <v>Mid Career</v>
      </c>
      <c r="D809" s="1" t="s">
        <v>18</v>
      </c>
      <c r="E809" s="1" t="s">
        <v>23</v>
      </c>
      <c r="F809" s="1">
        <v>600000</v>
      </c>
      <c r="G809" s="1">
        <v>2</v>
      </c>
      <c r="H809" s="1" t="str" cm="1">
        <f t="array" ref="H809">_xlfn.IFS( OR(G809=" ",NOT(ISNUMBER(G809))),"Unknown",G809&lt;=33,"Low Spender",G809&lt;=66,"Medium Spender",TRUE, "High Spender")</f>
        <v>Low Spender</v>
      </c>
      <c r="I809" s="1">
        <v>6</v>
      </c>
      <c r="J809" s="1">
        <v>700</v>
      </c>
      <c r="K809" s="1">
        <v>240</v>
      </c>
      <c r="L809" s="1" t="s">
        <v>20</v>
      </c>
      <c r="M809" s="1" t="s">
        <v>41</v>
      </c>
      <c r="N809" s="1" t="str">
        <f t="shared" si="24"/>
        <v>Higher</v>
      </c>
      <c r="O809" s="1" t="str">
        <f t="shared" si="25"/>
        <v>Mid Career | Low Spender | Higher</v>
      </c>
    </row>
    <row r="810" spans="1:15" x14ac:dyDescent="0.25">
      <c r="A810" s="1" t="s">
        <v>840</v>
      </c>
      <c r="B810" s="1">
        <v>28</v>
      </c>
      <c r="C810" s="1" t="str" cm="1">
        <f t="array" ref="C810">_xlfn.IFS(OR(B810=" ", B810="NA",NOT(ISNUMBER(B810))), "Unknown",B810&lt;18,"Underage",B810&lt;=24,"Young Adult",B810&lt;=34,"Early Career",B810&lt;=44,"Mid Career",B810&lt;=54,"Mature",B810&lt;=65,"Pre-Senior",B810&gt;65,"Senior")</f>
        <v>Early Career</v>
      </c>
      <c r="D810" s="1" t="s">
        <v>18</v>
      </c>
      <c r="E810" s="1" t="s">
        <v>34</v>
      </c>
      <c r="F810" s="1">
        <v>1275000</v>
      </c>
      <c r="G810" s="1">
        <v>50</v>
      </c>
      <c r="H810" s="1" t="str" cm="1">
        <f t="array" ref="H810">_xlfn.IFS( OR(G810=" ",NOT(ISNUMBER(G810))),"Unknown",G810&lt;=33,"Low Spender",G810&lt;=66,"Medium Spender",TRUE, "High Spender")</f>
        <v>Medium Spender</v>
      </c>
      <c r="I810" s="1">
        <v>26</v>
      </c>
      <c r="J810" s="1">
        <v>6600</v>
      </c>
      <c r="K810" s="1">
        <v>212</v>
      </c>
      <c r="L810" s="1" t="s">
        <v>20</v>
      </c>
      <c r="M810" s="1" t="s">
        <v>32</v>
      </c>
      <c r="N810" s="1" t="str">
        <f t="shared" si="24"/>
        <v>Higher</v>
      </c>
      <c r="O810" s="1" t="str">
        <f t="shared" si="25"/>
        <v>Early Career | Medium Spender | Higher</v>
      </c>
    </row>
    <row r="811" spans="1:15" x14ac:dyDescent="0.25">
      <c r="A811" s="1" t="s">
        <v>841</v>
      </c>
      <c r="B811" s="1">
        <v>29</v>
      </c>
      <c r="C811" s="1" t="str" cm="1">
        <f t="array" ref="C811">_xlfn.IFS(OR(B811=" ", B811="NA",NOT(ISNUMBER(B811))), "Unknown",B811&lt;18,"Underage",B811&lt;=24,"Young Adult",B811&lt;=34,"Early Career",B811&lt;=44,"Mid Career",B811&lt;=54,"Mature",B811&lt;=65,"Pre-Senior",B811&gt;65,"Senior")</f>
        <v>Early Career</v>
      </c>
      <c r="D811" s="1" t="s">
        <v>29</v>
      </c>
      <c r="E811" s="1" t="s">
        <v>27</v>
      </c>
      <c r="F811" s="1">
        <v>1350000</v>
      </c>
      <c r="G811" s="1">
        <v>65</v>
      </c>
      <c r="H811" s="1" t="str" cm="1">
        <f t="array" ref="H811">_xlfn.IFS( OR(G811=" ",NOT(ISNUMBER(G811))),"Unknown",G811&lt;=33,"Low Spender",G811&lt;=66,"Medium Spender",TRUE, "High Spender")</f>
        <v>Medium Spender</v>
      </c>
      <c r="I811" s="1">
        <v>37</v>
      </c>
      <c r="J811" s="1">
        <v>7300</v>
      </c>
      <c r="K811" s="1">
        <v>98</v>
      </c>
      <c r="L811" s="1" t="s">
        <v>35</v>
      </c>
      <c r="M811" s="1" t="s">
        <v>41</v>
      </c>
      <c r="N811" s="1" t="str">
        <f t="shared" si="24"/>
        <v>Higher</v>
      </c>
      <c r="O811" s="1" t="str">
        <f t="shared" si="25"/>
        <v>Early Career | Medium Spender | Higher</v>
      </c>
    </row>
    <row r="812" spans="1:15" x14ac:dyDescent="0.25">
      <c r="A812" s="1" t="s">
        <v>842</v>
      </c>
      <c r="B812" s="1">
        <v>27</v>
      </c>
      <c r="C812" s="1" t="str" cm="1">
        <f t="array" ref="C812">_xlfn.IFS(OR(B812=" ", B812="NA",NOT(ISNUMBER(B812))), "Unknown",B812&lt;18,"Underage",B812&lt;=24,"Young Adult",B812&lt;=34,"Early Career",B812&lt;=44,"Mid Career",B812&lt;=54,"Mature",B812&lt;=65,"Pre-Senior",B812&gt;65,"Senior")</f>
        <v>Early Career</v>
      </c>
      <c r="E812" s="1" t="s">
        <v>13</v>
      </c>
      <c r="F812" s="1">
        <v>675000</v>
      </c>
      <c r="G812" s="1">
        <v>20</v>
      </c>
      <c r="H812" s="1" t="str" cm="1">
        <f t="array" ref="H812">_xlfn.IFS( OR(G812=" ",NOT(ISNUMBER(G812))),"Unknown",G812&lt;=33,"Low Spender",G812&lt;=66,"Medium Spender",TRUE, "High Spender")</f>
        <v>Low Spender</v>
      </c>
      <c r="I812" s="1">
        <v>13</v>
      </c>
      <c r="J812" s="1">
        <v>8800</v>
      </c>
      <c r="K812" s="1">
        <v>14</v>
      </c>
      <c r="L812" s="1" t="s">
        <v>16</v>
      </c>
      <c r="M812" s="1" t="s">
        <v>32</v>
      </c>
      <c r="N812" s="1" t="str">
        <f t="shared" si="24"/>
        <v>Lower</v>
      </c>
      <c r="O812" s="1" t="str">
        <f t="shared" si="25"/>
        <v>Early Career | Low Spender | Lower</v>
      </c>
    </row>
    <row r="813" spans="1:15" x14ac:dyDescent="0.25">
      <c r="A813" s="1" t="s">
        <v>843</v>
      </c>
      <c r="B813" s="1">
        <v>49</v>
      </c>
      <c r="C813" s="1" t="str" cm="1">
        <f t="array" ref="C813">_xlfn.IFS(OR(B813=" ", B813="NA",NOT(ISNUMBER(B813))), "Unknown",B813&lt;18,"Underage",B813&lt;=24,"Young Adult",B813&lt;=34,"Early Career",B813&lt;=44,"Mid Career",B813&lt;=54,"Mature",B813&lt;=65,"Pre-Senior",B813&gt;65,"Senior")</f>
        <v>Mature</v>
      </c>
      <c r="E813" s="1" t="s">
        <v>23</v>
      </c>
      <c r="F813" s="1">
        <v>1550000</v>
      </c>
      <c r="G813" s="1">
        <v>52</v>
      </c>
      <c r="H813" s="1" t="str" cm="1">
        <f t="array" ref="H813">_xlfn.IFS( OR(G813=" ",NOT(ISNUMBER(G813))),"Unknown",G813&lt;=33,"Low Spender",G813&lt;=66,"Medium Spender",TRUE, "High Spender")</f>
        <v>Medium Spender</v>
      </c>
      <c r="I813" s="1">
        <v>69</v>
      </c>
      <c r="J813" s="1">
        <v>2900</v>
      </c>
      <c r="K813" s="1">
        <v>218</v>
      </c>
      <c r="L813" s="1" t="s">
        <v>37</v>
      </c>
      <c r="M813" s="1" t="s">
        <v>30</v>
      </c>
      <c r="N813" s="1" t="str">
        <f t="shared" si="24"/>
        <v>Lower</v>
      </c>
      <c r="O813" s="1" t="str">
        <f t="shared" si="25"/>
        <v>Mature | Medium Spender | Lower</v>
      </c>
    </row>
    <row r="814" spans="1:15" x14ac:dyDescent="0.25">
      <c r="A814" s="1" t="s">
        <v>844</v>
      </c>
      <c r="B814" s="1">
        <v>33</v>
      </c>
      <c r="C814" s="1" t="str" cm="1">
        <f t="array" ref="C814">_xlfn.IFS(OR(B814=" ", B814="NA",NOT(ISNUMBER(B814))), "Unknown",B814&lt;18,"Underage",B814&lt;=24,"Young Adult",B814&lt;=34,"Early Career",B814&lt;=44,"Mid Career",B814&lt;=54,"Mature",B814&lt;=65,"Pre-Senior",B814&gt;65,"Senior")</f>
        <v>Early Career</v>
      </c>
      <c r="E814" s="1" t="s">
        <v>34</v>
      </c>
      <c r="F814" s="1">
        <v>475000</v>
      </c>
      <c r="G814" s="1">
        <v>85</v>
      </c>
      <c r="H814" s="1" t="str" cm="1">
        <f t="array" ref="H814">_xlfn.IFS( OR(G814=" ",NOT(ISNUMBER(G814))),"Unknown",G814&lt;=33,"Low Spender",G814&lt;=66,"Medium Spender",TRUE, "High Spender")</f>
        <v>High Spender</v>
      </c>
      <c r="I814" s="1">
        <v>25</v>
      </c>
      <c r="J814" s="1">
        <v>8100</v>
      </c>
      <c r="K814" s="1">
        <v>170</v>
      </c>
      <c r="L814" s="1" t="s">
        <v>16</v>
      </c>
      <c r="M814" s="1" t="s">
        <v>21</v>
      </c>
      <c r="N814" s="1" t="str">
        <f t="shared" si="24"/>
        <v>Lower</v>
      </c>
      <c r="O814" s="1" t="str">
        <f t="shared" si="25"/>
        <v>Early Career | High Spender | Lower</v>
      </c>
    </row>
    <row r="815" spans="1:15" x14ac:dyDescent="0.25">
      <c r="A815" s="1" t="s">
        <v>845</v>
      </c>
      <c r="B815" s="1">
        <v>25</v>
      </c>
      <c r="C815" s="1" t="str" cm="1">
        <f t="array" ref="C815">_xlfn.IFS(OR(B815=" ", B815="NA",NOT(ISNUMBER(B815))), "Unknown",B815&lt;18,"Underage",B815&lt;=24,"Young Adult",B815&lt;=34,"Early Career",B815&lt;=44,"Mid Career",B815&lt;=54,"Mature",B815&lt;=65,"Pre-Senior",B815&gt;65,"Senior")</f>
        <v>Early Career</v>
      </c>
      <c r="D815" s="1" t="s">
        <v>18</v>
      </c>
      <c r="E815" s="1" t="s">
        <v>58</v>
      </c>
      <c r="F815" s="1">
        <v>1225000</v>
      </c>
      <c r="G815" s="1">
        <v>37</v>
      </c>
      <c r="H815" s="1" t="str" cm="1">
        <f t="array" ref="H815">_xlfn.IFS( OR(G815=" ",NOT(ISNUMBER(G815))),"Unknown",G815&lt;=33,"Low Spender",G815&lt;=66,"Medium Spender",TRUE, "High Spender")</f>
        <v>Medium Spender</v>
      </c>
      <c r="I815" s="1">
        <v>13</v>
      </c>
      <c r="J815" s="1">
        <v>10500</v>
      </c>
      <c r="K815" s="1">
        <v>307</v>
      </c>
      <c r="L815" s="1" t="s">
        <v>16</v>
      </c>
      <c r="M815" s="1" t="s">
        <v>41</v>
      </c>
      <c r="N815" s="1" t="str">
        <f t="shared" si="24"/>
        <v>Higher</v>
      </c>
      <c r="O815" s="1" t="str">
        <f t="shared" si="25"/>
        <v>Early Career | Medium Spender | Higher</v>
      </c>
    </row>
    <row r="816" spans="1:15" x14ac:dyDescent="0.25">
      <c r="A816" s="1" t="s">
        <v>846</v>
      </c>
      <c r="B816" s="1">
        <v>55</v>
      </c>
      <c r="C816" s="1" t="str" cm="1">
        <f t="array" ref="C816">_xlfn.IFS(OR(B816=" ", B816="NA",NOT(ISNUMBER(B816))), "Unknown",B816&lt;18,"Underage",B816&lt;=24,"Young Adult",B816&lt;=34,"Early Career",B816&lt;=44,"Mid Career",B816&lt;=54,"Mature",B816&lt;=65,"Pre-Senior",B816&gt;65,"Senior")</f>
        <v>Pre-Senior</v>
      </c>
      <c r="E816" s="1" t="s">
        <v>19</v>
      </c>
      <c r="F816" s="1">
        <v>525000</v>
      </c>
      <c r="G816" s="1">
        <v>72</v>
      </c>
      <c r="H816" s="1" t="str" cm="1">
        <f t="array" ref="H816">_xlfn.IFS( OR(G816=" ",NOT(ISNUMBER(G816))),"Unknown",G816&lt;=33,"Low Spender",G816&lt;=66,"Medium Spender",TRUE, "High Spender")</f>
        <v>High Spender</v>
      </c>
      <c r="I816" s="1">
        <v>20</v>
      </c>
      <c r="J816" s="1">
        <v>4700</v>
      </c>
      <c r="K816" s="1">
        <v>280</v>
      </c>
      <c r="M816" s="1" t="s">
        <v>30</v>
      </c>
      <c r="N816" s="1" t="str">
        <f t="shared" si="24"/>
        <v>Lower</v>
      </c>
      <c r="O816" s="1" t="str">
        <f t="shared" si="25"/>
        <v>Pre-Senior | High Spender | Lower</v>
      </c>
    </row>
    <row r="817" spans="1:15" x14ac:dyDescent="0.25">
      <c r="A817" s="1" t="s">
        <v>847</v>
      </c>
      <c r="B817" s="1">
        <v>29</v>
      </c>
      <c r="C817" s="1" t="str" cm="1">
        <f t="array" ref="C817">_xlfn.IFS(OR(B817=" ", B817="NA",NOT(ISNUMBER(B817))), "Unknown",B817&lt;18,"Underage",B817&lt;=24,"Young Adult",B817&lt;=34,"Early Career",B817&lt;=44,"Mid Career",B817&lt;=54,"Mature",B817&lt;=65,"Pre-Senior",B817&gt;65,"Senior")</f>
        <v>Early Career</v>
      </c>
      <c r="D817" s="1" t="s">
        <v>12</v>
      </c>
      <c r="E817" s="1" t="s">
        <v>23</v>
      </c>
      <c r="F817" s="1" t="s">
        <v>25</v>
      </c>
      <c r="G817" s="1">
        <v>27</v>
      </c>
      <c r="H817" s="1" t="str" cm="1">
        <f t="array" ref="H817">_xlfn.IFS( OR(G817=" ",NOT(ISNUMBER(G817))),"Unknown",G817&lt;=33,"Low Spender",G817&lt;=66,"Medium Spender",TRUE, "High Spender")</f>
        <v>Low Spender</v>
      </c>
      <c r="I817" s="1">
        <v>72</v>
      </c>
      <c r="J817" s="1">
        <v>3700</v>
      </c>
      <c r="K817" s="1">
        <v>363</v>
      </c>
      <c r="L817" s="1" t="s">
        <v>37</v>
      </c>
      <c r="M817" s="1" t="s">
        <v>21</v>
      </c>
      <c r="N817" s="1" t="str">
        <f t="shared" si="24"/>
        <v>Lower</v>
      </c>
      <c r="O817" s="1" t="str">
        <f t="shared" si="25"/>
        <v>Early Career | Low Spender | Lower</v>
      </c>
    </row>
    <row r="818" spans="1:15" x14ac:dyDescent="0.25">
      <c r="A818" s="1" t="s">
        <v>848</v>
      </c>
      <c r="B818" s="1">
        <v>41</v>
      </c>
      <c r="C818" s="1" t="str" cm="1">
        <f t="array" ref="C818">_xlfn.IFS(OR(B818=" ", B818="NA",NOT(ISNUMBER(B818))), "Unknown",B818&lt;18,"Underage",B818&lt;=24,"Young Adult",B818&lt;=34,"Early Career",B818&lt;=44,"Mid Career",B818&lt;=54,"Mature",B818&lt;=65,"Pre-Senior",B818&gt;65,"Senior")</f>
        <v>Mid Career</v>
      </c>
      <c r="D818" s="1" t="s">
        <v>29</v>
      </c>
      <c r="F818" s="1">
        <v>425000</v>
      </c>
      <c r="G818" s="1">
        <v>47</v>
      </c>
      <c r="H818" s="1" t="str" cm="1">
        <f t="array" ref="H818">_xlfn.IFS( OR(G818=" ",NOT(ISNUMBER(G818))),"Unknown",G818&lt;=33,"Low Spender",G818&lt;=66,"Medium Spender",TRUE, "High Spender")</f>
        <v>Medium Spender</v>
      </c>
      <c r="I818" s="1">
        <v>60</v>
      </c>
      <c r="J818" s="1">
        <v>2800</v>
      </c>
      <c r="K818" s="1">
        <v>210</v>
      </c>
      <c r="L818" s="1" t="s">
        <v>20</v>
      </c>
      <c r="M818" s="1" t="s">
        <v>21</v>
      </c>
      <c r="N818" s="1" t="str">
        <f t="shared" si="24"/>
        <v>Higher</v>
      </c>
      <c r="O818" s="1" t="str">
        <f t="shared" si="25"/>
        <v>Mid Career | Medium Spender | Higher</v>
      </c>
    </row>
    <row r="819" spans="1:15" x14ac:dyDescent="0.25">
      <c r="A819" s="1" t="s">
        <v>849</v>
      </c>
      <c r="B819" s="1">
        <v>45</v>
      </c>
      <c r="C819" s="1" t="str" cm="1">
        <f t="array" ref="C819">_xlfn.IFS(OR(B819=" ", B819="NA",NOT(ISNUMBER(B819))), "Unknown",B819&lt;18,"Underage",B819&lt;=24,"Young Adult",B819&lt;=34,"Early Career",B819&lt;=44,"Mid Career",B819&lt;=54,"Mature",B819&lt;=65,"Pre-Senior",B819&gt;65,"Senior")</f>
        <v>Mature</v>
      </c>
      <c r="E819" s="1" t="s">
        <v>13</v>
      </c>
      <c r="F819" s="1">
        <v>1500000</v>
      </c>
      <c r="G819" s="1">
        <v>99</v>
      </c>
      <c r="H819" s="1" t="str" cm="1">
        <f t="array" ref="H819">_xlfn.IFS( OR(G819=" ",NOT(ISNUMBER(G819))),"Unknown",G819&lt;=33,"Low Spender",G819&lt;=66,"Medium Spender",TRUE, "High Spender")</f>
        <v>High Spender</v>
      </c>
      <c r="I819" s="1">
        <v>73</v>
      </c>
      <c r="J819" s="1">
        <v>2500</v>
      </c>
      <c r="K819" s="1">
        <v>256</v>
      </c>
      <c r="L819" s="1" t="s">
        <v>16</v>
      </c>
      <c r="N819" s="1" t="str">
        <f t="shared" si="24"/>
        <v>Lower</v>
      </c>
      <c r="O819" s="1" t="str">
        <f t="shared" si="25"/>
        <v>Mature | High Spender | Lower</v>
      </c>
    </row>
    <row r="820" spans="1:15" x14ac:dyDescent="0.25">
      <c r="A820" s="1" t="s">
        <v>850</v>
      </c>
      <c r="C820" s="1" t="str" cm="1">
        <f t="array" ref="C820">_xlfn.IFS(OR(B820=" ", B820="NA",NOT(ISNUMBER(B820))), "Unknown",B820&lt;18,"Underage",B820&lt;=24,"Young Adult",B820&lt;=34,"Early Career",B820&lt;=44,"Mid Career",B820&lt;=54,"Mature",B820&lt;=65,"Pre-Senior",B820&gt;65,"Senior")</f>
        <v>Unknown</v>
      </c>
      <c r="D820" s="1" t="s">
        <v>29</v>
      </c>
      <c r="E820" s="1" t="s">
        <v>13</v>
      </c>
      <c r="F820" s="1">
        <v>1400000</v>
      </c>
      <c r="G820" s="1">
        <v>6</v>
      </c>
      <c r="H820" s="1" t="str" cm="1">
        <f t="array" ref="H820">_xlfn.IFS( OR(G820=" ",NOT(ISNUMBER(G820))),"Unknown",G820&lt;=33,"Low Spender",G820&lt;=66,"Medium Spender",TRUE, "High Spender")</f>
        <v>Low Spender</v>
      </c>
      <c r="I820" s="1">
        <v>21</v>
      </c>
      <c r="J820" s="1">
        <v>1500</v>
      </c>
      <c r="K820" s="1">
        <v>171</v>
      </c>
      <c r="L820" s="1" t="s">
        <v>35</v>
      </c>
      <c r="N820" s="1" t="str">
        <f t="shared" si="24"/>
        <v>Higher</v>
      </c>
      <c r="O820" s="1" t="str">
        <f t="shared" si="25"/>
        <v>Unknown | Low Spender | Higher</v>
      </c>
    </row>
    <row r="821" spans="1:15" x14ac:dyDescent="0.25">
      <c r="A821" s="1" t="s">
        <v>851</v>
      </c>
      <c r="B821" s="1">
        <v>25</v>
      </c>
      <c r="C821" s="1" t="str" cm="1">
        <f t="array" ref="C821">_xlfn.IFS(OR(B821=" ", B821="NA",NOT(ISNUMBER(B821))), "Unknown",B821&lt;18,"Underage",B821&lt;=24,"Young Adult",B821&lt;=34,"Early Career",B821&lt;=44,"Mid Career",B821&lt;=54,"Mature",B821&lt;=65,"Pre-Senior",B821&gt;65,"Senior")</f>
        <v>Early Career</v>
      </c>
      <c r="D821" s="1" t="s">
        <v>18</v>
      </c>
      <c r="E821" s="1" t="s">
        <v>27</v>
      </c>
      <c r="F821" s="1">
        <v>1100000</v>
      </c>
      <c r="G821" s="1">
        <v>60</v>
      </c>
      <c r="H821" s="1" t="str" cm="1">
        <f t="array" ref="H821">_xlfn.IFS( OR(G821=" ",NOT(ISNUMBER(G821))),"Unknown",G821&lt;=33,"Low Spender",G821&lt;=66,"Medium Spender",TRUE, "High Spender")</f>
        <v>Medium Spender</v>
      </c>
      <c r="I821" s="1">
        <v>61</v>
      </c>
      <c r="J821" s="1">
        <v>9200</v>
      </c>
      <c r="K821" s="1">
        <v>73</v>
      </c>
      <c r="L821" s="1" t="s">
        <v>16</v>
      </c>
      <c r="N821" s="1" t="str">
        <f t="shared" si="24"/>
        <v>Higher</v>
      </c>
      <c r="O821" s="1" t="str">
        <f t="shared" si="25"/>
        <v>Early Career | Medium Spender | Higher</v>
      </c>
    </row>
    <row r="822" spans="1:15" x14ac:dyDescent="0.25">
      <c r="A822" s="1" t="s">
        <v>852</v>
      </c>
      <c r="B822" s="1">
        <v>45</v>
      </c>
      <c r="C822" s="1" t="str" cm="1">
        <f t="array" ref="C822">_xlfn.IFS(OR(B822=" ", B822="NA",NOT(ISNUMBER(B822))), "Unknown",B822&lt;18,"Underage",B822&lt;=24,"Young Adult",B822&lt;=34,"Early Career",B822&lt;=44,"Mid Career",B822&lt;=54,"Mature",B822&lt;=65,"Pre-Senior",B822&gt;65,"Senior")</f>
        <v>Mature</v>
      </c>
      <c r="D822" s="1" t="s">
        <v>12</v>
      </c>
      <c r="E822" s="1" t="s">
        <v>49</v>
      </c>
      <c r="F822" s="1">
        <v>950000</v>
      </c>
      <c r="G822" s="1">
        <v>45</v>
      </c>
      <c r="H822" s="1" t="str" cm="1">
        <f t="array" ref="H822">_xlfn.IFS( OR(G822=" ",NOT(ISNUMBER(G822))),"Unknown",G822&lt;=33,"Low Spender",G822&lt;=66,"Medium Spender",TRUE, "High Spender")</f>
        <v>Medium Spender</v>
      </c>
      <c r="I822" s="1">
        <v>79</v>
      </c>
      <c r="J822" s="1">
        <v>500</v>
      </c>
      <c r="K822" s="1">
        <v>147</v>
      </c>
      <c r="L822" s="1" t="s">
        <v>20</v>
      </c>
      <c r="M822" s="1" t="s">
        <v>41</v>
      </c>
      <c r="N822" s="1" t="str">
        <f t="shared" si="24"/>
        <v>Lower</v>
      </c>
      <c r="O822" s="1" t="str">
        <f t="shared" si="25"/>
        <v>Mature | Medium Spender | Lower</v>
      </c>
    </row>
    <row r="823" spans="1:15" x14ac:dyDescent="0.25">
      <c r="A823" s="1" t="s">
        <v>853</v>
      </c>
      <c r="B823" s="1">
        <v>53</v>
      </c>
      <c r="C823" s="1" t="str" cm="1">
        <f t="array" ref="C823">_xlfn.IFS(OR(B823=" ", B823="NA",NOT(ISNUMBER(B823))), "Unknown",B823&lt;18,"Underage",B823&lt;=24,"Young Adult",B823&lt;=34,"Early Career",B823&lt;=44,"Mid Career",B823&lt;=54,"Mature",B823&lt;=65,"Pre-Senior",B823&gt;65,"Senior")</f>
        <v>Mature</v>
      </c>
      <c r="D823" s="1" t="s">
        <v>29</v>
      </c>
      <c r="F823" s="1">
        <v>950000</v>
      </c>
      <c r="G823" s="1">
        <v>44</v>
      </c>
      <c r="H823" s="1" t="str" cm="1">
        <f t="array" ref="H823">_xlfn.IFS( OR(G823=" ",NOT(ISNUMBER(G823))),"Unknown",G823&lt;=33,"Low Spender",G823&lt;=66,"Medium Spender",TRUE, "High Spender")</f>
        <v>Medium Spender</v>
      </c>
      <c r="I823" s="1">
        <v>26</v>
      </c>
      <c r="J823" s="1">
        <v>3100</v>
      </c>
      <c r="K823" s="1">
        <v>340</v>
      </c>
      <c r="L823" s="1" t="s">
        <v>16</v>
      </c>
      <c r="M823" s="1" t="s">
        <v>41</v>
      </c>
      <c r="N823" s="1" t="str">
        <f t="shared" si="24"/>
        <v>Higher</v>
      </c>
      <c r="O823" s="1" t="str">
        <f t="shared" si="25"/>
        <v>Mature | Medium Spender | Higher</v>
      </c>
    </row>
    <row r="824" spans="1:15" x14ac:dyDescent="0.25">
      <c r="A824" s="1" t="s">
        <v>854</v>
      </c>
      <c r="B824" s="1">
        <v>43</v>
      </c>
      <c r="C824" s="1" t="str" cm="1">
        <f t="array" ref="C824">_xlfn.IFS(OR(B824=" ", B824="NA",NOT(ISNUMBER(B824))), "Unknown",B824&lt;18,"Underage",B824&lt;=24,"Young Adult",B824&lt;=34,"Early Career",B824&lt;=44,"Mid Career",B824&lt;=54,"Mature",B824&lt;=65,"Pre-Senior",B824&gt;65,"Senior")</f>
        <v>Mid Career</v>
      </c>
      <c r="D824" s="1" t="s">
        <v>29</v>
      </c>
      <c r="E824" s="1" t="s">
        <v>13</v>
      </c>
      <c r="F824" s="1">
        <v>850000</v>
      </c>
      <c r="G824" s="1">
        <v>83</v>
      </c>
      <c r="H824" s="1" t="str" cm="1">
        <f t="array" ref="H824">_xlfn.IFS( OR(G824=" ",NOT(ISNUMBER(G824))),"Unknown",G824&lt;=33,"Low Spender",G824&lt;=66,"Medium Spender",TRUE, "High Spender")</f>
        <v>High Spender</v>
      </c>
      <c r="I824" s="1">
        <v>54</v>
      </c>
      <c r="J824" s="1">
        <v>6800</v>
      </c>
      <c r="K824" s="1">
        <v>317</v>
      </c>
      <c r="M824" s="1" t="s">
        <v>21</v>
      </c>
      <c r="N824" s="1" t="str">
        <f t="shared" si="24"/>
        <v>Higher</v>
      </c>
      <c r="O824" s="1" t="str">
        <f t="shared" si="25"/>
        <v>Mid Career | High Spender | Higher</v>
      </c>
    </row>
    <row r="825" spans="1:15" x14ac:dyDescent="0.25">
      <c r="A825" s="1" t="s">
        <v>855</v>
      </c>
      <c r="B825" s="1">
        <v>25</v>
      </c>
      <c r="C825" s="1" t="str" cm="1">
        <f t="array" ref="C825">_xlfn.IFS(OR(B825=" ", B825="NA",NOT(ISNUMBER(B825))), "Unknown",B825&lt;18,"Underage",B825&lt;=24,"Young Adult",B825&lt;=34,"Early Career",B825&lt;=44,"Mid Career",B825&lt;=54,"Mature",B825&lt;=65,"Pre-Senior",B825&gt;65,"Senior")</f>
        <v>Early Career</v>
      </c>
      <c r="D825" s="1" t="s">
        <v>29</v>
      </c>
      <c r="E825" s="1" t="s">
        <v>15</v>
      </c>
      <c r="F825" s="1">
        <v>1850000</v>
      </c>
      <c r="G825" s="1">
        <v>18</v>
      </c>
      <c r="H825" s="1" t="str" cm="1">
        <f t="array" ref="H825">_xlfn.IFS( OR(G825=" ",NOT(ISNUMBER(G825))),"Unknown",G825&lt;=33,"Low Spender",G825&lt;=66,"Medium Spender",TRUE, "High Spender")</f>
        <v>Low Spender</v>
      </c>
      <c r="I825" s="1">
        <v>42</v>
      </c>
      <c r="J825" s="1">
        <v>6600</v>
      </c>
      <c r="K825" s="1">
        <v>106</v>
      </c>
      <c r="M825" s="1" t="s">
        <v>41</v>
      </c>
      <c r="N825" s="1" t="str">
        <f t="shared" si="24"/>
        <v>Higher</v>
      </c>
      <c r="O825" s="1" t="str">
        <f t="shared" si="25"/>
        <v>Early Career | Low Spender | Higher</v>
      </c>
    </row>
    <row r="826" spans="1:15" x14ac:dyDescent="0.25">
      <c r="A826" s="1" t="s">
        <v>856</v>
      </c>
      <c r="B826" s="1">
        <v>67</v>
      </c>
      <c r="C826" s="1" t="str" cm="1">
        <f t="array" ref="C826">_xlfn.IFS(OR(B826=" ", B826="NA",NOT(ISNUMBER(B826))), "Unknown",B826&lt;18,"Underage",B826&lt;=24,"Young Adult",B826&lt;=34,"Early Career",B826&lt;=44,"Mid Career",B826&lt;=54,"Mature",B826&lt;=65,"Pre-Senior",B826&gt;65,"Senior")</f>
        <v>Senior</v>
      </c>
      <c r="D826" s="1" t="s">
        <v>29</v>
      </c>
      <c r="F826" s="1">
        <v>1875000</v>
      </c>
      <c r="G826" s="1">
        <v>65</v>
      </c>
      <c r="H826" s="1" t="str" cm="1">
        <f t="array" ref="H826">_xlfn.IFS( OR(G826=" ",NOT(ISNUMBER(G826))),"Unknown",G826&lt;=33,"Low Spender",G826&lt;=66,"Medium Spender",TRUE, "High Spender")</f>
        <v>Medium Spender</v>
      </c>
      <c r="I826" s="1">
        <v>11</v>
      </c>
      <c r="J826" s="1">
        <v>3000</v>
      </c>
      <c r="K826" s="1">
        <v>94</v>
      </c>
      <c r="M826" s="1" t="s">
        <v>21</v>
      </c>
      <c r="N826" s="1" t="str">
        <f t="shared" si="24"/>
        <v>Higher</v>
      </c>
      <c r="O826" s="1" t="str">
        <f t="shared" si="25"/>
        <v>Senior | Medium Spender | Higher</v>
      </c>
    </row>
    <row r="827" spans="1:15" x14ac:dyDescent="0.25">
      <c r="A827" s="1" t="s">
        <v>857</v>
      </c>
      <c r="B827" s="1">
        <v>45</v>
      </c>
      <c r="C827" s="1" t="str" cm="1">
        <f t="array" ref="C827">_xlfn.IFS(OR(B827=" ", B827="NA",NOT(ISNUMBER(B827))), "Unknown",B827&lt;18,"Underage",B827&lt;=24,"Young Adult",B827&lt;=34,"Early Career",B827&lt;=44,"Mid Career",B827&lt;=54,"Mature",B827&lt;=65,"Pre-Senior",B827&gt;65,"Senior")</f>
        <v>Mature</v>
      </c>
      <c r="D827" s="1" t="s">
        <v>29</v>
      </c>
      <c r="E827" s="1" t="s">
        <v>13</v>
      </c>
      <c r="F827" s="1">
        <v>900000</v>
      </c>
      <c r="G827" s="1">
        <v>25</v>
      </c>
      <c r="H827" s="1" t="str" cm="1">
        <f t="array" ref="H827">_xlfn.IFS( OR(G827=" ",NOT(ISNUMBER(G827))),"Unknown",G827&lt;=33,"Low Spender",G827&lt;=66,"Medium Spender",TRUE, "High Spender")</f>
        <v>Low Spender</v>
      </c>
      <c r="I827" s="1">
        <v>37</v>
      </c>
      <c r="J827" s="1">
        <v>8900</v>
      </c>
      <c r="K827" s="1">
        <v>63</v>
      </c>
      <c r="L827" s="1" t="s">
        <v>16</v>
      </c>
      <c r="M827" s="1" t="s">
        <v>30</v>
      </c>
      <c r="N827" s="1" t="str">
        <f t="shared" si="24"/>
        <v>Higher</v>
      </c>
      <c r="O827" s="1" t="str">
        <f t="shared" si="25"/>
        <v>Mature | Low Spender | Higher</v>
      </c>
    </row>
    <row r="828" spans="1:15" x14ac:dyDescent="0.25">
      <c r="A828" s="1" t="s">
        <v>858</v>
      </c>
      <c r="B828" s="1">
        <v>45</v>
      </c>
      <c r="C828" s="1" t="str" cm="1">
        <f t="array" ref="C828">_xlfn.IFS(OR(B828=" ", B828="NA",NOT(ISNUMBER(B828))), "Unknown",B828&lt;18,"Underage",B828&lt;=24,"Young Adult",B828&lt;=34,"Early Career",B828&lt;=44,"Mid Career",B828&lt;=54,"Mature",B828&lt;=65,"Pre-Senior",B828&gt;65,"Senior")</f>
        <v>Mature</v>
      </c>
      <c r="F828" s="1">
        <v>900000</v>
      </c>
      <c r="G828" s="1">
        <v>27</v>
      </c>
      <c r="H828" s="1" t="str" cm="1">
        <f t="array" ref="H828">_xlfn.IFS( OR(G828=" ",NOT(ISNUMBER(G828))),"Unknown",G828&lt;=33,"Low Spender",G828&lt;=66,"Medium Spender",TRUE, "High Spender")</f>
        <v>Low Spender</v>
      </c>
      <c r="I828" s="1">
        <v>11</v>
      </c>
      <c r="J828" s="1">
        <v>3800</v>
      </c>
      <c r="K828" s="1">
        <v>154</v>
      </c>
      <c r="M828" s="1" t="s">
        <v>32</v>
      </c>
      <c r="N828" s="1" t="str">
        <f t="shared" si="24"/>
        <v>Lower</v>
      </c>
      <c r="O828" s="1" t="str">
        <f t="shared" si="25"/>
        <v>Mature | Low Spender | Lower</v>
      </c>
    </row>
    <row r="829" spans="1:15" x14ac:dyDescent="0.25">
      <c r="A829" s="1" t="s">
        <v>859</v>
      </c>
      <c r="B829" s="1">
        <v>54</v>
      </c>
      <c r="C829" s="1" t="str" cm="1">
        <f t="array" ref="C829">_xlfn.IFS(OR(B829=" ", B829="NA",NOT(ISNUMBER(B829))), "Unknown",B829&lt;18,"Underage",B829&lt;=24,"Young Adult",B829&lt;=34,"Early Career",B829&lt;=44,"Mid Career",B829&lt;=54,"Mature",B829&lt;=65,"Pre-Senior",B829&gt;65,"Senior")</f>
        <v>Mature</v>
      </c>
      <c r="F829" s="1">
        <v>1275000</v>
      </c>
      <c r="G829" s="1">
        <v>7</v>
      </c>
      <c r="H829" s="1" t="str" cm="1">
        <f t="array" ref="H829">_xlfn.IFS( OR(G829=" ",NOT(ISNUMBER(G829))),"Unknown",G829&lt;=33,"Low Spender",G829&lt;=66,"Medium Spender",TRUE, "High Spender")</f>
        <v>Low Spender</v>
      </c>
      <c r="I829" s="1">
        <v>27</v>
      </c>
      <c r="J829" s="1">
        <v>11500</v>
      </c>
      <c r="K829" s="1">
        <v>255</v>
      </c>
      <c r="L829" s="1" t="s">
        <v>35</v>
      </c>
      <c r="M829" s="1" t="s">
        <v>21</v>
      </c>
      <c r="N829" s="1" t="str">
        <f t="shared" si="24"/>
        <v>Lower</v>
      </c>
      <c r="O829" s="1" t="str">
        <f t="shared" si="25"/>
        <v>Mature | Low Spender | Lower</v>
      </c>
    </row>
    <row r="830" spans="1:15" x14ac:dyDescent="0.25">
      <c r="A830" s="1" t="s">
        <v>860</v>
      </c>
      <c r="B830" s="1">
        <v>58</v>
      </c>
      <c r="C830" s="1" t="str" cm="1">
        <f t="array" ref="C830">_xlfn.IFS(OR(B830=" ", B830="NA",NOT(ISNUMBER(B830))), "Unknown",B830&lt;18,"Underage",B830&lt;=24,"Young Adult",B830&lt;=34,"Early Career",B830&lt;=44,"Mid Career",B830&lt;=54,"Mature",B830&lt;=65,"Pre-Senior",B830&gt;65,"Senior")</f>
        <v>Pre-Senior</v>
      </c>
      <c r="D830" s="1" t="s">
        <v>29</v>
      </c>
      <c r="E830" s="1" t="s">
        <v>34</v>
      </c>
      <c r="F830" s="1" t="s">
        <v>25</v>
      </c>
      <c r="G830" s="1">
        <v>44</v>
      </c>
      <c r="H830" s="1" t="str" cm="1">
        <f t="array" ref="H830">_xlfn.IFS( OR(G830=" ",NOT(ISNUMBER(G830))),"Unknown",G830&lt;=33,"Low Spender",G830&lt;=66,"Medium Spender",TRUE, "High Spender")</f>
        <v>Medium Spender</v>
      </c>
      <c r="I830" s="1">
        <v>34</v>
      </c>
      <c r="J830" s="1">
        <v>800</v>
      </c>
      <c r="K830" s="1">
        <v>351</v>
      </c>
      <c r="L830" s="1" t="s">
        <v>37</v>
      </c>
      <c r="M830" s="1" t="s">
        <v>21</v>
      </c>
      <c r="N830" s="1" t="str">
        <f t="shared" si="24"/>
        <v>Higher</v>
      </c>
      <c r="O830" s="1" t="str">
        <f t="shared" si="25"/>
        <v>Pre-Senior | Medium Spender | Higher</v>
      </c>
    </row>
    <row r="831" spans="1:15" x14ac:dyDescent="0.25">
      <c r="A831" s="1" t="s">
        <v>861</v>
      </c>
      <c r="B831" s="1">
        <v>53</v>
      </c>
      <c r="C831" s="1" t="str" cm="1">
        <f t="array" ref="C831">_xlfn.IFS(OR(B831=" ", B831="NA",NOT(ISNUMBER(B831))), "Unknown",B831&lt;18,"Underage",B831&lt;=24,"Young Adult",B831&lt;=34,"Early Career",B831&lt;=44,"Mid Career",B831&lt;=54,"Mature",B831&lt;=65,"Pre-Senior",B831&gt;65,"Senior")</f>
        <v>Mature</v>
      </c>
      <c r="D831" s="1" t="s">
        <v>29</v>
      </c>
      <c r="F831" s="1">
        <v>1425000</v>
      </c>
      <c r="G831" s="1">
        <v>29</v>
      </c>
      <c r="H831" s="1" t="str" cm="1">
        <f t="array" ref="H831">_xlfn.IFS( OR(G831=" ",NOT(ISNUMBER(G831))),"Unknown",G831&lt;=33,"Low Spender",G831&lt;=66,"Medium Spender",TRUE, "High Spender")</f>
        <v>Low Spender</v>
      </c>
      <c r="I831" s="1">
        <v>38</v>
      </c>
      <c r="J831" s="1">
        <v>1300</v>
      </c>
      <c r="K831" s="1">
        <v>35</v>
      </c>
      <c r="L831" s="1" t="s">
        <v>16</v>
      </c>
      <c r="M831" s="1" t="s">
        <v>30</v>
      </c>
      <c r="N831" s="1" t="str">
        <f t="shared" si="24"/>
        <v>Higher</v>
      </c>
      <c r="O831" s="1" t="str">
        <f t="shared" si="25"/>
        <v>Mature | Low Spender | Higher</v>
      </c>
    </row>
    <row r="832" spans="1:15" x14ac:dyDescent="0.25">
      <c r="A832" s="1" t="s">
        <v>862</v>
      </c>
      <c r="B832" s="1">
        <v>44</v>
      </c>
      <c r="C832" s="1" t="str" cm="1">
        <f t="array" ref="C832">_xlfn.IFS(OR(B832=" ", B832="NA",NOT(ISNUMBER(B832))), "Unknown",B832&lt;18,"Underage",B832&lt;=24,"Young Adult",B832&lt;=34,"Early Career",B832&lt;=44,"Mid Career",B832&lt;=54,"Mature",B832&lt;=65,"Pre-Senior",B832&gt;65,"Senior")</f>
        <v>Mid Career</v>
      </c>
      <c r="D832" s="1" t="s">
        <v>12</v>
      </c>
      <c r="E832" s="1" t="s">
        <v>27</v>
      </c>
      <c r="F832" s="1">
        <v>375000</v>
      </c>
      <c r="G832" s="1">
        <v>95</v>
      </c>
      <c r="H832" s="1" t="str" cm="1">
        <f t="array" ref="H832">_xlfn.IFS( OR(G832=" ",NOT(ISNUMBER(G832))),"Unknown",G832&lt;=33,"Low Spender",G832&lt;=66,"Medium Spender",TRUE, "High Spender")</f>
        <v>High Spender</v>
      </c>
      <c r="I832" s="1">
        <v>61</v>
      </c>
      <c r="J832" s="1">
        <v>4000</v>
      </c>
      <c r="K832" s="1">
        <v>323</v>
      </c>
      <c r="L832" s="1" t="s">
        <v>35</v>
      </c>
      <c r="N832" s="1" t="str">
        <f t="shared" si="24"/>
        <v>Lower</v>
      </c>
      <c r="O832" s="1" t="str">
        <f t="shared" si="25"/>
        <v>Mid Career | High Spender | Lower</v>
      </c>
    </row>
    <row r="833" spans="1:15" x14ac:dyDescent="0.25">
      <c r="A833" s="1" t="s">
        <v>863</v>
      </c>
      <c r="C833" s="1" t="str" cm="1">
        <f t="array" ref="C833">_xlfn.IFS(OR(B833=" ", B833="NA",NOT(ISNUMBER(B833))), "Unknown",B833&lt;18,"Underage",B833&lt;=24,"Young Adult",B833&lt;=34,"Early Career",B833&lt;=44,"Mid Career",B833&lt;=54,"Mature",B833&lt;=65,"Pre-Senior",B833&gt;65,"Senior")</f>
        <v>Unknown</v>
      </c>
      <c r="D833" s="1" t="s">
        <v>12</v>
      </c>
      <c r="E833" s="1" t="s">
        <v>58</v>
      </c>
      <c r="F833" s="1">
        <v>1975000</v>
      </c>
      <c r="G833" s="1">
        <v>44</v>
      </c>
      <c r="H833" s="1" t="str" cm="1">
        <f t="array" ref="H833">_xlfn.IFS( OR(G833=" ",NOT(ISNUMBER(G833))),"Unknown",G833&lt;=33,"Low Spender",G833&lt;=66,"Medium Spender",TRUE, "High Spender")</f>
        <v>Medium Spender</v>
      </c>
      <c r="I833" s="1">
        <v>53</v>
      </c>
      <c r="K833" s="1">
        <v>312</v>
      </c>
      <c r="N833" s="1" t="str">
        <f t="shared" si="24"/>
        <v>Lower</v>
      </c>
      <c r="O833" s="1" t="str">
        <f t="shared" si="25"/>
        <v>Unknown | Medium Spender | Lower</v>
      </c>
    </row>
    <row r="834" spans="1:15" x14ac:dyDescent="0.25">
      <c r="A834" s="1" t="s">
        <v>864</v>
      </c>
      <c r="B834" s="1">
        <v>34</v>
      </c>
      <c r="C834" s="1" t="str" cm="1">
        <f t="array" ref="C834">_xlfn.IFS(OR(B834=" ", B834="NA",NOT(ISNUMBER(B834))), "Unknown",B834&lt;18,"Underage",B834&lt;=24,"Young Adult",B834&lt;=34,"Early Career",B834&lt;=44,"Mid Career",B834&lt;=54,"Mature",B834&lt;=65,"Pre-Senior",B834&gt;65,"Senior")</f>
        <v>Early Career</v>
      </c>
      <c r="E834" s="1" t="s">
        <v>58</v>
      </c>
      <c r="F834" s="1">
        <v>1150000</v>
      </c>
      <c r="G834" s="1">
        <v>36</v>
      </c>
      <c r="H834" s="1" t="str" cm="1">
        <f t="array" ref="H834">_xlfn.IFS( OR(G834=" ",NOT(ISNUMBER(G834))),"Unknown",G834&lt;=33,"Low Spender",G834&lt;=66,"Medium Spender",TRUE, "High Spender")</f>
        <v>Medium Spender</v>
      </c>
      <c r="I834" s="1">
        <v>65</v>
      </c>
      <c r="J834" s="1">
        <v>3600</v>
      </c>
      <c r="K834" s="1">
        <v>296</v>
      </c>
      <c r="L834" s="1" t="s">
        <v>35</v>
      </c>
      <c r="N834" s="1" t="str">
        <f t="shared" ref="N834:N897" si="26">IF(OR(UPPER(TRIM(D834))="Male",UPPER(TRIM(D834))="Female"),"Higher","Lower")</f>
        <v>Lower</v>
      </c>
      <c r="O834" s="1" t="str">
        <f t="shared" ref="O834:O897" si="27">_xlfn.TEXTJOIN(" | ", TRUE, C834, H834, N834)</f>
        <v>Early Career | Medium Spender | Lower</v>
      </c>
    </row>
    <row r="835" spans="1:15" x14ac:dyDescent="0.25">
      <c r="A835" s="1" t="s">
        <v>865</v>
      </c>
      <c r="B835" s="1">
        <v>26</v>
      </c>
      <c r="C835" s="1" t="str" cm="1">
        <f t="array" ref="C835">_xlfn.IFS(OR(B835=" ", B835="NA",NOT(ISNUMBER(B835))), "Unknown",B835&lt;18,"Underage",B835&lt;=24,"Young Adult",B835&lt;=34,"Early Career",B835&lt;=44,"Mid Career",B835&lt;=54,"Mature",B835&lt;=65,"Pre-Senior",B835&gt;65,"Senior")</f>
        <v>Early Career</v>
      </c>
      <c r="E835" s="1" t="s">
        <v>58</v>
      </c>
      <c r="F835" s="1" t="s">
        <v>25</v>
      </c>
      <c r="G835" s="1">
        <v>19</v>
      </c>
      <c r="H835" s="1" t="str" cm="1">
        <f t="array" ref="H835">_xlfn.IFS( OR(G835=" ",NOT(ISNUMBER(G835))),"Unknown",G835&lt;=33,"Low Spender",G835&lt;=66,"Medium Spender",TRUE, "High Spender")</f>
        <v>Low Spender</v>
      </c>
      <c r="I835" s="1">
        <v>3</v>
      </c>
      <c r="J835" s="1">
        <v>8300</v>
      </c>
      <c r="K835" s="1">
        <v>253</v>
      </c>
      <c r="L835" s="1" t="s">
        <v>35</v>
      </c>
      <c r="N835" s="1" t="str">
        <f t="shared" si="26"/>
        <v>Lower</v>
      </c>
      <c r="O835" s="1" t="str">
        <f t="shared" si="27"/>
        <v>Early Career | Low Spender | Lower</v>
      </c>
    </row>
    <row r="836" spans="1:15" x14ac:dyDescent="0.25">
      <c r="A836" s="1" t="s">
        <v>866</v>
      </c>
      <c r="B836" s="1">
        <v>50</v>
      </c>
      <c r="C836" s="1" t="str" cm="1">
        <f t="array" ref="C836">_xlfn.IFS(OR(B836=" ", B836="NA",NOT(ISNUMBER(B836))), "Unknown",B836&lt;18,"Underage",B836&lt;=24,"Young Adult",B836&lt;=34,"Early Career",B836&lt;=44,"Mid Career",B836&lt;=54,"Mature",B836&lt;=65,"Pre-Senior",B836&gt;65,"Senior")</f>
        <v>Mature</v>
      </c>
      <c r="D836" s="1" t="s">
        <v>12</v>
      </c>
      <c r="E836" s="1" t="s">
        <v>34</v>
      </c>
      <c r="F836" s="1">
        <v>200000</v>
      </c>
      <c r="G836" s="1">
        <v>6</v>
      </c>
      <c r="H836" s="1" t="str" cm="1">
        <f t="array" ref="H836">_xlfn.IFS( OR(G836=" ",NOT(ISNUMBER(G836))),"Unknown",G836&lt;=33,"Low Spender",G836&lt;=66,"Medium Spender",TRUE, "High Spender")</f>
        <v>Low Spender</v>
      </c>
      <c r="I836" s="1">
        <v>67</v>
      </c>
      <c r="J836" s="1">
        <v>6900</v>
      </c>
      <c r="K836" s="1">
        <v>157</v>
      </c>
      <c r="M836" s="1" t="s">
        <v>21</v>
      </c>
      <c r="N836" s="1" t="str">
        <f t="shared" si="26"/>
        <v>Lower</v>
      </c>
      <c r="O836" s="1" t="str">
        <f t="shared" si="27"/>
        <v>Mature | Low Spender | Lower</v>
      </c>
    </row>
    <row r="837" spans="1:15" x14ac:dyDescent="0.25">
      <c r="A837" s="1" t="s">
        <v>867</v>
      </c>
      <c r="C837" s="1" t="str" cm="1">
        <f t="array" ref="C837">_xlfn.IFS(OR(B837=" ", B837="NA",NOT(ISNUMBER(B837))), "Unknown",B837&lt;18,"Underage",B837&lt;=24,"Young Adult",B837&lt;=34,"Early Career",B837&lt;=44,"Mid Career",B837&lt;=54,"Mature",B837&lt;=65,"Pre-Senior",B837&gt;65,"Senior")</f>
        <v>Unknown</v>
      </c>
      <c r="E837" s="1" t="s">
        <v>23</v>
      </c>
      <c r="F837" s="1">
        <v>1600000</v>
      </c>
      <c r="G837" s="1">
        <v>25</v>
      </c>
      <c r="H837" s="1" t="str" cm="1">
        <f t="array" ref="H837">_xlfn.IFS( OR(G837=" ",NOT(ISNUMBER(G837))),"Unknown",G837&lt;=33,"Low Spender",G837&lt;=66,"Medium Spender",TRUE, "High Spender")</f>
        <v>Low Spender</v>
      </c>
      <c r="I837" s="1">
        <v>28</v>
      </c>
      <c r="J837" s="1">
        <v>11000</v>
      </c>
      <c r="K837" s="1">
        <v>134</v>
      </c>
      <c r="L837" s="1" t="s">
        <v>20</v>
      </c>
      <c r="M837" s="1" t="s">
        <v>21</v>
      </c>
      <c r="N837" s="1" t="str">
        <f t="shared" si="26"/>
        <v>Lower</v>
      </c>
      <c r="O837" s="1" t="str">
        <f t="shared" si="27"/>
        <v>Unknown | Low Spender | Lower</v>
      </c>
    </row>
    <row r="838" spans="1:15" x14ac:dyDescent="0.25">
      <c r="A838" s="1" t="s">
        <v>868</v>
      </c>
      <c r="B838" s="1">
        <v>37</v>
      </c>
      <c r="C838" s="1" t="str" cm="1">
        <f t="array" ref="C838">_xlfn.IFS(OR(B838=" ", B838="NA",NOT(ISNUMBER(B838))), "Unknown",B838&lt;18,"Underage",B838&lt;=24,"Young Adult",B838&lt;=34,"Early Career",B838&lt;=44,"Mid Career",B838&lt;=54,"Mature",B838&lt;=65,"Pre-Senior",B838&gt;65,"Senior")</f>
        <v>Mid Career</v>
      </c>
      <c r="E838" s="1" t="s">
        <v>58</v>
      </c>
      <c r="F838" s="1">
        <v>1425000</v>
      </c>
      <c r="G838" s="1">
        <v>31</v>
      </c>
      <c r="H838" s="1" t="str" cm="1">
        <f t="array" ref="H838">_xlfn.IFS( OR(G838=" ",NOT(ISNUMBER(G838))),"Unknown",G838&lt;=33,"Low Spender",G838&lt;=66,"Medium Spender",TRUE, "High Spender")</f>
        <v>Low Spender</v>
      </c>
      <c r="I838" s="1">
        <v>14</v>
      </c>
      <c r="J838" s="1">
        <v>4800</v>
      </c>
      <c r="K838" s="1">
        <v>129</v>
      </c>
      <c r="L838" s="1" t="s">
        <v>16</v>
      </c>
      <c r="M838" s="1" t="s">
        <v>41</v>
      </c>
      <c r="N838" s="1" t="str">
        <f t="shared" si="26"/>
        <v>Lower</v>
      </c>
      <c r="O838" s="1" t="str">
        <f t="shared" si="27"/>
        <v>Mid Career | Low Spender | Lower</v>
      </c>
    </row>
    <row r="839" spans="1:15" x14ac:dyDescent="0.25">
      <c r="A839" s="1" t="s">
        <v>869</v>
      </c>
      <c r="B839" s="1">
        <v>30</v>
      </c>
      <c r="C839" s="1" t="str" cm="1">
        <f t="array" ref="C839">_xlfn.IFS(OR(B839=" ", B839="NA",NOT(ISNUMBER(B839))), "Unknown",B839&lt;18,"Underage",B839&lt;=24,"Young Adult",B839&lt;=34,"Early Career",B839&lt;=44,"Mid Career",B839&lt;=54,"Mature",B839&lt;=65,"Pre-Senior",B839&gt;65,"Senior")</f>
        <v>Early Career</v>
      </c>
      <c r="D839" s="1" t="s">
        <v>18</v>
      </c>
      <c r="E839" s="1" t="s">
        <v>19</v>
      </c>
      <c r="F839" s="1">
        <v>975000</v>
      </c>
      <c r="G839" s="1">
        <v>9</v>
      </c>
      <c r="H839" s="1" t="str" cm="1">
        <f t="array" ref="H839">_xlfn.IFS( OR(G839=" ",NOT(ISNUMBER(G839))),"Unknown",G839&lt;=33,"Low Spender",G839&lt;=66,"Medium Spender",TRUE, "High Spender")</f>
        <v>Low Spender</v>
      </c>
      <c r="I839" s="1">
        <v>52</v>
      </c>
      <c r="J839" s="1">
        <v>10000</v>
      </c>
      <c r="K839" s="1">
        <v>280</v>
      </c>
      <c r="L839" s="1" t="s">
        <v>16</v>
      </c>
      <c r="M839" s="1" t="s">
        <v>41</v>
      </c>
      <c r="N839" s="1" t="str">
        <f t="shared" si="26"/>
        <v>Higher</v>
      </c>
      <c r="O839" s="1" t="str">
        <f t="shared" si="27"/>
        <v>Early Career | Low Spender | Higher</v>
      </c>
    </row>
    <row r="840" spans="1:15" x14ac:dyDescent="0.25">
      <c r="A840" s="1" t="s">
        <v>870</v>
      </c>
      <c r="B840" s="1">
        <v>45</v>
      </c>
      <c r="C840" s="1" t="str" cm="1">
        <f t="array" ref="C840">_xlfn.IFS(OR(B840=" ", B840="NA",NOT(ISNUMBER(B840))), "Unknown",B840&lt;18,"Underage",B840&lt;=24,"Young Adult",B840&lt;=34,"Early Career",B840&lt;=44,"Mid Career",B840&lt;=54,"Mature",B840&lt;=65,"Pre-Senior",B840&gt;65,"Senior")</f>
        <v>Mature</v>
      </c>
      <c r="E840" s="1" t="s">
        <v>34</v>
      </c>
      <c r="F840" s="1">
        <v>1350000</v>
      </c>
      <c r="G840" s="1">
        <v>84</v>
      </c>
      <c r="H840" s="1" t="str" cm="1">
        <f t="array" ref="H840">_xlfn.IFS( OR(G840=" ",NOT(ISNUMBER(G840))),"Unknown",G840&lt;=33,"Low Spender",G840&lt;=66,"Medium Spender",TRUE, "High Spender")</f>
        <v>High Spender</v>
      </c>
      <c r="I840" s="1">
        <v>30</v>
      </c>
      <c r="J840" s="1">
        <v>8800</v>
      </c>
      <c r="K840" s="1">
        <v>358</v>
      </c>
      <c r="L840" s="1" t="s">
        <v>16</v>
      </c>
      <c r="M840" s="1" t="s">
        <v>32</v>
      </c>
      <c r="N840" s="1" t="str">
        <f t="shared" si="26"/>
        <v>Lower</v>
      </c>
      <c r="O840" s="1" t="str">
        <f t="shared" si="27"/>
        <v>Mature | High Spender | Lower</v>
      </c>
    </row>
    <row r="841" spans="1:15" x14ac:dyDescent="0.25">
      <c r="A841" s="1" t="s">
        <v>871</v>
      </c>
      <c r="B841" s="1">
        <v>65</v>
      </c>
      <c r="C841" s="1" t="str" cm="1">
        <f t="array" ref="C841">_xlfn.IFS(OR(B841=" ", B841="NA",NOT(ISNUMBER(B841))), "Unknown",B841&lt;18,"Underage",B841&lt;=24,"Young Adult",B841&lt;=34,"Early Career",B841&lt;=44,"Mid Career",B841&lt;=54,"Mature",B841&lt;=65,"Pre-Senior",B841&gt;65,"Senior")</f>
        <v>Pre-Senior</v>
      </c>
      <c r="D841" s="1" t="s">
        <v>12</v>
      </c>
      <c r="E841" s="1" t="s">
        <v>23</v>
      </c>
      <c r="F841" s="1">
        <v>825000</v>
      </c>
      <c r="G841" s="1">
        <v>74</v>
      </c>
      <c r="H841" s="1" t="str" cm="1">
        <f t="array" ref="H841">_xlfn.IFS( OR(G841=" ",NOT(ISNUMBER(G841))),"Unknown",G841&lt;=33,"Low Spender",G841&lt;=66,"Medium Spender",TRUE, "High Spender")</f>
        <v>High Spender</v>
      </c>
      <c r="I841" s="1">
        <v>58</v>
      </c>
      <c r="J841" s="1">
        <v>3100</v>
      </c>
      <c r="K841" s="1">
        <v>252</v>
      </c>
      <c r="L841" s="1" t="s">
        <v>37</v>
      </c>
      <c r="M841" s="1" t="s">
        <v>32</v>
      </c>
      <c r="N841" s="1" t="str">
        <f t="shared" si="26"/>
        <v>Lower</v>
      </c>
      <c r="O841" s="1" t="str">
        <f t="shared" si="27"/>
        <v>Pre-Senior | High Spender | Lower</v>
      </c>
    </row>
    <row r="842" spans="1:15" x14ac:dyDescent="0.25">
      <c r="A842" s="1" t="s">
        <v>872</v>
      </c>
      <c r="B842" s="1">
        <v>46</v>
      </c>
      <c r="C842" s="1" t="str" cm="1">
        <f t="array" ref="C842">_xlfn.IFS(OR(B842=" ", B842="NA",NOT(ISNUMBER(B842))), "Unknown",B842&lt;18,"Underage",B842&lt;=24,"Young Adult",B842&lt;=34,"Early Career",B842&lt;=44,"Mid Career",B842&lt;=54,"Mature",B842&lt;=65,"Pre-Senior",B842&gt;65,"Senior")</f>
        <v>Mature</v>
      </c>
      <c r="E842" s="1" t="s">
        <v>19</v>
      </c>
      <c r="F842" s="1">
        <v>450000</v>
      </c>
      <c r="G842" s="1">
        <v>37</v>
      </c>
      <c r="H842" s="1" t="str" cm="1">
        <f t="array" ref="H842">_xlfn.IFS( OR(G842=" ",NOT(ISNUMBER(G842))),"Unknown",G842&lt;=33,"Low Spender",G842&lt;=66,"Medium Spender",TRUE, "High Spender")</f>
        <v>Medium Spender</v>
      </c>
      <c r="I842" s="1">
        <v>54</v>
      </c>
      <c r="J842" s="1">
        <v>6200</v>
      </c>
      <c r="K842" s="1">
        <v>135</v>
      </c>
      <c r="L842" s="1" t="s">
        <v>35</v>
      </c>
      <c r="N842" s="1" t="str">
        <f t="shared" si="26"/>
        <v>Lower</v>
      </c>
      <c r="O842" s="1" t="str">
        <f t="shared" si="27"/>
        <v>Mature | Medium Spender | Lower</v>
      </c>
    </row>
    <row r="843" spans="1:15" x14ac:dyDescent="0.25">
      <c r="A843" s="1" t="s">
        <v>873</v>
      </c>
      <c r="B843" s="1">
        <v>30</v>
      </c>
      <c r="C843" s="1" t="str" cm="1">
        <f t="array" ref="C843">_xlfn.IFS(OR(B843=" ", B843="NA",NOT(ISNUMBER(B843))), "Unknown",B843&lt;18,"Underage",B843&lt;=24,"Young Adult",B843&lt;=34,"Early Career",B843&lt;=44,"Mid Career",B843&lt;=54,"Mature",B843&lt;=65,"Pre-Senior",B843&gt;65,"Senior")</f>
        <v>Early Career</v>
      </c>
      <c r="D843" s="1" t="s">
        <v>29</v>
      </c>
      <c r="E843" s="1" t="s">
        <v>19</v>
      </c>
      <c r="F843" s="1">
        <v>1850000</v>
      </c>
      <c r="G843" s="1">
        <v>27</v>
      </c>
      <c r="H843" s="1" t="str" cm="1">
        <f t="array" ref="H843">_xlfn.IFS( OR(G843=" ",NOT(ISNUMBER(G843))),"Unknown",G843&lt;=33,"Low Spender",G843&lt;=66,"Medium Spender",TRUE, "High Spender")</f>
        <v>Low Spender</v>
      </c>
      <c r="I843" s="1">
        <v>69</v>
      </c>
      <c r="J843" s="1">
        <v>5600</v>
      </c>
      <c r="K843" s="1">
        <v>331</v>
      </c>
      <c r="L843" s="1" t="s">
        <v>16</v>
      </c>
      <c r="M843" s="1" t="s">
        <v>41</v>
      </c>
      <c r="N843" s="1" t="str">
        <f t="shared" si="26"/>
        <v>Higher</v>
      </c>
      <c r="O843" s="1" t="str">
        <f t="shared" si="27"/>
        <v>Early Career | Low Spender | Higher</v>
      </c>
    </row>
    <row r="844" spans="1:15" x14ac:dyDescent="0.25">
      <c r="A844" s="1" t="s">
        <v>874</v>
      </c>
      <c r="B844" s="1">
        <v>63</v>
      </c>
      <c r="C844" s="1" t="str" cm="1">
        <f t="array" ref="C844">_xlfn.IFS(OR(B844=" ", B844="NA",NOT(ISNUMBER(B844))), "Unknown",B844&lt;18,"Underage",B844&lt;=24,"Young Adult",B844&lt;=34,"Early Career",B844&lt;=44,"Mid Career",B844&lt;=54,"Mature",B844&lt;=65,"Pre-Senior",B844&gt;65,"Senior")</f>
        <v>Pre-Senior</v>
      </c>
      <c r="D844" s="1" t="s">
        <v>29</v>
      </c>
      <c r="E844" s="1" t="s">
        <v>19</v>
      </c>
      <c r="F844" s="1">
        <v>1800000</v>
      </c>
      <c r="G844" s="1">
        <v>13</v>
      </c>
      <c r="H844" s="1" t="str" cm="1">
        <f t="array" ref="H844">_xlfn.IFS( OR(G844=" ",NOT(ISNUMBER(G844))),"Unknown",G844&lt;=33,"Low Spender",G844&lt;=66,"Medium Spender",TRUE, "High Spender")</f>
        <v>Low Spender</v>
      </c>
      <c r="I844" s="1">
        <v>15</v>
      </c>
      <c r="J844" s="1">
        <v>9500</v>
      </c>
      <c r="K844" s="1">
        <v>11</v>
      </c>
      <c r="M844" s="1" t="s">
        <v>21</v>
      </c>
      <c r="N844" s="1" t="str">
        <f t="shared" si="26"/>
        <v>Higher</v>
      </c>
      <c r="O844" s="1" t="str">
        <f t="shared" si="27"/>
        <v>Pre-Senior | Low Spender | Higher</v>
      </c>
    </row>
    <row r="845" spans="1:15" x14ac:dyDescent="0.25">
      <c r="A845" s="1" t="s">
        <v>875</v>
      </c>
      <c r="B845" s="1">
        <v>52</v>
      </c>
      <c r="C845" s="1" t="str" cm="1">
        <f t="array" ref="C845">_xlfn.IFS(OR(B845=" ", B845="NA",NOT(ISNUMBER(B845))), "Unknown",B845&lt;18,"Underage",B845&lt;=24,"Young Adult",B845&lt;=34,"Early Career",B845&lt;=44,"Mid Career",B845&lt;=54,"Mature",B845&lt;=65,"Pre-Senior",B845&gt;65,"Senior")</f>
        <v>Mature</v>
      </c>
      <c r="E845" s="1" t="s">
        <v>15</v>
      </c>
      <c r="F845" s="1">
        <v>1650000</v>
      </c>
      <c r="G845" s="1">
        <v>41</v>
      </c>
      <c r="H845" s="1" t="str" cm="1">
        <f t="array" ref="H845">_xlfn.IFS( OR(G845=" ",NOT(ISNUMBER(G845))),"Unknown",G845&lt;=33,"Low Spender",G845&lt;=66,"Medium Spender",TRUE, "High Spender")</f>
        <v>Medium Spender</v>
      </c>
      <c r="I845" s="1">
        <v>38</v>
      </c>
      <c r="J845" s="1">
        <v>7100</v>
      </c>
      <c r="K845" s="1">
        <v>292</v>
      </c>
      <c r="L845" s="1" t="s">
        <v>20</v>
      </c>
      <c r="M845" s="1" t="s">
        <v>30</v>
      </c>
      <c r="N845" s="1" t="str">
        <f t="shared" si="26"/>
        <v>Lower</v>
      </c>
      <c r="O845" s="1" t="str">
        <f t="shared" si="27"/>
        <v>Mature | Medium Spender | Lower</v>
      </c>
    </row>
    <row r="846" spans="1:15" x14ac:dyDescent="0.25">
      <c r="A846" s="1" t="s">
        <v>876</v>
      </c>
      <c r="B846" s="1">
        <v>23</v>
      </c>
      <c r="C846" s="1" t="str" cm="1">
        <f t="array" ref="C846">_xlfn.IFS(OR(B846=" ", B846="NA",NOT(ISNUMBER(B846))), "Unknown",B846&lt;18,"Underage",B846&lt;=24,"Young Adult",B846&lt;=34,"Early Career",B846&lt;=44,"Mid Career",B846&lt;=54,"Mature",B846&lt;=65,"Pre-Senior",B846&gt;65,"Senior")</f>
        <v>Young Adult</v>
      </c>
      <c r="D846" s="1" t="s">
        <v>18</v>
      </c>
      <c r="E846" s="1" t="s">
        <v>27</v>
      </c>
      <c r="F846" s="1">
        <v>1625000</v>
      </c>
      <c r="G846" s="1">
        <v>66</v>
      </c>
      <c r="H846" s="1" t="str" cm="1">
        <f t="array" ref="H846">_xlfn.IFS( OR(G846=" ",NOT(ISNUMBER(G846))),"Unknown",G846&lt;=33,"Low Spender",G846&lt;=66,"Medium Spender",TRUE, "High Spender")</f>
        <v>Medium Spender</v>
      </c>
      <c r="I846" s="1">
        <v>78</v>
      </c>
      <c r="J846" s="1">
        <v>7600</v>
      </c>
      <c r="K846" s="1">
        <v>148</v>
      </c>
      <c r="M846" s="1" t="s">
        <v>41</v>
      </c>
      <c r="N846" s="1" t="str">
        <f t="shared" si="26"/>
        <v>Higher</v>
      </c>
      <c r="O846" s="1" t="str">
        <f t="shared" si="27"/>
        <v>Young Adult | Medium Spender | Higher</v>
      </c>
    </row>
    <row r="847" spans="1:15" x14ac:dyDescent="0.25">
      <c r="A847" s="1" t="s">
        <v>877</v>
      </c>
      <c r="B847" s="1">
        <v>35</v>
      </c>
      <c r="C847" s="1" t="str" cm="1">
        <f t="array" ref="C847">_xlfn.IFS(OR(B847=" ", B847="NA",NOT(ISNUMBER(B847))), "Unknown",B847&lt;18,"Underage",B847&lt;=24,"Young Adult",B847&lt;=34,"Early Career",B847&lt;=44,"Mid Career",B847&lt;=54,"Mature",B847&lt;=65,"Pre-Senior",B847&gt;65,"Senior")</f>
        <v>Mid Career</v>
      </c>
      <c r="D847" s="1" t="s">
        <v>18</v>
      </c>
      <c r="E847" s="1" t="s">
        <v>27</v>
      </c>
      <c r="F847" s="1">
        <v>1900000</v>
      </c>
      <c r="G847" s="1">
        <v>85</v>
      </c>
      <c r="H847" s="1" t="str" cm="1">
        <f t="array" ref="H847">_xlfn.IFS( OR(G847=" ",NOT(ISNUMBER(G847))),"Unknown",G847&lt;=33,"Low Spender",G847&lt;=66,"Medium Spender",TRUE, "High Spender")</f>
        <v>High Spender</v>
      </c>
      <c r="I847" s="1">
        <v>14</v>
      </c>
      <c r="J847" s="1">
        <v>7600</v>
      </c>
      <c r="K847" s="1">
        <v>319</v>
      </c>
      <c r="M847" s="1" t="s">
        <v>21</v>
      </c>
      <c r="N847" s="1" t="str">
        <f t="shared" si="26"/>
        <v>Higher</v>
      </c>
      <c r="O847" s="1" t="str">
        <f t="shared" si="27"/>
        <v>Mid Career | High Spender | Higher</v>
      </c>
    </row>
    <row r="848" spans="1:15" x14ac:dyDescent="0.25">
      <c r="A848" s="1" t="s">
        <v>878</v>
      </c>
      <c r="B848" s="1">
        <v>68</v>
      </c>
      <c r="C848" s="1" t="str" cm="1">
        <f t="array" ref="C848">_xlfn.IFS(OR(B848=" ", B848="NA",NOT(ISNUMBER(B848))), "Unknown",B848&lt;18,"Underage",B848&lt;=24,"Young Adult",B848&lt;=34,"Early Career",B848&lt;=44,"Mid Career",B848&lt;=54,"Mature",B848&lt;=65,"Pre-Senior",B848&gt;65,"Senior")</f>
        <v>Senior</v>
      </c>
      <c r="E848" s="1" t="s">
        <v>34</v>
      </c>
      <c r="F848" s="1">
        <v>725000</v>
      </c>
      <c r="G848" s="1">
        <v>97</v>
      </c>
      <c r="H848" s="1" t="str" cm="1">
        <f t="array" ref="H848">_xlfn.IFS( OR(G848=" ",NOT(ISNUMBER(G848))),"Unknown",G848&lt;=33,"Low Spender",G848&lt;=66,"Medium Spender",TRUE, "High Spender")</f>
        <v>High Spender</v>
      </c>
      <c r="I848" s="1">
        <v>57</v>
      </c>
      <c r="J848" s="1">
        <v>11900</v>
      </c>
      <c r="K848" s="1">
        <v>80</v>
      </c>
      <c r="L848" s="1" t="s">
        <v>37</v>
      </c>
      <c r="M848" s="1" t="s">
        <v>41</v>
      </c>
      <c r="N848" s="1" t="str">
        <f t="shared" si="26"/>
        <v>Lower</v>
      </c>
      <c r="O848" s="1" t="str">
        <f t="shared" si="27"/>
        <v>Senior | High Spender | Lower</v>
      </c>
    </row>
    <row r="849" spans="1:15" x14ac:dyDescent="0.25">
      <c r="A849" s="1" t="s">
        <v>879</v>
      </c>
      <c r="B849" s="1">
        <v>22</v>
      </c>
      <c r="C849" s="1" t="str" cm="1">
        <f t="array" ref="C849">_xlfn.IFS(OR(B849=" ", B849="NA",NOT(ISNUMBER(B849))), "Unknown",B849&lt;18,"Underage",B849&lt;=24,"Young Adult",B849&lt;=34,"Early Career",B849&lt;=44,"Mid Career",B849&lt;=54,"Mature",B849&lt;=65,"Pre-Senior",B849&gt;65,"Senior")</f>
        <v>Young Adult</v>
      </c>
      <c r="D849" s="1" t="s">
        <v>12</v>
      </c>
      <c r="E849" s="1" t="s">
        <v>19</v>
      </c>
      <c r="F849" s="1">
        <v>1700000</v>
      </c>
      <c r="G849" s="1">
        <v>24</v>
      </c>
      <c r="H849" s="1" t="str" cm="1">
        <f t="array" ref="H849">_xlfn.IFS( OR(G849=" ",NOT(ISNUMBER(G849))),"Unknown",G849&lt;=33,"Low Spender",G849&lt;=66,"Medium Spender",TRUE, "High Spender")</f>
        <v>Low Spender</v>
      </c>
      <c r="I849" s="1">
        <v>59</v>
      </c>
      <c r="J849" s="1">
        <v>1100</v>
      </c>
      <c r="K849" s="1">
        <v>191</v>
      </c>
      <c r="N849" s="1" t="str">
        <f t="shared" si="26"/>
        <v>Lower</v>
      </c>
      <c r="O849" s="1" t="str">
        <f t="shared" si="27"/>
        <v>Young Adult | Low Spender | Lower</v>
      </c>
    </row>
    <row r="850" spans="1:15" x14ac:dyDescent="0.25">
      <c r="A850" s="1" t="s">
        <v>880</v>
      </c>
      <c r="B850" s="1">
        <v>64</v>
      </c>
      <c r="C850" s="1" t="str" cm="1">
        <f t="array" ref="C850">_xlfn.IFS(OR(B850=" ", B850="NA",NOT(ISNUMBER(B850))), "Unknown",B850&lt;18,"Underage",B850&lt;=24,"Young Adult",B850&lt;=34,"Early Career",B850&lt;=44,"Mid Career",B850&lt;=54,"Mature",B850&lt;=65,"Pre-Senior",B850&gt;65,"Senior")</f>
        <v>Pre-Senior</v>
      </c>
      <c r="D850" s="1" t="s">
        <v>18</v>
      </c>
      <c r="F850" s="1">
        <v>1650000</v>
      </c>
      <c r="G850" s="1">
        <v>44</v>
      </c>
      <c r="H850" s="1" t="str" cm="1">
        <f t="array" ref="H850">_xlfn.IFS( OR(G850=" ",NOT(ISNUMBER(G850))),"Unknown",G850&lt;=33,"Low Spender",G850&lt;=66,"Medium Spender",TRUE, "High Spender")</f>
        <v>Medium Spender</v>
      </c>
      <c r="I850" s="1">
        <v>8</v>
      </c>
      <c r="J850" s="1">
        <v>8700</v>
      </c>
      <c r="K850" s="1">
        <v>344</v>
      </c>
      <c r="L850" s="1" t="s">
        <v>20</v>
      </c>
      <c r="M850" s="1" t="s">
        <v>41</v>
      </c>
      <c r="N850" s="1" t="str">
        <f t="shared" si="26"/>
        <v>Higher</v>
      </c>
      <c r="O850" s="1" t="str">
        <f t="shared" si="27"/>
        <v>Pre-Senior | Medium Spender | Higher</v>
      </c>
    </row>
    <row r="851" spans="1:15" x14ac:dyDescent="0.25">
      <c r="A851" s="1" t="s">
        <v>881</v>
      </c>
      <c r="B851" s="1">
        <v>42</v>
      </c>
      <c r="C851" s="1" t="str" cm="1">
        <f t="array" ref="C851">_xlfn.IFS(OR(B851=" ", B851="NA",NOT(ISNUMBER(B851))), "Unknown",B851&lt;18,"Underage",B851&lt;=24,"Young Adult",B851&lt;=34,"Early Career",B851&lt;=44,"Mid Career",B851&lt;=54,"Mature",B851&lt;=65,"Pre-Senior",B851&gt;65,"Senior")</f>
        <v>Mid Career</v>
      </c>
      <c r="D851" s="1" t="s">
        <v>18</v>
      </c>
      <c r="F851" s="1">
        <v>700000</v>
      </c>
      <c r="G851" s="1">
        <v>98</v>
      </c>
      <c r="H851" s="1" t="str" cm="1">
        <f t="array" ref="H851">_xlfn.IFS( OR(G851=" ",NOT(ISNUMBER(G851))),"Unknown",G851&lt;=33,"Low Spender",G851&lt;=66,"Medium Spender",TRUE, "High Spender")</f>
        <v>High Spender</v>
      </c>
      <c r="I851" s="1">
        <v>72</v>
      </c>
      <c r="J851" s="1">
        <v>7900</v>
      </c>
      <c r="K851" s="1">
        <v>30</v>
      </c>
      <c r="L851" s="1" t="s">
        <v>35</v>
      </c>
      <c r="N851" s="1" t="str">
        <f t="shared" si="26"/>
        <v>Higher</v>
      </c>
      <c r="O851" s="1" t="str">
        <f t="shared" si="27"/>
        <v>Mid Career | High Spender | Higher</v>
      </c>
    </row>
    <row r="852" spans="1:15" x14ac:dyDescent="0.25">
      <c r="A852" s="1" t="s">
        <v>882</v>
      </c>
      <c r="B852" s="1">
        <v>19</v>
      </c>
      <c r="C852" s="1" t="str" cm="1">
        <f t="array" ref="C852">_xlfn.IFS(OR(B852=" ", B852="NA",NOT(ISNUMBER(B852))), "Unknown",B852&lt;18,"Underage",B852&lt;=24,"Young Adult",B852&lt;=34,"Early Career",B852&lt;=44,"Mid Career",B852&lt;=54,"Mature",B852&lt;=65,"Pre-Senior",B852&gt;65,"Senior")</f>
        <v>Young Adult</v>
      </c>
      <c r="D852" s="1" t="s">
        <v>29</v>
      </c>
      <c r="E852" s="1" t="s">
        <v>23</v>
      </c>
      <c r="F852" s="1">
        <v>875000</v>
      </c>
      <c r="G852" s="1">
        <v>60</v>
      </c>
      <c r="H852" s="1" t="str" cm="1">
        <f t="array" ref="H852">_xlfn.IFS( OR(G852=" ",NOT(ISNUMBER(G852))),"Unknown",G852&lt;=33,"Low Spender",G852&lt;=66,"Medium Spender",TRUE, "High Spender")</f>
        <v>Medium Spender</v>
      </c>
      <c r="I852" s="1">
        <v>19</v>
      </c>
      <c r="J852" s="1">
        <v>1200</v>
      </c>
      <c r="K852" s="1">
        <v>359</v>
      </c>
      <c r="N852" s="1" t="str">
        <f t="shared" si="26"/>
        <v>Higher</v>
      </c>
      <c r="O852" s="1" t="str">
        <f t="shared" si="27"/>
        <v>Young Adult | Medium Spender | Higher</v>
      </c>
    </row>
    <row r="853" spans="1:15" x14ac:dyDescent="0.25">
      <c r="A853" s="1" t="s">
        <v>883</v>
      </c>
      <c r="B853" s="1">
        <v>27</v>
      </c>
      <c r="C853" s="1" t="str" cm="1">
        <f t="array" ref="C853">_xlfn.IFS(OR(B853=" ", B853="NA",NOT(ISNUMBER(B853))), "Unknown",B853&lt;18,"Underage",B853&lt;=24,"Young Adult",B853&lt;=34,"Early Career",B853&lt;=44,"Mid Career",B853&lt;=54,"Mature",B853&lt;=65,"Pre-Senior",B853&gt;65,"Senior")</f>
        <v>Early Career</v>
      </c>
      <c r="D853" s="1" t="s">
        <v>29</v>
      </c>
      <c r="E853" s="1" t="s">
        <v>27</v>
      </c>
      <c r="F853" s="1">
        <v>1625000</v>
      </c>
      <c r="G853" s="1">
        <v>9</v>
      </c>
      <c r="H853" s="1" t="str" cm="1">
        <f t="array" ref="H853">_xlfn.IFS( OR(G853=" ",NOT(ISNUMBER(G853))),"Unknown",G853&lt;=33,"Low Spender",G853&lt;=66,"Medium Spender",TRUE, "High Spender")</f>
        <v>Low Spender</v>
      </c>
      <c r="I853" s="1">
        <v>32</v>
      </c>
      <c r="J853" s="1">
        <v>10400</v>
      </c>
      <c r="K853" s="1">
        <v>229</v>
      </c>
      <c r="M853" s="1" t="s">
        <v>21</v>
      </c>
      <c r="N853" s="1" t="str">
        <f t="shared" si="26"/>
        <v>Higher</v>
      </c>
      <c r="O853" s="1" t="str">
        <f t="shared" si="27"/>
        <v>Early Career | Low Spender | Higher</v>
      </c>
    </row>
    <row r="854" spans="1:15" x14ac:dyDescent="0.25">
      <c r="A854" s="1" t="s">
        <v>884</v>
      </c>
      <c r="B854" s="1">
        <v>47</v>
      </c>
      <c r="C854" s="1" t="str" cm="1">
        <f t="array" ref="C854">_xlfn.IFS(OR(B854=" ", B854="NA",NOT(ISNUMBER(B854))), "Unknown",B854&lt;18,"Underage",B854&lt;=24,"Young Adult",B854&lt;=34,"Early Career",B854&lt;=44,"Mid Career",B854&lt;=54,"Mature",B854&lt;=65,"Pre-Senior",B854&gt;65,"Senior")</f>
        <v>Mature</v>
      </c>
      <c r="E854" s="1" t="s">
        <v>58</v>
      </c>
      <c r="F854" s="1">
        <v>575000</v>
      </c>
      <c r="G854" s="1">
        <v>2</v>
      </c>
      <c r="H854" s="1" t="str" cm="1">
        <f t="array" ref="H854">_xlfn.IFS( OR(G854=" ",NOT(ISNUMBER(G854))),"Unknown",G854&lt;=33,"Low Spender",G854&lt;=66,"Medium Spender",TRUE, "High Spender")</f>
        <v>Low Spender</v>
      </c>
      <c r="I854" s="1">
        <v>29</v>
      </c>
      <c r="J854" s="1">
        <v>7700</v>
      </c>
      <c r="K854" s="1">
        <v>84</v>
      </c>
      <c r="N854" s="1" t="str">
        <f t="shared" si="26"/>
        <v>Lower</v>
      </c>
      <c r="O854" s="1" t="str">
        <f t="shared" si="27"/>
        <v>Mature | Low Spender | Lower</v>
      </c>
    </row>
    <row r="855" spans="1:15" x14ac:dyDescent="0.25">
      <c r="A855" s="1" t="s">
        <v>885</v>
      </c>
      <c r="B855" s="1">
        <v>67</v>
      </c>
      <c r="C855" s="1" t="str" cm="1">
        <f t="array" ref="C855">_xlfn.IFS(OR(B855=" ", B855="NA",NOT(ISNUMBER(B855))), "Unknown",B855&lt;18,"Underage",B855&lt;=24,"Young Adult",B855&lt;=34,"Early Career",B855&lt;=44,"Mid Career",B855&lt;=54,"Mature",B855&lt;=65,"Pre-Senior",B855&gt;65,"Senior")</f>
        <v>Senior</v>
      </c>
      <c r="D855" s="1" t="s">
        <v>29</v>
      </c>
      <c r="E855" s="1" t="s">
        <v>34</v>
      </c>
      <c r="F855" s="1">
        <v>1525000</v>
      </c>
      <c r="G855" s="1">
        <v>56</v>
      </c>
      <c r="H855" s="1" t="str" cm="1">
        <f t="array" ref="H855">_xlfn.IFS( OR(G855=" ",NOT(ISNUMBER(G855))),"Unknown",G855&lt;=33,"Low Spender",G855&lt;=66,"Medium Spender",TRUE, "High Spender")</f>
        <v>Medium Spender</v>
      </c>
      <c r="I855" s="1">
        <v>41</v>
      </c>
      <c r="J855" s="1">
        <v>7000</v>
      </c>
      <c r="K855" s="1">
        <v>150</v>
      </c>
      <c r="L855" s="1" t="s">
        <v>35</v>
      </c>
      <c r="M855" s="1" t="s">
        <v>41</v>
      </c>
      <c r="N855" s="1" t="str">
        <f t="shared" si="26"/>
        <v>Higher</v>
      </c>
      <c r="O855" s="1" t="str">
        <f t="shared" si="27"/>
        <v>Senior | Medium Spender | Higher</v>
      </c>
    </row>
    <row r="856" spans="1:15" x14ac:dyDescent="0.25">
      <c r="A856" s="1" t="s">
        <v>886</v>
      </c>
      <c r="B856" s="1">
        <v>62</v>
      </c>
      <c r="C856" s="1" t="str" cm="1">
        <f t="array" ref="C856">_xlfn.IFS(OR(B856=" ", B856="NA",NOT(ISNUMBER(B856))), "Unknown",B856&lt;18,"Underage",B856&lt;=24,"Young Adult",B856&lt;=34,"Early Career",B856&lt;=44,"Mid Career",B856&lt;=54,"Mature",B856&lt;=65,"Pre-Senior",B856&gt;65,"Senior")</f>
        <v>Pre-Senior</v>
      </c>
      <c r="E856" s="1" t="s">
        <v>23</v>
      </c>
      <c r="F856" s="1">
        <v>1450000</v>
      </c>
      <c r="G856" s="1">
        <v>30</v>
      </c>
      <c r="H856" s="1" t="str" cm="1">
        <f t="array" ref="H856">_xlfn.IFS( OR(G856=" ",NOT(ISNUMBER(G856))),"Unknown",G856&lt;=33,"Low Spender",G856&lt;=66,"Medium Spender",TRUE, "High Spender")</f>
        <v>Low Spender</v>
      </c>
      <c r="I856" s="1">
        <v>75</v>
      </c>
      <c r="J856" s="1">
        <v>6000</v>
      </c>
      <c r="K856" s="1">
        <v>361</v>
      </c>
      <c r="L856" s="1" t="s">
        <v>16</v>
      </c>
      <c r="N856" s="1" t="str">
        <f t="shared" si="26"/>
        <v>Lower</v>
      </c>
      <c r="O856" s="1" t="str">
        <f t="shared" si="27"/>
        <v>Pre-Senior | Low Spender | Lower</v>
      </c>
    </row>
    <row r="857" spans="1:15" x14ac:dyDescent="0.25">
      <c r="A857" s="1" t="s">
        <v>887</v>
      </c>
      <c r="B857" s="1">
        <v>22</v>
      </c>
      <c r="C857" s="1" t="str" cm="1">
        <f t="array" ref="C857">_xlfn.IFS(OR(B857=" ", B857="NA",NOT(ISNUMBER(B857))), "Unknown",B857&lt;18,"Underage",B857&lt;=24,"Young Adult",B857&lt;=34,"Early Career",B857&lt;=44,"Mid Career",B857&lt;=54,"Mature",B857&lt;=65,"Pre-Senior",B857&gt;65,"Senior")</f>
        <v>Young Adult</v>
      </c>
      <c r="E857" s="1" t="s">
        <v>34</v>
      </c>
      <c r="F857" s="1">
        <v>300000</v>
      </c>
      <c r="G857" s="1">
        <v>22</v>
      </c>
      <c r="H857" s="1" t="str" cm="1">
        <f t="array" ref="H857">_xlfn.IFS( OR(G857=" ",NOT(ISNUMBER(G857))),"Unknown",G857&lt;=33,"Low Spender",G857&lt;=66,"Medium Spender",TRUE, "High Spender")</f>
        <v>Low Spender</v>
      </c>
      <c r="I857" s="1">
        <v>45</v>
      </c>
      <c r="J857" s="1">
        <v>11200</v>
      </c>
      <c r="K857" s="1">
        <v>189</v>
      </c>
      <c r="L857" s="1" t="s">
        <v>20</v>
      </c>
      <c r="N857" s="1" t="str">
        <f t="shared" si="26"/>
        <v>Lower</v>
      </c>
      <c r="O857" s="1" t="str">
        <f t="shared" si="27"/>
        <v>Young Adult | Low Spender | Lower</v>
      </c>
    </row>
    <row r="858" spans="1:15" x14ac:dyDescent="0.25">
      <c r="A858" s="1" t="s">
        <v>888</v>
      </c>
      <c r="B858" s="1" t="s">
        <v>73</v>
      </c>
      <c r="C858" s="1" t="str" cm="1">
        <f t="array" ref="C858">_xlfn.IFS(OR(B858=" ", B858="NA",NOT(ISNUMBER(B858))), "Unknown",B858&lt;18,"Underage",B858&lt;=24,"Young Adult",B858&lt;=34,"Early Career",B858&lt;=44,"Mid Career",B858&lt;=54,"Mature",B858&lt;=65,"Pre-Senior",B858&gt;65,"Senior")</f>
        <v>Unknown</v>
      </c>
      <c r="D858" s="1" t="s">
        <v>29</v>
      </c>
      <c r="F858" s="1">
        <v>1850000</v>
      </c>
      <c r="G858" s="1">
        <v>75</v>
      </c>
      <c r="H858" s="1" t="str" cm="1">
        <f t="array" ref="H858">_xlfn.IFS( OR(G858=" ",NOT(ISNUMBER(G858))),"Unknown",G858&lt;=33,"Low Spender",G858&lt;=66,"Medium Spender",TRUE, "High Spender")</f>
        <v>High Spender</v>
      </c>
      <c r="I858" s="1">
        <v>13</v>
      </c>
      <c r="J858" s="1">
        <v>9700</v>
      </c>
      <c r="K858" s="1">
        <v>21</v>
      </c>
      <c r="M858" s="1" t="s">
        <v>30</v>
      </c>
      <c r="N858" s="1" t="str">
        <f t="shared" si="26"/>
        <v>Higher</v>
      </c>
      <c r="O858" s="1" t="str">
        <f t="shared" si="27"/>
        <v>Unknown | High Spender | Higher</v>
      </c>
    </row>
    <row r="859" spans="1:15" x14ac:dyDescent="0.25">
      <c r="A859" s="1" t="s">
        <v>889</v>
      </c>
      <c r="B859" s="1">
        <v>50</v>
      </c>
      <c r="C859" s="1" t="str" cm="1">
        <f t="array" ref="C859">_xlfn.IFS(OR(B859=" ", B859="NA",NOT(ISNUMBER(B859))), "Unknown",B859&lt;18,"Underage",B859&lt;=24,"Young Adult",B859&lt;=34,"Early Career",B859&lt;=44,"Mid Career",B859&lt;=54,"Mature",B859&lt;=65,"Pre-Senior",B859&gt;65,"Senior")</f>
        <v>Mature</v>
      </c>
      <c r="D859" s="1" t="s">
        <v>29</v>
      </c>
      <c r="E859" s="1" t="s">
        <v>15</v>
      </c>
      <c r="F859" s="1">
        <v>1925000</v>
      </c>
      <c r="G859" s="1">
        <v>81</v>
      </c>
      <c r="H859" s="1" t="str" cm="1">
        <f t="array" ref="H859">_xlfn.IFS( OR(G859=" ",NOT(ISNUMBER(G859))),"Unknown",G859&lt;=33,"Low Spender",G859&lt;=66,"Medium Spender",TRUE, "High Spender")</f>
        <v>High Spender</v>
      </c>
      <c r="I859" s="1">
        <v>27</v>
      </c>
      <c r="J859" s="1">
        <v>11500</v>
      </c>
      <c r="K859" s="1">
        <v>37</v>
      </c>
      <c r="N859" s="1" t="str">
        <f t="shared" si="26"/>
        <v>Higher</v>
      </c>
      <c r="O859" s="1" t="str">
        <f t="shared" si="27"/>
        <v>Mature | High Spender | Higher</v>
      </c>
    </row>
    <row r="860" spans="1:15" x14ac:dyDescent="0.25">
      <c r="A860" s="1" t="s">
        <v>890</v>
      </c>
      <c r="C860" s="1" t="str" cm="1">
        <f t="array" ref="C860">_xlfn.IFS(OR(B860=" ", B860="NA",NOT(ISNUMBER(B860))), "Unknown",B860&lt;18,"Underage",B860&lt;=24,"Young Adult",B860&lt;=34,"Early Career",B860&lt;=44,"Mid Career",B860&lt;=54,"Mature",B860&lt;=65,"Pre-Senior",B860&gt;65,"Senior")</f>
        <v>Unknown</v>
      </c>
      <c r="D860" s="1" t="s">
        <v>18</v>
      </c>
      <c r="E860" s="1" t="s">
        <v>15</v>
      </c>
      <c r="F860" s="1">
        <v>1425000</v>
      </c>
      <c r="G860" s="1">
        <v>100</v>
      </c>
      <c r="H860" s="1" t="str" cm="1">
        <f t="array" ref="H860">_xlfn.IFS( OR(G860=" ",NOT(ISNUMBER(G860))),"Unknown",G860&lt;=33,"Low Spender",G860&lt;=66,"Medium Spender",TRUE, "High Spender")</f>
        <v>High Spender</v>
      </c>
      <c r="I860" s="1">
        <v>19</v>
      </c>
      <c r="J860" s="1">
        <v>5400</v>
      </c>
      <c r="K860" s="1">
        <v>246</v>
      </c>
      <c r="L860" s="1" t="s">
        <v>20</v>
      </c>
      <c r="N860" s="1" t="str">
        <f t="shared" si="26"/>
        <v>Higher</v>
      </c>
      <c r="O860" s="1" t="str">
        <f t="shared" si="27"/>
        <v>Unknown | High Spender | Higher</v>
      </c>
    </row>
    <row r="861" spans="1:15" x14ac:dyDescent="0.25">
      <c r="A861" s="1" t="s">
        <v>891</v>
      </c>
      <c r="B861" s="1">
        <v>18</v>
      </c>
      <c r="C861" s="1" t="str" cm="1">
        <f t="array" ref="C861">_xlfn.IFS(OR(B861=" ", B861="NA",NOT(ISNUMBER(B861))), "Unknown",B861&lt;18,"Underage",B861&lt;=24,"Young Adult",B861&lt;=34,"Early Career",B861&lt;=44,"Mid Career",B861&lt;=54,"Mature",B861&lt;=65,"Pre-Senior",B861&gt;65,"Senior")</f>
        <v>Young Adult</v>
      </c>
      <c r="D861" s="1" t="s">
        <v>18</v>
      </c>
      <c r="E861" s="1" t="s">
        <v>19</v>
      </c>
      <c r="F861" s="1">
        <v>225000</v>
      </c>
      <c r="G861" s="1">
        <v>13</v>
      </c>
      <c r="H861" s="1" t="str" cm="1">
        <f t="array" ref="H861">_xlfn.IFS( OR(G861=" ",NOT(ISNUMBER(G861))),"Unknown",G861&lt;=33,"Low Spender",G861&lt;=66,"Medium Spender",TRUE, "High Spender")</f>
        <v>Low Spender</v>
      </c>
      <c r="I861" s="1">
        <v>26</v>
      </c>
      <c r="J861" s="1">
        <v>3600</v>
      </c>
      <c r="K861" s="1">
        <v>283</v>
      </c>
      <c r="L861" s="1" t="s">
        <v>37</v>
      </c>
      <c r="N861" s="1" t="str">
        <f t="shared" si="26"/>
        <v>Higher</v>
      </c>
      <c r="O861" s="1" t="str">
        <f t="shared" si="27"/>
        <v>Young Adult | Low Spender | Higher</v>
      </c>
    </row>
    <row r="862" spans="1:15" x14ac:dyDescent="0.25">
      <c r="A862" s="1" t="s">
        <v>892</v>
      </c>
      <c r="B862" s="1">
        <v>35</v>
      </c>
      <c r="C862" s="1" t="str" cm="1">
        <f t="array" ref="C862">_xlfn.IFS(OR(B862=" ", B862="NA",NOT(ISNUMBER(B862))), "Unknown",B862&lt;18,"Underage",B862&lt;=24,"Young Adult",B862&lt;=34,"Early Career",B862&lt;=44,"Mid Career",B862&lt;=54,"Mature",B862&lt;=65,"Pre-Senior",B862&gt;65,"Senior")</f>
        <v>Mid Career</v>
      </c>
      <c r="D862" s="1" t="s">
        <v>29</v>
      </c>
      <c r="E862" s="1" t="s">
        <v>15</v>
      </c>
      <c r="F862" s="1">
        <v>975000</v>
      </c>
      <c r="G862" s="1">
        <v>71</v>
      </c>
      <c r="H862" s="1" t="str" cm="1">
        <f t="array" ref="H862">_xlfn.IFS( OR(G862=" ",NOT(ISNUMBER(G862))),"Unknown",G862&lt;=33,"Low Spender",G862&lt;=66,"Medium Spender",TRUE, "High Spender")</f>
        <v>High Spender</v>
      </c>
      <c r="I862" s="1">
        <v>53</v>
      </c>
      <c r="J862" s="1">
        <v>10800</v>
      </c>
      <c r="K862" s="1">
        <v>102</v>
      </c>
      <c r="M862" s="1" t="s">
        <v>32</v>
      </c>
      <c r="N862" s="1" t="str">
        <f t="shared" si="26"/>
        <v>Higher</v>
      </c>
      <c r="O862" s="1" t="str">
        <f t="shared" si="27"/>
        <v>Mid Career | High Spender | Higher</v>
      </c>
    </row>
    <row r="863" spans="1:15" x14ac:dyDescent="0.25">
      <c r="A863" s="1" t="s">
        <v>893</v>
      </c>
      <c r="B863" s="1">
        <v>49</v>
      </c>
      <c r="C863" s="1" t="str" cm="1">
        <f t="array" ref="C863">_xlfn.IFS(OR(B863=" ", B863="NA",NOT(ISNUMBER(B863))), "Unknown",B863&lt;18,"Underage",B863&lt;=24,"Young Adult",B863&lt;=34,"Early Career",B863&lt;=44,"Mid Career",B863&lt;=54,"Mature",B863&lt;=65,"Pre-Senior",B863&gt;65,"Senior")</f>
        <v>Mature</v>
      </c>
      <c r="E863" s="1" t="s">
        <v>34</v>
      </c>
      <c r="F863" s="1">
        <v>1850000</v>
      </c>
      <c r="G863" s="1">
        <v>16</v>
      </c>
      <c r="H863" s="1" t="str" cm="1">
        <f t="array" ref="H863">_xlfn.IFS( OR(G863=" ",NOT(ISNUMBER(G863))),"Unknown",G863&lt;=33,"Low Spender",G863&lt;=66,"Medium Spender",TRUE, "High Spender")</f>
        <v>Low Spender</v>
      </c>
      <c r="I863" s="1">
        <v>51</v>
      </c>
      <c r="J863" s="1">
        <v>3700</v>
      </c>
      <c r="K863" s="1">
        <v>294</v>
      </c>
      <c r="L863" s="1" t="s">
        <v>37</v>
      </c>
      <c r="M863" s="1" t="s">
        <v>30</v>
      </c>
      <c r="N863" s="1" t="str">
        <f t="shared" si="26"/>
        <v>Lower</v>
      </c>
      <c r="O863" s="1" t="str">
        <f t="shared" si="27"/>
        <v>Mature | Low Spender | Lower</v>
      </c>
    </row>
    <row r="864" spans="1:15" x14ac:dyDescent="0.25">
      <c r="A864" s="1" t="s">
        <v>894</v>
      </c>
      <c r="B864" s="1">
        <v>64</v>
      </c>
      <c r="C864" s="1" t="str" cm="1">
        <f t="array" ref="C864">_xlfn.IFS(OR(B864=" ", B864="NA",NOT(ISNUMBER(B864))), "Unknown",B864&lt;18,"Underage",B864&lt;=24,"Young Adult",B864&lt;=34,"Early Career",B864&lt;=44,"Mid Career",B864&lt;=54,"Mature",B864&lt;=65,"Pre-Senior",B864&gt;65,"Senior")</f>
        <v>Pre-Senior</v>
      </c>
      <c r="E864" s="1" t="s">
        <v>58</v>
      </c>
      <c r="F864" s="1">
        <v>950000</v>
      </c>
      <c r="G864" s="1">
        <v>97</v>
      </c>
      <c r="H864" s="1" t="str" cm="1">
        <f t="array" ref="H864">_xlfn.IFS( OR(G864=" ",NOT(ISNUMBER(G864))),"Unknown",G864&lt;=33,"Low Spender",G864&lt;=66,"Medium Spender",TRUE, "High Spender")</f>
        <v>High Spender</v>
      </c>
      <c r="I864" s="1">
        <v>37</v>
      </c>
      <c r="J864" s="1">
        <v>10500</v>
      </c>
      <c r="K864" s="1">
        <v>232</v>
      </c>
      <c r="M864" s="1" t="s">
        <v>21</v>
      </c>
      <c r="N864" s="1" t="str">
        <f t="shared" si="26"/>
        <v>Lower</v>
      </c>
      <c r="O864" s="1" t="str">
        <f t="shared" si="27"/>
        <v>Pre-Senior | High Spender | Lower</v>
      </c>
    </row>
    <row r="865" spans="1:15" x14ac:dyDescent="0.25">
      <c r="A865" s="1" t="s">
        <v>895</v>
      </c>
      <c r="B865" s="1">
        <v>66</v>
      </c>
      <c r="C865" s="1" t="str" cm="1">
        <f t="array" ref="C865">_xlfn.IFS(OR(B865=" ", B865="NA",NOT(ISNUMBER(B865))), "Unknown",B865&lt;18,"Underage",B865&lt;=24,"Young Adult",B865&lt;=34,"Early Career",B865&lt;=44,"Mid Career",B865&lt;=54,"Mature",B865&lt;=65,"Pre-Senior",B865&gt;65,"Senior")</f>
        <v>Senior</v>
      </c>
      <c r="E865" s="1" t="s">
        <v>19</v>
      </c>
      <c r="F865" s="1">
        <v>1850000</v>
      </c>
      <c r="G865" s="1">
        <v>45</v>
      </c>
      <c r="H865" s="1" t="str" cm="1">
        <f t="array" ref="H865">_xlfn.IFS( OR(G865=" ",NOT(ISNUMBER(G865))),"Unknown",G865&lt;=33,"Low Spender",G865&lt;=66,"Medium Spender",TRUE, "High Spender")</f>
        <v>Medium Spender</v>
      </c>
      <c r="I865" s="1">
        <v>9</v>
      </c>
      <c r="J865" s="1">
        <v>10500</v>
      </c>
      <c r="K865" s="1">
        <v>316</v>
      </c>
      <c r="N865" s="1" t="str">
        <f t="shared" si="26"/>
        <v>Lower</v>
      </c>
      <c r="O865" s="1" t="str">
        <f t="shared" si="27"/>
        <v>Senior | Medium Spender | Lower</v>
      </c>
    </row>
    <row r="866" spans="1:15" x14ac:dyDescent="0.25">
      <c r="A866" s="1" t="s">
        <v>896</v>
      </c>
      <c r="B866" s="1">
        <v>28</v>
      </c>
      <c r="C866" s="1" t="str" cm="1">
        <f t="array" ref="C866">_xlfn.IFS(OR(B866=" ", B866="NA",NOT(ISNUMBER(B866))), "Unknown",B866&lt;18,"Underage",B866&lt;=24,"Young Adult",B866&lt;=34,"Early Career",B866&lt;=44,"Mid Career",B866&lt;=54,"Mature",B866&lt;=65,"Pre-Senior",B866&gt;65,"Senior")</f>
        <v>Early Career</v>
      </c>
      <c r="D866" s="1" t="s">
        <v>29</v>
      </c>
      <c r="E866" s="1" t="s">
        <v>13</v>
      </c>
      <c r="F866" s="1">
        <v>1075000</v>
      </c>
      <c r="G866" s="1">
        <v>65</v>
      </c>
      <c r="H866" s="1" t="str" cm="1">
        <f t="array" ref="H866">_xlfn.IFS( OR(G866=" ",NOT(ISNUMBER(G866))),"Unknown",G866&lt;=33,"Low Spender",G866&lt;=66,"Medium Spender",TRUE, "High Spender")</f>
        <v>Medium Spender</v>
      </c>
      <c r="I866" s="1">
        <v>52</v>
      </c>
      <c r="J866" s="1">
        <v>3500</v>
      </c>
      <c r="K866" s="1">
        <v>326</v>
      </c>
      <c r="L866" s="1" t="s">
        <v>16</v>
      </c>
      <c r="N866" s="1" t="str">
        <f t="shared" si="26"/>
        <v>Higher</v>
      </c>
      <c r="O866" s="1" t="str">
        <f t="shared" si="27"/>
        <v>Early Career | Medium Spender | Higher</v>
      </c>
    </row>
    <row r="867" spans="1:15" x14ac:dyDescent="0.25">
      <c r="A867" s="1" t="s">
        <v>897</v>
      </c>
      <c r="B867" s="1">
        <v>38</v>
      </c>
      <c r="C867" s="1" t="str" cm="1">
        <f t="array" ref="C867">_xlfn.IFS(OR(B867=" ", B867="NA",NOT(ISNUMBER(B867))), "Unknown",B867&lt;18,"Underage",B867&lt;=24,"Young Adult",B867&lt;=34,"Early Career",B867&lt;=44,"Mid Career",B867&lt;=54,"Mature",B867&lt;=65,"Pre-Senior",B867&gt;65,"Senior")</f>
        <v>Mid Career</v>
      </c>
      <c r="D867" s="1" t="s">
        <v>29</v>
      </c>
      <c r="E867" s="1" t="s">
        <v>23</v>
      </c>
      <c r="F867" s="1">
        <v>775000</v>
      </c>
      <c r="G867" s="1">
        <v>11</v>
      </c>
      <c r="H867" s="1" t="str" cm="1">
        <f t="array" ref="H867">_xlfn.IFS( OR(G867=" ",NOT(ISNUMBER(G867))),"Unknown",G867&lt;=33,"Low Spender",G867&lt;=66,"Medium Spender",TRUE, "High Spender")</f>
        <v>Low Spender</v>
      </c>
      <c r="I867" s="1">
        <v>54</v>
      </c>
      <c r="J867" s="1">
        <v>7400</v>
      </c>
      <c r="K867" s="1">
        <v>288</v>
      </c>
      <c r="L867" s="1" t="s">
        <v>20</v>
      </c>
      <c r="M867" s="1" t="s">
        <v>30</v>
      </c>
      <c r="N867" s="1" t="str">
        <f t="shared" si="26"/>
        <v>Higher</v>
      </c>
      <c r="O867" s="1" t="str">
        <f t="shared" si="27"/>
        <v>Mid Career | Low Spender | Higher</v>
      </c>
    </row>
    <row r="868" spans="1:15" x14ac:dyDescent="0.25">
      <c r="A868" s="1" t="s">
        <v>898</v>
      </c>
      <c r="B868" s="1">
        <v>43</v>
      </c>
      <c r="C868" s="1" t="str" cm="1">
        <f t="array" ref="C868">_xlfn.IFS(OR(B868=" ", B868="NA",NOT(ISNUMBER(B868))), "Unknown",B868&lt;18,"Underage",B868&lt;=24,"Young Adult",B868&lt;=34,"Early Career",B868&lt;=44,"Mid Career",B868&lt;=54,"Mature",B868&lt;=65,"Pre-Senior",B868&gt;65,"Senior")</f>
        <v>Mid Career</v>
      </c>
      <c r="D868" s="1" t="s">
        <v>18</v>
      </c>
      <c r="F868" s="1">
        <v>150000</v>
      </c>
      <c r="G868" s="1">
        <v>70</v>
      </c>
      <c r="H868" s="1" t="str" cm="1">
        <f t="array" ref="H868">_xlfn.IFS( OR(G868=" ",NOT(ISNUMBER(G868))),"Unknown",G868&lt;=33,"Low Spender",G868&lt;=66,"Medium Spender",TRUE, "High Spender")</f>
        <v>High Spender</v>
      </c>
      <c r="I868" s="1">
        <v>3</v>
      </c>
      <c r="J868" s="1">
        <v>3400</v>
      </c>
      <c r="K868" s="1">
        <v>336</v>
      </c>
      <c r="L868" s="1" t="s">
        <v>20</v>
      </c>
      <c r="M868" s="1" t="s">
        <v>21</v>
      </c>
      <c r="N868" s="1" t="str">
        <f t="shared" si="26"/>
        <v>Higher</v>
      </c>
      <c r="O868" s="1" t="str">
        <f t="shared" si="27"/>
        <v>Mid Career | High Spender | Higher</v>
      </c>
    </row>
    <row r="869" spans="1:15" x14ac:dyDescent="0.25">
      <c r="A869" s="1" t="s">
        <v>899</v>
      </c>
      <c r="B869" s="1">
        <v>42</v>
      </c>
      <c r="C869" s="1" t="str" cm="1">
        <f t="array" ref="C869">_xlfn.IFS(OR(B869=" ", B869="NA",NOT(ISNUMBER(B869))), "Unknown",B869&lt;18,"Underage",B869&lt;=24,"Young Adult",B869&lt;=34,"Early Career",B869&lt;=44,"Mid Career",B869&lt;=54,"Mature",B869&lt;=65,"Pre-Senior",B869&gt;65,"Senior")</f>
        <v>Mid Career</v>
      </c>
      <c r="D869" s="1" t="s">
        <v>29</v>
      </c>
      <c r="E869" s="1" t="s">
        <v>19</v>
      </c>
      <c r="F869" s="1">
        <v>225000</v>
      </c>
      <c r="G869" s="1">
        <v>20</v>
      </c>
      <c r="H869" s="1" t="str" cm="1">
        <f t="array" ref="H869">_xlfn.IFS( OR(G869=" ",NOT(ISNUMBER(G869))),"Unknown",G869&lt;=33,"Low Spender",G869&lt;=66,"Medium Spender",TRUE, "High Spender")</f>
        <v>Low Spender</v>
      </c>
      <c r="I869" s="1">
        <v>69</v>
      </c>
      <c r="J869" s="1">
        <v>5700</v>
      </c>
      <c r="K869" s="1">
        <v>245</v>
      </c>
      <c r="L869" s="1" t="s">
        <v>35</v>
      </c>
      <c r="M869" s="1" t="s">
        <v>30</v>
      </c>
      <c r="N869" s="1" t="str">
        <f t="shared" si="26"/>
        <v>Higher</v>
      </c>
      <c r="O869" s="1" t="str">
        <f t="shared" si="27"/>
        <v>Mid Career | Low Spender | Higher</v>
      </c>
    </row>
    <row r="870" spans="1:15" x14ac:dyDescent="0.25">
      <c r="A870" s="1" t="s">
        <v>900</v>
      </c>
      <c r="B870" s="1">
        <v>39</v>
      </c>
      <c r="C870" s="1" t="str" cm="1">
        <f t="array" ref="C870">_xlfn.IFS(OR(B870=" ", B870="NA",NOT(ISNUMBER(B870))), "Unknown",B870&lt;18,"Underage",B870&lt;=24,"Young Adult",B870&lt;=34,"Early Career",B870&lt;=44,"Mid Career",B870&lt;=54,"Mature",B870&lt;=65,"Pre-Senior",B870&gt;65,"Senior")</f>
        <v>Mid Career</v>
      </c>
      <c r="D870" s="1" t="s">
        <v>12</v>
      </c>
      <c r="E870" s="1" t="s">
        <v>34</v>
      </c>
      <c r="F870" s="1">
        <v>1100000</v>
      </c>
      <c r="G870" s="1">
        <v>99</v>
      </c>
      <c r="H870" s="1" t="str" cm="1">
        <f t="array" ref="H870">_xlfn.IFS( OR(G870=" ",NOT(ISNUMBER(G870))),"Unknown",G870&lt;=33,"Low Spender",G870&lt;=66,"Medium Spender",TRUE, "High Spender")</f>
        <v>High Spender</v>
      </c>
      <c r="I870" s="1">
        <v>8</v>
      </c>
      <c r="J870" s="1">
        <v>9900</v>
      </c>
      <c r="K870" s="1">
        <v>177</v>
      </c>
      <c r="N870" s="1" t="str">
        <f t="shared" si="26"/>
        <v>Lower</v>
      </c>
      <c r="O870" s="1" t="str">
        <f t="shared" si="27"/>
        <v>Mid Career | High Spender | Lower</v>
      </c>
    </row>
    <row r="871" spans="1:15" x14ac:dyDescent="0.25">
      <c r="A871" s="1" t="s">
        <v>901</v>
      </c>
      <c r="B871" s="1">
        <v>44</v>
      </c>
      <c r="C871" s="1" t="str" cm="1">
        <f t="array" ref="C871">_xlfn.IFS(OR(B871=" ", B871="NA",NOT(ISNUMBER(B871))), "Unknown",B871&lt;18,"Underage",B871&lt;=24,"Young Adult",B871&lt;=34,"Early Career",B871&lt;=44,"Mid Career",B871&lt;=54,"Mature",B871&lt;=65,"Pre-Senior",B871&gt;65,"Senior")</f>
        <v>Mid Career</v>
      </c>
      <c r="D871" s="1" t="s">
        <v>29</v>
      </c>
      <c r="E871" s="1" t="s">
        <v>23</v>
      </c>
      <c r="F871" s="1">
        <v>1475000</v>
      </c>
      <c r="G871" s="1">
        <v>63</v>
      </c>
      <c r="H871" s="1" t="str" cm="1">
        <f t="array" ref="H871">_xlfn.IFS( OR(G871=" ",NOT(ISNUMBER(G871))),"Unknown",G871&lt;=33,"Low Spender",G871&lt;=66,"Medium Spender",TRUE, "High Spender")</f>
        <v>Medium Spender</v>
      </c>
      <c r="I871" s="1">
        <v>14</v>
      </c>
      <c r="J871" s="1">
        <v>1000</v>
      </c>
      <c r="K871" s="1">
        <v>213</v>
      </c>
      <c r="M871" s="1" t="s">
        <v>32</v>
      </c>
      <c r="N871" s="1" t="str">
        <f t="shared" si="26"/>
        <v>Higher</v>
      </c>
      <c r="O871" s="1" t="str">
        <f t="shared" si="27"/>
        <v>Mid Career | Medium Spender | Higher</v>
      </c>
    </row>
    <row r="872" spans="1:15" x14ac:dyDescent="0.25">
      <c r="A872" s="1" t="s">
        <v>902</v>
      </c>
      <c r="B872" s="1">
        <v>66</v>
      </c>
      <c r="C872" s="1" t="str" cm="1">
        <f t="array" ref="C872">_xlfn.IFS(OR(B872=" ", B872="NA",NOT(ISNUMBER(B872))), "Unknown",B872&lt;18,"Underage",B872&lt;=24,"Young Adult",B872&lt;=34,"Early Career",B872&lt;=44,"Mid Career",B872&lt;=54,"Mature",B872&lt;=65,"Pre-Senior",B872&gt;65,"Senior")</f>
        <v>Senior</v>
      </c>
      <c r="E872" s="1" t="s">
        <v>58</v>
      </c>
      <c r="F872" s="1">
        <v>950000</v>
      </c>
      <c r="H872" s="1" t="str" cm="1">
        <f t="array" ref="H872">_xlfn.IFS( OR(G872=" ",NOT(ISNUMBER(G872))),"Unknown",G872&lt;=33,"Low Spender",G872&lt;=66,"Medium Spender",TRUE, "High Spender")</f>
        <v>Unknown</v>
      </c>
      <c r="I872" s="1">
        <v>3</v>
      </c>
      <c r="J872" s="1">
        <v>4800</v>
      </c>
      <c r="K872" s="1">
        <v>358</v>
      </c>
      <c r="L872" s="1" t="s">
        <v>37</v>
      </c>
      <c r="N872" s="1" t="str">
        <f t="shared" si="26"/>
        <v>Lower</v>
      </c>
      <c r="O872" s="1" t="str">
        <f t="shared" si="27"/>
        <v>Senior | Unknown | Lower</v>
      </c>
    </row>
    <row r="873" spans="1:15" x14ac:dyDescent="0.25">
      <c r="A873" s="1" t="s">
        <v>903</v>
      </c>
      <c r="B873" s="1">
        <v>30</v>
      </c>
      <c r="C873" s="1" t="str" cm="1">
        <f t="array" ref="C873">_xlfn.IFS(OR(B873=" ", B873="NA",NOT(ISNUMBER(B873))), "Unknown",B873&lt;18,"Underage",B873&lt;=24,"Young Adult",B873&lt;=34,"Early Career",B873&lt;=44,"Mid Career",B873&lt;=54,"Mature",B873&lt;=65,"Pre-Senior",B873&gt;65,"Senior")</f>
        <v>Early Career</v>
      </c>
      <c r="D873" s="1" t="s">
        <v>12</v>
      </c>
      <c r="E873" s="1" t="s">
        <v>49</v>
      </c>
      <c r="F873" s="1">
        <v>950000</v>
      </c>
      <c r="G873" s="1">
        <v>90</v>
      </c>
      <c r="H873" s="1" t="str" cm="1">
        <f t="array" ref="H873">_xlfn.IFS( OR(G873=" ",NOT(ISNUMBER(G873))),"Unknown",G873&lt;=33,"Low Spender",G873&lt;=66,"Medium Spender",TRUE, "High Spender")</f>
        <v>High Spender</v>
      </c>
      <c r="I873" s="1">
        <v>24</v>
      </c>
      <c r="J873" s="1">
        <v>1600</v>
      </c>
      <c r="K873" s="1">
        <v>102</v>
      </c>
      <c r="N873" s="1" t="str">
        <f t="shared" si="26"/>
        <v>Lower</v>
      </c>
      <c r="O873" s="1" t="str">
        <f t="shared" si="27"/>
        <v>Early Career | High Spender | Lower</v>
      </c>
    </row>
    <row r="874" spans="1:15" x14ac:dyDescent="0.25">
      <c r="A874" s="1" t="s">
        <v>904</v>
      </c>
      <c r="B874" s="1">
        <v>50</v>
      </c>
      <c r="C874" s="1" t="str" cm="1">
        <f t="array" ref="C874">_xlfn.IFS(OR(B874=" ", B874="NA",NOT(ISNUMBER(B874))), "Unknown",B874&lt;18,"Underage",B874&lt;=24,"Young Adult",B874&lt;=34,"Early Career",B874&lt;=44,"Mid Career",B874&lt;=54,"Mature",B874&lt;=65,"Pre-Senior",B874&gt;65,"Senior")</f>
        <v>Mature</v>
      </c>
      <c r="D874" s="1" t="s">
        <v>12</v>
      </c>
      <c r="F874" s="1">
        <v>1925000</v>
      </c>
      <c r="G874" s="1">
        <v>12</v>
      </c>
      <c r="H874" s="1" t="str" cm="1">
        <f t="array" ref="H874">_xlfn.IFS( OR(G874=" ",NOT(ISNUMBER(G874))),"Unknown",G874&lt;=33,"Low Spender",G874&lt;=66,"Medium Spender",TRUE, "High Spender")</f>
        <v>Low Spender</v>
      </c>
      <c r="I874" s="1">
        <v>13</v>
      </c>
      <c r="J874" s="1">
        <v>10000</v>
      </c>
      <c r="K874" s="1">
        <v>286</v>
      </c>
      <c r="L874" s="1" t="s">
        <v>20</v>
      </c>
      <c r="M874" s="1" t="s">
        <v>21</v>
      </c>
      <c r="N874" s="1" t="str">
        <f t="shared" si="26"/>
        <v>Lower</v>
      </c>
      <c r="O874" s="1" t="str">
        <f t="shared" si="27"/>
        <v>Mature | Low Spender | Lower</v>
      </c>
    </row>
    <row r="875" spans="1:15" x14ac:dyDescent="0.25">
      <c r="A875" s="1" t="s">
        <v>905</v>
      </c>
      <c r="B875" s="1">
        <v>51</v>
      </c>
      <c r="C875" s="1" t="str" cm="1">
        <f t="array" ref="C875">_xlfn.IFS(OR(B875=" ", B875="NA",NOT(ISNUMBER(B875))), "Unknown",B875&lt;18,"Underage",B875&lt;=24,"Young Adult",B875&lt;=34,"Early Career",B875&lt;=44,"Mid Career",B875&lt;=54,"Mature",B875&lt;=65,"Pre-Senior",B875&gt;65,"Senior")</f>
        <v>Mature</v>
      </c>
      <c r="D875" s="1" t="s">
        <v>12</v>
      </c>
      <c r="E875" s="1" t="s">
        <v>34</v>
      </c>
      <c r="F875" s="1">
        <v>625000</v>
      </c>
      <c r="G875" s="1">
        <v>62</v>
      </c>
      <c r="H875" s="1" t="str" cm="1">
        <f t="array" ref="H875">_xlfn.IFS( OR(G875=" ",NOT(ISNUMBER(G875))),"Unknown",G875&lt;=33,"Low Spender",G875&lt;=66,"Medium Spender",TRUE, "High Spender")</f>
        <v>Medium Spender</v>
      </c>
      <c r="I875" s="1">
        <v>43</v>
      </c>
      <c r="J875" s="1">
        <v>1000</v>
      </c>
      <c r="K875" s="1">
        <v>22</v>
      </c>
      <c r="M875" s="1" t="s">
        <v>21</v>
      </c>
      <c r="N875" s="1" t="str">
        <f t="shared" si="26"/>
        <v>Lower</v>
      </c>
      <c r="O875" s="1" t="str">
        <f t="shared" si="27"/>
        <v>Mature | Medium Spender | Lower</v>
      </c>
    </row>
    <row r="876" spans="1:15" x14ac:dyDescent="0.25">
      <c r="A876" s="1" t="s">
        <v>906</v>
      </c>
      <c r="B876" s="1">
        <v>58</v>
      </c>
      <c r="C876" s="1" t="str" cm="1">
        <f t="array" ref="C876">_xlfn.IFS(OR(B876=" ", B876="NA",NOT(ISNUMBER(B876))), "Unknown",B876&lt;18,"Underage",B876&lt;=24,"Young Adult",B876&lt;=34,"Early Career",B876&lt;=44,"Mid Career",B876&lt;=54,"Mature",B876&lt;=65,"Pre-Senior",B876&gt;65,"Senior")</f>
        <v>Pre-Senior</v>
      </c>
      <c r="D876" s="1" t="s">
        <v>18</v>
      </c>
      <c r="F876" s="1">
        <v>525000</v>
      </c>
      <c r="G876" s="1">
        <v>94</v>
      </c>
      <c r="H876" s="1" t="str" cm="1">
        <f t="array" ref="H876">_xlfn.IFS( OR(G876=" ",NOT(ISNUMBER(G876))),"Unknown",G876&lt;=33,"Low Spender",G876&lt;=66,"Medium Spender",TRUE, "High Spender")</f>
        <v>High Spender</v>
      </c>
      <c r="I876" s="1">
        <v>29</v>
      </c>
      <c r="J876" s="1">
        <v>11700</v>
      </c>
      <c r="K876" s="1">
        <v>19</v>
      </c>
      <c r="L876" s="1" t="s">
        <v>35</v>
      </c>
      <c r="N876" s="1" t="str">
        <f t="shared" si="26"/>
        <v>Higher</v>
      </c>
      <c r="O876" s="1" t="str">
        <f t="shared" si="27"/>
        <v>Pre-Senior | High Spender | Higher</v>
      </c>
    </row>
    <row r="877" spans="1:15" x14ac:dyDescent="0.25">
      <c r="A877" s="1" t="s">
        <v>907</v>
      </c>
      <c r="B877" s="1">
        <v>52</v>
      </c>
      <c r="C877" s="1" t="str" cm="1">
        <f t="array" ref="C877">_xlfn.IFS(OR(B877=" ", B877="NA",NOT(ISNUMBER(B877))), "Unknown",B877&lt;18,"Underage",B877&lt;=24,"Young Adult",B877&lt;=34,"Early Career",B877&lt;=44,"Mid Career",B877&lt;=54,"Mature",B877&lt;=65,"Pre-Senior",B877&gt;65,"Senior")</f>
        <v>Mature</v>
      </c>
      <c r="D877" s="1" t="s">
        <v>29</v>
      </c>
      <c r="E877" s="1" t="s">
        <v>27</v>
      </c>
      <c r="F877" s="1">
        <v>650000</v>
      </c>
      <c r="G877" s="1">
        <v>92</v>
      </c>
      <c r="H877" s="1" t="str" cm="1">
        <f t="array" ref="H877">_xlfn.IFS( OR(G877=" ",NOT(ISNUMBER(G877))),"Unknown",G877&lt;=33,"Low Spender",G877&lt;=66,"Medium Spender",TRUE, "High Spender")</f>
        <v>High Spender</v>
      </c>
      <c r="I877" s="1">
        <v>72</v>
      </c>
      <c r="J877" s="1">
        <v>10800</v>
      </c>
      <c r="K877" s="1">
        <v>287</v>
      </c>
      <c r="L877" s="1" t="s">
        <v>35</v>
      </c>
      <c r="M877" s="1" t="s">
        <v>41</v>
      </c>
      <c r="N877" s="1" t="str">
        <f t="shared" si="26"/>
        <v>Higher</v>
      </c>
      <c r="O877" s="1" t="str">
        <f t="shared" si="27"/>
        <v>Mature | High Spender | Higher</v>
      </c>
    </row>
    <row r="878" spans="1:15" x14ac:dyDescent="0.25">
      <c r="A878" s="1" t="s">
        <v>908</v>
      </c>
      <c r="B878" s="1">
        <v>18</v>
      </c>
      <c r="C878" s="1" t="str" cm="1">
        <f t="array" ref="C878">_xlfn.IFS(OR(B878=" ", B878="NA",NOT(ISNUMBER(B878))), "Unknown",B878&lt;18,"Underage",B878&lt;=24,"Young Adult",B878&lt;=34,"Early Career",B878&lt;=44,"Mid Career",B878&lt;=54,"Mature",B878&lt;=65,"Pre-Senior",B878&gt;65,"Senior")</f>
        <v>Young Adult</v>
      </c>
      <c r="E878" s="1" t="s">
        <v>49</v>
      </c>
      <c r="F878" s="1">
        <v>1250000</v>
      </c>
      <c r="G878" s="1">
        <v>91</v>
      </c>
      <c r="H878" s="1" t="str" cm="1">
        <f t="array" ref="H878">_xlfn.IFS( OR(G878=" ",NOT(ISNUMBER(G878))),"Unknown",G878&lt;=33,"Low Spender",G878&lt;=66,"Medium Spender",TRUE, "High Spender")</f>
        <v>High Spender</v>
      </c>
      <c r="I878" s="1">
        <v>51</v>
      </c>
      <c r="J878" s="1">
        <v>7300</v>
      </c>
      <c r="K878" s="1">
        <v>276</v>
      </c>
      <c r="L878" s="1" t="s">
        <v>20</v>
      </c>
      <c r="N878" s="1" t="str">
        <f t="shared" si="26"/>
        <v>Lower</v>
      </c>
      <c r="O878" s="1" t="str">
        <f t="shared" si="27"/>
        <v>Young Adult | High Spender | Lower</v>
      </c>
    </row>
    <row r="879" spans="1:15" x14ac:dyDescent="0.25">
      <c r="A879" s="1" t="s">
        <v>909</v>
      </c>
      <c r="B879" s="1">
        <v>38</v>
      </c>
      <c r="C879" s="1" t="str" cm="1">
        <f t="array" ref="C879">_xlfn.IFS(OR(B879=" ", B879="NA",NOT(ISNUMBER(B879))), "Unknown",B879&lt;18,"Underage",B879&lt;=24,"Young Adult",B879&lt;=34,"Early Career",B879&lt;=44,"Mid Career",B879&lt;=54,"Mature",B879&lt;=65,"Pre-Senior",B879&gt;65,"Senior")</f>
        <v>Mid Career</v>
      </c>
      <c r="D879" s="1" t="s">
        <v>29</v>
      </c>
      <c r="E879" s="1" t="s">
        <v>23</v>
      </c>
      <c r="F879" s="1">
        <v>1675000</v>
      </c>
      <c r="G879" s="1">
        <v>42</v>
      </c>
      <c r="H879" s="1" t="str" cm="1">
        <f t="array" ref="H879">_xlfn.IFS( OR(G879=" ",NOT(ISNUMBER(G879))),"Unknown",G879&lt;=33,"Low Spender",G879&lt;=66,"Medium Spender",TRUE, "High Spender")</f>
        <v>Medium Spender</v>
      </c>
      <c r="I879" s="1">
        <v>42</v>
      </c>
      <c r="J879" s="1">
        <v>7900</v>
      </c>
      <c r="K879" s="1">
        <v>147</v>
      </c>
      <c r="L879" s="1" t="s">
        <v>20</v>
      </c>
      <c r="M879" s="1" t="s">
        <v>21</v>
      </c>
      <c r="N879" s="1" t="str">
        <f t="shared" si="26"/>
        <v>Higher</v>
      </c>
      <c r="O879" s="1" t="str">
        <f t="shared" si="27"/>
        <v>Mid Career | Medium Spender | Higher</v>
      </c>
    </row>
    <row r="880" spans="1:15" x14ac:dyDescent="0.25">
      <c r="A880" s="1" t="s">
        <v>910</v>
      </c>
      <c r="B880" s="1">
        <v>65</v>
      </c>
      <c r="C880" s="1" t="str" cm="1">
        <f t="array" ref="C880">_xlfn.IFS(OR(B880=" ", B880="NA",NOT(ISNUMBER(B880))), "Unknown",B880&lt;18,"Underage",B880&lt;=24,"Young Adult",B880&lt;=34,"Early Career",B880&lt;=44,"Mid Career",B880&lt;=54,"Mature",B880&lt;=65,"Pre-Senior",B880&gt;65,"Senior")</f>
        <v>Pre-Senior</v>
      </c>
      <c r="D880" s="1" t="s">
        <v>18</v>
      </c>
      <c r="E880" s="1" t="s">
        <v>15</v>
      </c>
      <c r="F880" s="1">
        <v>900000</v>
      </c>
      <c r="G880" s="1">
        <v>83</v>
      </c>
      <c r="H880" s="1" t="str" cm="1">
        <f t="array" ref="H880">_xlfn.IFS( OR(G880=" ",NOT(ISNUMBER(G880))),"Unknown",G880&lt;=33,"Low Spender",G880&lt;=66,"Medium Spender",TRUE, "High Spender")</f>
        <v>High Spender</v>
      </c>
      <c r="I880" s="1">
        <v>31</v>
      </c>
      <c r="J880" s="1">
        <v>5600</v>
      </c>
      <c r="K880" s="1">
        <v>40</v>
      </c>
      <c r="L880" s="1" t="s">
        <v>20</v>
      </c>
      <c r="N880" s="1" t="str">
        <f t="shared" si="26"/>
        <v>Higher</v>
      </c>
      <c r="O880" s="1" t="str">
        <f t="shared" si="27"/>
        <v>Pre-Senior | High Spender | Higher</v>
      </c>
    </row>
    <row r="881" spans="1:15" x14ac:dyDescent="0.25">
      <c r="A881" s="1" t="s">
        <v>911</v>
      </c>
      <c r="B881" s="1" t="s">
        <v>73</v>
      </c>
      <c r="C881" s="1" t="str" cm="1">
        <f t="array" ref="C881">_xlfn.IFS(OR(B881=" ", B881="NA",NOT(ISNUMBER(B881))), "Unknown",B881&lt;18,"Underage",B881&lt;=24,"Young Adult",B881&lt;=34,"Early Career",B881&lt;=44,"Mid Career",B881&lt;=54,"Mature",B881&lt;=65,"Pre-Senior",B881&gt;65,"Senior")</f>
        <v>Unknown</v>
      </c>
      <c r="D881" s="1" t="s">
        <v>29</v>
      </c>
      <c r="E881" s="1" t="s">
        <v>34</v>
      </c>
      <c r="F881" s="1">
        <v>1175000</v>
      </c>
      <c r="G881" s="1">
        <v>69</v>
      </c>
      <c r="H881" s="1" t="str" cm="1">
        <f t="array" ref="H881">_xlfn.IFS( OR(G881=" ",NOT(ISNUMBER(G881))),"Unknown",G881&lt;=33,"Low Spender",G881&lt;=66,"Medium Spender",TRUE, "High Spender")</f>
        <v>High Spender</v>
      </c>
      <c r="I881" s="1">
        <v>63</v>
      </c>
      <c r="J881" s="1">
        <v>2300</v>
      </c>
      <c r="K881" s="1">
        <v>167</v>
      </c>
      <c r="N881" s="1" t="str">
        <f t="shared" si="26"/>
        <v>Higher</v>
      </c>
      <c r="O881" s="1" t="str">
        <f t="shared" si="27"/>
        <v>Unknown | High Spender | Higher</v>
      </c>
    </row>
    <row r="882" spans="1:15" x14ac:dyDescent="0.25">
      <c r="A882" s="1" t="s">
        <v>912</v>
      </c>
      <c r="B882" s="1">
        <v>23</v>
      </c>
      <c r="C882" s="1" t="str" cm="1">
        <f t="array" ref="C882">_xlfn.IFS(OR(B882=" ", B882="NA",NOT(ISNUMBER(B882))), "Unknown",B882&lt;18,"Underage",B882&lt;=24,"Young Adult",B882&lt;=34,"Early Career",B882&lt;=44,"Mid Career",B882&lt;=54,"Mature",B882&lt;=65,"Pre-Senior",B882&gt;65,"Senior")</f>
        <v>Young Adult</v>
      </c>
      <c r="D882" s="1" t="s">
        <v>18</v>
      </c>
      <c r="F882" s="1">
        <v>425000</v>
      </c>
      <c r="G882" s="1">
        <v>58</v>
      </c>
      <c r="H882" s="1" t="str" cm="1">
        <f t="array" ref="H882">_xlfn.IFS( OR(G882=" ",NOT(ISNUMBER(G882))),"Unknown",G882&lt;=33,"Low Spender",G882&lt;=66,"Medium Spender",TRUE, "High Spender")</f>
        <v>Medium Spender</v>
      </c>
      <c r="I882" s="1">
        <v>26</v>
      </c>
      <c r="J882" s="1">
        <v>11300</v>
      </c>
      <c r="K882" s="1">
        <v>91</v>
      </c>
      <c r="M882" s="1" t="s">
        <v>21</v>
      </c>
      <c r="N882" s="1" t="str">
        <f t="shared" si="26"/>
        <v>Higher</v>
      </c>
      <c r="O882" s="1" t="str">
        <f t="shared" si="27"/>
        <v>Young Adult | Medium Spender | Higher</v>
      </c>
    </row>
    <row r="883" spans="1:15" x14ac:dyDescent="0.25">
      <c r="A883" s="1" t="s">
        <v>913</v>
      </c>
      <c r="B883" s="1">
        <v>45</v>
      </c>
      <c r="C883" s="1" t="str" cm="1">
        <f t="array" ref="C883">_xlfn.IFS(OR(B883=" ", B883="NA",NOT(ISNUMBER(B883))), "Unknown",B883&lt;18,"Underage",B883&lt;=24,"Young Adult",B883&lt;=34,"Early Career",B883&lt;=44,"Mid Career",B883&lt;=54,"Mature",B883&lt;=65,"Pre-Senior",B883&gt;65,"Senior")</f>
        <v>Mature</v>
      </c>
      <c r="E883" s="1" t="s">
        <v>23</v>
      </c>
      <c r="F883" s="1">
        <v>1750000</v>
      </c>
      <c r="G883" s="1">
        <v>5</v>
      </c>
      <c r="H883" s="1" t="str" cm="1">
        <f t="array" ref="H883">_xlfn.IFS( OR(G883=" ",NOT(ISNUMBER(G883))),"Unknown",G883&lt;=33,"Low Spender",G883&lt;=66,"Medium Spender",TRUE, "High Spender")</f>
        <v>Low Spender</v>
      </c>
      <c r="I883" s="1">
        <v>18</v>
      </c>
      <c r="J883" s="1">
        <v>9800</v>
      </c>
      <c r="K883" s="1">
        <v>72</v>
      </c>
      <c r="L883" s="1" t="s">
        <v>16</v>
      </c>
      <c r="M883" s="1" t="s">
        <v>32</v>
      </c>
      <c r="N883" s="1" t="str">
        <f t="shared" si="26"/>
        <v>Lower</v>
      </c>
      <c r="O883" s="1" t="str">
        <f t="shared" si="27"/>
        <v>Mature | Low Spender | Lower</v>
      </c>
    </row>
    <row r="884" spans="1:15" x14ac:dyDescent="0.25">
      <c r="A884" s="1" t="s">
        <v>914</v>
      </c>
      <c r="B884" s="1">
        <v>34</v>
      </c>
      <c r="C884" s="1" t="str" cm="1">
        <f t="array" ref="C884">_xlfn.IFS(OR(B884=" ", B884="NA",NOT(ISNUMBER(B884))), "Unknown",B884&lt;18,"Underage",B884&lt;=24,"Young Adult",B884&lt;=34,"Early Career",B884&lt;=44,"Mid Career",B884&lt;=54,"Mature",B884&lt;=65,"Pre-Senior",B884&gt;65,"Senior")</f>
        <v>Early Career</v>
      </c>
      <c r="E884" s="1" t="s">
        <v>15</v>
      </c>
      <c r="F884" s="1">
        <v>1950000</v>
      </c>
      <c r="G884" s="1">
        <v>27</v>
      </c>
      <c r="H884" s="1" t="str" cm="1">
        <f t="array" ref="H884">_xlfn.IFS( OR(G884=" ",NOT(ISNUMBER(G884))),"Unknown",G884&lt;=33,"Low Spender",G884&lt;=66,"Medium Spender",TRUE, "High Spender")</f>
        <v>Low Spender</v>
      </c>
      <c r="I884" s="1">
        <v>57</v>
      </c>
      <c r="J884" s="1">
        <v>7700</v>
      </c>
      <c r="M884" s="1" t="s">
        <v>32</v>
      </c>
      <c r="N884" s="1" t="str">
        <f t="shared" si="26"/>
        <v>Lower</v>
      </c>
      <c r="O884" s="1" t="str">
        <f t="shared" si="27"/>
        <v>Early Career | Low Spender | Lower</v>
      </c>
    </row>
    <row r="885" spans="1:15" x14ac:dyDescent="0.25">
      <c r="A885" s="1" t="s">
        <v>915</v>
      </c>
      <c r="B885" s="1">
        <v>22</v>
      </c>
      <c r="C885" s="1" t="str" cm="1">
        <f t="array" ref="C885">_xlfn.IFS(OR(B885=" ", B885="NA",NOT(ISNUMBER(B885))), "Unknown",B885&lt;18,"Underage",B885&lt;=24,"Young Adult",B885&lt;=34,"Early Career",B885&lt;=44,"Mid Career",B885&lt;=54,"Mature",B885&lt;=65,"Pre-Senior",B885&gt;65,"Senior")</f>
        <v>Young Adult</v>
      </c>
      <c r="D885" s="1" t="s">
        <v>29</v>
      </c>
      <c r="E885" s="1" t="s">
        <v>58</v>
      </c>
      <c r="F885" s="1">
        <v>200000</v>
      </c>
      <c r="G885" s="1">
        <v>28</v>
      </c>
      <c r="H885" s="1" t="str" cm="1">
        <f t="array" ref="H885">_xlfn.IFS( OR(G885=" ",NOT(ISNUMBER(G885))),"Unknown",G885&lt;=33,"Low Spender",G885&lt;=66,"Medium Spender",TRUE, "High Spender")</f>
        <v>Low Spender</v>
      </c>
      <c r="I885" s="1">
        <v>7</v>
      </c>
      <c r="J885" s="1">
        <v>1600</v>
      </c>
      <c r="K885" s="1">
        <v>283</v>
      </c>
      <c r="N885" s="1" t="str">
        <f t="shared" si="26"/>
        <v>Higher</v>
      </c>
      <c r="O885" s="1" t="str">
        <f t="shared" si="27"/>
        <v>Young Adult | Low Spender | Higher</v>
      </c>
    </row>
    <row r="886" spans="1:15" x14ac:dyDescent="0.25">
      <c r="A886" s="1" t="s">
        <v>916</v>
      </c>
      <c r="B886" s="1">
        <v>48</v>
      </c>
      <c r="C886" s="1" t="str" cm="1">
        <f t="array" ref="C886">_xlfn.IFS(OR(B886=" ", B886="NA",NOT(ISNUMBER(B886))), "Unknown",B886&lt;18,"Underage",B886&lt;=24,"Young Adult",B886&lt;=34,"Early Career",B886&lt;=44,"Mid Career",B886&lt;=54,"Mature",B886&lt;=65,"Pre-Senior",B886&gt;65,"Senior")</f>
        <v>Mature</v>
      </c>
      <c r="D886" s="1" t="s">
        <v>18</v>
      </c>
      <c r="E886" s="1" t="s">
        <v>58</v>
      </c>
      <c r="F886" s="1">
        <v>350000</v>
      </c>
      <c r="G886" s="1">
        <v>26</v>
      </c>
      <c r="H886" s="1" t="str" cm="1">
        <f t="array" ref="H886">_xlfn.IFS( OR(G886=" ",NOT(ISNUMBER(G886))),"Unknown",G886&lt;=33,"Low Spender",G886&lt;=66,"Medium Spender",TRUE, "High Spender")</f>
        <v>Low Spender</v>
      </c>
      <c r="I886" s="1">
        <v>48</v>
      </c>
      <c r="J886" s="1">
        <v>7700</v>
      </c>
      <c r="K886" s="1">
        <v>335</v>
      </c>
      <c r="L886" s="1" t="s">
        <v>37</v>
      </c>
      <c r="M886" s="1" t="s">
        <v>32</v>
      </c>
      <c r="N886" s="1" t="str">
        <f t="shared" si="26"/>
        <v>Higher</v>
      </c>
      <c r="O886" s="1" t="str">
        <f t="shared" si="27"/>
        <v>Mature | Low Spender | Higher</v>
      </c>
    </row>
    <row r="887" spans="1:15" x14ac:dyDescent="0.25">
      <c r="A887" s="1" t="s">
        <v>917</v>
      </c>
      <c r="B887" s="1">
        <v>22</v>
      </c>
      <c r="C887" s="1" t="str" cm="1">
        <f t="array" ref="C887">_xlfn.IFS(OR(B887=" ", B887="NA",NOT(ISNUMBER(B887))), "Unknown",B887&lt;18,"Underage",B887&lt;=24,"Young Adult",B887&lt;=34,"Early Career",B887&lt;=44,"Mid Career",B887&lt;=54,"Mature",B887&lt;=65,"Pre-Senior",B887&gt;65,"Senior")</f>
        <v>Young Adult</v>
      </c>
      <c r="F887" s="1">
        <v>1400000</v>
      </c>
      <c r="G887" s="1">
        <v>91</v>
      </c>
      <c r="H887" s="1" t="str" cm="1">
        <f t="array" ref="H887">_xlfn.IFS( OR(G887=" ",NOT(ISNUMBER(G887))),"Unknown",G887&lt;=33,"Low Spender",G887&lt;=66,"Medium Spender",TRUE, "High Spender")</f>
        <v>High Spender</v>
      </c>
      <c r="J887" s="1">
        <v>400</v>
      </c>
      <c r="K887" s="1">
        <v>140</v>
      </c>
      <c r="N887" s="1" t="str">
        <f t="shared" si="26"/>
        <v>Lower</v>
      </c>
      <c r="O887" s="1" t="str">
        <f t="shared" si="27"/>
        <v>Young Adult | High Spender | Lower</v>
      </c>
    </row>
    <row r="888" spans="1:15" x14ac:dyDescent="0.25">
      <c r="A888" s="1" t="s">
        <v>918</v>
      </c>
      <c r="B888" s="1">
        <v>55</v>
      </c>
      <c r="C888" s="1" t="str" cm="1">
        <f t="array" ref="C888">_xlfn.IFS(OR(B888=" ", B888="NA",NOT(ISNUMBER(B888))), "Unknown",B888&lt;18,"Underage",B888&lt;=24,"Young Adult",B888&lt;=34,"Early Career",B888&lt;=44,"Mid Career",B888&lt;=54,"Mature",B888&lt;=65,"Pre-Senior",B888&gt;65,"Senior")</f>
        <v>Pre-Senior</v>
      </c>
      <c r="E888" s="1" t="s">
        <v>19</v>
      </c>
      <c r="F888" s="1">
        <v>525000</v>
      </c>
      <c r="G888" s="1">
        <v>49</v>
      </c>
      <c r="H888" s="1" t="str" cm="1">
        <f t="array" ref="H888">_xlfn.IFS( OR(G888=" ",NOT(ISNUMBER(G888))),"Unknown",G888&lt;=33,"Low Spender",G888&lt;=66,"Medium Spender",TRUE, "High Spender")</f>
        <v>Medium Spender</v>
      </c>
      <c r="I888" s="1">
        <v>60</v>
      </c>
      <c r="J888" s="1">
        <v>10000</v>
      </c>
      <c r="K888" s="1">
        <v>239</v>
      </c>
      <c r="L888" s="1" t="s">
        <v>16</v>
      </c>
      <c r="N888" s="1" t="str">
        <f t="shared" si="26"/>
        <v>Lower</v>
      </c>
      <c r="O888" s="1" t="str">
        <f t="shared" si="27"/>
        <v>Pre-Senior | Medium Spender | Lower</v>
      </c>
    </row>
    <row r="889" spans="1:15" x14ac:dyDescent="0.25">
      <c r="A889" s="1" t="s">
        <v>919</v>
      </c>
      <c r="B889" s="1">
        <v>20</v>
      </c>
      <c r="C889" s="1" t="str" cm="1">
        <f t="array" ref="C889">_xlfn.IFS(OR(B889=" ", B889="NA",NOT(ISNUMBER(B889))), "Unknown",B889&lt;18,"Underage",B889&lt;=24,"Young Adult",B889&lt;=34,"Early Career",B889&lt;=44,"Mid Career",B889&lt;=54,"Mature",B889&lt;=65,"Pre-Senior",B889&gt;65,"Senior")</f>
        <v>Young Adult</v>
      </c>
      <c r="D889" s="1" t="s">
        <v>18</v>
      </c>
      <c r="E889" s="1" t="s">
        <v>27</v>
      </c>
      <c r="F889" s="1">
        <v>200000</v>
      </c>
      <c r="G889" s="1">
        <v>21</v>
      </c>
      <c r="H889" s="1" t="str" cm="1">
        <f t="array" ref="H889">_xlfn.IFS( OR(G889=" ",NOT(ISNUMBER(G889))),"Unknown",G889&lt;=33,"Low Spender",G889&lt;=66,"Medium Spender",TRUE, "High Spender")</f>
        <v>Low Spender</v>
      </c>
      <c r="I889" s="1">
        <v>33</v>
      </c>
      <c r="J889" s="1">
        <v>6300</v>
      </c>
      <c r="K889" s="1">
        <v>78</v>
      </c>
      <c r="L889" s="1" t="s">
        <v>16</v>
      </c>
      <c r="M889" s="1" t="s">
        <v>21</v>
      </c>
      <c r="N889" s="1" t="str">
        <f t="shared" si="26"/>
        <v>Higher</v>
      </c>
      <c r="O889" s="1" t="str">
        <f t="shared" si="27"/>
        <v>Young Adult | Low Spender | Higher</v>
      </c>
    </row>
    <row r="890" spans="1:15" x14ac:dyDescent="0.25">
      <c r="A890" s="1" t="s">
        <v>920</v>
      </c>
      <c r="C890" s="1" t="str" cm="1">
        <f t="array" ref="C890">_xlfn.IFS(OR(B890=" ", B890="NA",NOT(ISNUMBER(B890))), "Unknown",B890&lt;18,"Underage",B890&lt;=24,"Young Adult",B890&lt;=34,"Early Career",B890&lt;=44,"Mid Career",B890&lt;=54,"Mature",B890&lt;=65,"Pre-Senior",B890&gt;65,"Senior")</f>
        <v>Unknown</v>
      </c>
      <c r="E890" s="1" t="s">
        <v>19</v>
      </c>
      <c r="F890" s="1">
        <v>725000</v>
      </c>
      <c r="G890" s="1">
        <v>1</v>
      </c>
      <c r="H890" s="1" t="str" cm="1">
        <f t="array" ref="H890">_xlfn.IFS( OR(G890=" ",NOT(ISNUMBER(G890))),"Unknown",G890&lt;=33,"Low Spender",G890&lt;=66,"Medium Spender",TRUE, "High Spender")</f>
        <v>Low Spender</v>
      </c>
      <c r="I890" s="1">
        <v>3</v>
      </c>
      <c r="J890" s="1">
        <v>11000</v>
      </c>
      <c r="K890" s="1">
        <v>199</v>
      </c>
      <c r="L890" s="1" t="s">
        <v>35</v>
      </c>
      <c r="N890" s="1" t="str">
        <f t="shared" si="26"/>
        <v>Lower</v>
      </c>
      <c r="O890" s="1" t="str">
        <f t="shared" si="27"/>
        <v>Unknown | Low Spender | Lower</v>
      </c>
    </row>
    <row r="891" spans="1:15" x14ac:dyDescent="0.25">
      <c r="A891" s="1" t="s">
        <v>921</v>
      </c>
      <c r="B891" s="1">
        <v>40</v>
      </c>
      <c r="C891" s="1" t="str" cm="1">
        <f t="array" ref="C891">_xlfn.IFS(OR(B891=" ", B891="NA",NOT(ISNUMBER(B891))), "Unknown",B891&lt;18,"Underage",B891&lt;=24,"Young Adult",B891&lt;=34,"Early Career",B891&lt;=44,"Mid Career",B891&lt;=54,"Mature",B891&lt;=65,"Pre-Senior",B891&gt;65,"Senior")</f>
        <v>Mid Career</v>
      </c>
      <c r="E891" s="1" t="s">
        <v>27</v>
      </c>
      <c r="F891" s="1">
        <v>1950000</v>
      </c>
      <c r="G891" s="1">
        <v>92</v>
      </c>
      <c r="H891" s="1" t="str" cm="1">
        <f t="array" ref="H891">_xlfn.IFS( OR(G891=" ",NOT(ISNUMBER(G891))),"Unknown",G891&lt;=33,"Low Spender",G891&lt;=66,"Medium Spender",TRUE, "High Spender")</f>
        <v>High Spender</v>
      </c>
      <c r="I891" s="1">
        <v>4</v>
      </c>
      <c r="J891" s="1">
        <v>11300</v>
      </c>
      <c r="K891" s="1">
        <v>17</v>
      </c>
      <c r="M891" s="1" t="s">
        <v>32</v>
      </c>
      <c r="N891" s="1" t="str">
        <f t="shared" si="26"/>
        <v>Lower</v>
      </c>
      <c r="O891" s="1" t="str">
        <f t="shared" si="27"/>
        <v>Mid Career | High Spender | Lower</v>
      </c>
    </row>
    <row r="892" spans="1:15" x14ac:dyDescent="0.25">
      <c r="A892" s="1" t="s">
        <v>922</v>
      </c>
      <c r="B892" s="1">
        <v>54</v>
      </c>
      <c r="C892" s="1" t="str" cm="1">
        <f t="array" ref="C892">_xlfn.IFS(OR(B892=" ", B892="NA",NOT(ISNUMBER(B892))), "Unknown",B892&lt;18,"Underage",B892&lt;=24,"Young Adult",B892&lt;=34,"Early Career",B892&lt;=44,"Mid Career",B892&lt;=54,"Mature",B892&lt;=65,"Pre-Senior",B892&gt;65,"Senior")</f>
        <v>Mature</v>
      </c>
      <c r="E892" s="1" t="s">
        <v>34</v>
      </c>
      <c r="F892" s="1">
        <v>450000</v>
      </c>
      <c r="G892" s="1">
        <v>58</v>
      </c>
      <c r="H892" s="1" t="str" cm="1">
        <f t="array" ref="H892">_xlfn.IFS( OR(G892=" ",NOT(ISNUMBER(G892))),"Unknown",G892&lt;=33,"Low Spender",G892&lt;=66,"Medium Spender",TRUE, "High Spender")</f>
        <v>Medium Spender</v>
      </c>
      <c r="I892" s="1">
        <v>4</v>
      </c>
      <c r="J892" s="1">
        <v>1900</v>
      </c>
      <c r="K892" s="1">
        <v>218</v>
      </c>
      <c r="L892" s="1" t="s">
        <v>16</v>
      </c>
      <c r="M892" s="1" t="s">
        <v>32</v>
      </c>
      <c r="N892" s="1" t="str">
        <f t="shared" si="26"/>
        <v>Lower</v>
      </c>
      <c r="O892" s="1" t="str">
        <f t="shared" si="27"/>
        <v>Mature | Medium Spender | Lower</v>
      </c>
    </row>
    <row r="893" spans="1:15" x14ac:dyDescent="0.25">
      <c r="A893" s="1" t="s">
        <v>923</v>
      </c>
      <c r="C893" s="1" t="str" cm="1">
        <f t="array" ref="C893">_xlfn.IFS(OR(B893=" ", B893="NA",NOT(ISNUMBER(B893))), "Unknown",B893&lt;18,"Underage",B893&lt;=24,"Young Adult",B893&lt;=34,"Early Career",B893&lt;=44,"Mid Career",B893&lt;=54,"Mature",B893&lt;=65,"Pre-Senior",B893&gt;65,"Senior")</f>
        <v>Unknown</v>
      </c>
      <c r="D893" s="1" t="s">
        <v>29</v>
      </c>
      <c r="E893" s="1" t="s">
        <v>13</v>
      </c>
      <c r="F893" s="1">
        <v>175000</v>
      </c>
      <c r="G893" s="1">
        <v>79</v>
      </c>
      <c r="H893" s="1" t="str" cm="1">
        <f t="array" ref="H893">_xlfn.IFS( OR(G893=" ",NOT(ISNUMBER(G893))),"Unknown",G893&lt;=33,"Low Spender",G893&lt;=66,"Medium Spender",TRUE, "High Spender")</f>
        <v>High Spender</v>
      </c>
      <c r="I893" s="1">
        <v>42</v>
      </c>
      <c r="J893" s="1">
        <v>8000</v>
      </c>
      <c r="K893" s="1">
        <v>229</v>
      </c>
      <c r="L893" s="1" t="s">
        <v>35</v>
      </c>
      <c r="M893" s="1" t="s">
        <v>30</v>
      </c>
      <c r="N893" s="1" t="str">
        <f t="shared" si="26"/>
        <v>Higher</v>
      </c>
      <c r="O893" s="1" t="str">
        <f t="shared" si="27"/>
        <v>Unknown | High Spender | Higher</v>
      </c>
    </row>
    <row r="894" spans="1:15" x14ac:dyDescent="0.25">
      <c r="A894" s="1" t="s">
        <v>924</v>
      </c>
      <c r="B894" s="1">
        <v>54</v>
      </c>
      <c r="C894" s="1" t="str" cm="1">
        <f t="array" ref="C894">_xlfn.IFS(OR(B894=" ", B894="NA",NOT(ISNUMBER(B894))), "Unknown",B894&lt;18,"Underage",B894&lt;=24,"Young Adult",B894&lt;=34,"Early Career",B894&lt;=44,"Mid Career",B894&lt;=54,"Mature",B894&lt;=65,"Pre-Senior",B894&gt;65,"Senior")</f>
        <v>Mature</v>
      </c>
      <c r="D894" s="1" t="s">
        <v>29</v>
      </c>
      <c r="F894" s="1">
        <v>1900000</v>
      </c>
      <c r="G894" s="1">
        <v>55</v>
      </c>
      <c r="H894" s="1" t="str" cm="1">
        <f t="array" ref="H894">_xlfn.IFS( OR(G894=" ",NOT(ISNUMBER(G894))),"Unknown",G894&lt;=33,"Low Spender",G894&lt;=66,"Medium Spender",TRUE, "High Spender")</f>
        <v>Medium Spender</v>
      </c>
      <c r="I894" s="1">
        <v>9</v>
      </c>
      <c r="J894" s="1">
        <v>9100</v>
      </c>
      <c r="K894" s="1">
        <v>340</v>
      </c>
      <c r="L894" s="1" t="s">
        <v>37</v>
      </c>
      <c r="M894" s="1" t="s">
        <v>30</v>
      </c>
      <c r="N894" s="1" t="str">
        <f t="shared" si="26"/>
        <v>Higher</v>
      </c>
      <c r="O894" s="1" t="str">
        <f t="shared" si="27"/>
        <v>Mature | Medium Spender | Higher</v>
      </c>
    </row>
    <row r="895" spans="1:15" x14ac:dyDescent="0.25">
      <c r="A895" s="1" t="s">
        <v>925</v>
      </c>
      <c r="B895" s="1">
        <v>27</v>
      </c>
      <c r="C895" s="1" t="str" cm="1">
        <f t="array" ref="C895">_xlfn.IFS(OR(B895=" ", B895="NA",NOT(ISNUMBER(B895))), "Unknown",B895&lt;18,"Underage",B895&lt;=24,"Young Adult",B895&lt;=34,"Early Career",B895&lt;=44,"Mid Career",B895&lt;=54,"Mature",B895&lt;=65,"Pre-Senior",B895&gt;65,"Senior")</f>
        <v>Early Career</v>
      </c>
      <c r="D895" s="1" t="s">
        <v>29</v>
      </c>
      <c r="F895" s="1">
        <v>650000</v>
      </c>
      <c r="G895" s="1">
        <v>81</v>
      </c>
      <c r="H895" s="1" t="str" cm="1">
        <f t="array" ref="H895">_xlfn.IFS( OR(G895=" ",NOT(ISNUMBER(G895))),"Unknown",G895&lt;=33,"Low Spender",G895&lt;=66,"Medium Spender",TRUE, "High Spender")</f>
        <v>High Spender</v>
      </c>
      <c r="I895" s="1">
        <v>51</v>
      </c>
      <c r="J895" s="1">
        <v>5000</v>
      </c>
      <c r="K895" s="1">
        <v>138</v>
      </c>
      <c r="L895" s="1" t="s">
        <v>35</v>
      </c>
      <c r="M895" s="1" t="s">
        <v>32</v>
      </c>
      <c r="N895" s="1" t="str">
        <f t="shared" si="26"/>
        <v>Higher</v>
      </c>
      <c r="O895" s="1" t="str">
        <f t="shared" si="27"/>
        <v>Early Career | High Spender | Higher</v>
      </c>
    </row>
    <row r="896" spans="1:15" x14ac:dyDescent="0.25">
      <c r="A896" s="1" t="s">
        <v>926</v>
      </c>
      <c r="B896" s="1">
        <v>27</v>
      </c>
      <c r="C896" s="1" t="str" cm="1">
        <f t="array" ref="C896">_xlfn.IFS(OR(B896=" ", B896="NA",NOT(ISNUMBER(B896))), "Unknown",B896&lt;18,"Underage",B896&lt;=24,"Young Adult",B896&lt;=34,"Early Career",B896&lt;=44,"Mid Career",B896&lt;=54,"Mature",B896&lt;=65,"Pre-Senior",B896&gt;65,"Senior")</f>
        <v>Early Career</v>
      </c>
      <c r="F896" s="1">
        <v>600000</v>
      </c>
      <c r="G896" s="1">
        <v>26</v>
      </c>
      <c r="H896" s="1" t="str" cm="1">
        <f t="array" ref="H896">_xlfn.IFS( OR(G896=" ",NOT(ISNUMBER(G896))),"Unknown",G896&lt;=33,"Low Spender",G896&lt;=66,"Medium Spender",TRUE, "High Spender")</f>
        <v>Low Spender</v>
      </c>
      <c r="I896" s="1">
        <v>17</v>
      </c>
      <c r="J896" s="1">
        <v>9300</v>
      </c>
      <c r="K896" s="1">
        <v>147</v>
      </c>
      <c r="L896" s="1" t="s">
        <v>37</v>
      </c>
      <c r="N896" s="1" t="str">
        <f t="shared" si="26"/>
        <v>Lower</v>
      </c>
      <c r="O896" s="1" t="str">
        <f t="shared" si="27"/>
        <v>Early Career | Low Spender | Lower</v>
      </c>
    </row>
    <row r="897" spans="1:15" x14ac:dyDescent="0.25">
      <c r="A897" s="1" t="s">
        <v>927</v>
      </c>
      <c r="B897" s="1">
        <v>36</v>
      </c>
      <c r="C897" s="1" t="str" cm="1">
        <f t="array" ref="C897">_xlfn.IFS(OR(B897=" ", B897="NA",NOT(ISNUMBER(B897))), "Unknown",B897&lt;18,"Underage",B897&lt;=24,"Young Adult",B897&lt;=34,"Early Career",B897&lt;=44,"Mid Career",B897&lt;=54,"Mature",B897&lt;=65,"Pre-Senior",B897&gt;65,"Senior")</f>
        <v>Mid Career</v>
      </c>
      <c r="D897" s="1" t="s">
        <v>18</v>
      </c>
      <c r="E897" s="1" t="s">
        <v>49</v>
      </c>
      <c r="F897" s="1">
        <v>1300000</v>
      </c>
      <c r="G897" s="1">
        <v>84</v>
      </c>
      <c r="H897" s="1" t="str" cm="1">
        <f t="array" ref="H897">_xlfn.IFS( OR(G897=" ",NOT(ISNUMBER(G897))),"Unknown",G897&lt;=33,"Low Spender",G897&lt;=66,"Medium Spender",TRUE, "High Spender")</f>
        <v>High Spender</v>
      </c>
      <c r="I897" s="1">
        <v>17</v>
      </c>
      <c r="J897" s="1">
        <v>1000</v>
      </c>
      <c r="K897" s="1">
        <v>210</v>
      </c>
      <c r="M897" s="1" t="s">
        <v>41</v>
      </c>
      <c r="N897" s="1" t="str">
        <f t="shared" si="26"/>
        <v>Higher</v>
      </c>
      <c r="O897" s="1" t="str">
        <f t="shared" si="27"/>
        <v>Mid Career | High Spender | Higher</v>
      </c>
    </row>
    <row r="898" spans="1:15" x14ac:dyDescent="0.25">
      <c r="A898" s="1" t="s">
        <v>928</v>
      </c>
      <c r="B898" s="1">
        <v>34</v>
      </c>
      <c r="C898" s="1" t="str" cm="1">
        <f t="array" ref="C898">_xlfn.IFS(OR(B898=" ", B898="NA",NOT(ISNUMBER(B898))), "Unknown",B898&lt;18,"Underage",B898&lt;=24,"Young Adult",B898&lt;=34,"Early Career",B898&lt;=44,"Mid Career",B898&lt;=54,"Mature",B898&lt;=65,"Pre-Senior",B898&gt;65,"Senior")</f>
        <v>Early Career</v>
      </c>
      <c r="D898" s="1" t="s">
        <v>12</v>
      </c>
      <c r="E898" s="1" t="s">
        <v>15</v>
      </c>
      <c r="F898" s="1">
        <v>675000</v>
      </c>
      <c r="G898" s="1">
        <v>25</v>
      </c>
      <c r="H898" s="1" t="str" cm="1">
        <f t="array" ref="H898">_xlfn.IFS( OR(G898=" ",NOT(ISNUMBER(G898))),"Unknown",G898&lt;=33,"Low Spender",G898&lt;=66,"Medium Spender",TRUE, "High Spender")</f>
        <v>Low Spender</v>
      </c>
      <c r="I898" s="1">
        <v>20</v>
      </c>
      <c r="J898" s="1">
        <v>5800</v>
      </c>
      <c r="K898" s="1">
        <v>158</v>
      </c>
      <c r="N898" s="1" t="str">
        <f t="shared" ref="N898:N961" si="28">IF(OR(UPPER(TRIM(D898))="Male",UPPER(TRIM(D898))="Female"),"Higher","Lower")</f>
        <v>Lower</v>
      </c>
      <c r="O898" s="1" t="str">
        <f t="shared" ref="O898:O961" si="29">_xlfn.TEXTJOIN(" | ", TRUE, C898, H898, N898)</f>
        <v>Early Career | Low Spender | Lower</v>
      </c>
    </row>
    <row r="899" spans="1:15" x14ac:dyDescent="0.25">
      <c r="A899" s="1" t="s">
        <v>929</v>
      </c>
      <c r="B899" s="1">
        <v>38</v>
      </c>
      <c r="C899" s="1" t="str" cm="1">
        <f t="array" ref="C899">_xlfn.IFS(OR(B899=" ", B899="NA",NOT(ISNUMBER(B899))), "Unknown",B899&lt;18,"Underage",B899&lt;=24,"Young Adult",B899&lt;=34,"Early Career",B899&lt;=44,"Mid Career",B899&lt;=54,"Mature",B899&lt;=65,"Pre-Senior",B899&gt;65,"Senior")</f>
        <v>Mid Career</v>
      </c>
      <c r="D899" s="1" t="s">
        <v>12</v>
      </c>
      <c r="E899" s="1" t="s">
        <v>49</v>
      </c>
      <c r="G899" s="1">
        <v>77</v>
      </c>
      <c r="H899" s="1" t="str" cm="1">
        <f t="array" ref="H899">_xlfn.IFS( OR(G899=" ",NOT(ISNUMBER(G899))),"Unknown",G899&lt;=33,"Low Spender",G899&lt;=66,"Medium Spender",TRUE, "High Spender")</f>
        <v>High Spender</v>
      </c>
      <c r="I899" s="1">
        <v>14</v>
      </c>
      <c r="J899" s="1">
        <v>1900</v>
      </c>
      <c r="K899" s="1">
        <v>153</v>
      </c>
      <c r="L899" s="1" t="s">
        <v>20</v>
      </c>
      <c r="M899" s="1" t="s">
        <v>30</v>
      </c>
      <c r="N899" s="1" t="str">
        <f t="shared" si="28"/>
        <v>Lower</v>
      </c>
      <c r="O899" s="1" t="str">
        <f t="shared" si="29"/>
        <v>Mid Career | High Spender | Lower</v>
      </c>
    </row>
    <row r="900" spans="1:15" x14ac:dyDescent="0.25">
      <c r="A900" s="1" t="s">
        <v>930</v>
      </c>
      <c r="B900" s="1">
        <v>31</v>
      </c>
      <c r="C900" s="1" t="str" cm="1">
        <f t="array" ref="C900">_xlfn.IFS(OR(B900=" ", B900="NA",NOT(ISNUMBER(B900))), "Unknown",B900&lt;18,"Underage",B900&lt;=24,"Young Adult",B900&lt;=34,"Early Career",B900&lt;=44,"Mid Career",B900&lt;=54,"Mature",B900&lt;=65,"Pre-Senior",B900&gt;65,"Senior")</f>
        <v>Early Career</v>
      </c>
      <c r="D900" s="1" t="s">
        <v>18</v>
      </c>
      <c r="E900" s="1" t="s">
        <v>58</v>
      </c>
      <c r="F900" s="1">
        <v>950000</v>
      </c>
      <c r="G900" s="1">
        <v>33</v>
      </c>
      <c r="H900" s="1" t="str" cm="1">
        <f t="array" ref="H900">_xlfn.IFS( OR(G900=" ",NOT(ISNUMBER(G900))),"Unknown",G900&lt;=33,"Low Spender",G900&lt;=66,"Medium Spender",TRUE, "High Spender")</f>
        <v>Low Spender</v>
      </c>
      <c r="I900" s="1">
        <v>22</v>
      </c>
      <c r="J900" s="1">
        <v>7100</v>
      </c>
      <c r="K900" s="1">
        <v>344</v>
      </c>
      <c r="L900" s="1" t="s">
        <v>20</v>
      </c>
      <c r="N900" s="1" t="str">
        <f t="shared" si="28"/>
        <v>Higher</v>
      </c>
      <c r="O900" s="1" t="str">
        <f t="shared" si="29"/>
        <v>Early Career | Low Spender | Higher</v>
      </c>
    </row>
    <row r="901" spans="1:15" x14ac:dyDescent="0.25">
      <c r="A901" s="1" t="s">
        <v>931</v>
      </c>
      <c r="B901" s="1">
        <v>26</v>
      </c>
      <c r="C901" s="1" t="str" cm="1">
        <f t="array" ref="C901">_xlfn.IFS(OR(B901=" ", B901="NA",NOT(ISNUMBER(B901))), "Unknown",B901&lt;18,"Underage",B901&lt;=24,"Young Adult",B901&lt;=34,"Early Career",B901&lt;=44,"Mid Career",B901&lt;=54,"Mature",B901&lt;=65,"Pre-Senior",B901&gt;65,"Senior")</f>
        <v>Early Career</v>
      </c>
      <c r="D901" s="1" t="s">
        <v>12</v>
      </c>
      <c r="E901" s="1" t="s">
        <v>27</v>
      </c>
      <c r="F901" s="1">
        <v>925000</v>
      </c>
      <c r="G901" s="1">
        <v>89</v>
      </c>
      <c r="H901" s="1" t="str" cm="1">
        <f t="array" ref="H901">_xlfn.IFS( OR(G901=" ",NOT(ISNUMBER(G901))),"Unknown",G901&lt;=33,"Low Spender",G901&lt;=66,"Medium Spender",TRUE, "High Spender")</f>
        <v>High Spender</v>
      </c>
      <c r="I901" s="1">
        <v>52</v>
      </c>
      <c r="J901" s="1">
        <v>1400</v>
      </c>
      <c r="K901" s="1">
        <v>330</v>
      </c>
      <c r="L901" s="1" t="s">
        <v>35</v>
      </c>
      <c r="M901" s="1" t="s">
        <v>30</v>
      </c>
      <c r="N901" s="1" t="str">
        <f t="shared" si="28"/>
        <v>Lower</v>
      </c>
      <c r="O901" s="1" t="str">
        <f t="shared" si="29"/>
        <v>Early Career | High Spender | Lower</v>
      </c>
    </row>
    <row r="902" spans="1:15" x14ac:dyDescent="0.25">
      <c r="A902" s="1" t="s">
        <v>932</v>
      </c>
      <c r="B902" s="1">
        <v>63</v>
      </c>
      <c r="C902" s="1" t="str" cm="1">
        <f t="array" ref="C902">_xlfn.IFS(OR(B902=" ", B902="NA",NOT(ISNUMBER(B902))), "Unknown",B902&lt;18,"Underage",B902&lt;=24,"Young Adult",B902&lt;=34,"Early Career",B902&lt;=44,"Mid Career",B902&lt;=54,"Mature",B902&lt;=65,"Pre-Senior",B902&gt;65,"Senior")</f>
        <v>Pre-Senior</v>
      </c>
      <c r="D902" s="1" t="s">
        <v>12</v>
      </c>
      <c r="E902" s="1" t="s">
        <v>15</v>
      </c>
      <c r="F902" s="1">
        <v>1725000</v>
      </c>
      <c r="G902" s="1">
        <v>72</v>
      </c>
      <c r="H902" s="1" t="str" cm="1">
        <f t="array" ref="H902">_xlfn.IFS( OR(G902=" ",NOT(ISNUMBER(G902))),"Unknown",G902&lt;=33,"Low Spender",G902&lt;=66,"Medium Spender",TRUE, "High Spender")</f>
        <v>High Spender</v>
      </c>
      <c r="I902" s="1">
        <v>27</v>
      </c>
      <c r="J902" s="1">
        <v>4000</v>
      </c>
      <c r="K902" s="1">
        <v>358</v>
      </c>
      <c r="L902" s="1" t="s">
        <v>20</v>
      </c>
      <c r="M902" s="1" t="s">
        <v>21</v>
      </c>
      <c r="N902" s="1" t="str">
        <f t="shared" si="28"/>
        <v>Lower</v>
      </c>
      <c r="O902" s="1" t="str">
        <f t="shared" si="29"/>
        <v>Pre-Senior | High Spender | Lower</v>
      </c>
    </row>
    <row r="903" spans="1:15" x14ac:dyDescent="0.25">
      <c r="A903" s="1" t="s">
        <v>933</v>
      </c>
      <c r="B903" s="1">
        <v>18</v>
      </c>
      <c r="C903" s="1" t="str" cm="1">
        <f t="array" ref="C903">_xlfn.IFS(OR(B903=" ", B903="NA",NOT(ISNUMBER(B903))), "Unknown",B903&lt;18,"Underage",B903&lt;=24,"Young Adult",B903&lt;=34,"Early Career",B903&lt;=44,"Mid Career",B903&lt;=54,"Mature",B903&lt;=65,"Pre-Senior",B903&gt;65,"Senior")</f>
        <v>Young Adult</v>
      </c>
      <c r="D903" s="1" t="s">
        <v>29</v>
      </c>
      <c r="E903" s="1" t="s">
        <v>58</v>
      </c>
      <c r="F903" s="1">
        <v>1100000</v>
      </c>
      <c r="G903" s="1">
        <v>69</v>
      </c>
      <c r="H903" s="1" t="str" cm="1">
        <f t="array" ref="H903">_xlfn.IFS( OR(G903=" ",NOT(ISNUMBER(G903))),"Unknown",G903&lt;=33,"Low Spender",G903&lt;=66,"Medium Spender",TRUE, "High Spender")</f>
        <v>High Spender</v>
      </c>
      <c r="I903" s="1">
        <v>43</v>
      </c>
      <c r="J903" s="1">
        <v>2000</v>
      </c>
      <c r="K903" s="1">
        <v>352</v>
      </c>
      <c r="M903" s="1" t="s">
        <v>21</v>
      </c>
      <c r="N903" s="1" t="str">
        <f t="shared" si="28"/>
        <v>Higher</v>
      </c>
      <c r="O903" s="1" t="str">
        <f t="shared" si="29"/>
        <v>Young Adult | High Spender | Higher</v>
      </c>
    </row>
    <row r="904" spans="1:15" x14ac:dyDescent="0.25">
      <c r="A904" s="1" t="s">
        <v>934</v>
      </c>
      <c r="B904" s="1">
        <v>68</v>
      </c>
      <c r="C904" s="1" t="str" cm="1">
        <f t="array" ref="C904">_xlfn.IFS(OR(B904=" ", B904="NA",NOT(ISNUMBER(B904))), "Unknown",B904&lt;18,"Underage",B904&lt;=24,"Young Adult",B904&lt;=34,"Early Career",B904&lt;=44,"Mid Career",B904&lt;=54,"Mature",B904&lt;=65,"Pre-Senior",B904&gt;65,"Senior")</f>
        <v>Senior</v>
      </c>
      <c r="D904" s="1" t="s">
        <v>29</v>
      </c>
      <c r="E904" s="1" t="s">
        <v>15</v>
      </c>
      <c r="F904" s="1">
        <v>1925000</v>
      </c>
      <c r="G904" s="1">
        <v>6</v>
      </c>
      <c r="H904" s="1" t="str" cm="1">
        <f t="array" ref="H904">_xlfn.IFS( OR(G904=" ",NOT(ISNUMBER(G904))),"Unknown",G904&lt;=33,"Low Spender",G904&lt;=66,"Medium Spender",TRUE, "High Spender")</f>
        <v>Low Spender</v>
      </c>
      <c r="I904" s="1">
        <v>3</v>
      </c>
      <c r="J904" s="1">
        <v>2800</v>
      </c>
      <c r="K904" s="1">
        <v>163</v>
      </c>
      <c r="L904" s="1" t="s">
        <v>35</v>
      </c>
      <c r="M904" s="1" t="s">
        <v>32</v>
      </c>
      <c r="N904" s="1" t="str">
        <f t="shared" si="28"/>
        <v>Higher</v>
      </c>
      <c r="O904" s="1" t="str">
        <f t="shared" si="29"/>
        <v>Senior | Low Spender | Higher</v>
      </c>
    </row>
    <row r="905" spans="1:15" x14ac:dyDescent="0.25">
      <c r="A905" s="1" t="s">
        <v>935</v>
      </c>
      <c r="B905" s="1">
        <v>62</v>
      </c>
      <c r="C905" s="1" t="str" cm="1">
        <f t="array" ref="C905">_xlfn.IFS(OR(B905=" ", B905="NA",NOT(ISNUMBER(B905))), "Unknown",B905&lt;18,"Underage",B905&lt;=24,"Young Adult",B905&lt;=34,"Early Career",B905&lt;=44,"Mid Career",B905&lt;=54,"Mature",B905&lt;=65,"Pre-Senior",B905&gt;65,"Senior")</f>
        <v>Pre-Senior</v>
      </c>
      <c r="E905" s="1" t="s">
        <v>19</v>
      </c>
      <c r="F905" s="1">
        <v>1175000</v>
      </c>
      <c r="G905" s="1">
        <v>23</v>
      </c>
      <c r="H905" s="1" t="str" cm="1">
        <f t="array" ref="H905">_xlfn.IFS( OR(G905=" ",NOT(ISNUMBER(G905))),"Unknown",G905&lt;=33,"Low Spender",G905&lt;=66,"Medium Spender",TRUE, "High Spender")</f>
        <v>Low Spender</v>
      </c>
      <c r="I905" s="1">
        <v>8</v>
      </c>
      <c r="J905" s="1">
        <v>9700</v>
      </c>
      <c r="K905" s="1">
        <v>307</v>
      </c>
      <c r="L905" s="1" t="s">
        <v>16</v>
      </c>
      <c r="M905" s="1" t="s">
        <v>21</v>
      </c>
      <c r="N905" s="1" t="str">
        <f t="shared" si="28"/>
        <v>Lower</v>
      </c>
      <c r="O905" s="1" t="str">
        <f t="shared" si="29"/>
        <v>Pre-Senior | Low Spender | Lower</v>
      </c>
    </row>
    <row r="906" spans="1:15" x14ac:dyDescent="0.25">
      <c r="A906" s="1" t="s">
        <v>936</v>
      </c>
      <c r="B906" s="1">
        <v>30</v>
      </c>
      <c r="C906" s="1" t="str" cm="1">
        <f t="array" ref="C906">_xlfn.IFS(OR(B906=" ", B906="NA",NOT(ISNUMBER(B906))), "Unknown",B906&lt;18,"Underage",B906&lt;=24,"Young Adult",B906&lt;=34,"Early Career",B906&lt;=44,"Mid Career",B906&lt;=54,"Mature",B906&lt;=65,"Pre-Senior",B906&gt;65,"Senior")</f>
        <v>Early Career</v>
      </c>
      <c r="D906" s="1" t="s">
        <v>18</v>
      </c>
      <c r="E906" s="1" t="s">
        <v>58</v>
      </c>
      <c r="F906" s="1">
        <v>350000</v>
      </c>
      <c r="G906" s="1">
        <v>30</v>
      </c>
      <c r="H906" s="1" t="str" cm="1">
        <f t="array" ref="H906">_xlfn.IFS( OR(G906=" ",NOT(ISNUMBER(G906))),"Unknown",G906&lt;=33,"Low Spender",G906&lt;=66,"Medium Spender",TRUE, "High Spender")</f>
        <v>Low Spender</v>
      </c>
      <c r="I906" s="1">
        <v>10</v>
      </c>
      <c r="J906" s="1">
        <v>3900</v>
      </c>
      <c r="K906" s="1">
        <v>101</v>
      </c>
      <c r="M906" s="1" t="s">
        <v>21</v>
      </c>
      <c r="N906" s="1" t="str">
        <f t="shared" si="28"/>
        <v>Higher</v>
      </c>
      <c r="O906" s="1" t="str">
        <f t="shared" si="29"/>
        <v>Early Career | Low Spender | Higher</v>
      </c>
    </row>
    <row r="907" spans="1:15" x14ac:dyDescent="0.25">
      <c r="A907" s="1" t="s">
        <v>937</v>
      </c>
      <c r="B907" s="1">
        <v>21</v>
      </c>
      <c r="C907" s="1" t="str" cm="1">
        <f t="array" ref="C907">_xlfn.IFS(OR(B907=" ", B907="NA",NOT(ISNUMBER(B907))), "Unknown",B907&lt;18,"Underage",B907&lt;=24,"Young Adult",B907&lt;=34,"Early Career",B907&lt;=44,"Mid Career",B907&lt;=54,"Mature",B907&lt;=65,"Pre-Senior",B907&gt;65,"Senior")</f>
        <v>Young Adult</v>
      </c>
      <c r="D907" s="1" t="s">
        <v>29</v>
      </c>
      <c r="E907" s="1" t="s">
        <v>19</v>
      </c>
      <c r="F907" s="1">
        <v>750000</v>
      </c>
      <c r="G907" s="1">
        <v>78</v>
      </c>
      <c r="H907" s="1" t="str" cm="1">
        <f t="array" ref="H907">_xlfn.IFS( OR(G907=" ",NOT(ISNUMBER(G907))),"Unknown",G907&lt;=33,"Low Spender",G907&lt;=66,"Medium Spender",TRUE, "High Spender")</f>
        <v>High Spender</v>
      </c>
      <c r="I907" s="1">
        <v>29</v>
      </c>
      <c r="J907" s="1">
        <v>7200</v>
      </c>
      <c r="K907" s="1">
        <v>327</v>
      </c>
      <c r="L907" s="1" t="s">
        <v>35</v>
      </c>
      <c r="M907" s="1" t="s">
        <v>41</v>
      </c>
      <c r="N907" s="1" t="str">
        <f t="shared" si="28"/>
        <v>Higher</v>
      </c>
      <c r="O907" s="1" t="str">
        <f t="shared" si="29"/>
        <v>Young Adult | High Spender | Higher</v>
      </c>
    </row>
    <row r="908" spans="1:15" x14ac:dyDescent="0.25">
      <c r="A908" s="1" t="s">
        <v>938</v>
      </c>
      <c r="B908" s="1">
        <v>18</v>
      </c>
      <c r="C908" s="1" t="str" cm="1">
        <f t="array" ref="C908">_xlfn.IFS(OR(B908=" ", B908="NA",NOT(ISNUMBER(B908))), "Unknown",B908&lt;18,"Underage",B908&lt;=24,"Young Adult",B908&lt;=34,"Early Career",B908&lt;=44,"Mid Career",B908&lt;=54,"Mature",B908&lt;=65,"Pre-Senior",B908&gt;65,"Senior")</f>
        <v>Young Adult</v>
      </c>
      <c r="E908" s="1" t="s">
        <v>19</v>
      </c>
      <c r="F908" s="1">
        <v>175000</v>
      </c>
      <c r="G908" s="1">
        <v>54</v>
      </c>
      <c r="H908" s="1" t="str" cm="1">
        <f t="array" ref="H908">_xlfn.IFS( OR(G908=" ",NOT(ISNUMBER(G908))),"Unknown",G908&lt;=33,"Low Spender",G908&lt;=66,"Medium Spender",TRUE, "High Spender")</f>
        <v>Medium Spender</v>
      </c>
      <c r="I908" s="1">
        <v>40</v>
      </c>
      <c r="J908" s="1">
        <v>4300</v>
      </c>
      <c r="K908" s="1">
        <v>327</v>
      </c>
      <c r="N908" s="1" t="str">
        <f t="shared" si="28"/>
        <v>Lower</v>
      </c>
      <c r="O908" s="1" t="str">
        <f t="shared" si="29"/>
        <v>Young Adult | Medium Spender | Lower</v>
      </c>
    </row>
    <row r="909" spans="1:15" x14ac:dyDescent="0.25">
      <c r="A909" s="1" t="s">
        <v>939</v>
      </c>
      <c r="B909" s="1">
        <v>66</v>
      </c>
      <c r="C909" s="1" t="str" cm="1">
        <f t="array" ref="C909">_xlfn.IFS(OR(B909=" ", B909="NA",NOT(ISNUMBER(B909))), "Unknown",B909&lt;18,"Underage",B909&lt;=24,"Young Adult",B909&lt;=34,"Early Career",B909&lt;=44,"Mid Career",B909&lt;=54,"Mature",B909&lt;=65,"Pre-Senior",B909&gt;65,"Senior")</f>
        <v>Senior</v>
      </c>
      <c r="D909" s="1" t="s">
        <v>18</v>
      </c>
      <c r="E909" s="1" t="s">
        <v>15</v>
      </c>
      <c r="F909" s="1">
        <v>600000</v>
      </c>
      <c r="G909" s="1">
        <v>87</v>
      </c>
      <c r="H909" s="1" t="str" cm="1">
        <f t="array" ref="H909">_xlfn.IFS( OR(G909=" ",NOT(ISNUMBER(G909))),"Unknown",G909&lt;=33,"Low Spender",G909&lt;=66,"Medium Spender",TRUE, "High Spender")</f>
        <v>High Spender</v>
      </c>
      <c r="I909" s="1">
        <v>65</v>
      </c>
      <c r="J909" s="1">
        <v>8100</v>
      </c>
      <c r="K909" s="1">
        <v>155</v>
      </c>
      <c r="L909" s="1" t="s">
        <v>37</v>
      </c>
      <c r="M909" s="1" t="s">
        <v>32</v>
      </c>
      <c r="N909" s="1" t="str">
        <f t="shared" si="28"/>
        <v>Higher</v>
      </c>
      <c r="O909" s="1" t="str">
        <f t="shared" si="29"/>
        <v>Senior | High Spender | Higher</v>
      </c>
    </row>
    <row r="910" spans="1:15" x14ac:dyDescent="0.25">
      <c r="A910" s="1" t="s">
        <v>940</v>
      </c>
      <c r="B910" s="1">
        <v>57</v>
      </c>
      <c r="C910" s="1" t="str" cm="1">
        <f t="array" ref="C910">_xlfn.IFS(OR(B910=" ", B910="NA",NOT(ISNUMBER(B910))), "Unknown",B910&lt;18,"Underage",B910&lt;=24,"Young Adult",B910&lt;=34,"Early Career",B910&lt;=44,"Mid Career",B910&lt;=54,"Mature",B910&lt;=65,"Pre-Senior",B910&gt;65,"Senior")</f>
        <v>Pre-Senior</v>
      </c>
      <c r="D910" s="1" t="s">
        <v>18</v>
      </c>
      <c r="E910" s="1" t="s">
        <v>23</v>
      </c>
      <c r="F910" s="1">
        <v>625000</v>
      </c>
      <c r="G910" s="1">
        <v>11</v>
      </c>
      <c r="H910" s="1" t="str" cm="1">
        <f t="array" ref="H910">_xlfn.IFS( OR(G910=" ",NOT(ISNUMBER(G910))),"Unknown",G910&lt;=33,"Low Spender",G910&lt;=66,"Medium Spender",TRUE, "High Spender")</f>
        <v>Low Spender</v>
      </c>
      <c r="I910" s="1">
        <v>21</v>
      </c>
      <c r="J910" s="1">
        <v>4400</v>
      </c>
      <c r="K910" s="1">
        <v>10</v>
      </c>
      <c r="L910" s="1" t="s">
        <v>20</v>
      </c>
      <c r="M910" s="1" t="s">
        <v>41</v>
      </c>
      <c r="N910" s="1" t="str">
        <f t="shared" si="28"/>
        <v>Higher</v>
      </c>
      <c r="O910" s="1" t="str">
        <f t="shared" si="29"/>
        <v>Pre-Senior | Low Spender | Higher</v>
      </c>
    </row>
    <row r="911" spans="1:15" x14ac:dyDescent="0.25">
      <c r="A911" s="1" t="s">
        <v>941</v>
      </c>
      <c r="B911" s="1">
        <v>49</v>
      </c>
      <c r="C911" s="1" t="str" cm="1">
        <f t="array" ref="C911">_xlfn.IFS(OR(B911=" ", B911="NA",NOT(ISNUMBER(B911))), "Unknown",B911&lt;18,"Underage",B911&lt;=24,"Young Adult",B911&lt;=34,"Early Career",B911&lt;=44,"Mid Career",B911&lt;=54,"Mature",B911&lt;=65,"Pre-Senior",B911&gt;65,"Senior")</f>
        <v>Mature</v>
      </c>
      <c r="D911" s="1" t="s">
        <v>18</v>
      </c>
      <c r="E911" s="1" t="s">
        <v>49</v>
      </c>
      <c r="F911" s="1">
        <v>1875000</v>
      </c>
      <c r="G911" s="1">
        <v>31</v>
      </c>
      <c r="H911" s="1" t="str" cm="1">
        <f t="array" ref="H911">_xlfn.IFS( OR(G911=" ",NOT(ISNUMBER(G911))),"Unknown",G911&lt;=33,"Low Spender",G911&lt;=66,"Medium Spender",TRUE, "High Spender")</f>
        <v>Low Spender</v>
      </c>
      <c r="I911" s="1">
        <v>24</v>
      </c>
      <c r="J911" s="1">
        <v>11500</v>
      </c>
      <c r="K911" s="1">
        <v>353</v>
      </c>
      <c r="L911" s="1" t="s">
        <v>20</v>
      </c>
      <c r="M911" s="1" t="s">
        <v>32</v>
      </c>
      <c r="N911" s="1" t="str">
        <f t="shared" si="28"/>
        <v>Higher</v>
      </c>
      <c r="O911" s="1" t="str">
        <f t="shared" si="29"/>
        <v>Mature | Low Spender | Higher</v>
      </c>
    </row>
    <row r="912" spans="1:15" x14ac:dyDescent="0.25">
      <c r="A912" s="1" t="s">
        <v>942</v>
      </c>
      <c r="B912" s="1">
        <v>51</v>
      </c>
      <c r="C912" s="1" t="str" cm="1">
        <f t="array" ref="C912">_xlfn.IFS(OR(B912=" ", B912="NA",NOT(ISNUMBER(B912))), "Unknown",B912&lt;18,"Underage",B912&lt;=24,"Young Adult",B912&lt;=34,"Early Career",B912&lt;=44,"Mid Career",B912&lt;=54,"Mature",B912&lt;=65,"Pre-Senior",B912&gt;65,"Senior")</f>
        <v>Mature</v>
      </c>
      <c r="E912" s="1" t="s">
        <v>58</v>
      </c>
      <c r="F912" s="1">
        <v>550000</v>
      </c>
      <c r="G912" s="1">
        <v>6</v>
      </c>
      <c r="H912" s="1" t="str" cm="1">
        <f t="array" ref="H912">_xlfn.IFS( OR(G912=" ",NOT(ISNUMBER(G912))),"Unknown",G912&lt;=33,"Low Spender",G912&lt;=66,"Medium Spender",TRUE, "High Spender")</f>
        <v>Low Spender</v>
      </c>
      <c r="I912" s="1">
        <v>73</v>
      </c>
      <c r="J912" s="1">
        <v>9200</v>
      </c>
      <c r="K912" s="1">
        <v>183</v>
      </c>
      <c r="L912" s="1" t="s">
        <v>20</v>
      </c>
      <c r="N912" s="1" t="str">
        <f t="shared" si="28"/>
        <v>Lower</v>
      </c>
      <c r="O912" s="1" t="str">
        <f t="shared" si="29"/>
        <v>Mature | Low Spender | Lower</v>
      </c>
    </row>
    <row r="913" spans="1:15" x14ac:dyDescent="0.25">
      <c r="A913" s="1" t="s">
        <v>943</v>
      </c>
      <c r="B913" s="1">
        <v>45</v>
      </c>
      <c r="C913" s="1" t="str" cm="1">
        <f t="array" ref="C913">_xlfn.IFS(OR(B913=" ", B913="NA",NOT(ISNUMBER(B913))), "Unknown",B913&lt;18,"Underage",B913&lt;=24,"Young Adult",B913&lt;=34,"Early Career",B913&lt;=44,"Mid Career",B913&lt;=54,"Mature",B913&lt;=65,"Pre-Senior",B913&gt;65,"Senior")</f>
        <v>Mature</v>
      </c>
      <c r="D913" s="1" t="s">
        <v>18</v>
      </c>
      <c r="F913" s="1">
        <v>1825000</v>
      </c>
      <c r="G913" s="1">
        <v>11</v>
      </c>
      <c r="H913" s="1" t="str" cm="1">
        <f t="array" ref="H913">_xlfn.IFS( OR(G913=" ",NOT(ISNUMBER(G913))),"Unknown",G913&lt;=33,"Low Spender",G913&lt;=66,"Medium Spender",TRUE, "High Spender")</f>
        <v>Low Spender</v>
      </c>
      <c r="I913" s="1">
        <v>60</v>
      </c>
      <c r="J913" s="1">
        <v>11700</v>
      </c>
      <c r="K913" s="1">
        <v>134</v>
      </c>
      <c r="L913" s="1" t="s">
        <v>35</v>
      </c>
      <c r="M913" s="1" t="s">
        <v>32</v>
      </c>
      <c r="N913" s="1" t="str">
        <f t="shared" si="28"/>
        <v>Higher</v>
      </c>
      <c r="O913" s="1" t="str">
        <f t="shared" si="29"/>
        <v>Mature | Low Spender | Higher</v>
      </c>
    </row>
    <row r="914" spans="1:15" x14ac:dyDescent="0.25">
      <c r="A914" s="1" t="s">
        <v>944</v>
      </c>
      <c r="B914" s="1">
        <v>48</v>
      </c>
      <c r="C914" s="1" t="str" cm="1">
        <f t="array" ref="C914">_xlfn.IFS(OR(B914=" ", B914="NA",NOT(ISNUMBER(B914))), "Unknown",B914&lt;18,"Underage",B914&lt;=24,"Young Adult",B914&lt;=34,"Early Career",B914&lt;=44,"Mid Career",B914&lt;=54,"Mature",B914&lt;=65,"Pre-Senior",B914&gt;65,"Senior")</f>
        <v>Mature</v>
      </c>
      <c r="D914" s="1" t="s">
        <v>18</v>
      </c>
      <c r="E914" s="1" t="s">
        <v>23</v>
      </c>
      <c r="F914" s="1">
        <v>200000</v>
      </c>
      <c r="G914" s="1">
        <v>77</v>
      </c>
      <c r="H914" s="1" t="str" cm="1">
        <f t="array" ref="H914">_xlfn.IFS( OR(G914=" ",NOT(ISNUMBER(G914))),"Unknown",G914&lt;=33,"Low Spender",G914&lt;=66,"Medium Spender",TRUE, "High Spender")</f>
        <v>High Spender</v>
      </c>
      <c r="I914" s="1">
        <v>26</v>
      </c>
      <c r="J914" s="1">
        <v>7800</v>
      </c>
      <c r="K914" s="1">
        <v>6</v>
      </c>
      <c r="N914" s="1" t="str">
        <f t="shared" si="28"/>
        <v>Higher</v>
      </c>
      <c r="O914" s="1" t="str">
        <f t="shared" si="29"/>
        <v>Mature | High Spender | Higher</v>
      </c>
    </row>
    <row r="915" spans="1:15" x14ac:dyDescent="0.25">
      <c r="A915" s="1" t="s">
        <v>945</v>
      </c>
      <c r="B915" s="1">
        <v>25</v>
      </c>
      <c r="C915" s="1" t="str" cm="1">
        <f t="array" ref="C915">_xlfn.IFS(OR(B915=" ", B915="NA",NOT(ISNUMBER(B915))), "Unknown",B915&lt;18,"Underage",B915&lt;=24,"Young Adult",B915&lt;=34,"Early Career",B915&lt;=44,"Mid Career",B915&lt;=54,"Mature",B915&lt;=65,"Pre-Senior",B915&gt;65,"Senior")</f>
        <v>Early Career</v>
      </c>
      <c r="D915" s="1" t="s">
        <v>18</v>
      </c>
      <c r="E915" s="1" t="s">
        <v>49</v>
      </c>
      <c r="F915" s="1">
        <v>1400000</v>
      </c>
      <c r="G915" s="1">
        <v>12</v>
      </c>
      <c r="H915" s="1" t="str" cm="1">
        <f t="array" ref="H915">_xlfn.IFS( OR(G915=" ",NOT(ISNUMBER(G915))),"Unknown",G915&lt;=33,"Low Spender",G915&lt;=66,"Medium Spender",TRUE, "High Spender")</f>
        <v>Low Spender</v>
      </c>
      <c r="I915" s="1">
        <v>9</v>
      </c>
      <c r="J915" s="1">
        <v>4300</v>
      </c>
      <c r="K915" s="1">
        <v>333</v>
      </c>
      <c r="L915" s="1" t="s">
        <v>37</v>
      </c>
      <c r="N915" s="1" t="str">
        <f t="shared" si="28"/>
        <v>Higher</v>
      </c>
      <c r="O915" s="1" t="str">
        <f t="shared" si="29"/>
        <v>Early Career | Low Spender | Higher</v>
      </c>
    </row>
    <row r="916" spans="1:15" x14ac:dyDescent="0.25">
      <c r="A916" s="1" t="s">
        <v>946</v>
      </c>
      <c r="B916" s="1">
        <v>56</v>
      </c>
      <c r="C916" s="1" t="str" cm="1">
        <f t="array" ref="C916">_xlfn.IFS(OR(B916=" ", B916="NA",NOT(ISNUMBER(B916))), "Unknown",B916&lt;18,"Underage",B916&lt;=24,"Young Adult",B916&lt;=34,"Early Career",B916&lt;=44,"Mid Career",B916&lt;=54,"Mature",B916&lt;=65,"Pre-Senior",B916&gt;65,"Senior")</f>
        <v>Pre-Senior</v>
      </c>
      <c r="D916" s="1" t="s">
        <v>18</v>
      </c>
      <c r="E916" s="1" t="s">
        <v>58</v>
      </c>
      <c r="F916" s="1">
        <v>775000</v>
      </c>
      <c r="G916" s="1">
        <v>66</v>
      </c>
      <c r="H916" s="1" t="str" cm="1">
        <f t="array" ref="H916">_xlfn.IFS( OR(G916=" ",NOT(ISNUMBER(G916))),"Unknown",G916&lt;=33,"Low Spender",G916&lt;=66,"Medium Spender",TRUE, "High Spender")</f>
        <v>Medium Spender</v>
      </c>
      <c r="I916" s="1">
        <v>20</v>
      </c>
      <c r="J916" s="1">
        <v>4900</v>
      </c>
      <c r="K916" s="1">
        <v>333</v>
      </c>
      <c r="L916" s="1" t="s">
        <v>20</v>
      </c>
      <c r="N916" s="1" t="str">
        <f t="shared" si="28"/>
        <v>Higher</v>
      </c>
      <c r="O916" s="1" t="str">
        <f t="shared" si="29"/>
        <v>Pre-Senior | Medium Spender | Higher</v>
      </c>
    </row>
    <row r="917" spans="1:15" x14ac:dyDescent="0.25">
      <c r="A917" s="1" t="s">
        <v>947</v>
      </c>
      <c r="B917" s="1">
        <v>43</v>
      </c>
      <c r="C917" s="1" t="str" cm="1">
        <f t="array" ref="C917">_xlfn.IFS(OR(B917=" ", B917="NA",NOT(ISNUMBER(B917))), "Unknown",B917&lt;18,"Underage",B917&lt;=24,"Young Adult",B917&lt;=34,"Early Career",B917&lt;=44,"Mid Career",B917&lt;=54,"Mature",B917&lt;=65,"Pre-Senior",B917&gt;65,"Senior")</f>
        <v>Mid Career</v>
      </c>
      <c r="D917" s="1" t="s">
        <v>12</v>
      </c>
      <c r="E917" s="1" t="s">
        <v>27</v>
      </c>
      <c r="F917" s="1">
        <v>1525000</v>
      </c>
      <c r="G917" s="1">
        <v>53</v>
      </c>
      <c r="H917" s="1" t="str" cm="1">
        <f t="array" ref="H917">_xlfn.IFS( OR(G917=" ",NOT(ISNUMBER(G917))),"Unknown",G917&lt;=33,"Low Spender",G917&lt;=66,"Medium Spender",TRUE, "High Spender")</f>
        <v>Medium Spender</v>
      </c>
      <c r="I917" s="1">
        <v>56</v>
      </c>
      <c r="J917" s="1">
        <v>1600</v>
      </c>
      <c r="K917" s="1">
        <v>258</v>
      </c>
      <c r="M917" s="1" t="s">
        <v>21</v>
      </c>
      <c r="N917" s="1" t="str">
        <f t="shared" si="28"/>
        <v>Lower</v>
      </c>
      <c r="O917" s="1" t="str">
        <f t="shared" si="29"/>
        <v>Mid Career | Medium Spender | Lower</v>
      </c>
    </row>
    <row r="918" spans="1:15" x14ac:dyDescent="0.25">
      <c r="A918" s="1" t="s">
        <v>948</v>
      </c>
      <c r="B918" s="1">
        <v>51</v>
      </c>
      <c r="C918" s="1" t="str" cm="1">
        <f t="array" ref="C918">_xlfn.IFS(OR(B918=" ", B918="NA",NOT(ISNUMBER(B918))), "Unknown",B918&lt;18,"Underage",B918&lt;=24,"Young Adult",B918&lt;=34,"Early Career",B918&lt;=44,"Mid Career",B918&lt;=54,"Mature",B918&lt;=65,"Pre-Senior",B918&gt;65,"Senior")</f>
        <v>Mature</v>
      </c>
      <c r="E918" s="1" t="s">
        <v>49</v>
      </c>
      <c r="F918" s="1">
        <v>1725000</v>
      </c>
      <c r="G918" s="1">
        <v>99</v>
      </c>
      <c r="H918" s="1" t="str" cm="1">
        <f t="array" ref="H918">_xlfn.IFS( OR(G918=" ",NOT(ISNUMBER(G918))),"Unknown",G918&lt;=33,"Low Spender",G918&lt;=66,"Medium Spender",TRUE, "High Spender")</f>
        <v>High Spender</v>
      </c>
      <c r="I918" s="1">
        <v>36</v>
      </c>
      <c r="J918" s="1">
        <v>300</v>
      </c>
      <c r="K918" s="1">
        <v>211</v>
      </c>
      <c r="L918" s="1" t="s">
        <v>16</v>
      </c>
      <c r="N918" s="1" t="str">
        <f t="shared" si="28"/>
        <v>Lower</v>
      </c>
      <c r="O918" s="1" t="str">
        <f t="shared" si="29"/>
        <v>Mature | High Spender | Lower</v>
      </c>
    </row>
    <row r="919" spans="1:15" x14ac:dyDescent="0.25">
      <c r="A919" s="1" t="s">
        <v>949</v>
      </c>
      <c r="C919" s="1" t="str" cm="1">
        <f t="array" ref="C919">_xlfn.IFS(OR(B919=" ", B919="NA",NOT(ISNUMBER(B919))), "Unknown",B919&lt;18,"Underage",B919&lt;=24,"Young Adult",B919&lt;=34,"Early Career",B919&lt;=44,"Mid Career",B919&lt;=54,"Mature",B919&lt;=65,"Pre-Senior",B919&gt;65,"Senior")</f>
        <v>Unknown</v>
      </c>
      <c r="F919" s="1">
        <v>325000</v>
      </c>
      <c r="G919" s="1">
        <v>36</v>
      </c>
      <c r="H919" s="1" t="str" cm="1">
        <f t="array" ref="H919">_xlfn.IFS( OR(G919=" ",NOT(ISNUMBER(G919))),"Unknown",G919&lt;=33,"Low Spender",G919&lt;=66,"Medium Spender",TRUE, "High Spender")</f>
        <v>Medium Spender</v>
      </c>
      <c r="I919" s="1">
        <v>36</v>
      </c>
      <c r="J919" s="1">
        <v>1900</v>
      </c>
      <c r="K919" s="1">
        <v>51</v>
      </c>
      <c r="M919" s="1" t="s">
        <v>41</v>
      </c>
      <c r="N919" s="1" t="str">
        <f t="shared" si="28"/>
        <v>Lower</v>
      </c>
      <c r="O919" s="1" t="str">
        <f t="shared" si="29"/>
        <v>Unknown | Medium Spender | Lower</v>
      </c>
    </row>
    <row r="920" spans="1:15" x14ac:dyDescent="0.25">
      <c r="A920" s="1" t="s">
        <v>950</v>
      </c>
      <c r="C920" s="1" t="str" cm="1">
        <f t="array" ref="C920">_xlfn.IFS(OR(B920=" ", B920="NA",NOT(ISNUMBER(B920))), "Unknown",B920&lt;18,"Underage",B920&lt;=24,"Young Adult",B920&lt;=34,"Early Career",B920&lt;=44,"Mid Career",B920&lt;=54,"Mature",B920&lt;=65,"Pre-Senior",B920&gt;65,"Senior")</f>
        <v>Unknown</v>
      </c>
      <c r="D920" s="1" t="s">
        <v>18</v>
      </c>
      <c r="F920" s="1">
        <v>1050000</v>
      </c>
      <c r="G920" s="1">
        <v>17</v>
      </c>
      <c r="H920" s="1" t="str" cm="1">
        <f t="array" ref="H920">_xlfn.IFS( OR(G920=" ",NOT(ISNUMBER(G920))),"Unknown",G920&lt;=33,"Low Spender",G920&lt;=66,"Medium Spender",TRUE, "High Spender")</f>
        <v>Low Spender</v>
      </c>
      <c r="I920" s="1">
        <v>73</v>
      </c>
      <c r="J920" s="1">
        <v>9900</v>
      </c>
      <c r="K920" s="1">
        <v>147</v>
      </c>
      <c r="L920" s="1" t="s">
        <v>16</v>
      </c>
      <c r="M920" s="1" t="s">
        <v>41</v>
      </c>
      <c r="N920" s="1" t="str">
        <f t="shared" si="28"/>
        <v>Higher</v>
      </c>
      <c r="O920" s="1" t="str">
        <f t="shared" si="29"/>
        <v>Unknown | Low Spender | Higher</v>
      </c>
    </row>
    <row r="921" spans="1:15" x14ac:dyDescent="0.25">
      <c r="A921" s="1" t="s">
        <v>951</v>
      </c>
      <c r="B921" s="1">
        <v>20</v>
      </c>
      <c r="C921" s="1" t="str" cm="1">
        <f t="array" ref="C921">_xlfn.IFS(OR(B921=" ", B921="NA",NOT(ISNUMBER(B921))), "Unknown",B921&lt;18,"Underage",B921&lt;=24,"Young Adult",B921&lt;=34,"Early Career",B921&lt;=44,"Mid Career",B921&lt;=54,"Mature",B921&lt;=65,"Pre-Senior",B921&gt;65,"Senior")</f>
        <v>Young Adult</v>
      </c>
      <c r="D921" s="1" t="s">
        <v>18</v>
      </c>
      <c r="E921" s="1" t="s">
        <v>34</v>
      </c>
      <c r="F921" s="1">
        <v>800000</v>
      </c>
      <c r="G921" s="1">
        <v>28</v>
      </c>
      <c r="H921" s="1" t="str" cm="1">
        <f t="array" ref="H921">_xlfn.IFS( OR(G921=" ",NOT(ISNUMBER(G921))),"Unknown",G921&lt;=33,"Low Spender",G921&lt;=66,"Medium Spender",TRUE, "High Spender")</f>
        <v>Low Spender</v>
      </c>
      <c r="I921" s="1">
        <v>22</v>
      </c>
      <c r="J921" s="1">
        <v>5700</v>
      </c>
      <c r="K921" s="1">
        <v>128</v>
      </c>
      <c r="L921" s="1" t="s">
        <v>37</v>
      </c>
      <c r="M921" s="1" t="s">
        <v>30</v>
      </c>
      <c r="N921" s="1" t="str">
        <f t="shared" si="28"/>
        <v>Higher</v>
      </c>
      <c r="O921" s="1" t="str">
        <f t="shared" si="29"/>
        <v>Young Adult | Low Spender | Higher</v>
      </c>
    </row>
    <row r="922" spans="1:15" x14ac:dyDescent="0.25">
      <c r="A922" s="1" t="s">
        <v>952</v>
      </c>
      <c r="B922" s="1">
        <v>67</v>
      </c>
      <c r="C922" s="1" t="str" cm="1">
        <f t="array" ref="C922">_xlfn.IFS(OR(B922=" ", B922="NA",NOT(ISNUMBER(B922))), "Unknown",B922&lt;18,"Underage",B922&lt;=24,"Young Adult",B922&lt;=34,"Early Career",B922&lt;=44,"Mid Career",B922&lt;=54,"Mature",B922&lt;=65,"Pre-Senior",B922&gt;65,"Senior")</f>
        <v>Senior</v>
      </c>
      <c r="E922" s="1" t="s">
        <v>19</v>
      </c>
      <c r="F922" s="1">
        <v>1250000</v>
      </c>
      <c r="G922" s="1">
        <v>92</v>
      </c>
      <c r="H922" s="1" t="str" cm="1">
        <f t="array" ref="H922">_xlfn.IFS( OR(G922=" ",NOT(ISNUMBER(G922))),"Unknown",G922&lt;=33,"Low Spender",G922&lt;=66,"Medium Spender",TRUE, "High Spender")</f>
        <v>High Spender</v>
      </c>
      <c r="I922" s="1">
        <v>1</v>
      </c>
      <c r="J922" s="1">
        <v>9500</v>
      </c>
      <c r="K922" s="1">
        <v>258</v>
      </c>
      <c r="L922" s="1" t="s">
        <v>20</v>
      </c>
      <c r="M922" s="1" t="s">
        <v>41</v>
      </c>
      <c r="N922" s="1" t="str">
        <f t="shared" si="28"/>
        <v>Lower</v>
      </c>
      <c r="O922" s="1" t="str">
        <f t="shared" si="29"/>
        <v>Senior | High Spender | Lower</v>
      </c>
    </row>
    <row r="923" spans="1:15" x14ac:dyDescent="0.25">
      <c r="A923" s="1" t="s">
        <v>953</v>
      </c>
      <c r="B923" s="1">
        <v>29</v>
      </c>
      <c r="C923" s="1" t="str" cm="1">
        <f t="array" ref="C923">_xlfn.IFS(OR(B923=" ", B923="NA",NOT(ISNUMBER(B923))), "Unknown",B923&lt;18,"Underage",B923&lt;=24,"Young Adult",B923&lt;=34,"Early Career",B923&lt;=44,"Mid Career",B923&lt;=54,"Mature",B923&lt;=65,"Pre-Senior",B923&gt;65,"Senior")</f>
        <v>Early Career</v>
      </c>
      <c r="D923" s="1" t="s">
        <v>29</v>
      </c>
      <c r="E923" s="1" t="s">
        <v>34</v>
      </c>
      <c r="F923" s="1">
        <v>225000</v>
      </c>
      <c r="G923" s="1">
        <v>22</v>
      </c>
      <c r="H923" s="1" t="str" cm="1">
        <f t="array" ref="H923">_xlfn.IFS( OR(G923=" ",NOT(ISNUMBER(G923))),"Unknown",G923&lt;=33,"Low Spender",G923&lt;=66,"Medium Spender",TRUE, "High Spender")</f>
        <v>Low Spender</v>
      </c>
      <c r="I923" s="1">
        <v>69</v>
      </c>
      <c r="J923" s="1">
        <v>5500</v>
      </c>
      <c r="K923" s="1">
        <v>51</v>
      </c>
      <c r="L923" s="1" t="s">
        <v>16</v>
      </c>
      <c r="N923" s="1" t="str">
        <f t="shared" si="28"/>
        <v>Higher</v>
      </c>
      <c r="O923" s="1" t="str">
        <f t="shared" si="29"/>
        <v>Early Career | Low Spender | Higher</v>
      </c>
    </row>
    <row r="924" spans="1:15" x14ac:dyDescent="0.25">
      <c r="A924" s="1" t="s">
        <v>954</v>
      </c>
      <c r="B924" s="1">
        <v>18</v>
      </c>
      <c r="C924" s="1" t="str" cm="1">
        <f t="array" ref="C924">_xlfn.IFS(OR(B924=" ", B924="NA",NOT(ISNUMBER(B924))), "Unknown",B924&lt;18,"Underage",B924&lt;=24,"Young Adult",B924&lt;=34,"Early Career",B924&lt;=44,"Mid Career",B924&lt;=54,"Mature",B924&lt;=65,"Pre-Senior",B924&gt;65,"Senior")</f>
        <v>Young Adult</v>
      </c>
      <c r="E924" s="1" t="s">
        <v>23</v>
      </c>
      <c r="F924" s="1">
        <v>1050000</v>
      </c>
      <c r="H924" s="1" t="str" cm="1">
        <f t="array" ref="H924">_xlfn.IFS( OR(G924=" ",NOT(ISNUMBER(G924))),"Unknown",G924&lt;=33,"Low Spender",G924&lt;=66,"Medium Spender",TRUE, "High Spender")</f>
        <v>Unknown</v>
      </c>
      <c r="I924" s="1">
        <v>73</v>
      </c>
      <c r="K924" s="1">
        <v>154</v>
      </c>
      <c r="N924" s="1" t="str">
        <f t="shared" si="28"/>
        <v>Lower</v>
      </c>
      <c r="O924" s="1" t="str">
        <f t="shared" si="29"/>
        <v>Young Adult | Unknown | Lower</v>
      </c>
    </row>
    <row r="925" spans="1:15" x14ac:dyDescent="0.25">
      <c r="A925" s="1" t="s">
        <v>955</v>
      </c>
      <c r="C925" s="1" t="str" cm="1">
        <f t="array" ref="C925">_xlfn.IFS(OR(B925=" ", B925="NA",NOT(ISNUMBER(B925))), "Unknown",B925&lt;18,"Underage",B925&lt;=24,"Young Adult",B925&lt;=34,"Early Career",B925&lt;=44,"Mid Career",B925&lt;=54,"Mature",B925&lt;=65,"Pre-Senior",B925&gt;65,"Senior")</f>
        <v>Unknown</v>
      </c>
      <c r="F925" s="1">
        <v>1900000</v>
      </c>
      <c r="G925" s="1">
        <v>7</v>
      </c>
      <c r="H925" s="1" t="str" cm="1">
        <f t="array" ref="H925">_xlfn.IFS( OR(G925=" ",NOT(ISNUMBER(G925))),"Unknown",G925&lt;=33,"Low Spender",G925&lt;=66,"Medium Spender",TRUE, "High Spender")</f>
        <v>Low Spender</v>
      </c>
      <c r="I925" s="1">
        <v>37</v>
      </c>
      <c r="J925" s="1">
        <v>11100</v>
      </c>
      <c r="K925" s="1">
        <v>70</v>
      </c>
      <c r="M925" s="1" t="s">
        <v>30</v>
      </c>
      <c r="N925" s="1" t="str">
        <f t="shared" si="28"/>
        <v>Lower</v>
      </c>
      <c r="O925" s="1" t="str">
        <f t="shared" si="29"/>
        <v>Unknown | Low Spender | Lower</v>
      </c>
    </row>
    <row r="926" spans="1:15" x14ac:dyDescent="0.25">
      <c r="A926" s="1" t="s">
        <v>956</v>
      </c>
      <c r="B926" s="1">
        <v>61</v>
      </c>
      <c r="C926" s="1" t="str" cm="1">
        <f t="array" ref="C926">_xlfn.IFS(OR(B926=" ", B926="NA",NOT(ISNUMBER(B926))), "Unknown",B926&lt;18,"Underage",B926&lt;=24,"Young Adult",B926&lt;=34,"Early Career",B926&lt;=44,"Mid Career",B926&lt;=54,"Mature",B926&lt;=65,"Pre-Senior",B926&gt;65,"Senior")</f>
        <v>Pre-Senior</v>
      </c>
      <c r="E926" s="1" t="s">
        <v>19</v>
      </c>
      <c r="F926" s="1">
        <v>950000</v>
      </c>
      <c r="G926" s="1">
        <v>15</v>
      </c>
      <c r="H926" s="1" t="str" cm="1">
        <f t="array" ref="H926">_xlfn.IFS( OR(G926=" ",NOT(ISNUMBER(G926))),"Unknown",G926&lt;=33,"Low Spender",G926&lt;=66,"Medium Spender",TRUE, "High Spender")</f>
        <v>Low Spender</v>
      </c>
      <c r="I926" s="1">
        <v>72</v>
      </c>
      <c r="J926" s="1">
        <v>3300</v>
      </c>
      <c r="K926" s="1">
        <v>276</v>
      </c>
      <c r="M926" s="1" t="s">
        <v>21</v>
      </c>
      <c r="N926" s="1" t="str">
        <f t="shared" si="28"/>
        <v>Lower</v>
      </c>
      <c r="O926" s="1" t="str">
        <f t="shared" si="29"/>
        <v>Pre-Senior | Low Spender | Lower</v>
      </c>
    </row>
    <row r="927" spans="1:15" x14ac:dyDescent="0.25">
      <c r="A927" s="1" t="s">
        <v>957</v>
      </c>
      <c r="B927" s="1">
        <v>22</v>
      </c>
      <c r="C927" s="1" t="str" cm="1">
        <f t="array" ref="C927">_xlfn.IFS(OR(B927=" ", B927="NA",NOT(ISNUMBER(B927))), "Unknown",B927&lt;18,"Underage",B927&lt;=24,"Young Adult",B927&lt;=34,"Early Career",B927&lt;=44,"Mid Career",B927&lt;=54,"Mature",B927&lt;=65,"Pre-Senior",B927&gt;65,"Senior")</f>
        <v>Young Adult</v>
      </c>
      <c r="E927" s="1" t="s">
        <v>58</v>
      </c>
      <c r="F927" s="1">
        <v>900000</v>
      </c>
      <c r="G927" s="1">
        <v>96</v>
      </c>
      <c r="H927" s="1" t="str" cm="1">
        <f t="array" ref="H927">_xlfn.IFS( OR(G927=" ",NOT(ISNUMBER(G927))),"Unknown",G927&lt;=33,"Low Spender",G927&lt;=66,"Medium Spender",TRUE, "High Spender")</f>
        <v>High Spender</v>
      </c>
      <c r="I927" s="1">
        <v>13</v>
      </c>
      <c r="J927" s="1">
        <v>6400</v>
      </c>
      <c r="K927" s="1">
        <v>279</v>
      </c>
      <c r="L927" s="1" t="s">
        <v>16</v>
      </c>
      <c r="M927" s="1" t="s">
        <v>41</v>
      </c>
      <c r="N927" s="1" t="str">
        <f t="shared" si="28"/>
        <v>Lower</v>
      </c>
      <c r="O927" s="1" t="str">
        <f t="shared" si="29"/>
        <v>Young Adult | High Spender | Lower</v>
      </c>
    </row>
    <row r="928" spans="1:15" x14ac:dyDescent="0.25">
      <c r="A928" s="1" t="s">
        <v>958</v>
      </c>
      <c r="B928" s="1">
        <v>47</v>
      </c>
      <c r="C928" s="1" t="str" cm="1">
        <f t="array" ref="C928">_xlfn.IFS(OR(B928=" ", B928="NA",NOT(ISNUMBER(B928))), "Unknown",B928&lt;18,"Underage",B928&lt;=24,"Young Adult",B928&lt;=34,"Early Career",B928&lt;=44,"Mid Career",B928&lt;=54,"Mature",B928&lt;=65,"Pre-Senior",B928&gt;65,"Senior")</f>
        <v>Mature</v>
      </c>
      <c r="D928" s="1" t="s">
        <v>29</v>
      </c>
      <c r="E928" s="1" t="s">
        <v>23</v>
      </c>
      <c r="F928" s="1">
        <v>1500000</v>
      </c>
      <c r="G928" s="1">
        <v>11</v>
      </c>
      <c r="H928" s="1" t="str" cm="1">
        <f t="array" ref="H928">_xlfn.IFS( OR(G928=" ",NOT(ISNUMBER(G928))),"Unknown",G928&lt;=33,"Low Spender",G928&lt;=66,"Medium Spender",TRUE, "High Spender")</f>
        <v>Low Spender</v>
      </c>
      <c r="I928" s="1">
        <v>43</v>
      </c>
      <c r="J928" s="1">
        <v>1000</v>
      </c>
      <c r="K928" s="1">
        <v>310</v>
      </c>
      <c r="L928" s="1" t="s">
        <v>20</v>
      </c>
      <c r="N928" s="1" t="str">
        <f t="shared" si="28"/>
        <v>Higher</v>
      </c>
      <c r="O928" s="1" t="str">
        <f t="shared" si="29"/>
        <v>Mature | Low Spender | Higher</v>
      </c>
    </row>
    <row r="929" spans="1:15" x14ac:dyDescent="0.25">
      <c r="A929" s="1" t="s">
        <v>959</v>
      </c>
      <c r="B929" s="1">
        <v>47</v>
      </c>
      <c r="C929" s="1" t="str" cm="1">
        <f t="array" ref="C929">_xlfn.IFS(OR(B929=" ", B929="NA",NOT(ISNUMBER(B929))), "Unknown",B929&lt;18,"Underage",B929&lt;=24,"Young Adult",B929&lt;=34,"Early Career",B929&lt;=44,"Mid Career",B929&lt;=54,"Mature",B929&lt;=65,"Pre-Senior",B929&gt;65,"Senior")</f>
        <v>Mature</v>
      </c>
      <c r="F929" s="1">
        <v>425000</v>
      </c>
      <c r="G929" s="1">
        <v>24</v>
      </c>
      <c r="H929" s="1" t="str" cm="1">
        <f t="array" ref="H929">_xlfn.IFS( OR(G929=" ",NOT(ISNUMBER(G929))),"Unknown",G929&lt;=33,"Low Spender",G929&lt;=66,"Medium Spender",TRUE, "High Spender")</f>
        <v>Low Spender</v>
      </c>
      <c r="I929" s="1">
        <v>37</v>
      </c>
      <c r="J929" s="1">
        <v>3200</v>
      </c>
      <c r="K929" s="1">
        <v>134</v>
      </c>
      <c r="M929" s="1" t="s">
        <v>30</v>
      </c>
      <c r="N929" s="1" t="str">
        <f t="shared" si="28"/>
        <v>Lower</v>
      </c>
      <c r="O929" s="1" t="str">
        <f t="shared" si="29"/>
        <v>Mature | Low Spender | Lower</v>
      </c>
    </row>
    <row r="930" spans="1:15" x14ac:dyDescent="0.25">
      <c r="A930" s="1" t="s">
        <v>960</v>
      </c>
      <c r="B930" s="1">
        <v>34</v>
      </c>
      <c r="C930" s="1" t="str" cm="1">
        <f t="array" ref="C930">_xlfn.IFS(OR(B930=" ", B930="NA",NOT(ISNUMBER(B930))), "Unknown",B930&lt;18,"Underage",B930&lt;=24,"Young Adult",B930&lt;=34,"Early Career",B930&lt;=44,"Mid Career",B930&lt;=54,"Mature",B930&lt;=65,"Pre-Senior",B930&gt;65,"Senior")</f>
        <v>Early Career</v>
      </c>
      <c r="D930" s="1" t="s">
        <v>12</v>
      </c>
      <c r="E930" s="1" t="s">
        <v>15</v>
      </c>
      <c r="F930" s="1">
        <v>400000</v>
      </c>
      <c r="G930" s="1">
        <v>67</v>
      </c>
      <c r="H930" s="1" t="str" cm="1">
        <f t="array" ref="H930">_xlfn.IFS( OR(G930=" ",NOT(ISNUMBER(G930))),"Unknown",G930&lt;=33,"Low Spender",G930&lt;=66,"Medium Spender",TRUE, "High Spender")</f>
        <v>High Spender</v>
      </c>
      <c r="I930" s="1">
        <v>74</v>
      </c>
      <c r="J930" s="1">
        <v>7900</v>
      </c>
      <c r="K930" s="1">
        <v>220</v>
      </c>
      <c r="L930" s="1" t="s">
        <v>37</v>
      </c>
      <c r="M930" s="1" t="s">
        <v>41</v>
      </c>
      <c r="N930" s="1" t="str">
        <f t="shared" si="28"/>
        <v>Lower</v>
      </c>
      <c r="O930" s="1" t="str">
        <f t="shared" si="29"/>
        <v>Early Career | High Spender | Lower</v>
      </c>
    </row>
    <row r="931" spans="1:15" x14ac:dyDescent="0.25">
      <c r="A931" s="1" t="s">
        <v>961</v>
      </c>
      <c r="B931" s="1">
        <v>65</v>
      </c>
      <c r="C931" s="1" t="str" cm="1">
        <f t="array" ref="C931">_xlfn.IFS(OR(B931=" ", B931="NA",NOT(ISNUMBER(B931))), "Unknown",B931&lt;18,"Underage",B931&lt;=24,"Young Adult",B931&lt;=34,"Early Career",B931&lt;=44,"Mid Career",B931&lt;=54,"Mature",B931&lt;=65,"Pre-Senior",B931&gt;65,"Senior")</f>
        <v>Pre-Senior</v>
      </c>
      <c r="E931" s="1" t="s">
        <v>58</v>
      </c>
      <c r="F931" s="1">
        <v>1925000</v>
      </c>
      <c r="G931" s="1">
        <v>30</v>
      </c>
      <c r="H931" s="1" t="str" cm="1">
        <f t="array" ref="H931">_xlfn.IFS( OR(G931=" ",NOT(ISNUMBER(G931))),"Unknown",G931&lt;=33,"Low Spender",G931&lt;=66,"Medium Spender",TRUE, "High Spender")</f>
        <v>Low Spender</v>
      </c>
      <c r="I931" s="1">
        <v>25</v>
      </c>
      <c r="J931" s="1">
        <v>8200</v>
      </c>
      <c r="K931" s="1">
        <v>163</v>
      </c>
      <c r="L931" s="1" t="s">
        <v>20</v>
      </c>
      <c r="M931" s="1" t="s">
        <v>21</v>
      </c>
      <c r="N931" s="1" t="str">
        <f t="shared" si="28"/>
        <v>Lower</v>
      </c>
      <c r="O931" s="1" t="str">
        <f t="shared" si="29"/>
        <v>Pre-Senior | Low Spender | Lower</v>
      </c>
    </row>
    <row r="932" spans="1:15" x14ac:dyDescent="0.25">
      <c r="A932" s="1" t="s">
        <v>962</v>
      </c>
      <c r="B932" s="1">
        <v>64</v>
      </c>
      <c r="C932" s="1" t="str" cm="1">
        <f t="array" ref="C932">_xlfn.IFS(OR(B932=" ", B932="NA",NOT(ISNUMBER(B932))), "Unknown",B932&lt;18,"Underage",B932&lt;=24,"Young Adult",B932&lt;=34,"Early Career",B932&lt;=44,"Mid Career",B932&lt;=54,"Mature",B932&lt;=65,"Pre-Senior",B932&gt;65,"Senior")</f>
        <v>Pre-Senior</v>
      </c>
      <c r="D932" s="1" t="s">
        <v>12</v>
      </c>
      <c r="E932" s="1" t="s">
        <v>49</v>
      </c>
      <c r="F932" s="1">
        <v>925000</v>
      </c>
      <c r="G932" s="1">
        <v>70</v>
      </c>
      <c r="H932" s="1" t="str" cm="1">
        <f t="array" ref="H932">_xlfn.IFS( OR(G932=" ",NOT(ISNUMBER(G932))),"Unknown",G932&lt;=33,"Low Spender",G932&lt;=66,"Medium Spender",TRUE, "High Spender")</f>
        <v>High Spender</v>
      </c>
      <c r="I932" s="1">
        <v>21</v>
      </c>
      <c r="J932" s="1">
        <v>6800</v>
      </c>
      <c r="K932" s="1">
        <v>136</v>
      </c>
      <c r="L932" s="1" t="s">
        <v>35</v>
      </c>
      <c r="N932" s="1" t="str">
        <f t="shared" si="28"/>
        <v>Lower</v>
      </c>
      <c r="O932" s="1" t="str">
        <f t="shared" si="29"/>
        <v>Pre-Senior | High Spender | Lower</v>
      </c>
    </row>
    <row r="933" spans="1:15" x14ac:dyDescent="0.25">
      <c r="A933" s="1" t="s">
        <v>963</v>
      </c>
      <c r="B933" s="1">
        <v>40</v>
      </c>
      <c r="C933" s="1" t="str" cm="1">
        <f t="array" ref="C933">_xlfn.IFS(OR(B933=" ", B933="NA",NOT(ISNUMBER(B933))), "Unknown",B933&lt;18,"Underage",B933&lt;=24,"Young Adult",B933&lt;=34,"Early Career",B933&lt;=44,"Mid Career",B933&lt;=54,"Mature",B933&lt;=65,"Pre-Senior",B933&gt;65,"Senior")</f>
        <v>Mid Career</v>
      </c>
      <c r="E933" s="1" t="s">
        <v>15</v>
      </c>
      <c r="F933" s="1">
        <v>1550000</v>
      </c>
      <c r="G933" s="1">
        <v>66</v>
      </c>
      <c r="H933" s="1" t="str" cm="1">
        <f t="array" ref="H933">_xlfn.IFS( OR(G933=" ",NOT(ISNUMBER(G933))),"Unknown",G933&lt;=33,"Low Spender",G933&lt;=66,"Medium Spender",TRUE, "High Spender")</f>
        <v>Medium Spender</v>
      </c>
      <c r="I933" s="1">
        <v>41</v>
      </c>
      <c r="J933" s="1">
        <v>4700</v>
      </c>
      <c r="K933" s="1">
        <v>57</v>
      </c>
      <c r="L933" s="1" t="s">
        <v>16</v>
      </c>
      <c r="N933" s="1" t="str">
        <f t="shared" si="28"/>
        <v>Lower</v>
      </c>
      <c r="O933" s="1" t="str">
        <f t="shared" si="29"/>
        <v>Mid Career | Medium Spender | Lower</v>
      </c>
    </row>
    <row r="934" spans="1:15" x14ac:dyDescent="0.25">
      <c r="A934" s="1" t="s">
        <v>964</v>
      </c>
      <c r="B934" s="1">
        <v>32</v>
      </c>
      <c r="C934" s="1" t="str" cm="1">
        <f t="array" ref="C934">_xlfn.IFS(OR(B934=" ", B934="NA",NOT(ISNUMBER(B934))), "Unknown",B934&lt;18,"Underage",B934&lt;=24,"Young Adult",B934&lt;=34,"Early Career",B934&lt;=44,"Mid Career",B934&lt;=54,"Mature",B934&lt;=65,"Pre-Senior",B934&gt;65,"Senior")</f>
        <v>Early Career</v>
      </c>
      <c r="D934" s="1" t="s">
        <v>29</v>
      </c>
      <c r="E934" s="1" t="s">
        <v>23</v>
      </c>
      <c r="F934" s="1">
        <v>1075000</v>
      </c>
      <c r="G934" s="1">
        <v>61</v>
      </c>
      <c r="H934" s="1" t="str" cm="1">
        <f t="array" ref="H934">_xlfn.IFS( OR(G934=" ",NOT(ISNUMBER(G934))),"Unknown",G934&lt;=33,"Low Spender",G934&lt;=66,"Medium Spender",TRUE, "High Spender")</f>
        <v>Medium Spender</v>
      </c>
      <c r="I934" s="1">
        <v>73</v>
      </c>
      <c r="J934" s="1">
        <v>2000</v>
      </c>
      <c r="K934" s="1">
        <v>177</v>
      </c>
      <c r="L934" s="1" t="s">
        <v>35</v>
      </c>
      <c r="M934" s="1" t="s">
        <v>21</v>
      </c>
      <c r="N934" s="1" t="str">
        <f t="shared" si="28"/>
        <v>Higher</v>
      </c>
      <c r="O934" s="1" t="str">
        <f t="shared" si="29"/>
        <v>Early Career | Medium Spender | Higher</v>
      </c>
    </row>
    <row r="935" spans="1:15" x14ac:dyDescent="0.25">
      <c r="A935" s="1" t="s">
        <v>965</v>
      </c>
      <c r="B935" s="1">
        <v>54</v>
      </c>
      <c r="C935" s="1" t="str" cm="1">
        <f t="array" ref="C935">_xlfn.IFS(OR(B935=" ", B935="NA",NOT(ISNUMBER(B935))), "Unknown",B935&lt;18,"Underage",B935&lt;=24,"Young Adult",B935&lt;=34,"Early Career",B935&lt;=44,"Mid Career",B935&lt;=54,"Mature",B935&lt;=65,"Pre-Senior",B935&gt;65,"Senior")</f>
        <v>Mature</v>
      </c>
      <c r="D935" s="1" t="s">
        <v>29</v>
      </c>
      <c r="E935" s="1" t="s">
        <v>49</v>
      </c>
      <c r="F935" s="1">
        <v>1625000</v>
      </c>
      <c r="G935" s="1">
        <v>78</v>
      </c>
      <c r="H935" s="1" t="str" cm="1">
        <f t="array" ref="H935">_xlfn.IFS( OR(G935=" ",NOT(ISNUMBER(G935))),"Unknown",G935&lt;=33,"Low Spender",G935&lt;=66,"Medium Spender",TRUE, "High Spender")</f>
        <v>High Spender</v>
      </c>
      <c r="I935" s="1">
        <v>42</v>
      </c>
      <c r="J935" s="1">
        <v>10100</v>
      </c>
      <c r="K935" s="1">
        <v>115</v>
      </c>
      <c r="L935" s="1" t="s">
        <v>16</v>
      </c>
      <c r="M935" s="1" t="s">
        <v>41</v>
      </c>
      <c r="N935" s="1" t="str">
        <f t="shared" si="28"/>
        <v>Higher</v>
      </c>
      <c r="O935" s="1" t="str">
        <f t="shared" si="29"/>
        <v>Mature | High Spender | Higher</v>
      </c>
    </row>
    <row r="936" spans="1:15" x14ac:dyDescent="0.25">
      <c r="A936" s="1" t="s">
        <v>966</v>
      </c>
      <c r="B936" s="1">
        <v>38</v>
      </c>
      <c r="C936" s="1" t="str" cm="1">
        <f t="array" ref="C936">_xlfn.IFS(OR(B936=" ", B936="NA",NOT(ISNUMBER(B936))), "Unknown",B936&lt;18,"Underage",B936&lt;=24,"Young Adult",B936&lt;=34,"Early Career",B936&lt;=44,"Mid Career",B936&lt;=54,"Mature",B936&lt;=65,"Pre-Senior",B936&gt;65,"Senior")</f>
        <v>Mid Career</v>
      </c>
      <c r="D936" s="1" t="s">
        <v>29</v>
      </c>
      <c r="F936" s="1">
        <v>600000</v>
      </c>
      <c r="G936" s="1">
        <v>41</v>
      </c>
      <c r="H936" s="1" t="str" cm="1">
        <f t="array" ref="H936">_xlfn.IFS( OR(G936=" ",NOT(ISNUMBER(G936))),"Unknown",G936&lt;=33,"Low Spender",G936&lt;=66,"Medium Spender",TRUE, "High Spender")</f>
        <v>Medium Spender</v>
      </c>
      <c r="I936" s="1">
        <v>42</v>
      </c>
      <c r="J936" s="1">
        <v>4700</v>
      </c>
      <c r="K936" s="1">
        <v>149</v>
      </c>
      <c r="L936" s="1" t="s">
        <v>37</v>
      </c>
      <c r="M936" s="1" t="s">
        <v>32</v>
      </c>
      <c r="N936" s="1" t="str">
        <f t="shared" si="28"/>
        <v>Higher</v>
      </c>
      <c r="O936" s="1" t="str">
        <f t="shared" si="29"/>
        <v>Mid Career | Medium Spender | Higher</v>
      </c>
    </row>
    <row r="937" spans="1:15" x14ac:dyDescent="0.25">
      <c r="A937" s="1" t="s">
        <v>967</v>
      </c>
      <c r="B937" s="1">
        <v>31</v>
      </c>
      <c r="C937" s="1" t="str" cm="1">
        <f t="array" ref="C937">_xlfn.IFS(OR(B937=" ", B937="NA",NOT(ISNUMBER(B937))), "Unknown",B937&lt;18,"Underage",B937&lt;=24,"Young Adult",B937&lt;=34,"Early Career",B937&lt;=44,"Mid Career",B937&lt;=54,"Mature",B937&lt;=65,"Pre-Senior",B937&gt;65,"Senior")</f>
        <v>Early Career</v>
      </c>
      <c r="E937" s="1" t="s">
        <v>34</v>
      </c>
      <c r="F937" s="1">
        <v>1525000</v>
      </c>
      <c r="G937" s="1">
        <v>82</v>
      </c>
      <c r="H937" s="1" t="str" cm="1">
        <f t="array" ref="H937">_xlfn.IFS( OR(G937=" ",NOT(ISNUMBER(G937))),"Unknown",G937&lt;=33,"Low Spender",G937&lt;=66,"Medium Spender",TRUE, "High Spender")</f>
        <v>High Spender</v>
      </c>
      <c r="I937" s="1">
        <v>2</v>
      </c>
      <c r="J937" s="1">
        <v>2100</v>
      </c>
      <c r="K937" s="1">
        <v>241</v>
      </c>
      <c r="L937" s="1" t="s">
        <v>20</v>
      </c>
      <c r="M937" s="1" t="s">
        <v>41</v>
      </c>
      <c r="N937" s="1" t="str">
        <f t="shared" si="28"/>
        <v>Lower</v>
      </c>
      <c r="O937" s="1" t="str">
        <f t="shared" si="29"/>
        <v>Early Career | High Spender | Lower</v>
      </c>
    </row>
    <row r="938" spans="1:15" x14ac:dyDescent="0.25">
      <c r="A938" s="1" t="s">
        <v>968</v>
      </c>
      <c r="B938" s="1">
        <v>19</v>
      </c>
      <c r="C938" s="1" t="str" cm="1">
        <f t="array" ref="C938">_xlfn.IFS(OR(B938=" ", B938="NA",NOT(ISNUMBER(B938))), "Unknown",B938&lt;18,"Underage",B938&lt;=24,"Young Adult",B938&lt;=34,"Early Career",B938&lt;=44,"Mid Career",B938&lt;=54,"Mature",B938&lt;=65,"Pre-Senior",B938&gt;65,"Senior")</f>
        <v>Young Adult</v>
      </c>
      <c r="D938" s="1" t="s">
        <v>12</v>
      </c>
      <c r="E938" s="1" t="s">
        <v>49</v>
      </c>
      <c r="F938" s="1">
        <v>475000</v>
      </c>
      <c r="G938" s="1">
        <v>51</v>
      </c>
      <c r="H938" s="1" t="str" cm="1">
        <f t="array" ref="H938">_xlfn.IFS( OR(G938=" ",NOT(ISNUMBER(G938))),"Unknown",G938&lt;=33,"Low Spender",G938&lt;=66,"Medium Spender",TRUE, "High Spender")</f>
        <v>Medium Spender</v>
      </c>
      <c r="I938" s="1">
        <v>68</v>
      </c>
      <c r="J938" s="1">
        <v>7900</v>
      </c>
      <c r="K938" s="1">
        <v>123</v>
      </c>
      <c r="M938" s="1" t="s">
        <v>30</v>
      </c>
      <c r="N938" s="1" t="str">
        <f t="shared" si="28"/>
        <v>Lower</v>
      </c>
      <c r="O938" s="1" t="str">
        <f t="shared" si="29"/>
        <v>Young Adult | Medium Spender | Lower</v>
      </c>
    </row>
    <row r="939" spans="1:15" x14ac:dyDescent="0.25">
      <c r="A939" s="1" t="s">
        <v>969</v>
      </c>
      <c r="B939" s="1">
        <v>28</v>
      </c>
      <c r="C939" s="1" t="str" cm="1">
        <f t="array" ref="C939">_xlfn.IFS(OR(B939=" ", B939="NA",NOT(ISNUMBER(B939))), "Unknown",B939&lt;18,"Underage",B939&lt;=24,"Young Adult",B939&lt;=34,"Early Career",B939&lt;=44,"Mid Career",B939&lt;=54,"Mature",B939&lt;=65,"Pre-Senior",B939&gt;65,"Senior")</f>
        <v>Early Career</v>
      </c>
      <c r="D939" s="1" t="s">
        <v>12</v>
      </c>
      <c r="E939" s="1" t="s">
        <v>34</v>
      </c>
      <c r="F939" s="1">
        <v>950000</v>
      </c>
      <c r="G939" s="1">
        <v>44</v>
      </c>
      <c r="H939" s="1" t="str" cm="1">
        <f t="array" ref="H939">_xlfn.IFS( OR(G939=" ",NOT(ISNUMBER(G939))),"Unknown",G939&lt;=33,"Low Spender",G939&lt;=66,"Medium Spender",TRUE, "High Spender")</f>
        <v>Medium Spender</v>
      </c>
      <c r="I939" s="1">
        <v>8</v>
      </c>
      <c r="J939" s="1">
        <v>11700</v>
      </c>
      <c r="K939" s="1">
        <v>292</v>
      </c>
      <c r="L939" s="1" t="s">
        <v>20</v>
      </c>
      <c r="M939" s="1" t="s">
        <v>30</v>
      </c>
      <c r="N939" s="1" t="str">
        <f t="shared" si="28"/>
        <v>Lower</v>
      </c>
      <c r="O939" s="1" t="str">
        <f t="shared" si="29"/>
        <v>Early Career | Medium Spender | Lower</v>
      </c>
    </row>
    <row r="940" spans="1:15" x14ac:dyDescent="0.25">
      <c r="A940" s="1" t="s">
        <v>970</v>
      </c>
      <c r="B940" s="1">
        <v>68</v>
      </c>
      <c r="C940" s="1" t="str" cm="1">
        <f t="array" ref="C940">_xlfn.IFS(OR(B940=" ", B940="NA",NOT(ISNUMBER(B940))), "Unknown",B940&lt;18,"Underage",B940&lt;=24,"Young Adult",B940&lt;=34,"Early Career",B940&lt;=44,"Mid Career",B940&lt;=54,"Mature",B940&lt;=65,"Pre-Senior",B940&gt;65,"Senior")</f>
        <v>Senior</v>
      </c>
      <c r="D940" s="1" t="s">
        <v>12</v>
      </c>
      <c r="E940" s="1" t="s">
        <v>19</v>
      </c>
      <c r="F940" s="1">
        <v>375000</v>
      </c>
      <c r="G940" s="1">
        <v>95</v>
      </c>
      <c r="H940" s="1" t="str" cm="1">
        <f t="array" ref="H940">_xlfn.IFS( OR(G940=" ",NOT(ISNUMBER(G940))),"Unknown",G940&lt;=33,"Low Spender",G940&lt;=66,"Medium Spender",TRUE, "High Spender")</f>
        <v>High Spender</v>
      </c>
      <c r="I940" s="1">
        <v>61</v>
      </c>
      <c r="J940" s="1">
        <v>7000</v>
      </c>
      <c r="K940" s="1">
        <v>327</v>
      </c>
      <c r="L940" s="1" t="s">
        <v>16</v>
      </c>
      <c r="M940" s="1" t="s">
        <v>41</v>
      </c>
      <c r="N940" s="1" t="str">
        <f t="shared" si="28"/>
        <v>Lower</v>
      </c>
      <c r="O940" s="1" t="str">
        <f t="shared" si="29"/>
        <v>Senior | High Spender | Lower</v>
      </c>
    </row>
    <row r="941" spans="1:15" x14ac:dyDescent="0.25">
      <c r="A941" s="1" t="s">
        <v>971</v>
      </c>
      <c r="B941" s="1">
        <v>56</v>
      </c>
      <c r="C941" s="1" t="str" cm="1">
        <f t="array" ref="C941">_xlfn.IFS(OR(B941=" ", B941="NA",NOT(ISNUMBER(B941))), "Unknown",B941&lt;18,"Underage",B941&lt;=24,"Young Adult",B941&lt;=34,"Early Career",B941&lt;=44,"Mid Career",B941&lt;=54,"Mature",B941&lt;=65,"Pre-Senior",B941&gt;65,"Senior")</f>
        <v>Pre-Senior</v>
      </c>
      <c r="D941" s="1" t="s">
        <v>29</v>
      </c>
      <c r="E941" s="1" t="s">
        <v>27</v>
      </c>
      <c r="F941" s="1">
        <v>1725000</v>
      </c>
      <c r="G941" s="1">
        <v>13</v>
      </c>
      <c r="H941" s="1" t="str" cm="1">
        <f t="array" ref="H941">_xlfn.IFS( OR(G941=" ",NOT(ISNUMBER(G941))),"Unknown",G941&lt;=33,"Low Spender",G941&lt;=66,"Medium Spender",TRUE, "High Spender")</f>
        <v>Low Spender</v>
      </c>
      <c r="I941" s="1">
        <v>14</v>
      </c>
      <c r="J941" s="1">
        <v>8500</v>
      </c>
      <c r="K941" s="1">
        <v>69</v>
      </c>
      <c r="N941" s="1" t="str">
        <f t="shared" si="28"/>
        <v>Higher</v>
      </c>
      <c r="O941" s="1" t="str">
        <f t="shared" si="29"/>
        <v>Pre-Senior | Low Spender | Higher</v>
      </c>
    </row>
    <row r="942" spans="1:15" x14ac:dyDescent="0.25">
      <c r="A942" s="1" t="s">
        <v>972</v>
      </c>
      <c r="B942" s="1">
        <v>55</v>
      </c>
      <c r="C942" s="1" t="str" cm="1">
        <f t="array" ref="C942">_xlfn.IFS(OR(B942=" ", B942="NA",NOT(ISNUMBER(B942))), "Unknown",B942&lt;18,"Underage",B942&lt;=24,"Young Adult",B942&lt;=34,"Early Career",B942&lt;=44,"Mid Career",B942&lt;=54,"Mature",B942&lt;=65,"Pre-Senior",B942&gt;65,"Senior")</f>
        <v>Pre-Senior</v>
      </c>
      <c r="D942" s="1" t="s">
        <v>12</v>
      </c>
      <c r="E942" s="1" t="s">
        <v>13</v>
      </c>
      <c r="F942" s="1">
        <v>1725000</v>
      </c>
      <c r="G942" s="1">
        <v>90</v>
      </c>
      <c r="H942" s="1" t="str" cm="1">
        <f t="array" ref="H942">_xlfn.IFS( OR(G942=" ",NOT(ISNUMBER(G942))),"Unknown",G942&lt;=33,"Low Spender",G942&lt;=66,"Medium Spender",TRUE, "High Spender")</f>
        <v>High Spender</v>
      </c>
      <c r="I942" s="1">
        <v>77</v>
      </c>
      <c r="J942" s="1">
        <v>5200</v>
      </c>
      <c r="K942" s="1">
        <v>314</v>
      </c>
      <c r="L942" s="1" t="s">
        <v>35</v>
      </c>
      <c r="M942" s="1" t="s">
        <v>30</v>
      </c>
      <c r="N942" s="1" t="str">
        <f t="shared" si="28"/>
        <v>Lower</v>
      </c>
      <c r="O942" s="1" t="str">
        <f t="shared" si="29"/>
        <v>Pre-Senior | High Spender | Lower</v>
      </c>
    </row>
    <row r="943" spans="1:15" x14ac:dyDescent="0.25">
      <c r="A943" s="1" t="s">
        <v>973</v>
      </c>
      <c r="B943" s="1">
        <v>51</v>
      </c>
      <c r="C943" s="1" t="str" cm="1">
        <f t="array" ref="C943">_xlfn.IFS(OR(B943=" ", B943="NA",NOT(ISNUMBER(B943))), "Unknown",B943&lt;18,"Underage",B943&lt;=24,"Young Adult",B943&lt;=34,"Early Career",B943&lt;=44,"Mid Career",B943&lt;=54,"Mature",B943&lt;=65,"Pre-Senior",B943&gt;65,"Senior")</f>
        <v>Mature</v>
      </c>
      <c r="D943" s="1" t="s">
        <v>29</v>
      </c>
      <c r="E943" s="1" t="s">
        <v>58</v>
      </c>
      <c r="F943" s="1">
        <v>1675000</v>
      </c>
      <c r="G943" s="1">
        <v>12</v>
      </c>
      <c r="H943" s="1" t="str" cm="1">
        <f t="array" ref="H943">_xlfn.IFS( OR(G943=" ",NOT(ISNUMBER(G943))),"Unknown",G943&lt;=33,"Low Spender",G943&lt;=66,"Medium Spender",TRUE, "High Spender")</f>
        <v>Low Spender</v>
      </c>
      <c r="I943" s="1">
        <v>21</v>
      </c>
      <c r="J943" s="1">
        <v>2700</v>
      </c>
      <c r="K943" s="1">
        <v>63</v>
      </c>
      <c r="M943" s="1" t="s">
        <v>32</v>
      </c>
      <c r="N943" s="1" t="str">
        <f t="shared" si="28"/>
        <v>Higher</v>
      </c>
      <c r="O943" s="1" t="str">
        <f t="shared" si="29"/>
        <v>Mature | Low Spender | Higher</v>
      </c>
    </row>
    <row r="944" spans="1:15" x14ac:dyDescent="0.25">
      <c r="A944" s="1" t="s">
        <v>974</v>
      </c>
      <c r="B944" s="1">
        <v>55</v>
      </c>
      <c r="C944" s="1" t="str" cm="1">
        <f t="array" ref="C944">_xlfn.IFS(OR(B944=" ", B944="NA",NOT(ISNUMBER(B944))), "Unknown",B944&lt;18,"Underage",B944&lt;=24,"Young Adult",B944&lt;=34,"Early Career",B944&lt;=44,"Mid Career",B944&lt;=54,"Mature",B944&lt;=65,"Pre-Senior",B944&gt;65,"Senior")</f>
        <v>Pre-Senior</v>
      </c>
      <c r="D944" s="1" t="s">
        <v>29</v>
      </c>
      <c r="E944" s="1" t="s">
        <v>13</v>
      </c>
      <c r="F944" s="1">
        <v>1825000</v>
      </c>
      <c r="G944" s="1">
        <v>82</v>
      </c>
      <c r="H944" s="1" t="str" cm="1">
        <f t="array" ref="H944">_xlfn.IFS( OR(G944=" ",NOT(ISNUMBER(G944))),"Unknown",G944&lt;=33,"Low Spender",G944&lt;=66,"Medium Spender",TRUE, "High Spender")</f>
        <v>High Spender</v>
      </c>
      <c r="I944" s="1">
        <v>24</v>
      </c>
      <c r="J944" s="1">
        <v>4000</v>
      </c>
      <c r="K944" s="1">
        <v>221</v>
      </c>
      <c r="N944" s="1" t="str">
        <f t="shared" si="28"/>
        <v>Higher</v>
      </c>
      <c r="O944" s="1" t="str">
        <f t="shared" si="29"/>
        <v>Pre-Senior | High Spender | Higher</v>
      </c>
    </row>
    <row r="945" spans="1:15" x14ac:dyDescent="0.25">
      <c r="A945" s="1" t="s">
        <v>975</v>
      </c>
      <c r="B945" s="1">
        <v>67</v>
      </c>
      <c r="C945" s="1" t="str" cm="1">
        <f t="array" ref="C945">_xlfn.IFS(OR(B945=" ", B945="NA",NOT(ISNUMBER(B945))), "Unknown",B945&lt;18,"Underage",B945&lt;=24,"Young Adult",B945&lt;=34,"Early Career",B945&lt;=44,"Mid Career",B945&lt;=54,"Mature",B945&lt;=65,"Pre-Senior",B945&gt;65,"Senior")</f>
        <v>Senior</v>
      </c>
      <c r="D945" s="1" t="s">
        <v>29</v>
      </c>
      <c r="E945" s="1" t="s">
        <v>19</v>
      </c>
      <c r="F945" s="1">
        <v>1200000</v>
      </c>
      <c r="G945" s="1">
        <v>9</v>
      </c>
      <c r="H945" s="1" t="str" cm="1">
        <f t="array" ref="H945">_xlfn.IFS( OR(G945=" ",NOT(ISNUMBER(G945))),"Unknown",G945&lt;=33,"Low Spender",G945&lt;=66,"Medium Spender",TRUE, "High Spender")</f>
        <v>Low Spender</v>
      </c>
      <c r="I945" s="1">
        <v>50</v>
      </c>
      <c r="J945" s="1">
        <v>11700</v>
      </c>
      <c r="K945" s="1">
        <v>16</v>
      </c>
      <c r="L945" s="1" t="s">
        <v>20</v>
      </c>
      <c r="M945" s="1" t="s">
        <v>32</v>
      </c>
      <c r="N945" s="1" t="str">
        <f t="shared" si="28"/>
        <v>Higher</v>
      </c>
      <c r="O945" s="1" t="str">
        <f t="shared" si="29"/>
        <v>Senior | Low Spender | Higher</v>
      </c>
    </row>
    <row r="946" spans="1:15" x14ac:dyDescent="0.25">
      <c r="A946" s="1" t="s">
        <v>976</v>
      </c>
      <c r="B946" s="1">
        <v>51</v>
      </c>
      <c r="C946" s="1" t="str" cm="1">
        <f t="array" ref="C946">_xlfn.IFS(OR(B946=" ", B946="NA",NOT(ISNUMBER(B946))), "Unknown",B946&lt;18,"Underage",B946&lt;=24,"Young Adult",B946&lt;=34,"Early Career",B946&lt;=44,"Mid Career",B946&lt;=54,"Mature",B946&lt;=65,"Pre-Senior",B946&gt;65,"Senior")</f>
        <v>Mature</v>
      </c>
      <c r="E946" s="1" t="s">
        <v>49</v>
      </c>
      <c r="F946" s="1">
        <v>1600000</v>
      </c>
      <c r="G946" s="1">
        <v>85</v>
      </c>
      <c r="H946" s="1" t="str" cm="1">
        <f t="array" ref="H946">_xlfn.IFS( OR(G946=" ",NOT(ISNUMBER(G946))),"Unknown",G946&lt;=33,"Low Spender",G946&lt;=66,"Medium Spender",TRUE, "High Spender")</f>
        <v>High Spender</v>
      </c>
      <c r="I946" s="1">
        <v>45</v>
      </c>
      <c r="J946" s="1">
        <v>9700</v>
      </c>
      <c r="K946" s="1">
        <v>78</v>
      </c>
      <c r="L946" s="1" t="s">
        <v>20</v>
      </c>
      <c r="N946" s="1" t="str">
        <f t="shared" si="28"/>
        <v>Lower</v>
      </c>
      <c r="O946" s="1" t="str">
        <f t="shared" si="29"/>
        <v>Mature | High Spender | Lower</v>
      </c>
    </row>
    <row r="947" spans="1:15" x14ac:dyDescent="0.25">
      <c r="A947" s="1" t="s">
        <v>977</v>
      </c>
      <c r="B947" s="1">
        <v>35</v>
      </c>
      <c r="C947" s="1" t="str" cm="1">
        <f t="array" ref="C947">_xlfn.IFS(OR(B947=" ", B947="NA",NOT(ISNUMBER(B947))), "Unknown",B947&lt;18,"Underage",B947&lt;=24,"Young Adult",B947&lt;=34,"Early Career",B947&lt;=44,"Mid Career",B947&lt;=54,"Mature",B947&lt;=65,"Pre-Senior",B947&gt;65,"Senior")</f>
        <v>Mid Career</v>
      </c>
      <c r="E947" s="1" t="s">
        <v>19</v>
      </c>
      <c r="F947" s="1">
        <v>1425000</v>
      </c>
      <c r="G947" s="1">
        <v>48</v>
      </c>
      <c r="H947" s="1" t="str" cm="1">
        <f t="array" ref="H947">_xlfn.IFS( OR(G947=" ",NOT(ISNUMBER(G947))),"Unknown",G947&lt;=33,"Low Spender",G947&lt;=66,"Medium Spender",TRUE, "High Spender")</f>
        <v>Medium Spender</v>
      </c>
      <c r="I947" s="1">
        <v>64</v>
      </c>
      <c r="J947" s="1">
        <v>3800</v>
      </c>
      <c r="K947" s="1">
        <v>122</v>
      </c>
      <c r="L947" s="1" t="s">
        <v>16</v>
      </c>
      <c r="M947" s="1" t="s">
        <v>30</v>
      </c>
      <c r="N947" s="1" t="str">
        <f t="shared" si="28"/>
        <v>Lower</v>
      </c>
      <c r="O947" s="1" t="str">
        <f t="shared" si="29"/>
        <v>Mid Career | Medium Spender | Lower</v>
      </c>
    </row>
    <row r="948" spans="1:15" x14ac:dyDescent="0.25">
      <c r="A948" s="1" t="s">
        <v>978</v>
      </c>
      <c r="B948" s="1">
        <v>47</v>
      </c>
      <c r="C948" s="1" t="str" cm="1">
        <f t="array" ref="C948">_xlfn.IFS(OR(B948=" ", B948="NA",NOT(ISNUMBER(B948))), "Unknown",B948&lt;18,"Underage",B948&lt;=24,"Young Adult",B948&lt;=34,"Early Career",B948&lt;=44,"Mid Career",B948&lt;=54,"Mature",B948&lt;=65,"Pre-Senior",B948&gt;65,"Senior")</f>
        <v>Mature</v>
      </c>
      <c r="D948" s="1" t="s">
        <v>29</v>
      </c>
      <c r="E948" s="1" t="s">
        <v>13</v>
      </c>
      <c r="F948" s="1">
        <v>600000</v>
      </c>
      <c r="G948" s="1">
        <v>49</v>
      </c>
      <c r="H948" s="1" t="str" cm="1">
        <f t="array" ref="H948">_xlfn.IFS( OR(G948=" ",NOT(ISNUMBER(G948))),"Unknown",G948&lt;=33,"Low Spender",G948&lt;=66,"Medium Spender",TRUE, "High Spender")</f>
        <v>Medium Spender</v>
      </c>
      <c r="I948" s="1">
        <v>64</v>
      </c>
      <c r="J948" s="1">
        <v>7000</v>
      </c>
      <c r="K948" s="1">
        <v>258</v>
      </c>
      <c r="N948" s="1" t="str">
        <f t="shared" si="28"/>
        <v>Higher</v>
      </c>
      <c r="O948" s="1" t="str">
        <f t="shared" si="29"/>
        <v>Mature | Medium Spender | Higher</v>
      </c>
    </row>
    <row r="949" spans="1:15" x14ac:dyDescent="0.25">
      <c r="A949" s="1" t="s">
        <v>979</v>
      </c>
      <c r="B949" s="1">
        <v>32</v>
      </c>
      <c r="C949" s="1" t="str" cm="1">
        <f t="array" ref="C949">_xlfn.IFS(OR(B949=" ", B949="NA",NOT(ISNUMBER(B949))), "Unknown",B949&lt;18,"Underage",B949&lt;=24,"Young Adult",B949&lt;=34,"Early Career",B949&lt;=44,"Mid Career",B949&lt;=54,"Mature",B949&lt;=65,"Pre-Senior",B949&gt;65,"Senior")</f>
        <v>Early Career</v>
      </c>
      <c r="E949" s="1" t="s">
        <v>13</v>
      </c>
      <c r="F949" s="1">
        <v>650000</v>
      </c>
      <c r="G949" s="1">
        <v>53</v>
      </c>
      <c r="H949" s="1" t="str" cm="1">
        <f t="array" ref="H949">_xlfn.IFS( OR(G949=" ",NOT(ISNUMBER(G949))),"Unknown",G949&lt;=33,"Low Spender",G949&lt;=66,"Medium Spender",TRUE, "High Spender")</f>
        <v>Medium Spender</v>
      </c>
      <c r="I949" s="1">
        <v>26</v>
      </c>
      <c r="J949" s="1">
        <v>5800</v>
      </c>
      <c r="K949" s="1">
        <v>217</v>
      </c>
      <c r="L949" s="1" t="s">
        <v>35</v>
      </c>
      <c r="M949" s="1" t="s">
        <v>41</v>
      </c>
      <c r="N949" s="1" t="str">
        <f t="shared" si="28"/>
        <v>Lower</v>
      </c>
      <c r="O949" s="1" t="str">
        <f t="shared" si="29"/>
        <v>Early Career | Medium Spender | Lower</v>
      </c>
    </row>
    <row r="950" spans="1:15" x14ac:dyDescent="0.25">
      <c r="A950" s="1" t="s">
        <v>980</v>
      </c>
      <c r="B950" s="1">
        <v>44</v>
      </c>
      <c r="C950" s="1" t="str" cm="1">
        <f t="array" ref="C950">_xlfn.IFS(OR(B950=" ", B950="NA",NOT(ISNUMBER(B950))), "Unknown",B950&lt;18,"Underage",B950&lt;=24,"Young Adult",B950&lt;=34,"Early Career",B950&lt;=44,"Mid Career",B950&lt;=54,"Mature",B950&lt;=65,"Pre-Senior",B950&gt;65,"Senior")</f>
        <v>Mid Career</v>
      </c>
      <c r="E950" s="1" t="s">
        <v>58</v>
      </c>
      <c r="F950" s="1">
        <v>675000</v>
      </c>
      <c r="G950" s="1">
        <v>56</v>
      </c>
      <c r="H950" s="1" t="str" cm="1">
        <f t="array" ref="H950">_xlfn.IFS( OR(G950=" ",NOT(ISNUMBER(G950))),"Unknown",G950&lt;=33,"Low Spender",G950&lt;=66,"Medium Spender",TRUE, "High Spender")</f>
        <v>Medium Spender</v>
      </c>
      <c r="I950" s="1">
        <v>32</v>
      </c>
      <c r="J950" s="1">
        <v>4100</v>
      </c>
      <c r="K950" s="1">
        <v>114</v>
      </c>
      <c r="N950" s="1" t="str">
        <f t="shared" si="28"/>
        <v>Lower</v>
      </c>
      <c r="O950" s="1" t="str">
        <f t="shared" si="29"/>
        <v>Mid Career | Medium Spender | Lower</v>
      </c>
    </row>
    <row r="951" spans="1:15" x14ac:dyDescent="0.25">
      <c r="A951" s="1" t="s">
        <v>981</v>
      </c>
      <c r="B951" s="1">
        <v>68</v>
      </c>
      <c r="C951" s="1" t="str" cm="1">
        <f t="array" ref="C951">_xlfn.IFS(OR(B951=" ", B951="NA",NOT(ISNUMBER(B951))), "Unknown",B951&lt;18,"Underage",B951&lt;=24,"Young Adult",B951&lt;=34,"Early Career",B951&lt;=44,"Mid Career",B951&lt;=54,"Mature",B951&lt;=65,"Pre-Senior",B951&gt;65,"Senior")</f>
        <v>Senior</v>
      </c>
      <c r="E951" s="1" t="s">
        <v>15</v>
      </c>
      <c r="F951" s="1">
        <v>350000</v>
      </c>
      <c r="G951" s="1">
        <v>40</v>
      </c>
      <c r="H951" s="1" t="str" cm="1">
        <f t="array" ref="H951">_xlfn.IFS( OR(G951=" ",NOT(ISNUMBER(G951))),"Unknown",G951&lt;=33,"Low Spender",G951&lt;=66,"Medium Spender",TRUE, "High Spender")</f>
        <v>Medium Spender</v>
      </c>
      <c r="I951" s="1">
        <v>57</v>
      </c>
      <c r="J951" s="1">
        <v>6500</v>
      </c>
      <c r="K951" s="1">
        <v>146</v>
      </c>
      <c r="N951" s="1" t="str">
        <f t="shared" si="28"/>
        <v>Lower</v>
      </c>
      <c r="O951" s="1" t="str">
        <f t="shared" si="29"/>
        <v>Senior | Medium Spender | Lower</v>
      </c>
    </row>
    <row r="952" spans="1:15" x14ac:dyDescent="0.25">
      <c r="A952" s="1" t="s">
        <v>982</v>
      </c>
      <c r="B952" s="1">
        <v>51</v>
      </c>
      <c r="C952" s="1" t="str" cm="1">
        <f t="array" ref="C952">_xlfn.IFS(OR(B952=" ", B952="NA",NOT(ISNUMBER(B952))), "Unknown",B952&lt;18,"Underage",B952&lt;=24,"Young Adult",B952&lt;=34,"Early Career",B952&lt;=44,"Mid Career",B952&lt;=54,"Mature",B952&lt;=65,"Pre-Senior",B952&gt;65,"Senior")</f>
        <v>Mature</v>
      </c>
      <c r="D952" s="1" t="s">
        <v>18</v>
      </c>
      <c r="F952" s="1">
        <v>350000</v>
      </c>
      <c r="G952" s="1">
        <v>24</v>
      </c>
      <c r="H952" s="1" t="str" cm="1">
        <f t="array" ref="H952">_xlfn.IFS( OR(G952=" ",NOT(ISNUMBER(G952))),"Unknown",G952&lt;=33,"Low Spender",G952&lt;=66,"Medium Spender",TRUE, "High Spender")</f>
        <v>Low Spender</v>
      </c>
      <c r="I952" s="1">
        <v>53</v>
      </c>
      <c r="J952" s="1">
        <v>900</v>
      </c>
      <c r="K952" s="1">
        <v>237</v>
      </c>
      <c r="M952" s="1" t="s">
        <v>32</v>
      </c>
      <c r="N952" s="1" t="str">
        <f t="shared" si="28"/>
        <v>Higher</v>
      </c>
      <c r="O952" s="1" t="str">
        <f t="shared" si="29"/>
        <v>Mature | Low Spender | Higher</v>
      </c>
    </row>
    <row r="953" spans="1:15" x14ac:dyDescent="0.25">
      <c r="A953" s="1" t="s">
        <v>983</v>
      </c>
      <c r="B953" s="1">
        <v>69</v>
      </c>
      <c r="C953" s="1" t="str" cm="1">
        <f t="array" ref="C953">_xlfn.IFS(OR(B953=" ", B953="NA",NOT(ISNUMBER(B953))), "Unknown",B953&lt;18,"Underage",B953&lt;=24,"Young Adult",B953&lt;=34,"Early Career",B953&lt;=44,"Mid Career",B953&lt;=54,"Mature",B953&lt;=65,"Pre-Senior",B953&gt;65,"Senior")</f>
        <v>Senior</v>
      </c>
      <c r="D953" s="1" t="s">
        <v>18</v>
      </c>
      <c r="E953" s="1" t="s">
        <v>19</v>
      </c>
      <c r="F953" s="1">
        <v>1950000</v>
      </c>
      <c r="G953" s="1">
        <v>98</v>
      </c>
      <c r="H953" s="1" t="str" cm="1">
        <f t="array" ref="H953">_xlfn.IFS( OR(G953=" ",NOT(ISNUMBER(G953))),"Unknown",G953&lt;=33,"Low Spender",G953&lt;=66,"Medium Spender",TRUE, "High Spender")</f>
        <v>High Spender</v>
      </c>
      <c r="I953" s="1">
        <v>33</v>
      </c>
      <c r="K953" s="1">
        <v>86</v>
      </c>
      <c r="L953" s="1" t="s">
        <v>16</v>
      </c>
      <c r="N953" s="1" t="str">
        <f t="shared" si="28"/>
        <v>Higher</v>
      </c>
      <c r="O953" s="1" t="str">
        <f t="shared" si="29"/>
        <v>Senior | High Spender | Higher</v>
      </c>
    </row>
    <row r="954" spans="1:15" x14ac:dyDescent="0.25">
      <c r="A954" s="1" t="s">
        <v>984</v>
      </c>
      <c r="B954" s="1">
        <v>55</v>
      </c>
      <c r="C954" s="1" t="str" cm="1">
        <f t="array" ref="C954">_xlfn.IFS(OR(B954=" ", B954="NA",NOT(ISNUMBER(B954))), "Unknown",B954&lt;18,"Underage",B954&lt;=24,"Young Adult",B954&lt;=34,"Early Career",B954&lt;=44,"Mid Career",B954&lt;=54,"Mature",B954&lt;=65,"Pre-Senior",B954&gt;65,"Senior")</f>
        <v>Pre-Senior</v>
      </c>
      <c r="D954" s="1" t="s">
        <v>18</v>
      </c>
      <c r="E954" s="1" t="s">
        <v>27</v>
      </c>
      <c r="F954" s="1">
        <v>800000</v>
      </c>
      <c r="G954" s="1">
        <v>72</v>
      </c>
      <c r="H954" s="1" t="str" cm="1">
        <f t="array" ref="H954">_xlfn.IFS( OR(G954=" ",NOT(ISNUMBER(G954))),"Unknown",G954&lt;=33,"Low Spender",G954&lt;=66,"Medium Spender",TRUE, "High Spender")</f>
        <v>High Spender</v>
      </c>
      <c r="I954" s="1">
        <v>52</v>
      </c>
      <c r="J954" s="1">
        <v>6000</v>
      </c>
      <c r="K954" s="1">
        <v>167</v>
      </c>
      <c r="M954" s="1" t="s">
        <v>21</v>
      </c>
      <c r="N954" s="1" t="str">
        <f t="shared" si="28"/>
        <v>Higher</v>
      </c>
      <c r="O954" s="1" t="str">
        <f t="shared" si="29"/>
        <v>Pre-Senior | High Spender | Higher</v>
      </c>
    </row>
    <row r="955" spans="1:15" x14ac:dyDescent="0.25">
      <c r="A955" s="1" t="s">
        <v>985</v>
      </c>
      <c r="B955" s="1">
        <v>50</v>
      </c>
      <c r="C955" s="1" t="str" cm="1">
        <f t="array" ref="C955">_xlfn.IFS(OR(B955=" ", B955="NA",NOT(ISNUMBER(B955))), "Unknown",B955&lt;18,"Underage",B955&lt;=24,"Young Adult",B955&lt;=34,"Early Career",B955&lt;=44,"Mid Career",B955&lt;=54,"Mature",B955&lt;=65,"Pre-Senior",B955&gt;65,"Senior")</f>
        <v>Mature</v>
      </c>
      <c r="F955" s="1">
        <v>550000</v>
      </c>
      <c r="G955" s="1">
        <v>33</v>
      </c>
      <c r="H955" s="1" t="str" cm="1">
        <f t="array" ref="H955">_xlfn.IFS( OR(G955=" ",NOT(ISNUMBER(G955))),"Unknown",G955&lt;=33,"Low Spender",G955&lt;=66,"Medium Spender",TRUE, "High Spender")</f>
        <v>Low Spender</v>
      </c>
      <c r="I955" s="1">
        <v>18</v>
      </c>
      <c r="J955" s="1">
        <v>8200</v>
      </c>
      <c r="K955" s="1">
        <v>129</v>
      </c>
      <c r="L955" s="1" t="s">
        <v>35</v>
      </c>
      <c r="M955" s="1" t="s">
        <v>30</v>
      </c>
      <c r="N955" s="1" t="str">
        <f t="shared" si="28"/>
        <v>Lower</v>
      </c>
      <c r="O955" s="1" t="str">
        <f t="shared" si="29"/>
        <v>Mature | Low Spender | Lower</v>
      </c>
    </row>
    <row r="956" spans="1:15" x14ac:dyDescent="0.25">
      <c r="A956" s="1" t="s">
        <v>986</v>
      </c>
      <c r="B956" s="1">
        <v>41</v>
      </c>
      <c r="C956" s="1" t="str" cm="1">
        <f t="array" ref="C956">_xlfn.IFS(OR(B956=" ", B956="NA",NOT(ISNUMBER(B956))), "Unknown",B956&lt;18,"Underage",B956&lt;=24,"Young Adult",B956&lt;=34,"Early Career",B956&lt;=44,"Mid Career",B956&lt;=54,"Mature",B956&lt;=65,"Pre-Senior",B956&gt;65,"Senior")</f>
        <v>Mid Career</v>
      </c>
      <c r="D956" s="1" t="s">
        <v>18</v>
      </c>
      <c r="E956" s="1" t="s">
        <v>19</v>
      </c>
      <c r="F956" s="1">
        <v>1225000</v>
      </c>
      <c r="G956" s="1">
        <v>23</v>
      </c>
      <c r="H956" s="1" t="str" cm="1">
        <f t="array" ref="H956">_xlfn.IFS( OR(G956=" ",NOT(ISNUMBER(G956))),"Unknown",G956&lt;=33,"Low Spender",G956&lt;=66,"Medium Spender",TRUE, "High Spender")</f>
        <v>Low Spender</v>
      </c>
      <c r="I956" s="1">
        <v>35</v>
      </c>
      <c r="J956" s="1">
        <v>6100</v>
      </c>
      <c r="K956" s="1">
        <v>165</v>
      </c>
      <c r="M956" s="1" t="s">
        <v>41</v>
      </c>
      <c r="N956" s="1" t="str">
        <f t="shared" si="28"/>
        <v>Higher</v>
      </c>
      <c r="O956" s="1" t="str">
        <f t="shared" si="29"/>
        <v>Mid Career | Low Spender | Higher</v>
      </c>
    </row>
    <row r="957" spans="1:15" x14ac:dyDescent="0.25">
      <c r="A957" s="1" t="s">
        <v>987</v>
      </c>
      <c r="B957" s="1">
        <v>32</v>
      </c>
      <c r="C957" s="1" t="str" cm="1">
        <f t="array" ref="C957">_xlfn.IFS(OR(B957=" ", B957="NA",NOT(ISNUMBER(B957))), "Unknown",B957&lt;18,"Underage",B957&lt;=24,"Young Adult",B957&lt;=34,"Early Career",B957&lt;=44,"Mid Career",B957&lt;=54,"Mature",B957&lt;=65,"Pre-Senior",B957&gt;65,"Senior")</f>
        <v>Early Career</v>
      </c>
      <c r="D957" s="1" t="s">
        <v>18</v>
      </c>
      <c r="F957" s="1">
        <v>1250000</v>
      </c>
      <c r="G957" s="1">
        <v>77</v>
      </c>
      <c r="H957" s="1" t="str" cm="1">
        <f t="array" ref="H957">_xlfn.IFS( OR(G957=" ",NOT(ISNUMBER(G957))),"Unknown",G957&lt;=33,"Low Spender",G957&lt;=66,"Medium Spender",TRUE, "High Spender")</f>
        <v>High Spender</v>
      </c>
      <c r="I957" s="1">
        <v>12</v>
      </c>
      <c r="J957" s="1">
        <v>5000</v>
      </c>
      <c r="K957" s="1">
        <v>277</v>
      </c>
      <c r="L957" s="1" t="s">
        <v>37</v>
      </c>
      <c r="M957" s="1" t="s">
        <v>32</v>
      </c>
      <c r="N957" s="1" t="str">
        <f t="shared" si="28"/>
        <v>Higher</v>
      </c>
      <c r="O957" s="1" t="str">
        <f t="shared" si="29"/>
        <v>Early Career | High Spender | Higher</v>
      </c>
    </row>
    <row r="958" spans="1:15" x14ac:dyDescent="0.25">
      <c r="A958" s="1" t="s">
        <v>988</v>
      </c>
      <c r="B958" s="1">
        <v>47</v>
      </c>
      <c r="C958" s="1" t="str" cm="1">
        <f t="array" ref="C958">_xlfn.IFS(OR(B958=" ", B958="NA",NOT(ISNUMBER(B958))), "Unknown",B958&lt;18,"Underage",B958&lt;=24,"Young Adult",B958&lt;=34,"Early Career",B958&lt;=44,"Mid Career",B958&lt;=54,"Mature",B958&lt;=65,"Pre-Senior",B958&gt;65,"Senior")</f>
        <v>Mature</v>
      </c>
      <c r="D958" s="1" t="s">
        <v>18</v>
      </c>
      <c r="E958" s="1" t="s">
        <v>23</v>
      </c>
      <c r="F958" s="1">
        <v>325000</v>
      </c>
      <c r="G958" s="1">
        <v>54</v>
      </c>
      <c r="H958" s="1" t="str" cm="1">
        <f t="array" ref="H958">_xlfn.IFS( OR(G958=" ",NOT(ISNUMBER(G958))),"Unknown",G958&lt;=33,"Low Spender",G958&lt;=66,"Medium Spender",TRUE, "High Spender")</f>
        <v>Medium Spender</v>
      </c>
      <c r="I958" s="1">
        <v>51</v>
      </c>
      <c r="J958" s="1">
        <v>700</v>
      </c>
      <c r="K958" s="1">
        <v>257</v>
      </c>
      <c r="N958" s="1" t="str">
        <f t="shared" si="28"/>
        <v>Higher</v>
      </c>
      <c r="O958" s="1" t="str">
        <f t="shared" si="29"/>
        <v>Mature | Medium Spender | Higher</v>
      </c>
    </row>
    <row r="959" spans="1:15" x14ac:dyDescent="0.25">
      <c r="A959" s="1" t="s">
        <v>989</v>
      </c>
      <c r="B959" s="1" t="s">
        <v>73</v>
      </c>
      <c r="C959" s="1" t="str" cm="1">
        <f t="array" ref="C959">_xlfn.IFS(OR(B959=" ", B959="NA",NOT(ISNUMBER(B959))), "Unknown",B959&lt;18,"Underage",B959&lt;=24,"Young Adult",B959&lt;=34,"Early Career",B959&lt;=44,"Mid Career",B959&lt;=54,"Mature",B959&lt;=65,"Pre-Senior",B959&gt;65,"Senior")</f>
        <v>Unknown</v>
      </c>
      <c r="E959" s="1" t="s">
        <v>23</v>
      </c>
      <c r="F959" s="1">
        <v>575000</v>
      </c>
      <c r="G959" s="1">
        <v>53</v>
      </c>
      <c r="H959" s="1" t="str" cm="1">
        <f t="array" ref="H959">_xlfn.IFS( OR(G959=" ",NOT(ISNUMBER(G959))),"Unknown",G959&lt;=33,"Low Spender",G959&lt;=66,"Medium Spender",TRUE, "High Spender")</f>
        <v>Medium Spender</v>
      </c>
      <c r="I959" s="1">
        <v>10</v>
      </c>
      <c r="J959" s="1">
        <v>11300</v>
      </c>
      <c r="K959" s="1">
        <v>132</v>
      </c>
      <c r="L959" s="1" t="s">
        <v>37</v>
      </c>
      <c r="M959" s="1" t="s">
        <v>41</v>
      </c>
      <c r="N959" s="1" t="str">
        <f t="shared" si="28"/>
        <v>Lower</v>
      </c>
      <c r="O959" s="1" t="str">
        <f t="shared" si="29"/>
        <v>Unknown | Medium Spender | Lower</v>
      </c>
    </row>
    <row r="960" spans="1:15" x14ac:dyDescent="0.25">
      <c r="A960" s="1" t="s">
        <v>990</v>
      </c>
      <c r="B960" s="1">
        <v>59</v>
      </c>
      <c r="C960" s="1" t="str" cm="1">
        <f t="array" ref="C960">_xlfn.IFS(OR(B960=" ", B960="NA",NOT(ISNUMBER(B960))), "Unknown",B960&lt;18,"Underage",B960&lt;=24,"Young Adult",B960&lt;=34,"Early Career",B960&lt;=44,"Mid Career",B960&lt;=54,"Mature",B960&lt;=65,"Pre-Senior",B960&gt;65,"Senior")</f>
        <v>Pre-Senior</v>
      </c>
      <c r="D960" s="1" t="s">
        <v>18</v>
      </c>
      <c r="E960" s="1" t="s">
        <v>13</v>
      </c>
      <c r="F960" s="1">
        <v>950000</v>
      </c>
      <c r="G960" s="1">
        <v>49</v>
      </c>
      <c r="H960" s="1" t="str" cm="1">
        <f t="array" ref="H960">_xlfn.IFS( OR(G960=" ",NOT(ISNUMBER(G960))),"Unknown",G960&lt;=33,"Low Spender",G960&lt;=66,"Medium Spender",TRUE, "High Spender")</f>
        <v>Medium Spender</v>
      </c>
      <c r="I960" s="1">
        <v>52</v>
      </c>
      <c r="J960" s="1">
        <v>8900</v>
      </c>
      <c r="K960" s="1">
        <v>58</v>
      </c>
      <c r="L960" s="1" t="s">
        <v>35</v>
      </c>
      <c r="M960" s="1" t="s">
        <v>30</v>
      </c>
      <c r="N960" s="1" t="str">
        <f t="shared" si="28"/>
        <v>Higher</v>
      </c>
      <c r="O960" s="1" t="str">
        <f t="shared" si="29"/>
        <v>Pre-Senior | Medium Spender | Higher</v>
      </c>
    </row>
    <row r="961" spans="1:15" x14ac:dyDescent="0.25">
      <c r="A961" s="1" t="s">
        <v>991</v>
      </c>
      <c r="B961" s="1">
        <v>68</v>
      </c>
      <c r="C961" s="1" t="str" cm="1">
        <f t="array" ref="C961">_xlfn.IFS(OR(B961=" ", B961="NA",NOT(ISNUMBER(B961))), "Unknown",B961&lt;18,"Underage",B961&lt;=24,"Young Adult",B961&lt;=34,"Early Career",B961&lt;=44,"Mid Career",B961&lt;=54,"Mature",B961&lt;=65,"Pre-Senior",B961&gt;65,"Senior")</f>
        <v>Senior</v>
      </c>
      <c r="D961" s="1" t="s">
        <v>18</v>
      </c>
      <c r="E961" s="1" t="s">
        <v>23</v>
      </c>
      <c r="F961" s="1">
        <v>150000</v>
      </c>
      <c r="G961" s="1">
        <v>78</v>
      </c>
      <c r="H961" s="1" t="str" cm="1">
        <f t="array" ref="H961">_xlfn.IFS( OR(G961=" ",NOT(ISNUMBER(G961))),"Unknown",G961&lt;=33,"Low Spender",G961&lt;=66,"Medium Spender",TRUE, "High Spender")</f>
        <v>High Spender</v>
      </c>
      <c r="I961" s="1">
        <v>34</v>
      </c>
      <c r="J961" s="1">
        <v>3800</v>
      </c>
      <c r="K961" s="1">
        <v>257</v>
      </c>
      <c r="M961" s="1" t="s">
        <v>41</v>
      </c>
      <c r="N961" s="1" t="str">
        <f t="shared" si="28"/>
        <v>Higher</v>
      </c>
      <c r="O961" s="1" t="str">
        <f t="shared" si="29"/>
        <v>Senior | High Spender | Higher</v>
      </c>
    </row>
    <row r="962" spans="1:15" x14ac:dyDescent="0.25">
      <c r="A962" s="1" t="s">
        <v>992</v>
      </c>
      <c r="B962" s="1">
        <v>34</v>
      </c>
      <c r="C962" s="1" t="str" cm="1">
        <f t="array" ref="C962">_xlfn.IFS(OR(B962=" ", B962="NA",NOT(ISNUMBER(B962))), "Unknown",B962&lt;18,"Underage",B962&lt;=24,"Young Adult",B962&lt;=34,"Early Career",B962&lt;=44,"Mid Career",B962&lt;=54,"Mature",B962&lt;=65,"Pre-Senior",B962&gt;65,"Senior")</f>
        <v>Early Career</v>
      </c>
      <c r="E962" s="1" t="s">
        <v>34</v>
      </c>
      <c r="G962" s="1">
        <v>78</v>
      </c>
      <c r="H962" s="1" t="str" cm="1">
        <f t="array" ref="H962">_xlfn.IFS( OR(G962=" ",NOT(ISNUMBER(G962))),"Unknown",G962&lt;=33,"Low Spender",G962&lt;=66,"Medium Spender",TRUE, "High Spender")</f>
        <v>High Spender</v>
      </c>
      <c r="I962" s="1">
        <v>67</v>
      </c>
      <c r="J962" s="1">
        <v>9800</v>
      </c>
      <c r="K962" s="1">
        <v>141</v>
      </c>
      <c r="M962" s="1" t="s">
        <v>30</v>
      </c>
      <c r="N962" s="1" t="str">
        <f t="shared" ref="N962:N1025" si="30">IF(OR(UPPER(TRIM(D962))="Male",UPPER(TRIM(D962))="Female"),"Higher","Lower")</f>
        <v>Lower</v>
      </c>
      <c r="O962" s="1" t="str">
        <f t="shared" ref="O962:O1025" si="31">_xlfn.TEXTJOIN(" | ", TRUE, C962, H962, N962)</f>
        <v>Early Career | High Spender | Lower</v>
      </c>
    </row>
    <row r="963" spans="1:15" x14ac:dyDescent="0.25">
      <c r="A963" s="1" t="s">
        <v>993</v>
      </c>
      <c r="B963" s="1">
        <v>22</v>
      </c>
      <c r="C963" s="1" t="str" cm="1">
        <f t="array" ref="C963">_xlfn.IFS(OR(B963=" ", B963="NA",NOT(ISNUMBER(B963))), "Unknown",B963&lt;18,"Underage",B963&lt;=24,"Young Adult",B963&lt;=34,"Early Career",B963&lt;=44,"Mid Career",B963&lt;=54,"Mature",B963&lt;=65,"Pre-Senior",B963&gt;65,"Senior")</f>
        <v>Young Adult</v>
      </c>
      <c r="D963" s="1" t="s">
        <v>18</v>
      </c>
      <c r="E963" s="1" t="s">
        <v>27</v>
      </c>
      <c r="F963" s="1">
        <v>275000</v>
      </c>
      <c r="G963" s="1">
        <v>80</v>
      </c>
      <c r="H963" s="1" t="str" cm="1">
        <f t="array" ref="H963">_xlfn.IFS( OR(G963=" ",NOT(ISNUMBER(G963))),"Unknown",G963&lt;=33,"Low Spender",G963&lt;=66,"Medium Spender",TRUE, "High Spender")</f>
        <v>High Spender</v>
      </c>
      <c r="I963" s="1">
        <v>39</v>
      </c>
      <c r="J963" s="1">
        <v>9000</v>
      </c>
      <c r="K963" s="1">
        <v>174</v>
      </c>
      <c r="M963" s="1" t="s">
        <v>30</v>
      </c>
      <c r="N963" s="1" t="str">
        <f t="shared" si="30"/>
        <v>Higher</v>
      </c>
      <c r="O963" s="1" t="str">
        <f t="shared" si="31"/>
        <v>Young Adult | High Spender | Higher</v>
      </c>
    </row>
    <row r="964" spans="1:15" x14ac:dyDescent="0.25">
      <c r="A964" s="1" t="s">
        <v>994</v>
      </c>
      <c r="B964" s="1">
        <v>46</v>
      </c>
      <c r="C964" s="1" t="str" cm="1">
        <f t="array" ref="C964">_xlfn.IFS(OR(B964=" ", B964="NA",NOT(ISNUMBER(B964))), "Unknown",B964&lt;18,"Underage",B964&lt;=24,"Young Adult",B964&lt;=34,"Early Career",B964&lt;=44,"Mid Career",B964&lt;=54,"Mature",B964&lt;=65,"Pre-Senior",B964&gt;65,"Senior")</f>
        <v>Mature</v>
      </c>
      <c r="D964" s="1" t="s">
        <v>12</v>
      </c>
      <c r="E964" s="1" t="s">
        <v>23</v>
      </c>
      <c r="F964" s="1">
        <v>1150000</v>
      </c>
      <c r="G964" s="1">
        <v>49</v>
      </c>
      <c r="H964" s="1" t="str" cm="1">
        <f t="array" ref="H964">_xlfn.IFS( OR(G964=" ",NOT(ISNUMBER(G964))),"Unknown",G964&lt;=33,"Low Spender",G964&lt;=66,"Medium Spender",TRUE, "High Spender")</f>
        <v>Medium Spender</v>
      </c>
      <c r="I964" s="1">
        <v>8</v>
      </c>
      <c r="J964" s="1">
        <v>2700</v>
      </c>
      <c r="K964" s="1">
        <v>175</v>
      </c>
      <c r="M964" s="1" t="s">
        <v>30</v>
      </c>
      <c r="N964" s="1" t="str">
        <f t="shared" si="30"/>
        <v>Lower</v>
      </c>
      <c r="O964" s="1" t="str">
        <f t="shared" si="31"/>
        <v>Mature | Medium Spender | Lower</v>
      </c>
    </row>
    <row r="965" spans="1:15" x14ac:dyDescent="0.25">
      <c r="A965" s="1" t="s">
        <v>995</v>
      </c>
      <c r="B965" s="1">
        <v>21</v>
      </c>
      <c r="C965" s="1" t="str" cm="1">
        <f t="array" ref="C965">_xlfn.IFS(OR(B965=" ", B965="NA",NOT(ISNUMBER(B965))), "Unknown",B965&lt;18,"Underage",B965&lt;=24,"Young Adult",B965&lt;=34,"Early Career",B965&lt;=44,"Mid Career",B965&lt;=54,"Mature",B965&lt;=65,"Pre-Senior",B965&gt;65,"Senior")</f>
        <v>Young Adult</v>
      </c>
      <c r="E965" s="1" t="s">
        <v>49</v>
      </c>
      <c r="F965" s="1">
        <v>1500000</v>
      </c>
      <c r="H965" s="1" t="str" cm="1">
        <f t="array" ref="H965">_xlfn.IFS( OR(G965=" ",NOT(ISNUMBER(G965))),"Unknown",G965&lt;=33,"Low Spender",G965&lt;=66,"Medium Spender",TRUE, "High Spender")</f>
        <v>Unknown</v>
      </c>
      <c r="I965" s="1">
        <v>29</v>
      </c>
      <c r="J965" s="1">
        <v>4700</v>
      </c>
      <c r="K965" s="1">
        <v>209</v>
      </c>
      <c r="L965" s="1" t="s">
        <v>16</v>
      </c>
      <c r="N965" s="1" t="str">
        <f t="shared" si="30"/>
        <v>Lower</v>
      </c>
      <c r="O965" s="1" t="str">
        <f t="shared" si="31"/>
        <v>Young Adult | Unknown | Lower</v>
      </c>
    </row>
    <row r="966" spans="1:15" x14ac:dyDescent="0.25">
      <c r="A966" s="1" t="s">
        <v>996</v>
      </c>
      <c r="B966" s="1">
        <v>27</v>
      </c>
      <c r="C966" s="1" t="str" cm="1">
        <f t="array" ref="C966">_xlfn.IFS(OR(B966=" ", B966="NA",NOT(ISNUMBER(B966))), "Unknown",B966&lt;18,"Underage",B966&lt;=24,"Young Adult",B966&lt;=34,"Early Career",B966&lt;=44,"Mid Career",B966&lt;=54,"Mature",B966&lt;=65,"Pre-Senior",B966&gt;65,"Senior")</f>
        <v>Early Career</v>
      </c>
      <c r="E966" s="1" t="s">
        <v>34</v>
      </c>
      <c r="F966" s="1">
        <v>250000</v>
      </c>
      <c r="G966" s="1">
        <v>60</v>
      </c>
      <c r="H966" s="1" t="str" cm="1">
        <f t="array" ref="H966">_xlfn.IFS( OR(G966=" ",NOT(ISNUMBER(G966))),"Unknown",G966&lt;=33,"Low Spender",G966&lt;=66,"Medium Spender",TRUE, "High Spender")</f>
        <v>Medium Spender</v>
      </c>
      <c r="I966" s="1">
        <v>22</v>
      </c>
      <c r="J966" s="1">
        <v>9400</v>
      </c>
      <c r="K966" s="1">
        <v>204</v>
      </c>
      <c r="L966" s="1" t="s">
        <v>20</v>
      </c>
      <c r="M966" s="1" t="s">
        <v>30</v>
      </c>
      <c r="N966" s="1" t="str">
        <f t="shared" si="30"/>
        <v>Lower</v>
      </c>
      <c r="O966" s="1" t="str">
        <f t="shared" si="31"/>
        <v>Early Career | Medium Spender | Lower</v>
      </c>
    </row>
    <row r="967" spans="1:15" x14ac:dyDescent="0.25">
      <c r="A967" s="1" t="s">
        <v>997</v>
      </c>
      <c r="B967" s="1">
        <v>34</v>
      </c>
      <c r="C967" s="1" t="str" cm="1">
        <f t="array" ref="C967">_xlfn.IFS(OR(B967=" ", B967="NA",NOT(ISNUMBER(B967))), "Unknown",B967&lt;18,"Underage",B967&lt;=24,"Young Adult",B967&lt;=34,"Early Career",B967&lt;=44,"Mid Career",B967&lt;=54,"Mature",B967&lt;=65,"Pre-Senior",B967&gt;65,"Senior")</f>
        <v>Early Career</v>
      </c>
      <c r="F967" s="1">
        <v>1600000</v>
      </c>
      <c r="G967" s="1">
        <v>90</v>
      </c>
      <c r="H967" s="1" t="str" cm="1">
        <f t="array" ref="H967">_xlfn.IFS( OR(G967=" ",NOT(ISNUMBER(G967))),"Unknown",G967&lt;=33,"Low Spender",G967&lt;=66,"Medium Spender",TRUE, "High Spender")</f>
        <v>High Spender</v>
      </c>
      <c r="I967" s="1">
        <v>70</v>
      </c>
      <c r="J967" s="1">
        <v>2100</v>
      </c>
      <c r="K967" s="1">
        <v>7</v>
      </c>
      <c r="M967" s="1" t="s">
        <v>41</v>
      </c>
      <c r="N967" s="1" t="str">
        <f t="shared" si="30"/>
        <v>Lower</v>
      </c>
      <c r="O967" s="1" t="str">
        <f t="shared" si="31"/>
        <v>Early Career | High Spender | Lower</v>
      </c>
    </row>
    <row r="968" spans="1:15" x14ac:dyDescent="0.25">
      <c r="A968" s="1" t="s">
        <v>998</v>
      </c>
      <c r="B968" s="1">
        <v>27</v>
      </c>
      <c r="C968" s="1" t="str" cm="1">
        <f t="array" ref="C968">_xlfn.IFS(OR(B968=" ", B968="NA",NOT(ISNUMBER(B968))), "Unknown",B968&lt;18,"Underage",B968&lt;=24,"Young Adult",B968&lt;=34,"Early Career",B968&lt;=44,"Mid Career",B968&lt;=54,"Mature",B968&lt;=65,"Pre-Senior",B968&gt;65,"Senior")</f>
        <v>Early Career</v>
      </c>
      <c r="E968" s="1" t="s">
        <v>34</v>
      </c>
      <c r="F968" s="1">
        <v>575000</v>
      </c>
      <c r="G968" s="1">
        <v>90</v>
      </c>
      <c r="H968" s="1" t="str" cm="1">
        <f t="array" ref="H968">_xlfn.IFS( OR(G968=" ",NOT(ISNUMBER(G968))),"Unknown",G968&lt;=33,"Low Spender",G968&lt;=66,"Medium Spender",TRUE, "High Spender")</f>
        <v>High Spender</v>
      </c>
      <c r="I968" s="1">
        <v>61</v>
      </c>
      <c r="J968" s="1">
        <v>900</v>
      </c>
      <c r="K968" s="1">
        <v>51</v>
      </c>
      <c r="L968" s="1" t="s">
        <v>16</v>
      </c>
      <c r="M968" s="1" t="s">
        <v>21</v>
      </c>
      <c r="N968" s="1" t="str">
        <f t="shared" si="30"/>
        <v>Lower</v>
      </c>
      <c r="O968" s="1" t="str">
        <f t="shared" si="31"/>
        <v>Early Career | High Spender | Lower</v>
      </c>
    </row>
    <row r="969" spans="1:15" x14ac:dyDescent="0.25">
      <c r="A969" s="1" t="s">
        <v>999</v>
      </c>
      <c r="B969" s="1">
        <v>34</v>
      </c>
      <c r="C969" s="1" t="str" cm="1">
        <f t="array" ref="C969">_xlfn.IFS(OR(B969=" ", B969="NA",NOT(ISNUMBER(B969))), "Unknown",B969&lt;18,"Underage",B969&lt;=24,"Young Adult",B969&lt;=34,"Early Career",B969&lt;=44,"Mid Career",B969&lt;=54,"Mature",B969&lt;=65,"Pre-Senior",B969&gt;65,"Senior")</f>
        <v>Early Career</v>
      </c>
      <c r="D969" s="1" t="s">
        <v>18</v>
      </c>
      <c r="E969" s="1" t="s">
        <v>19</v>
      </c>
      <c r="F969" s="1">
        <v>1350000</v>
      </c>
      <c r="G969" s="1">
        <v>65</v>
      </c>
      <c r="H969" s="1" t="str" cm="1">
        <f t="array" ref="H969">_xlfn.IFS( OR(G969=" ",NOT(ISNUMBER(G969))),"Unknown",G969&lt;=33,"Low Spender",G969&lt;=66,"Medium Spender",TRUE, "High Spender")</f>
        <v>Medium Spender</v>
      </c>
      <c r="I969" s="1">
        <v>43</v>
      </c>
      <c r="J969" s="1">
        <v>11000</v>
      </c>
      <c r="K969" s="1">
        <v>259</v>
      </c>
      <c r="L969" s="1" t="s">
        <v>35</v>
      </c>
      <c r="M969" s="1" t="s">
        <v>41</v>
      </c>
      <c r="N969" s="1" t="str">
        <f t="shared" si="30"/>
        <v>Higher</v>
      </c>
      <c r="O969" s="1" t="str">
        <f t="shared" si="31"/>
        <v>Early Career | Medium Spender | Higher</v>
      </c>
    </row>
    <row r="970" spans="1:15" x14ac:dyDescent="0.25">
      <c r="A970" s="1" t="s">
        <v>1000</v>
      </c>
      <c r="B970" s="1">
        <v>37</v>
      </c>
      <c r="C970" s="1" t="str" cm="1">
        <f t="array" ref="C970">_xlfn.IFS(OR(B970=" ", B970="NA",NOT(ISNUMBER(B970))), "Unknown",B970&lt;18,"Underage",B970&lt;=24,"Young Adult",B970&lt;=34,"Early Career",B970&lt;=44,"Mid Career",B970&lt;=54,"Mature",B970&lt;=65,"Pre-Senior",B970&gt;65,"Senior")</f>
        <v>Mid Career</v>
      </c>
      <c r="D970" s="1" t="s">
        <v>12</v>
      </c>
      <c r="E970" s="1" t="s">
        <v>13</v>
      </c>
      <c r="F970" s="1">
        <v>1750000</v>
      </c>
      <c r="G970" s="1">
        <v>32</v>
      </c>
      <c r="H970" s="1" t="str" cm="1">
        <f t="array" ref="H970">_xlfn.IFS( OR(G970=" ",NOT(ISNUMBER(G970))),"Unknown",G970&lt;=33,"Low Spender",G970&lt;=66,"Medium Spender",TRUE, "High Spender")</f>
        <v>Low Spender</v>
      </c>
      <c r="I970" s="1">
        <v>49</v>
      </c>
      <c r="J970" s="1">
        <v>6000</v>
      </c>
      <c r="K970" s="1">
        <v>178</v>
      </c>
      <c r="N970" s="1" t="str">
        <f t="shared" si="30"/>
        <v>Lower</v>
      </c>
      <c r="O970" s="1" t="str">
        <f t="shared" si="31"/>
        <v>Mid Career | Low Spender | Lower</v>
      </c>
    </row>
    <row r="971" spans="1:15" x14ac:dyDescent="0.25">
      <c r="A971" s="1" t="s">
        <v>1001</v>
      </c>
      <c r="B971" s="1">
        <v>41</v>
      </c>
      <c r="C971" s="1" t="str" cm="1">
        <f t="array" ref="C971">_xlfn.IFS(OR(B971=" ", B971="NA",NOT(ISNUMBER(B971))), "Unknown",B971&lt;18,"Underage",B971&lt;=24,"Young Adult",B971&lt;=34,"Early Career",B971&lt;=44,"Mid Career",B971&lt;=54,"Mature",B971&lt;=65,"Pre-Senior",B971&gt;65,"Senior")</f>
        <v>Mid Career</v>
      </c>
      <c r="D971" s="1" t="s">
        <v>29</v>
      </c>
      <c r="E971" s="1" t="s">
        <v>58</v>
      </c>
      <c r="F971" s="1">
        <v>1475000</v>
      </c>
      <c r="G971" s="1">
        <v>79</v>
      </c>
      <c r="H971" s="1" t="str" cm="1">
        <f t="array" ref="H971">_xlfn.IFS( OR(G971=" ",NOT(ISNUMBER(G971))),"Unknown",G971&lt;=33,"Low Spender",G971&lt;=66,"Medium Spender",TRUE, "High Spender")</f>
        <v>High Spender</v>
      </c>
      <c r="I971" s="1">
        <v>29</v>
      </c>
      <c r="J971" s="1">
        <v>10700</v>
      </c>
      <c r="K971" s="1">
        <v>31</v>
      </c>
      <c r="M971" s="1" t="s">
        <v>30</v>
      </c>
      <c r="N971" s="1" t="str">
        <f t="shared" si="30"/>
        <v>Higher</v>
      </c>
      <c r="O971" s="1" t="str">
        <f t="shared" si="31"/>
        <v>Mid Career | High Spender | Higher</v>
      </c>
    </row>
    <row r="972" spans="1:15" x14ac:dyDescent="0.25">
      <c r="A972" s="1" t="s">
        <v>1002</v>
      </c>
      <c r="B972" s="1">
        <v>22</v>
      </c>
      <c r="C972" s="1" t="str" cm="1">
        <f t="array" ref="C972">_xlfn.IFS(OR(B972=" ", B972="NA",NOT(ISNUMBER(B972))), "Unknown",B972&lt;18,"Underage",B972&lt;=24,"Young Adult",B972&lt;=34,"Early Career",B972&lt;=44,"Mid Career",B972&lt;=54,"Mature",B972&lt;=65,"Pre-Senior",B972&gt;65,"Senior")</f>
        <v>Young Adult</v>
      </c>
      <c r="E972" s="1" t="s">
        <v>58</v>
      </c>
      <c r="F972" s="1">
        <v>1650000</v>
      </c>
      <c r="G972" s="1">
        <v>21</v>
      </c>
      <c r="H972" s="1" t="str" cm="1">
        <f t="array" ref="H972">_xlfn.IFS( OR(G972=" ",NOT(ISNUMBER(G972))),"Unknown",G972&lt;=33,"Low Spender",G972&lt;=66,"Medium Spender",TRUE, "High Spender")</f>
        <v>Low Spender</v>
      </c>
      <c r="J972" s="1">
        <v>8300</v>
      </c>
      <c r="K972" s="1">
        <v>356</v>
      </c>
      <c r="M972" s="1" t="s">
        <v>21</v>
      </c>
      <c r="N972" s="1" t="str">
        <f t="shared" si="30"/>
        <v>Lower</v>
      </c>
      <c r="O972" s="1" t="str">
        <f t="shared" si="31"/>
        <v>Young Adult | Low Spender | Lower</v>
      </c>
    </row>
    <row r="973" spans="1:15" x14ac:dyDescent="0.25">
      <c r="A973" s="1" t="s">
        <v>1003</v>
      </c>
      <c r="B973" s="1">
        <v>51</v>
      </c>
      <c r="C973" s="1" t="str" cm="1">
        <f t="array" ref="C973">_xlfn.IFS(OR(B973=" ", B973="NA",NOT(ISNUMBER(B973))), "Unknown",B973&lt;18,"Underage",B973&lt;=24,"Young Adult",B973&lt;=34,"Early Career",B973&lt;=44,"Mid Career",B973&lt;=54,"Mature",B973&lt;=65,"Pre-Senior",B973&gt;65,"Senior")</f>
        <v>Mature</v>
      </c>
      <c r="D973" s="1" t="s">
        <v>18</v>
      </c>
      <c r="F973" s="1">
        <v>325000</v>
      </c>
      <c r="G973" s="1">
        <v>18</v>
      </c>
      <c r="H973" s="1" t="str" cm="1">
        <f t="array" ref="H973">_xlfn.IFS( OR(G973=" ",NOT(ISNUMBER(G973))),"Unknown",G973&lt;=33,"Low Spender",G973&lt;=66,"Medium Spender",TRUE, "High Spender")</f>
        <v>Low Spender</v>
      </c>
      <c r="I973" s="1">
        <v>31</v>
      </c>
      <c r="J973" s="1">
        <v>6800</v>
      </c>
      <c r="K973" s="1">
        <v>318</v>
      </c>
      <c r="N973" s="1" t="str">
        <f t="shared" si="30"/>
        <v>Higher</v>
      </c>
      <c r="O973" s="1" t="str">
        <f t="shared" si="31"/>
        <v>Mature | Low Spender | Higher</v>
      </c>
    </row>
    <row r="974" spans="1:15" x14ac:dyDescent="0.25">
      <c r="A974" s="1" t="s">
        <v>1004</v>
      </c>
      <c r="B974" s="1">
        <v>23</v>
      </c>
      <c r="C974" s="1" t="str" cm="1">
        <f t="array" ref="C974">_xlfn.IFS(OR(B974=" ", B974="NA",NOT(ISNUMBER(B974))), "Unknown",B974&lt;18,"Underage",B974&lt;=24,"Young Adult",B974&lt;=34,"Early Career",B974&lt;=44,"Mid Career",B974&lt;=54,"Mature",B974&lt;=65,"Pre-Senior",B974&gt;65,"Senior")</f>
        <v>Young Adult</v>
      </c>
      <c r="D974" s="1" t="s">
        <v>18</v>
      </c>
      <c r="E974" s="1" t="s">
        <v>27</v>
      </c>
      <c r="F974" s="1">
        <v>200000</v>
      </c>
      <c r="G974" s="1">
        <v>94</v>
      </c>
      <c r="H974" s="1" t="str" cm="1">
        <f t="array" ref="H974">_xlfn.IFS( OR(G974=" ",NOT(ISNUMBER(G974))),"Unknown",G974&lt;=33,"Low Spender",G974&lt;=66,"Medium Spender",TRUE, "High Spender")</f>
        <v>High Spender</v>
      </c>
      <c r="I974" s="1">
        <v>53</v>
      </c>
      <c r="J974" s="1">
        <v>8200</v>
      </c>
      <c r="K974" s="1">
        <v>154</v>
      </c>
      <c r="L974" s="1" t="s">
        <v>37</v>
      </c>
      <c r="M974" s="1" t="s">
        <v>32</v>
      </c>
      <c r="N974" s="1" t="str">
        <f t="shared" si="30"/>
        <v>Higher</v>
      </c>
      <c r="O974" s="1" t="str">
        <f t="shared" si="31"/>
        <v>Young Adult | High Spender | Higher</v>
      </c>
    </row>
    <row r="975" spans="1:15" x14ac:dyDescent="0.25">
      <c r="A975" s="1" t="s">
        <v>1005</v>
      </c>
      <c r="C975" s="1" t="str" cm="1">
        <f t="array" ref="C975">_xlfn.IFS(OR(B975=" ", B975="NA",NOT(ISNUMBER(B975))), "Unknown",B975&lt;18,"Underage",B975&lt;=24,"Young Adult",B975&lt;=34,"Early Career",B975&lt;=44,"Mid Career",B975&lt;=54,"Mature",B975&lt;=65,"Pre-Senior",B975&gt;65,"Senior")</f>
        <v>Unknown</v>
      </c>
      <c r="E975" s="1" t="s">
        <v>19</v>
      </c>
      <c r="F975" s="1">
        <v>750000</v>
      </c>
      <c r="G975" s="1">
        <v>60</v>
      </c>
      <c r="H975" s="1" t="str" cm="1">
        <f t="array" ref="H975">_xlfn.IFS( OR(G975=" ",NOT(ISNUMBER(G975))),"Unknown",G975&lt;=33,"Low Spender",G975&lt;=66,"Medium Spender",TRUE, "High Spender")</f>
        <v>Medium Spender</v>
      </c>
      <c r="I975" s="1">
        <v>34</v>
      </c>
      <c r="J975" s="1">
        <v>4100</v>
      </c>
      <c r="K975" s="1">
        <v>364</v>
      </c>
      <c r="M975" s="1" t="s">
        <v>32</v>
      </c>
      <c r="N975" s="1" t="str">
        <f t="shared" si="30"/>
        <v>Lower</v>
      </c>
      <c r="O975" s="1" t="str">
        <f t="shared" si="31"/>
        <v>Unknown | Medium Spender | Lower</v>
      </c>
    </row>
    <row r="976" spans="1:15" x14ac:dyDescent="0.25">
      <c r="A976" s="1" t="s">
        <v>1006</v>
      </c>
      <c r="B976" s="1">
        <v>19</v>
      </c>
      <c r="C976" s="1" t="str" cm="1">
        <f t="array" ref="C976">_xlfn.IFS(OR(B976=" ", B976="NA",NOT(ISNUMBER(B976))), "Unknown",B976&lt;18,"Underage",B976&lt;=24,"Young Adult",B976&lt;=34,"Early Career",B976&lt;=44,"Mid Career",B976&lt;=54,"Mature",B976&lt;=65,"Pre-Senior",B976&gt;65,"Senior")</f>
        <v>Young Adult</v>
      </c>
      <c r="E976" s="1" t="s">
        <v>58</v>
      </c>
      <c r="F976" s="1">
        <v>1850000</v>
      </c>
      <c r="G976" s="1">
        <v>13</v>
      </c>
      <c r="H976" s="1" t="str" cm="1">
        <f t="array" ref="H976">_xlfn.IFS( OR(G976=" ",NOT(ISNUMBER(G976))),"Unknown",G976&lt;=33,"Low Spender",G976&lt;=66,"Medium Spender",TRUE, "High Spender")</f>
        <v>Low Spender</v>
      </c>
      <c r="I976" s="1">
        <v>38</v>
      </c>
      <c r="J976" s="1">
        <v>2000</v>
      </c>
      <c r="K976" s="1">
        <v>55</v>
      </c>
      <c r="M976" s="1" t="s">
        <v>32</v>
      </c>
      <c r="N976" s="1" t="str">
        <f t="shared" si="30"/>
        <v>Lower</v>
      </c>
      <c r="O976" s="1" t="str">
        <f t="shared" si="31"/>
        <v>Young Adult | Low Spender | Lower</v>
      </c>
    </row>
    <row r="977" spans="1:15" x14ac:dyDescent="0.25">
      <c r="A977" s="1" t="s">
        <v>1007</v>
      </c>
      <c r="B977" s="1">
        <v>30</v>
      </c>
      <c r="C977" s="1" t="str" cm="1">
        <f t="array" ref="C977">_xlfn.IFS(OR(B977=" ", B977="NA",NOT(ISNUMBER(B977))), "Unknown",B977&lt;18,"Underage",B977&lt;=24,"Young Adult",B977&lt;=34,"Early Career",B977&lt;=44,"Mid Career",B977&lt;=54,"Mature",B977&lt;=65,"Pre-Senior",B977&gt;65,"Senior")</f>
        <v>Early Career</v>
      </c>
      <c r="E977" s="1" t="s">
        <v>13</v>
      </c>
      <c r="F977" s="1">
        <v>1500000</v>
      </c>
      <c r="G977" s="1">
        <v>24</v>
      </c>
      <c r="H977" s="1" t="str" cm="1">
        <f t="array" ref="H977">_xlfn.IFS( OR(G977=" ",NOT(ISNUMBER(G977))),"Unknown",G977&lt;=33,"Low Spender",G977&lt;=66,"Medium Spender",TRUE, "High Spender")</f>
        <v>Low Spender</v>
      </c>
      <c r="I977" s="1">
        <v>57</v>
      </c>
      <c r="J977" s="1">
        <v>10500</v>
      </c>
      <c r="K977" s="1">
        <v>156</v>
      </c>
      <c r="M977" s="1" t="s">
        <v>21</v>
      </c>
      <c r="N977" s="1" t="str">
        <f t="shared" si="30"/>
        <v>Lower</v>
      </c>
      <c r="O977" s="1" t="str">
        <f t="shared" si="31"/>
        <v>Early Career | Low Spender | Lower</v>
      </c>
    </row>
    <row r="978" spans="1:15" x14ac:dyDescent="0.25">
      <c r="A978" s="1" t="s">
        <v>1008</v>
      </c>
      <c r="B978" s="1">
        <v>60</v>
      </c>
      <c r="C978" s="1" t="str" cm="1">
        <f t="array" ref="C978">_xlfn.IFS(OR(B978=" ", B978="NA",NOT(ISNUMBER(B978))), "Unknown",B978&lt;18,"Underage",B978&lt;=24,"Young Adult",B978&lt;=34,"Early Career",B978&lt;=44,"Mid Career",B978&lt;=54,"Mature",B978&lt;=65,"Pre-Senior",B978&gt;65,"Senior")</f>
        <v>Pre-Senior</v>
      </c>
      <c r="D978" s="1" t="s">
        <v>18</v>
      </c>
      <c r="F978" s="1">
        <v>1125000</v>
      </c>
      <c r="G978" s="1">
        <v>30</v>
      </c>
      <c r="H978" s="1" t="str" cm="1">
        <f t="array" ref="H978">_xlfn.IFS( OR(G978=" ",NOT(ISNUMBER(G978))),"Unknown",G978&lt;=33,"Low Spender",G978&lt;=66,"Medium Spender",TRUE, "High Spender")</f>
        <v>Low Spender</v>
      </c>
      <c r="I978" s="1">
        <v>4</v>
      </c>
      <c r="J978" s="1">
        <v>300</v>
      </c>
      <c r="K978" s="1">
        <v>44</v>
      </c>
      <c r="M978" s="1" t="s">
        <v>41</v>
      </c>
      <c r="N978" s="1" t="str">
        <f t="shared" si="30"/>
        <v>Higher</v>
      </c>
      <c r="O978" s="1" t="str">
        <f t="shared" si="31"/>
        <v>Pre-Senior | Low Spender | Higher</v>
      </c>
    </row>
    <row r="979" spans="1:15" x14ac:dyDescent="0.25">
      <c r="A979" s="1" t="s">
        <v>1009</v>
      </c>
      <c r="B979" s="1">
        <v>60</v>
      </c>
      <c r="C979" s="1" t="str" cm="1">
        <f t="array" ref="C979">_xlfn.IFS(OR(B979=" ", B979="NA",NOT(ISNUMBER(B979))), "Unknown",B979&lt;18,"Underage",B979&lt;=24,"Young Adult",B979&lt;=34,"Early Career",B979&lt;=44,"Mid Career",B979&lt;=54,"Mature",B979&lt;=65,"Pre-Senior",B979&gt;65,"Senior")</f>
        <v>Pre-Senior</v>
      </c>
      <c r="D979" s="1" t="s">
        <v>18</v>
      </c>
      <c r="E979" s="1" t="s">
        <v>58</v>
      </c>
      <c r="F979" s="1">
        <v>1375000</v>
      </c>
      <c r="G979" s="1">
        <v>2</v>
      </c>
      <c r="H979" s="1" t="str" cm="1">
        <f t="array" ref="H979">_xlfn.IFS( OR(G979=" ",NOT(ISNUMBER(G979))),"Unknown",G979&lt;=33,"Low Spender",G979&lt;=66,"Medium Spender",TRUE, "High Spender")</f>
        <v>Low Spender</v>
      </c>
      <c r="I979" s="1">
        <v>2</v>
      </c>
      <c r="J979" s="1">
        <v>6500</v>
      </c>
      <c r="K979" s="1">
        <v>81</v>
      </c>
      <c r="L979" s="1" t="s">
        <v>16</v>
      </c>
      <c r="M979" s="1" t="s">
        <v>21</v>
      </c>
      <c r="N979" s="1" t="str">
        <f t="shared" si="30"/>
        <v>Higher</v>
      </c>
      <c r="O979" s="1" t="str">
        <f t="shared" si="31"/>
        <v>Pre-Senior | Low Spender | Higher</v>
      </c>
    </row>
    <row r="980" spans="1:15" x14ac:dyDescent="0.25">
      <c r="A980" s="1" t="s">
        <v>1010</v>
      </c>
      <c r="B980" s="1">
        <v>65</v>
      </c>
      <c r="C980" s="1" t="str" cm="1">
        <f t="array" ref="C980">_xlfn.IFS(OR(B980=" ", B980="NA",NOT(ISNUMBER(B980))), "Unknown",B980&lt;18,"Underage",B980&lt;=24,"Young Adult",B980&lt;=34,"Early Career",B980&lt;=44,"Mid Career",B980&lt;=54,"Mature",B980&lt;=65,"Pre-Senior",B980&gt;65,"Senior")</f>
        <v>Pre-Senior</v>
      </c>
      <c r="D980" s="1" t="s">
        <v>18</v>
      </c>
      <c r="E980" s="1" t="s">
        <v>49</v>
      </c>
      <c r="F980" s="1">
        <v>950000</v>
      </c>
      <c r="G980" s="1">
        <v>83</v>
      </c>
      <c r="H980" s="1" t="str" cm="1">
        <f t="array" ref="H980">_xlfn.IFS( OR(G980=" ",NOT(ISNUMBER(G980))),"Unknown",G980&lt;=33,"Low Spender",G980&lt;=66,"Medium Spender",TRUE, "High Spender")</f>
        <v>High Spender</v>
      </c>
      <c r="I980" s="1">
        <v>12</v>
      </c>
      <c r="J980" s="1">
        <v>500</v>
      </c>
      <c r="K980" s="1">
        <v>166</v>
      </c>
      <c r="L980" s="1" t="s">
        <v>35</v>
      </c>
      <c r="M980" s="1" t="s">
        <v>21</v>
      </c>
      <c r="N980" s="1" t="str">
        <f t="shared" si="30"/>
        <v>Higher</v>
      </c>
      <c r="O980" s="1" t="str">
        <f t="shared" si="31"/>
        <v>Pre-Senior | High Spender | Higher</v>
      </c>
    </row>
    <row r="981" spans="1:15" x14ac:dyDescent="0.25">
      <c r="A981" s="1" t="s">
        <v>1011</v>
      </c>
      <c r="B981" s="1">
        <v>28</v>
      </c>
      <c r="C981" s="1" t="str" cm="1">
        <f t="array" ref="C981">_xlfn.IFS(OR(B981=" ", B981="NA",NOT(ISNUMBER(B981))), "Unknown",B981&lt;18,"Underage",B981&lt;=24,"Young Adult",B981&lt;=34,"Early Career",B981&lt;=44,"Mid Career",B981&lt;=54,"Mature",B981&lt;=65,"Pre-Senior",B981&gt;65,"Senior")</f>
        <v>Early Career</v>
      </c>
      <c r="E981" s="1" t="s">
        <v>34</v>
      </c>
      <c r="F981" s="1">
        <v>575000</v>
      </c>
      <c r="G981" s="1">
        <v>25</v>
      </c>
      <c r="H981" s="1" t="str" cm="1">
        <f t="array" ref="H981">_xlfn.IFS( OR(G981=" ",NOT(ISNUMBER(G981))),"Unknown",G981&lt;=33,"Low Spender",G981&lt;=66,"Medium Spender",TRUE, "High Spender")</f>
        <v>Low Spender</v>
      </c>
      <c r="I981" s="1">
        <v>35</v>
      </c>
      <c r="J981" s="1">
        <v>2300</v>
      </c>
      <c r="K981" s="1">
        <v>30</v>
      </c>
      <c r="L981" s="1" t="s">
        <v>37</v>
      </c>
      <c r="M981" s="1" t="s">
        <v>21</v>
      </c>
      <c r="N981" s="1" t="str">
        <f t="shared" si="30"/>
        <v>Lower</v>
      </c>
      <c r="O981" s="1" t="str">
        <f t="shared" si="31"/>
        <v>Early Career | Low Spender | Lower</v>
      </c>
    </row>
    <row r="982" spans="1:15" x14ac:dyDescent="0.25">
      <c r="A982" s="1" t="s">
        <v>1012</v>
      </c>
      <c r="B982" s="1">
        <v>68</v>
      </c>
      <c r="C982" s="1" t="str" cm="1">
        <f t="array" ref="C982">_xlfn.IFS(OR(B982=" ", B982="NA",NOT(ISNUMBER(B982))), "Unknown",B982&lt;18,"Underage",B982&lt;=24,"Young Adult",B982&lt;=34,"Early Career",B982&lt;=44,"Mid Career",B982&lt;=54,"Mature",B982&lt;=65,"Pre-Senior",B982&gt;65,"Senior")</f>
        <v>Senior</v>
      </c>
      <c r="D982" s="1" t="s">
        <v>29</v>
      </c>
      <c r="E982" s="1" t="s">
        <v>58</v>
      </c>
      <c r="F982" s="1">
        <v>1550000</v>
      </c>
      <c r="G982" s="1">
        <v>50</v>
      </c>
      <c r="H982" s="1" t="str" cm="1">
        <f t="array" ref="H982">_xlfn.IFS( OR(G982=" ",NOT(ISNUMBER(G982))),"Unknown",G982&lt;=33,"Low Spender",G982&lt;=66,"Medium Spender",TRUE, "High Spender")</f>
        <v>Medium Spender</v>
      </c>
      <c r="I982" s="1">
        <v>70</v>
      </c>
      <c r="J982" s="1">
        <v>3200</v>
      </c>
      <c r="K982" s="1">
        <v>322</v>
      </c>
      <c r="M982" s="1" t="s">
        <v>32</v>
      </c>
      <c r="N982" s="1" t="str">
        <f t="shared" si="30"/>
        <v>Higher</v>
      </c>
      <c r="O982" s="1" t="str">
        <f t="shared" si="31"/>
        <v>Senior | Medium Spender | Higher</v>
      </c>
    </row>
    <row r="983" spans="1:15" x14ac:dyDescent="0.25">
      <c r="A983" s="1" t="s">
        <v>1013</v>
      </c>
      <c r="B983" s="1">
        <v>64</v>
      </c>
      <c r="C983" s="1" t="str" cm="1">
        <f t="array" ref="C983">_xlfn.IFS(OR(B983=" ", B983="NA",NOT(ISNUMBER(B983))), "Unknown",B983&lt;18,"Underage",B983&lt;=24,"Young Adult",B983&lt;=34,"Early Career",B983&lt;=44,"Mid Career",B983&lt;=54,"Mature",B983&lt;=65,"Pre-Senior",B983&gt;65,"Senior")</f>
        <v>Pre-Senior</v>
      </c>
      <c r="D983" s="1" t="s">
        <v>29</v>
      </c>
      <c r="E983" s="1" t="s">
        <v>19</v>
      </c>
      <c r="F983" s="1">
        <v>525000</v>
      </c>
      <c r="G983" s="1">
        <v>14</v>
      </c>
      <c r="H983" s="1" t="str" cm="1">
        <f t="array" ref="H983">_xlfn.IFS( OR(G983=" ",NOT(ISNUMBER(G983))),"Unknown",G983&lt;=33,"Low Spender",G983&lt;=66,"Medium Spender",TRUE, "High Spender")</f>
        <v>Low Spender</v>
      </c>
      <c r="I983" s="1">
        <v>72</v>
      </c>
      <c r="J983" s="1">
        <v>1300</v>
      </c>
      <c r="K983" s="1">
        <v>136</v>
      </c>
      <c r="L983" s="1" t="s">
        <v>35</v>
      </c>
      <c r="N983" s="1" t="str">
        <f t="shared" si="30"/>
        <v>Higher</v>
      </c>
      <c r="O983" s="1" t="str">
        <f t="shared" si="31"/>
        <v>Pre-Senior | Low Spender | Higher</v>
      </c>
    </row>
    <row r="984" spans="1:15" x14ac:dyDescent="0.25">
      <c r="A984" s="1" t="s">
        <v>1014</v>
      </c>
      <c r="B984" s="1">
        <v>40</v>
      </c>
      <c r="C984" s="1" t="str" cm="1">
        <f t="array" ref="C984">_xlfn.IFS(OR(B984=" ", B984="NA",NOT(ISNUMBER(B984))), "Unknown",B984&lt;18,"Underage",B984&lt;=24,"Young Adult",B984&lt;=34,"Early Career",B984&lt;=44,"Mid Career",B984&lt;=54,"Mature",B984&lt;=65,"Pre-Senior",B984&gt;65,"Senior")</f>
        <v>Mid Career</v>
      </c>
      <c r="D984" s="1" t="s">
        <v>18</v>
      </c>
      <c r="E984" s="1" t="s">
        <v>23</v>
      </c>
      <c r="F984" s="1">
        <v>1075000</v>
      </c>
      <c r="G984" s="1">
        <v>6</v>
      </c>
      <c r="H984" s="1" t="str" cm="1">
        <f t="array" ref="H984">_xlfn.IFS( OR(G984=" ",NOT(ISNUMBER(G984))),"Unknown",G984&lt;=33,"Low Spender",G984&lt;=66,"Medium Spender",TRUE, "High Spender")</f>
        <v>Low Spender</v>
      </c>
      <c r="I984" s="1">
        <v>21</v>
      </c>
      <c r="J984" s="1">
        <v>2400</v>
      </c>
      <c r="K984" s="1">
        <v>14</v>
      </c>
      <c r="L984" s="1" t="s">
        <v>37</v>
      </c>
      <c r="M984" s="1" t="s">
        <v>41</v>
      </c>
      <c r="N984" s="1" t="str">
        <f t="shared" si="30"/>
        <v>Higher</v>
      </c>
      <c r="O984" s="1" t="str">
        <f t="shared" si="31"/>
        <v>Mid Career | Low Spender | Higher</v>
      </c>
    </row>
    <row r="985" spans="1:15" x14ac:dyDescent="0.25">
      <c r="A985" s="1" t="s">
        <v>1015</v>
      </c>
      <c r="B985" s="1" t="s">
        <v>73</v>
      </c>
      <c r="C985" s="1" t="str" cm="1">
        <f t="array" ref="C985">_xlfn.IFS(OR(B985=" ", B985="NA",NOT(ISNUMBER(B985))), "Unknown",B985&lt;18,"Underage",B985&lt;=24,"Young Adult",B985&lt;=34,"Early Career",B985&lt;=44,"Mid Career",B985&lt;=54,"Mature",B985&lt;=65,"Pre-Senior",B985&gt;65,"Senior")</f>
        <v>Unknown</v>
      </c>
      <c r="D985" s="1" t="s">
        <v>29</v>
      </c>
      <c r="E985" s="1" t="s">
        <v>23</v>
      </c>
      <c r="F985" s="1">
        <v>1150000</v>
      </c>
      <c r="G985" s="1">
        <v>76</v>
      </c>
      <c r="H985" s="1" t="str" cm="1">
        <f t="array" ref="H985">_xlfn.IFS( OR(G985=" ",NOT(ISNUMBER(G985))),"Unknown",G985&lt;=33,"Low Spender",G985&lt;=66,"Medium Spender",TRUE, "High Spender")</f>
        <v>High Spender</v>
      </c>
      <c r="I985" s="1">
        <v>61</v>
      </c>
      <c r="J985" s="1">
        <v>11300</v>
      </c>
      <c r="K985" s="1">
        <v>357</v>
      </c>
      <c r="L985" s="1" t="s">
        <v>37</v>
      </c>
      <c r="N985" s="1" t="str">
        <f t="shared" si="30"/>
        <v>Higher</v>
      </c>
      <c r="O985" s="1" t="str">
        <f t="shared" si="31"/>
        <v>Unknown | High Spender | Higher</v>
      </c>
    </row>
    <row r="986" spans="1:15" x14ac:dyDescent="0.25">
      <c r="A986" s="1" t="s">
        <v>1016</v>
      </c>
      <c r="B986" s="1">
        <v>33</v>
      </c>
      <c r="C986" s="1" t="str" cm="1">
        <f t="array" ref="C986">_xlfn.IFS(OR(B986=" ", B986="NA",NOT(ISNUMBER(B986))), "Unknown",B986&lt;18,"Underage",B986&lt;=24,"Young Adult",B986&lt;=34,"Early Career",B986&lt;=44,"Mid Career",B986&lt;=54,"Mature",B986&lt;=65,"Pre-Senior",B986&gt;65,"Senior")</f>
        <v>Early Career</v>
      </c>
      <c r="F986" s="1">
        <v>300000</v>
      </c>
      <c r="G986" s="1">
        <v>84</v>
      </c>
      <c r="H986" s="1" t="str" cm="1">
        <f t="array" ref="H986">_xlfn.IFS( OR(G986=" ",NOT(ISNUMBER(G986))),"Unknown",G986&lt;=33,"Low Spender",G986&lt;=66,"Medium Spender",TRUE, "High Spender")</f>
        <v>High Spender</v>
      </c>
      <c r="I986" s="1">
        <v>35</v>
      </c>
      <c r="J986" s="1">
        <v>5900</v>
      </c>
      <c r="K986" s="1">
        <v>106</v>
      </c>
      <c r="L986" s="1" t="s">
        <v>37</v>
      </c>
      <c r="N986" s="1" t="str">
        <f t="shared" si="30"/>
        <v>Lower</v>
      </c>
      <c r="O986" s="1" t="str">
        <f t="shared" si="31"/>
        <v>Early Career | High Spender | Lower</v>
      </c>
    </row>
    <row r="987" spans="1:15" x14ac:dyDescent="0.25">
      <c r="A987" s="1" t="s">
        <v>1017</v>
      </c>
      <c r="B987" s="1">
        <v>48</v>
      </c>
      <c r="C987" s="1" t="str" cm="1">
        <f t="array" ref="C987">_xlfn.IFS(OR(B987=" ", B987="NA",NOT(ISNUMBER(B987))), "Unknown",B987&lt;18,"Underage",B987&lt;=24,"Young Adult",B987&lt;=34,"Early Career",B987&lt;=44,"Mid Career",B987&lt;=54,"Mature",B987&lt;=65,"Pre-Senior",B987&gt;65,"Senior")</f>
        <v>Mature</v>
      </c>
      <c r="D987" s="1" t="s">
        <v>29</v>
      </c>
      <c r="E987" s="1" t="s">
        <v>23</v>
      </c>
      <c r="F987" s="1">
        <v>1450000</v>
      </c>
      <c r="G987" s="1">
        <v>87</v>
      </c>
      <c r="H987" s="1" t="str" cm="1">
        <f t="array" ref="H987">_xlfn.IFS( OR(G987=" ",NOT(ISNUMBER(G987))),"Unknown",G987&lt;=33,"Low Spender",G987&lt;=66,"Medium Spender",TRUE, "High Spender")</f>
        <v>High Spender</v>
      </c>
      <c r="I987" s="1">
        <v>48</v>
      </c>
      <c r="J987" s="1">
        <v>9100</v>
      </c>
      <c r="K987" s="1">
        <v>359</v>
      </c>
      <c r="M987" s="1" t="s">
        <v>21</v>
      </c>
      <c r="N987" s="1" t="str">
        <f t="shared" si="30"/>
        <v>Higher</v>
      </c>
      <c r="O987" s="1" t="str">
        <f t="shared" si="31"/>
        <v>Mature | High Spender | Higher</v>
      </c>
    </row>
    <row r="988" spans="1:15" x14ac:dyDescent="0.25">
      <c r="A988" s="1" t="s">
        <v>1018</v>
      </c>
      <c r="B988" s="1">
        <v>28</v>
      </c>
      <c r="C988" s="1" t="str" cm="1">
        <f t="array" ref="C988">_xlfn.IFS(OR(B988=" ", B988="NA",NOT(ISNUMBER(B988))), "Unknown",B988&lt;18,"Underage",B988&lt;=24,"Young Adult",B988&lt;=34,"Early Career",B988&lt;=44,"Mid Career",B988&lt;=54,"Mature",B988&lt;=65,"Pre-Senior",B988&gt;65,"Senior")</f>
        <v>Early Career</v>
      </c>
      <c r="F988" s="1">
        <v>1700000</v>
      </c>
      <c r="G988" s="1">
        <v>30</v>
      </c>
      <c r="H988" s="1" t="str" cm="1">
        <f t="array" ref="H988">_xlfn.IFS( OR(G988=" ",NOT(ISNUMBER(G988))),"Unknown",G988&lt;=33,"Low Spender",G988&lt;=66,"Medium Spender",TRUE, "High Spender")</f>
        <v>Low Spender</v>
      </c>
      <c r="I988" s="1">
        <v>15</v>
      </c>
      <c r="J988" s="1">
        <v>500</v>
      </c>
      <c r="K988" s="1">
        <v>318</v>
      </c>
      <c r="L988" s="1" t="s">
        <v>16</v>
      </c>
      <c r="M988" s="1" t="s">
        <v>41</v>
      </c>
      <c r="N988" s="1" t="str">
        <f t="shared" si="30"/>
        <v>Lower</v>
      </c>
      <c r="O988" s="1" t="str">
        <f t="shared" si="31"/>
        <v>Early Career | Low Spender | Lower</v>
      </c>
    </row>
    <row r="989" spans="1:15" x14ac:dyDescent="0.25">
      <c r="A989" s="1" t="s">
        <v>1019</v>
      </c>
      <c r="C989" s="1" t="str" cm="1">
        <f t="array" ref="C989">_xlfn.IFS(OR(B989=" ", B989="NA",NOT(ISNUMBER(B989))), "Unknown",B989&lt;18,"Underage",B989&lt;=24,"Young Adult",B989&lt;=34,"Early Career",B989&lt;=44,"Mid Career",B989&lt;=54,"Mature",B989&lt;=65,"Pre-Senior",B989&gt;65,"Senior")</f>
        <v>Unknown</v>
      </c>
      <c r="D989" s="1" t="s">
        <v>29</v>
      </c>
      <c r="E989" s="1" t="s">
        <v>19</v>
      </c>
      <c r="F989" s="1">
        <v>925000</v>
      </c>
      <c r="G989" s="1">
        <v>30</v>
      </c>
      <c r="H989" s="1" t="str" cm="1">
        <f t="array" ref="H989">_xlfn.IFS( OR(G989=" ",NOT(ISNUMBER(G989))),"Unknown",G989&lt;=33,"Low Spender",G989&lt;=66,"Medium Spender",TRUE, "High Spender")</f>
        <v>Low Spender</v>
      </c>
      <c r="I989" s="1">
        <v>71</v>
      </c>
      <c r="J989" s="1">
        <v>3200</v>
      </c>
      <c r="K989" s="1">
        <v>75</v>
      </c>
      <c r="N989" s="1" t="str">
        <f t="shared" si="30"/>
        <v>Higher</v>
      </c>
      <c r="O989" s="1" t="str">
        <f t="shared" si="31"/>
        <v>Unknown | Low Spender | Higher</v>
      </c>
    </row>
    <row r="990" spans="1:15" x14ac:dyDescent="0.25">
      <c r="A990" s="1" t="s">
        <v>1020</v>
      </c>
      <c r="B990" s="1">
        <v>33</v>
      </c>
      <c r="C990" s="1" t="str" cm="1">
        <f t="array" ref="C990">_xlfn.IFS(OR(B990=" ", B990="NA",NOT(ISNUMBER(B990))), "Unknown",B990&lt;18,"Underage",B990&lt;=24,"Young Adult",B990&lt;=34,"Early Career",B990&lt;=44,"Mid Career",B990&lt;=54,"Mature",B990&lt;=65,"Pre-Senior",B990&gt;65,"Senior")</f>
        <v>Early Career</v>
      </c>
      <c r="D990" s="1" t="s">
        <v>18</v>
      </c>
      <c r="E990" s="1" t="s">
        <v>27</v>
      </c>
      <c r="F990" s="1">
        <v>1075000</v>
      </c>
      <c r="G990" s="1">
        <v>38</v>
      </c>
      <c r="H990" s="1" t="str" cm="1">
        <f t="array" ref="H990">_xlfn.IFS( OR(G990=" ",NOT(ISNUMBER(G990))),"Unknown",G990&lt;=33,"Low Spender",G990&lt;=66,"Medium Spender",TRUE, "High Spender")</f>
        <v>Medium Spender</v>
      </c>
      <c r="I990" s="1">
        <v>15</v>
      </c>
      <c r="J990" s="1">
        <v>9000</v>
      </c>
      <c r="K990" s="1">
        <v>79</v>
      </c>
      <c r="M990" s="1" t="s">
        <v>30</v>
      </c>
      <c r="N990" s="1" t="str">
        <f t="shared" si="30"/>
        <v>Higher</v>
      </c>
      <c r="O990" s="1" t="str">
        <f t="shared" si="31"/>
        <v>Early Career | Medium Spender | Higher</v>
      </c>
    </row>
    <row r="991" spans="1:15" x14ac:dyDescent="0.25">
      <c r="A991" s="1" t="s">
        <v>1021</v>
      </c>
      <c r="B991" s="1">
        <v>25</v>
      </c>
      <c r="C991" s="1" t="str" cm="1">
        <f t="array" ref="C991">_xlfn.IFS(OR(B991=" ", B991="NA",NOT(ISNUMBER(B991))), "Unknown",B991&lt;18,"Underage",B991&lt;=24,"Young Adult",B991&lt;=34,"Early Career",B991&lt;=44,"Mid Career",B991&lt;=54,"Mature",B991&lt;=65,"Pre-Senior",B991&gt;65,"Senior")</f>
        <v>Early Career</v>
      </c>
      <c r="D991" s="1" t="s">
        <v>12</v>
      </c>
      <c r="E991" s="1" t="s">
        <v>23</v>
      </c>
      <c r="F991" s="1">
        <v>675000</v>
      </c>
      <c r="G991" s="1">
        <v>58</v>
      </c>
      <c r="H991" s="1" t="str" cm="1">
        <f t="array" ref="H991">_xlfn.IFS( OR(G991=" ",NOT(ISNUMBER(G991))),"Unknown",G991&lt;=33,"Low Spender",G991&lt;=66,"Medium Spender",TRUE, "High Spender")</f>
        <v>Medium Spender</v>
      </c>
      <c r="I991" s="1">
        <v>6</v>
      </c>
      <c r="J991" s="1">
        <v>4700</v>
      </c>
      <c r="K991" s="1">
        <v>194</v>
      </c>
      <c r="L991" s="1" t="s">
        <v>35</v>
      </c>
      <c r="M991" s="1" t="s">
        <v>21</v>
      </c>
      <c r="N991" s="1" t="str">
        <f t="shared" si="30"/>
        <v>Lower</v>
      </c>
      <c r="O991" s="1" t="str">
        <f t="shared" si="31"/>
        <v>Early Career | Medium Spender | Lower</v>
      </c>
    </row>
    <row r="992" spans="1:15" x14ac:dyDescent="0.25">
      <c r="A992" s="1" t="s">
        <v>1022</v>
      </c>
      <c r="B992" s="1">
        <v>21</v>
      </c>
      <c r="C992" s="1" t="str" cm="1">
        <f t="array" ref="C992">_xlfn.IFS(OR(B992=" ", B992="NA",NOT(ISNUMBER(B992))), "Unknown",B992&lt;18,"Underage",B992&lt;=24,"Young Adult",B992&lt;=34,"Early Career",B992&lt;=44,"Mid Career",B992&lt;=54,"Mature",B992&lt;=65,"Pre-Senior",B992&gt;65,"Senior")</f>
        <v>Young Adult</v>
      </c>
      <c r="D992" s="1" t="s">
        <v>18</v>
      </c>
      <c r="F992" s="1">
        <v>525000</v>
      </c>
      <c r="G992" s="1">
        <v>94</v>
      </c>
      <c r="H992" s="1" t="str" cm="1">
        <f t="array" ref="H992">_xlfn.IFS( OR(G992=" ",NOT(ISNUMBER(G992))),"Unknown",G992&lt;=33,"Low Spender",G992&lt;=66,"Medium Spender",TRUE, "High Spender")</f>
        <v>High Spender</v>
      </c>
      <c r="J992" s="1">
        <v>3800</v>
      </c>
      <c r="K992" s="1">
        <v>363</v>
      </c>
      <c r="L992" s="1" t="s">
        <v>20</v>
      </c>
      <c r="M992" s="1" t="s">
        <v>21</v>
      </c>
      <c r="N992" s="1" t="str">
        <f t="shared" si="30"/>
        <v>Higher</v>
      </c>
      <c r="O992" s="1" t="str">
        <f t="shared" si="31"/>
        <v>Young Adult | High Spender | Higher</v>
      </c>
    </row>
    <row r="993" spans="1:15" x14ac:dyDescent="0.25">
      <c r="A993" s="1" t="s">
        <v>1023</v>
      </c>
      <c r="B993" s="1">
        <v>57</v>
      </c>
      <c r="C993" s="1" t="str" cm="1">
        <f t="array" ref="C993">_xlfn.IFS(OR(B993=" ", B993="NA",NOT(ISNUMBER(B993))), "Unknown",B993&lt;18,"Underage",B993&lt;=24,"Young Adult",B993&lt;=34,"Early Career",B993&lt;=44,"Mid Career",B993&lt;=54,"Mature",B993&lt;=65,"Pre-Senior",B993&gt;65,"Senior")</f>
        <v>Pre-Senior</v>
      </c>
      <c r="D993" s="1" t="s">
        <v>18</v>
      </c>
      <c r="E993" s="1" t="s">
        <v>13</v>
      </c>
      <c r="F993" s="1">
        <v>1425000</v>
      </c>
      <c r="G993" s="1">
        <v>41</v>
      </c>
      <c r="H993" s="1" t="str" cm="1">
        <f t="array" ref="H993">_xlfn.IFS( OR(G993=" ",NOT(ISNUMBER(G993))),"Unknown",G993&lt;=33,"Low Spender",G993&lt;=66,"Medium Spender",TRUE, "High Spender")</f>
        <v>Medium Spender</v>
      </c>
      <c r="I993" s="1">
        <v>68</v>
      </c>
      <c r="J993" s="1">
        <v>8900</v>
      </c>
      <c r="K993" s="1">
        <v>96</v>
      </c>
      <c r="L993" s="1" t="s">
        <v>20</v>
      </c>
      <c r="M993" s="1" t="s">
        <v>21</v>
      </c>
      <c r="N993" s="1" t="str">
        <f t="shared" si="30"/>
        <v>Higher</v>
      </c>
      <c r="O993" s="1" t="str">
        <f t="shared" si="31"/>
        <v>Pre-Senior | Medium Spender | Higher</v>
      </c>
    </row>
    <row r="994" spans="1:15" x14ac:dyDescent="0.25">
      <c r="A994" s="1" t="s">
        <v>1024</v>
      </c>
      <c r="B994" s="1">
        <v>21</v>
      </c>
      <c r="C994" s="1" t="str" cm="1">
        <f t="array" ref="C994">_xlfn.IFS(OR(B994=" ", B994="NA",NOT(ISNUMBER(B994))), "Unknown",B994&lt;18,"Underage",B994&lt;=24,"Young Adult",B994&lt;=34,"Early Career",B994&lt;=44,"Mid Career",B994&lt;=54,"Mature",B994&lt;=65,"Pre-Senior",B994&gt;65,"Senior")</f>
        <v>Young Adult</v>
      </c>
      <c r="E994" s="1" t="s">
        <v>34</v>
      </c>
      <c r="F994" s="1">
        <v>850000</v>
      </c>
      <c r="G994" s="1">
        <v>94</v>
      </c>
      <c r="H994" s="1" t="str" cm="1">
        <f t="array" ref="H994">_xlfn.IFS( OR(G994=" ",NOT(ISNUMBER(G994))),"Unknown",G994&lt;=33,"Low Spender",G994&lt;=66,"Medium Spender",TRUE, "High Spender")</f>
        <v>High Spender</v>
      </c>
      <c r="I994" s="1">
        <v>22</v>
      </c>
      <c r="K994" s="1">
        <v>40</v>
      </c>
      <c r="L994" s="1" t="s">
        <v>20</v>
      </c>
      <c r="M994" s="1" t="s">
        <v>30</v>
      </c>
      <c r="N994" s="1" t="str">
        <f t="shared" si="30"/>
        <v>Lower</v>
      </c>
      <c r="O994" s="1" t="str">
        <f t="shared" si="31"/>
        <v>Young Adult | High Spender | Lower</v>
      </c>
    </row>
    <row r="995" spans="1:15" x14ac:dyDescent="0.25">
      <c r="A995" s="1" t="s">
        <v>1025</v>
      </c>
      <c r="B995" s="1">
        <v>42</v>
      </c>
      <c r="C995" s="1" t="str" cm="1">
        <f t="array" ref="C995">_xlfn.IFS(OR(B995=" ", B995="NA",NOT(ISNUMBER(B995))), "Unknown",B995&lt;18,"Underage",B995&lt;=24,"Young Adult",B995&lt;=34,"Early Career",B995&lt;=44,"Mid Career",B995&lt;=54,"Mature",B995&lt;=65,"Pre-Senior",B995&gt;65,"Senior")</f>
        <v>Mid Career</v>
      </c>
      <c r="E995" s="1" t="s">
        <v>23</v>
      </c>
      <c r="F995" s="1">
        <v>525000</v>
      </c>
      <c r="G995" s="1">
        <v>57</v>
      </c>
      <c r="H995" s="1" t="str" cm="1">
        <f t="array" ref="H995">_xlfn.IFS( OR(G995=" ",NOT(ISNUMBER(G995))),"Unknown",G995&lt;=33,"Low Spender",G995&lt;=66,"Medium Spender",TRUE, "High Spender")</f>
        <v>Medium Spender</v>
      </c>
      <c r="I995" s="1">
        <v>32</v>
      </c>
      <c r="J995" s="1">
        <v>7400</v>
      </c>
      <c r="K995" s="1">
        <v>256</v>
      </c>
      <c r="L995" s="1" t="s">
        <v>35</v>
      </c>
      <c r="M995" s="1" t="s">
        <v>30</v>
      </c>
      <c r="N995" s="1" t="str">
        <f t="shared" si="30"/>
        <v>Lower</v>
      </c>
      <c r="O995" s="1" t="str">
        <f t="shared" si="31"/>
        <v>Mid Career | Medium Spender | Lower</v>
      </c>
    </row>
    <row r="996" spans="1:15" x14ac:dyDescent="0.25">
      <c r="A996" s="1" t="s">
        <v>1026</v>
      </c>
      <c r="B996" s="1">
        <v>20</v>
      </c>
      <c r="C996" s="1" t="str" cm="1">
        <f t="array" ref="C996">_xlfn.IFS(OR(B996=" ", B996="NA",NOT(ISNUMBER(B996))), "Unknown",B996&lt;18,"Underage",B996&lt;=24,"Young Adult",B996&lt;=34,"Early Career",B996&lt;=44,"Mid Career",B996&lt;=54,"Mature",B996&lt;=65,"Pre-Senior",B996&gt;65,"Senior")</f>
        <v>Young Adult</v>
      </c>
      <c r="D996" s="1" t="s">
        <v>29</v>
      </c>
      <c r="G996" s="1">
        <v>36</v>
      </c>
      <c r="H996" s="1" t="str" cm="1">
        <f t="array" ref="H996">_xlfn.IFS( OR(G996=" ",NOT(ISNUMBER(G996))),"Unknown",G996&lt;=33,"Low Spender",G996&lt;=66,"Medium Spender",TRUE, "High Spender")</f>
        <v>Medium Spender</v>
      </c>
      <c r="I996" s="1">
        <v>22</v>
      </c>
      <c r="J996" s="1">
        <v>6600</v>
      </c>
      <c r="K996" s="1">
        <v>107</v>
      </c>
      <c r="M996" s="1" t="s">
        <v>32</v>
      </c>
      <c r="N996" s="1" t="str">
        <f t="shared" si="30"/>
        <v>Higher</v>
      </c>
      <c r="O996" s="1" t="str">
        <f t="shared" si="31"/>
        <v>Young Adult | Medium Spender | Higher</v>
      </c>
    </row>
    <row r="997" spans="1:15" x14ac:dyDescent="0.25">
      <c r="A997" s="1" t="s">
        <v>1027</v>
      </c>
      <c r="B997" s="1">
        <v>49</v>
      </c>
      <c r="C997" s="1" t="str" cm="1">
        <f t="array" ref="C997">_xlfn.IFS(OR(B997=" ", B997="NA",NOT(ISNUMBER(B997))), "Unknown",B997&lt;18,"Underage",B997&lt;=24,"Young Adult",B997&lt;=34,"Early Career",B997&lt;=44,"Mid Career",B997&lt;=54,"Mature",B997&lt;=65,"Pre-Senior",B997&gt;65,"Senior")</f>
        <v>Mature</v>
      </c>
      <c r="E997" s="1" t="s">
        <v>19</v>
      </c>
      <c r="F997" s="1">
        <v>550000</v>
      </c>
      <c r="G997" s="1">
        <v>64</v>
      </c>
      <c r="H997" s="1" t="str" cm="1">
        <f t="array" ref="H997">_xlfn.IFS( OR(G997=" ",NOT(ISNUMBER(G997))),"Unknown",G997&lt;=33,"Low Spender",G997&lt;=66,"Medium Spender",TRUE, "High Spender")</f>
        <v>Medium Spender</v>
      </c>
      <c r="I997" s="1">
        <v>27</v>
      </c>
      <c r="J997" s="1">
        <v>5600</v>
      </c>
      <c r="K997" s="1">
        <v>17</v>
      </c>
      <c r="L997" s="1" t="s">
        <v>35</v>
      </c>
      <c r="N997" s="1" t="str">
        <f t="shared" si="30"/>
        <v>Lower</v>
      </c>
      <c r="O997" s="1" t="str">
        <f t="shared" si="31"/>
        <v>Mature | Medium Spender | Lower</v>
      </c>
    </row>
    <row r="998" spans="1:15" x14ac:dyDescent="0.25">
      <c r="A998" s="1" t="s">
        <v>1028</v>
      </c>
      <c r="B998" s="1">
        <v>20</v>
      </c>
      <c r="C998" s="1" t="str" cm="1">
        <f t="array" ref="C998">_xlfn.IFS(OR(B998=" ", B998="NA",NOT(ISNUMBER(B998))), "Unknown",B998&lt;18,"Underage",B998&lt;=24,"Young Adult",B998&lt;=34,"Early Career",B998&lt;=44,"Mid Career",B998&lt;=54,"Mature",B998&lt;=65,"Pre-Senior",B998&gt;65,"Senior")</f>
        <v>Young Adult</v>
      </c>
      <c r="D998" s="1" t="s">
        <v>18</v>
      </c>
      <c r="E998" s="1" t="s">
        <v>23</v>
      </c>
      <c r="F998" s="1">
        <v>1725000</v>
      </c>
      <c r="G998" s="1">
        <v>98</v>
      </c>
      <c r="H998" s="1" t="str" cm="1">
        <f t="array" ref="H998">_xlfn.IFS( OR(G998=" ",NOT(ISNUMBER(G998))),"Unknown",G998&lt;=33,"Low Spender",G998&lt;=66,"Medium Spender",TRUE, "High Spender")</f>
        <v>High Spender</v>
      </c>
      <c r="I998" s="1">
        <v>15</v>
      </c>
      <c r="J998" s="1">
        <v>7000</v>
      </c>
      <c r="K998" s="1">
        <v>15</v>
      </c>
      <c r="L998" s="1" t="s">
        <v>37</v>
      </c>
      <c r="M998" s="1" t="s">
        <v>41</v>
      </c>
      <c r="N998" s="1" t="str">
        <f t="shared" si="30"/>
        <v>Higher</v>
      </c>
      <c r="O998" s="1" t="str">
        <f t="shared" si="31"/>
        <v>Young Adult | High Spender | Higher</v>
      </c>
    </row>
    <row r="999" spans="1:15" x14ac:dyDescent="0.25">
      <c r="A999" s="1" t="s">
        <v>1029</v>
      </c>
      <c r="B999" s="1">
        <v>44</v>
      </c>
      <c r="C999" s="1" t="str" cm="1">
        <f t="array" ref="C999">_xlfn.IFS(OR(B999=" ", B999="NA",NOT(ISNUMBER(B999))), "Unknown",B999&lt;18,"Underage",B999&lt;=24,"Young Adult",B999&lt;=34,"Early Career",B999&lt;=44,"Mid Career",B999&lt;=54,"Mature",B999&lt;=65,"Pre-Senior",B999&gt;65,"Senior")</f>
        <v>Mid Career</v>
      </c>
      <c r="D999" s="1" t="s">
        <v>29</v>
      </c>
      <c r="E999" s="1" t="s">
        <v>58</v>
      </c>
      <c r="F999" s="1">
        <v>450000</v>
      </c>
      <c r="G999" s="1">
        <v>16</v>
      </c>
      <c r="H999" s="1" t="str" cm="1">
        <f t="array" ref="H999">_xlfn.IFS( OR(G999=" ",NOT(ISNUMBER(G999))),"Unknown",G999&lt;=33,"Low Spender",G999&lt;=66,"Medium Spender",TRUE, "High Spender")</f>
        <v>Low Spender</v>
      </c>
      <c r="I999" s="1">
        <v>44</v>
      </c>
      <c r="J999" s="1">
        <v>5200</v>
      </c>
      <c r="K999" s="1">
        <v>272</v>
      </c>
      <c r="N999" s="1" t="str">
        <f t="shared" si="30"/>
        <v>Higher</v>
      </c>
      <c r="O999" s="1" t="str">
        <f t="shared" si="31"/>
        <v>Mid Career | Low Spender | Higher</v>
      </c>
    </row>
    <row r="1000" spans="1:15" x14ac:dyDescent="0.25">
      <c r="A1000" s="1" t="s">
        <v>1030</v>
      </c>
      <c r="B1000" s="1">
        <v>46</v>
      </c>
      <c r="C1000" s="1" t="str" cm="1">
        <f t="array" ref="C1000">_xlfn.IFS(OR(B1000=" ", B1000="NA",NOT(ISNUMBER(B1000))), "Unknown",B1000&lt;18,"Underage",B1000&lt;=24,"Young Adult",B1000&lt;=34,"Early Career",B1000&lt;=44,"Mid Career",B1000&lt;=54,"Mature",B1000&lt;=65,"Pre-Senior",B1000&gt;65,"Senior")</f>
        <v>Mature</v>
      </c>
      <c r="E1000" s="1" t="s">
        <v>23</v>
      </c>
      <c r="F1000" s="1">
        <v>1925000</v>
      </c>
      <c r="G1000" s="1">
        <v>88</v>
      </c>
      <c r="H1000" s="1" t="str" cm="1">
        <f t="array" ref="H1000">_xlfn.IFS( OR(G1000=" ",NOT(ISNUMBER(G1000))),"Unknown",G1000&lt;=33,"Low Spender",G1000&lt;=66,"Medium Spender",TRUE, "High Spender")</f>
        <v>High Spender</v>
      </c>
      <c r="I1000" s="1">
        <v>9</v>
      </c>
      <c r="J1000" s="1">
        <v>10500</v>
      </c>
      <c r="K1000" s="1">
        <v>13</v>
      </c>
      <c r="M1000" s="1" t="s">
        <v>21</v>
      </c>
      <c r="N1000" s="1" t="str">
        <f t="shared" si="30"/>
        <v>Lower</v>
      </c>
      <c r="O1000" s="1" t="str">
        <f t="shared" si="31"/>
        <v>Mature | High Spender | Lower</v>
      </c>
    </row>
    <row r="1001" spans="1:15" x14ac:dyDescent="0.25">
      <c r="A1001" s="1" t="s">
        <v>1031</v>
      </c>
      <c r="B1001" s="1">
        <v>49</v>
      </c>
      <c r="C1001" s="1" t="str" cm="1">
        <f t="array" ref="C1001">_xlfn.IFS(OR(B1001=" ", B1001="NA",NOT(ISNUMBER(B1001))), "Unknown",B1001&lt;18,"Underage",B1001&lt;=24,"Young Adult",B1001&lt;=34,"Early Career",B1001&lt;=44,"Mid Career",B1001&lt;=54,"Mature",B1001&lt;=65,"Pre-Senior",B1001&gt;65,"Senior")</f>
        <v>Mature</v>
      </c>
      <c r="D1001" s="1" t="s">
        <v>12</v>
      </c>
      <c r="F1001" s="1">
        <v>1525000</v>
      </c>
      <c r="G1001" s="1">
        <v>78</v>
      </c>
      <c r="H1001" s="1" t="str" cm="1">
        <f t="array" ref="H1001">_xlfn.IFS( OR(G1001=" ",NOT(ISNUMBER(G1001))),"Unknown",G1001&lt;=33,"Low Spender",G1001&lt;=66,"Medium Spender",TRUE, "High Spender")</f>
        <v>High Spender</v>
      </c>
      <c r="I1001" s="1">
        <v>34</v>
      </c>
      <c r="J1001" s="1">
        <v>10900</v>
      </c>
      <c r="K1001" s="1">
        <v>247</v>
      </c>
      <c r="L1001" s="1" t="s">
        <v>37</v>
      </c>
      <c r="N1001" s="1" t="str">
        <f t="shared" si="30"/>
        <v>Lower</v>
      </c>
      <c r="O1001" s="1" t="str">
        <f t="shared" si="31"/>
        <v>Mature | High Spender | Lower</v>
      </c>
    </row>
    <row r="1002" spans="1:15" x14ac:dyDescent="0.25">
      <c r="A1002" s="1" t="s">
        <v>1032</v>
      </c>
      <c r="B1002" s="1">
        <v>67</v>
      </c>
      <c r="C1002" s="1" t="str" cm="1">
        <f t="array" ref="C1002">_xlfn.IFS(OR(B1002=" ", B1002="NA",NOT(ISNUMBER(B1002))), "Unknown",B1002&lt;18,"Underage",B1002&lt;=24,"Young Adult",B1002&lt;=34,"Early Career",B1002&lt;=44,"Mid Career",B1002&lt;=54,"Mature",B1002&lt;=65,"Pre-Senior",B1002&gt;65,"Senior")</f>
        <v>Senior</v>
      </c>
      <c r="D1002" s="1" t="s">
        <v>18</v>
      </c>
      <c r="E1002" s="1" t="s">
        <v>49</v>
      </c>
      <c r="F1002" s="1">
        <v>250000</v>
      </c>
      <c r="G1002" s="1">
        <v>90</v>
      </c>
      <c r="H1002" s="1" t="str" cm="1">
        <f t="array" ref="H1002">_xlfn.IFS( OR(G1002=" ",NOT(ISNUMBER(G1002))),"Unknown",G1002&lt;=33,"Low Spender",G1002&lt;=66,"Medium Spender",TRUE, "High Spender")</f>
        <v>High Spender</v>
      </c>
      <c r="I1002" s="1">
        <v>73</v>
      </c>
      <c r="J1002" s="1">
        <v>3300</v>
      </c>
      <c r="K1002" s="1">
        <v>214</v>
      </c>
      <c r="M1002" s="1" t="s">
        <v>21</v>
      </c>
      <c r="N1002" s="1" t="str">
        <f t="shared" si="30"/>
        <v>Higher</v>
      </c>
      <c r="O1002" s="1" t="str">
        <f t="shared" si="31"/>
        <v>Senior | High Spender | Higher</v>
      </c>
    </row>
    <row r="1003" spans="1:15" x14ac:dyDescent="0.25">
      <c r="A1003" s="1" t="s">
        <v>1033</v>
      </c>
      <c r="B1003" s="1">
        <v>68</v>
      </c>
      <c r="C1003" s="1" t="str" cm="1">
        <f t="array" ref="C1003">_xlfn.IFS(OR(B1003=" ", B1003="NA",NOT(ISNUMBER(B1003))), "Unknown",B1003&lt;18,"Underage",B1003&lt;=24,"Young Adult",B1003&lt;=34,"Early Career",B1003&lt;=44,"Mid Career",B1003&lt;=54,"Mature",B1003&lt;=65,"Pre-Senior",B1003&gt;65,"Senior")</f>
        <v>Senior</v>
      </c>
      <c r="D1003" s="1" t="s">
        <v>29</v>
      </c>
      <c r="E1003" s="1" t="s">
        <v>49</v>
      </c>
      <c r="F1003" s="1">
        <v>425000</v>
      </c>
      <c r="G1003" s="1">
        <v>72</v>
      </c>
      <c r="H1003" s="1" t="str" cm="1">
        <f t="array" ref="H1003">_xlfn.IFS( OR(G1003=" ",NOT(ISNUMBER(G1003))),"Unknown",G1003&lt;=33,"Low Spender",G1003&lt;=66,"Medium Spender",TRUE, "High Spender")</f>
        <v>High Spender</v>
      </c>
      <c r="I1003" s="1">
        <v>15</v>
      </c>
      <c r="J1003" s="1">
        <v>3100</v>
      </c>
      <c r="K1003" s="1">
        <v>151</v>
      </c>
      <c r="N1003" s="1" t="str">
        <f t="shared" si="30"/>
        <v>Higher</v>
      </c>
      <c r="O1003" s="1" t="str">
        <f t="shared" si="31"/>
        <v>Senior | High Spender | Higher</v>
      </c>
    </row>
    <row r="1004" spans="1:15" x14ac:dyDescent="0.25">
      <c r="A1004" s="1" t="s">
        <v>1034</v>
      </c>
      <c r="B1004" s="1">
        <v>36</v>
      </c>
      <c r="C1004" s="1" t="str" cm="1">
        <f t="array" ref="C1004">_xlfn.IFS(OR(B1004=" ", B1004="NA",NOT(ISNUMBER(B1004))), "Unknown",B1004&lt;18,"Underage",B1004&lt;=24,"Young Adult",B1004&lt;=34,"Early Career",B1004&lt;=44,"Mid Career",B1004&lt;=54,"Mature",B1004&lt;=65,"Pre-Senior",B1004&gt;65,"Senior")</f>
        <v>Mid Career</v>
      </c>
      <c r="D1004" s="1" t="s">
        <v>12</v>
      </c>
      <c r="E1004" s="1" t="s">
        <v>23</v>
      </c>
      <c r="F1004" s="1">
        <v>1150000</v>
      </c>
      <c r="G1004" s="1">
        <v>14</v>
      </c>
      <c r="H1004" s="1" t="str" cm="1">
        <f t="array" ref="H1004">_xlfn.IFS( OR(G1004=" ",NOT(ISNUMBER(G1004))),"Unknown",G1004&lt;=33,"Low Spender",G1004&lt;=66,"Medium Spender",TRUE, "High Spender")</f>
        <v>Low Spender</v>
      </c>
      <c r="I1004" s="1">
        <v>62</v>
      </c>
      <c r="J1004" s="1">
        <v>6100</v>
      </c>
      <c r="K1004" s="1">
        <v>292</v>
      </c>
      <c r="L1004" s="1" t="s">
        <v>37</v>
      </c>
      <c r="M1004" s="1" t="s">
        <v>32</v>
      </c>
      <c r="N1004" s="1" t="str">
        <f t="shared" si="30"/>
        <v>Lower</v>
      </c>
      <c r="O1004" s="1" t="str">
        <f t="shared" si="31"/>
        <v>Mid Career | Low Spender | Lower</v>
      </c>
    </row>
    <row r="1005" spans="1:15" x14ac:dyDescent="0.25">
      <c r="A1005" s="1" t="s">
        <v>1035</v>
      </c>
      <c r="B1005" s="1">
        <v>38</v>
      </c>
      <c r="C1005" s="1" t="str" cm="1">
        <f t="array" ref="C1005">_xlfn.IFS(OR(B1005=" ", B1005="NA",NOT(ISNUMBER(B1005))), "Unknown",B1005&lt;18,"Underage",B1005&lt;=24,"Young Adult",B1005&lt;=34,"Early Career",B1005&lt;=44,"Mid Career",B1005&lt;=54,"Mature",B1005&lt;=65,"Pre-Senior",B1005&gt;65,"Senior")</f>
        <v>Mid Career</v>
      </c>
      <c r="D1005" s="1" t="s">
        <v>18</v>
      </c>
      <c r="E1005" s="1" t="s">
        <v>34</v>
      </c>
      <c r="F1005" s="1">
        <v>200000</v>
      </c>
      <c r="G1005" s="1">
        <v>31</v>
      </c>
      <c r="H1005" s="1" t="str" cm="1">
        <f t="array" ref="H1005">_xlfn.IFS( OR(G1005=" ",NOT(ISNUMBER(G1005))),"Unknown",G1005&lt;=33,"Low Spender",G1005&lt;=66,"Medium Spender",TRUE, "High Spender")</f>
        <v>Low Spender</v>
      </c>
      <c r="I1005" s="1">
        <v>45</v>
      </c>
      <c r="J1005" s="1">
        <v>3800</v>
      </c>
      <c r="K1005" s="1">
        <v>43</v>
      </c>
      <c r="L1005" s="1" t="s">
        <v>35</v>
      </c>
      <c r="N1005" s="1" t="str">
        <f t="shared" si="30"/>
        <v>Higher</v>
      </c>
      <c r="O1005" s="1" t="str">
        <f t="shared" si="31"/>
        <v>Mid Career | Low Spender | Higher</v>
      </c>
    </row>
    <row r="1006" spans="1:15" x14ac:dyDescent="0.25">
      <c r="A1006" s="1" t="s">
        <v>1036</v>
      </c>
      <c r="B1006" s="1">
        <v>22</v>
      </c>
      <c r="C1006" s="1" t="str" cm="1">
        <f t="array" ref="C1006">_xlfn.IFS(OR(B1006=" ", B1006="NA",NOT(ISNUMBER(B1006))), "Unknown",B1006&lt;18,"Underage",B1006&lt;=24,"Young Adult",B1006&lt;=34,"Early Career",B1006&lt;=44,"Mid Career",B1006&lt;=54,"Mature",B1006&lt;=65,"Pre-Senior",B1006&gt;65,"Senior")</f>
        <v>Young Adult</v>
      </c>
      <c r="D1006" s="1" t="s">
        <v>29</v>
      </c>
      <c r="E1006" s="1" t="s">
        <v>19</v>
      </c>
      <c r="F1006" s="1">
        <v>950000</v>
      </c>
      <c r="G1006" s="1">
        <v>66</v>
      </c>
      <c r="H1006" s="1" t="str" cm="1">
        <f t="array" ref="H1006">_xlfn.IFS( OR(G1006=" ",NOT(ISNUMBER(G1006))),"Unknown",G1006&lt;=33,"Low Spender",G1006&lt;=66,"Medium Spender",TRUE, "High Spender")</f>
        <v>Medium Spender</v>
      </c>
      <c r="I1006" s="1">
        <v>72</v>
      </c>
      <c r="J1006" s="1">
        <v>7900</v>
      </c>
      <c r="K1006" s="1">
        <v>114</v>
      </c>
      <c r="L1006" s="1" t="s">
        <v>20</v>
      </c>
      <c r="M1006" s="1" t="s">
        <v>21</v>
      </c>
      <c r="N1006" s="1" t="str">
        <f t="shared" si="30"/>
        <v>Higher</v>
      </c>
      <c r="O1006" s="1" t="str">
        <f t="shared" si="31"/>
        <v>Young Adult | Medium Spender | Higher</v>
      </c>
    </row>
    <row r="1007" spans="1:15" x14ac:dyDescent="0.25">
      <c r="A1007" s="1" t="s">
        <v>1037</v>
      </c>
      <c r="B1007" s="1">
        <v>35</v>
      </c>
      <c r="C1007" s="1" t="str" cm="1">
        <f t="array" ref="C1007">_xlfn.IFS(OR(B1007=" ", B1007="NA",NOT(ISNUMBER(B1007))), "Unknown",B1007&lt;18,"Underage",B1007&lt;=24,"Young Adult",B1007&lt;=34,"Early Career",B1007&lt;=44,"Mid Career",B1007&lt;=54,"Mature",B1007&lt;=65,"Pre-Senior",B1007&gt;65,"Senior")</f>
        <v>Mid Career</v>
      </c>
      <c r="D1007" s="1" t="s">
        <v>29</v>
      </c>
      <c r="F1007" s="1">
        <v>1375000</v>
      </c>
      <c r="G1007" s="1">
        <v>68</v>
      </c>
      <c r="H1007" s="1" t="str" cm="1">
        <f t="array" ref="H1007">_xlfn.IFS( OR(G1007=" ",NOT(ISNUMBER(G1007))),"Unknown",G1007&lt;=33,"Low Spender",G1007&lt;=66,"Medium Spender",TRUE, "High Spender")</f>
        <v>High Spender</v>
      </c>
      <c r="I1007" s="1">
        <v>58</v>
      </c>
      <c r="J1007" s="1">
        <v>10700</v>
      </c>
      <c r="K1007" s="1">
        <v>330</v>
      </c>
      <c r="N1007" s="1" t="str">
        <f t="shared" si="30"/>
        <v>Higher</v>
      </c>
      <c r="O1007" s="1" t="str">
        <f t="shared" si="31"/>
        <v>Mid Career | High Spender | Higher</v>
      </c>
    </row>
    <row r="1008" spans="1:15" x14ac:dyDescent="0.25">
      <c r="A1008" s="1" t="s">
        <v>1038</v>
      </c>
      <c r="B1008" s="1">
        <v>45</v>
      </c>
      <c r="C1008" s="1" t="str" cm="1">
        <f t="array" ref="C1008">_xlfn.IFS(OR(B1008=" ", B1008="NA",NOT(ISNUMBER(B1008))), "Unknown",B1008&lt;18,"Underage",B1008&lt;=24,"Young Adult",B1008&lt;=34,"Early Career",B1008&lt;=44,"Mid Career",B1008&lt;=54,"Mature",B1008&lt;=65,"Pre-Senior",B1008&gt;65,"Senior")</f>
        <v>Mature</v>
      </c>
      <c r="D1008" s="1" t="s">
        <v>29</v>
      </c>
      <c r="F1008" s="1">
        <v>1525000</v>
      </c>
      <c r="G1008" s="1">
        <v>65</v>
      </c>
      <c r="H1008" s="1" t="str" cm="1">
        <f t="array" ref="H1008">_xlfn.IFS( OR(G1008=" ",NOT(ISNUMBER(G1008))),"Unknown",G1008&lt;=33,"Low Spender",G1008&lt;=66,"Medium Spender",TRUE, "High Spender")</f>
        <v>Medium Spender</v>
      </c>
      <c r="I1008" s="1">
        <v>19</v>
      </c>
      <c r="J1008" s="1">
        <v>7500</v>
      </c>
      <c r="K1008" s="1">
        <v>81</v>
      </c>
      <c r="M1008" s="1" t="s">
        <v>32</v>
      </c>
      <c r="N1008" s="1" t="str">
        <f t="shared" si="30"/>
        <v>Higher</v>
      </c>
      <c r="O1008" s="1" t="str">
        <f t="shared" si="31"/>
        <v>Mature | Medium Spender | Higher</v>
      </c>
    </row>
    <row r="1009" spans="1:15" x14ac:dyDescent="0.25">
      <c r="A1009" s="1" t="s">
        <v>1039</v>
      </c>
      <c r="B1009" s="1">
        <v>59</v>
      </c>
      <c r="C1009" s="1" t="str" cm="1">
        <f t="array" ref="C1009">_xlfn.IFS(OR(B1009=" ", B1009="NA",NOT(ISNUMBER(B1009))), "Unknown",B1009&lt;18,"Underage",B1009&lt;=24,"Young Adult",B1009&lt;=34,"Early Career",B1009&lt;=44,"Mid Career",B1009&lt;=54,"Mature",B1009&lt;=65,"Pre-Senior",B1009&gt;65,"Senior")</f>
        <v>Pre-Senior</v>
      </c>
      <c r="D1009" s="1" t="s">
        <v>29</v>
      </c>
      <c r="E1009" s="1" t="s">
        <v>23</v>
      </c>
      <c r="F1009" s="1">
        <v>350000</v>
      </c>
      <c r="G1009" s="1">
        <v>55</v>
      </c>
      <c r="H1009" s="1" t="str" cm="1">
        <f t="array" ref="H1009">_xlfn.IFS( OR(G1009=" ",NOT(ISNUMBER(G1009))),"Unknown",G1009&lt;=33,"Low Spender",G1009&lt;=66,"Medium Spender",TRUE, "High Spender")</f>
        <v>Medium Spender</v>
      </c>
      <c r="I1009" s="1">
        <v>16</v>
      </c>
      <c r="K1009" s="1">
        <v>350</v>
      </c>
      <c r="L1009" s="1" t="s">
        <v>16</v>
      </c>
      <c r="N1009" s="1" t="str">
        <f t="shared" si="30"/>
        <v>Higher</v>
      </c>
      <c r="O1009" s="1" t="str">
        <f t="shared" si="31"/>
        <v>Pre-Senior | Medium Spender | Higher</v>
      </c>
    </row>
    <row r="1010" spans="1:15" x14ac:dyDescent="0.25">
      <c r="A1010" s="1" t="s">
        <v>1040</v>
      </c>
      <c r="B1010" s="1">
        <v>39</v>
      </c>
      <c r="C1010" s="1" t="str" cm="1">
        <f t="array" ref="C1010">_xlfn.IFS(OR(B1010=" ", B1010="NA",NOT(ISNUMBER(B1010))), "Unknown",B1010&lt;18,"Underage",B1010&lt;=24,"Young Adult",B1010&lt;=34,"Early Career",B1010&lt;=44,"Mid Career",B1010&lt;=54,"Mature",B1010&lt;=65,"Pre-Senior",B1010&gt;65,"Senior")</f>
        <v>Mid Career</v>
      </c>
      <c r="D1010" s="1" t="s">
        <v>29</v>
      </c>
      <c r="E1010" s="1" t="s">
        <v>23</v>
      </c>
      <c r="F1010" s="1">
        <v>1375000</v>
      </c>
      <c r="G1010" s="1">
        <v>84</v>
      </c>
      <c r="H1010" s="1" t="str" cm="1">
        <f t="array" ref="H1010">_xlfn.IFS( OR(G1010=" ",NOT(ISNUMBER(G1010))),"Unknown",G1010&lt;=33,"Low Spender",G1010&lt;=66,"Medium Spender",TRUE, "High Spender")</f>
        <v>High Spender</v>
      </c>
      <c r="I1010" s="1">
        <v>75</v>
      </c>
      <c r="J1010" s="1">
        <v>8700</v>
      </c>
      <c r="K1010" s="1">
        <v>141</v>
      </c>
      <c r="N1010" s="1" t="str">
        <f t="shared" si="30"/>
        <v>Higher</v>
      </c>
      <c r="O1010" s="1" t="str">
        <f t="shared" si="31"/>
        <v>Mid Career | High Spender | Higher</v>
      </c>
    </row>
    <row r="1011" spans="1:15" x14ac:dyDescent="0.25">
      <c r="A1011" s="1" t="s">
        <v>1041</v>
      </c>
      <c r="B1011" s="1">
        <v>38</v>
      </c>
      <c r="C1011" s="1" t="str" cm="1">
        <f t="array" ref="C1011">_xlfn.IFS(OR(B1011=" ", B1011="NA",NOT(ISNUMBER(B1011))), "Unknown",B1011&lt;18,"Underage",B1011&lt;=24,"Young Adult",B1011&lt;=34,"Early Career",B1011&lt;=44,"Mid Career",B1011&lt;=54,"Mature",B1011&lt;=65,"Pre-Senior",B1011&gt;65,"Senior")</f>
        <v>Mid Career</v>
      </c>
      <c r="D1011" s="1" t="s">
        <v>29</v>
      </c>
      <c r="E1011" s="1" t="s">
        <v>49</v>
      </c>
      <c r="F1011" s="1">
        <v>850000</v>
      </c>
      <c r="G1011" s="1">
        <v>78</v>
      </c>
      <c r="H1011" s="1" t="str" cm="1">
        <f t="array" ref="H1011">_xlfn.IFS( OR(G1011=" ",NOT(ISNUMBER(G1011))),"Unknown",G1011&lt;=33,"Low Spender",G1011&lt;=66,"Medium Spender",TRUE, "High Spender")</f>
        <v>High Spender</v>
      </c>
      <c r="I1011" s="1">
        <v>8</v>
      </c>
      <c r="J1011" s="1">
        <v>11700</v>
      </c>
      <c r="K1011" s="1">
        <v>30</v>
      </c>
      <c r="L1011" s="1" t="s">
        <v>20</v>
      </c>
      <c r="M1011" s="1" t="s">
        <v>41</v>
      </c>
      <c r="N1011" s="1" t="str">
        <f t="shared" si="30"/>
        <v>Higher</v>
      </c>
      <c r="O1011" s="1" t="str">
        <f t="shared" si="31"/>
        <v>Mid Career | High Spender | Higher</v>
      </c>
    </row>
    <row r="1012" spans="1:15" x14ac:dyDescent="0.25">
      <c r="A1012" s="1" t="s">
        <v>1042</v>
      </c>
      <c r="B1012" s="1">
        <v>23</v>
      </c>
      <c r="C1012" s="1" t="str" cm="1">
        <f t="array" ref="C1012">_xlfn.IFS(OR(B1012=" ", B1012="NA",NOT(ISNUMBER(B1012))), "Unknown",B1012&lt;18,"Underage",B1012&lt;=24,"Young Adult",B1012&lt;=34,"Early Career",B1012&lt;=44,"Mid Career",B1012&lt;=54,"Mature",B1012&lt;=65,"Pre-Senior",B1012&gt;65,"Senior")</f>
        <v>Young Adult</v>
      </c>
      <c r="D1012" s="1" t="s">
        <v>29</v>
      </c>
      <c r="F1012" s="1">
        <v>1100000</v>
      </c>
      <c r="G1012" s="1">
        <v>40</v>
      </c>
      <c r="H1012" s="1" t="str" cm="1">
        <f t="array" ref="H1012">_xlfn.IFS( OR(G1012=" ",NOT(ISNUMBER(G1012))),"Unknown",G1012&lt;=33,"Low Spender",G1012&lt;=66,"Medium Spender",TRUE, "High Spender")</f>
        <v>Medium Spender</v>
      </c>
      <c r="I1012" s="1">
        <v>33</v>
      </c>
      <c r="J1012" s="1">
        <v>6900</v>
      </c>
      <c r="K1012" s="1">
        <v>30</v>
      </c>
      <c r="M1012" s="1" t="s">
        <v>32</v>
      </c>
      <c r="N1012" s="1" t="str">
        <f t="shared" si="30"/>
        <v>Higher</v>
      </c>
      <c r="O1012" s="1" t="str">
        <f t="shared" si="31"/>
        <v>Young Adult | Medium Spender | Higher</v>
      </c>
    </row>
    <row r="1013" spans="1:15" x14ac:dyDescent="0.25">
      <c r="A1013" s="1" t="s">
        <v>1043</v>
      </c>
      <c r="B1013" s="1">
        <v>18</v>
      </c>
      <c r="C1013" s="1" t="str" cm="1">
        <f t="array" ref="C1013">_xlfn.IFS(OR(B1013=" ", B1013="NA",NOT(ISNUMBER(B1013))), "Unknown",B1013&lt;18,"Underage",B1013&lt;=24,"Young Adult",B1013&lt;=34,"Early Career",B1013&lt;=44,"Mid Career",B1013&lt;=54,"Mature",B1013&lt;=65,"Pre-Senior",B1013&gt;65,"Senior")</f>
        <v>Young Adult</v>
      </c>
      <c r="D1013" s="1" t="s">
        <v>18</v>
      </c>
      <c r="E1013" s="1" t="s">
        <v>34</v>
      </c>
      <c r="F1013" s="1">
        <v>1250000</v>
      </c>
      <c r="G1013" s="1">
        <v>25</v>
      </c>
      <c r="H1013" s="1" t="str" cm="1">
        <f t="array" ref="H1013">_xlfn.IFS( OR(G1013=" ",NOT(ISNUMBER(G1013))),"Unknown",G1013&lt;=33,"Low Spender",G1013&lt;=66,"Medium Spender",TRUE, "High Spender")</f>
        <v>Low Spender</v>
      </c>
      <c r="I1013" s="1">
        <v>74</v>
      </c>
      <c r="J1013" s="1">
        <v>9100</v>
      </c>
      <c r="K1013" s="1">
        <v>266</v>
      </c>
      <c r="L1013" s="1" t="s">
        <v>16</v>
      </c>
      <c r="N1013" s="1" t="str">
        <f t="shared" si="30"/>
        <v>Higher</v>
      </c>
      <c r="O1013" s="1" t="str">
        <f t="shared" si="31"/>
        <v>Young Adult | Low Spender | Higher</v>
      </c>
    </row>
    <row r="1014" spans="1:15" x14ac:dyDescent="0.25">
      <c r="A1014" s="1" t="s">
        <v>1044</v>
      </c>
      <c r="B1014" s="1">
        <v>22</v>
      </c>
      <c r="C1014" s="1" t="str" cm="1">
        <f t="array" ref="C1014">_xlfn.IFS(OR(B1014=" ", B1014="NA",NOT(ISNUMBER(B1014))), "Unknown",B1014&lt;18,"Underage",B1014&lt;=24,"Young Adult",B1014&lt;=34,"Early Career",B1014&lt;=44,"Mid Career",B1014&lt;=54,"Mature",B1014&lt;=65,"Pre-Senior",B1014&gt;65,"Senior")</f>
        <v>Young Adult</v>
      </c>
      <c r="D1014" s="1" t="s">
        <v>18</v>
      </c>
      <c r="E1014" s="1" t="s">
        <v>23</v>
      </c>
      <c r="F1014" s="1">
        <v>550000</v>
      </c>
      <c r="G1014" s="1">
        <v>25</v>
      </c>
      <c r="H1014" s="1" t="str" cm="1">
        <f t="array" ref="H1014">_xlfn.IFS( OR(G1014=" ",NOT(ISNUMBER(G1014))),"Unknown",G1014&lt;=33,"Low Spender",G1014&lt;=66,"Medium Spender",TRUE, "High Spender")</f>
        <v>Low Spender</v>
      </c>
      <c r="I1014" s="1">
        <v>18</v>
      </c>
      <c r="J1014" s="1">
        <v>9100</v>
      </c>
      <c r="K1014" s="1">
        <v>99</v>
      </c>
      <c r="L1014" s="1" t="s">
        <v>35</v>
      </c>
      <c r="M1014" s="1" t="s">
        <v>21</v>
      </c>
      <c r="N1014" s="1" t="str">
        <f t="shared" si="30"/>
        <v>Higher</v>
      </c>
      <c r="O1014" s="1" t="str">
        <f t="shared" si="31"/>
        <v>Young Adult | Low Spender | Higher</v>
      </c>
    </row>
    <row r="1015" spans="1:15" x14ac:dyDescent="0.25">
      <c r="A1015" s="1" t="s">
        <v>1045</v>
      </c>
      <c r="B1015" s="1">
        <v>58</v>
      </c>
      <c r="C1015" s="1" t="str" cm="1">
        <f t="array" ref="C1015">_xlfn.IFS(OR(B1015=" ", B1015="NA",NOT(ISNUMBER(B1015))), "Unknown",B1015&lt;18,"Underage",B1015&lt;=24,"Young Adult",B1015&lt;=34,"Early Career",B1015&lt;=44,"Mid Career",B1015&lt;=54,"Mature",B1015&lt;=65,"Pre-Senior",B1015&gt;65,"Senior")</f>
        <v>Pre-Senior</v>
      </c>
      <c r="D1015" s="1" t="s">
        <v>18</v>
      </c>
      <c r="F1015" s="1">
        <v>1525000</v>
      </c>
      <c r="G1015" s="1">
        <v>3</v>
      </c>
      <c r="H1015" s="1" t="str" cm="1">
        <f t="array" ref="H1015">_xlfn.IFS( OR(G1015=" ",NOT(ISNUMBER(G1015))),"Unknown",G1015&lt;=33,"Low Spender",G1015&lt;=66,"Medium Spender",TRUE, "High Spender")</f>
        <v>Low Spender</v>
      </c>
      <c r="I1015" s="1">
        <v>35</v>
      </c>
      <c r="J1015" s="1">
        <v>7800</v>
      </c>
      <c r="K1015" s="1">
        <v>94</v>
      </c>
      <c r="M1015" s="1" t="s">
        <v>30</v>
      </c>
      <c r="N1015" s="1" t="str">
        <f t="shared" si="30"/>
        <v>Higher</v>
      </c>
      <c r="O1015" s="1" t="str">
        <f t="shared" si="31"/>
        <v>Pre-Senior | Low Spender | Higher</v>
      </c>
    </row>
    <row r="1016" spans="1:15" x14ac:dyDescent="0.25">
      <c r="A1016" s="1" t="s">
        <v>1046</v>
      </c>
      <c r="B1016" s="1">
        <v>29</v>
      </c>
      <c r="C1016" s="1" t="str" cm="1">
        <f t="array" ref="C1016">_xlfn.IFS(OR(B1016=" ", B1016="NA",NOT(ISNUMBER(B1016))), "Unknown",B1016&lt;18,"Underage",B1016&lt;=24,"Young Adult",B1016&lt;=34,"Early Career",B1016&lt;=44,"Mid Career",B1016&lt;=54,"Mature",B1016&lt;=65,"Pre-Senior",B1016&gt;65,"Senior")</f>
        <v>Early Career</v>
      </c>
      <c r="D1016" s="1" t="s">
        <v>18</v>
      </c>
      <c r="E1016" s="1" t="s">
        <v>19</v>
      </c>
      <c r="F1016" s="1">
        <v>1275000</v>
      </c>
      <c r="G1016" s="1">
        <v>69</v>
      </c>
      <c r="H1016" s="1" t="str" cm="1">
        <f t="array" ref="H1016">_xlfn.IFS( OR(G1016=" ",NOT(ISNUMBER(G1016))),"Unknown",G1016&lt;=33,"Low Spender",G1016&lt;=66,"Medium Spender",TRUE, "High Spender")</f>
        <v>High Spender</v>
      </c>
      <c r="I1016" s="1">
        <v>43</v>
      </c>
      <c r="J1016" s="1">
        <v>9500</v>
      </c>
      <c r="K1016" s="1">
        <v>211</v>
      </c>
      <c r="M1016" s="1" t="s">
        <v>30</v>
      </c>
      <c r="N1016" s="1" t="str">
        <f t="shared" si="30"/>
        <v>Higher</v>
      </c>
      <c r="O1016" s="1" t="str">
        <f t="shared" si="31"/>
        <v>Early Career | High Spender | Higher</v>
      </c>
    </row>
    <row r="1017" spans="1:15" x14ac:dyDescent="0.25">
      <c r="A1017" s="1" t="s">
        <v>1047</v>
      </c>
      <c r="B1017" s="1">
        <v>43</v>
      </c>
      <c r="C1017" s="1" t="str" cm="1">
        <f t="array" ref="C1017">_xlfn.IFS(OR(B1017=" ", B1017="NA",NOT(ISNUMBER(B1017))), "Unknown",B1017&lt;18,"Underage",B1017&lt;=24,"Young Adult",B1017&lt;=34,"Early Career",B1017&lt;=44,"Mid Career",B1017&lt;=54,"Mature",B1017&lt;=65,"Pre-Senior",B1017&gt;65,"Senior")</f>
        <v>Mid Career</v>
      </c>
      <c r="D1017" s="1" t="s">
        <v>18</v>
      </c>
      <c r="E1017" s="1" t="s">
        <v>27</v>
      </c>
      <c r="F1017" s="1">
        <v>1800000</v>
      </c>
      <c r="H1017" s="1" t="str" cm="1">
        <f t="array" ref="H1017">_xlfn.IFS( OR(G1017=" ",NOT(ISNUMBER(G1017))),"Unknown",G1017&lt;=33,"Low Spender",G1017&lt;=66,"Medium Spender",TRUE, "High Spender")</f>
        <v>Unknown</v>
      </c>
      <c r="I1017" s="1">
        <v>50</v>
      </c>
      <c r="J1017" s="1">
        <v>1300</v>
      </c>
      <c r="K1017" s="1">
        <v>295</v>
      </c>
      <c r="L1017" s="1" t="s">
        <v>35</v>
      </c>
      <c r="M1017" s="1" t="s">
        <v>32</v>
      </c>
      <c r="N1017" s="1" t="str">
        <f t="shared" si="30"/>
        <v>Higher</v>
      </c>
      <c r="O1017" s="1" t="str">
        <f t="shared" si="31"/>
        <v>Mid Career | Unknown | Higher</v>
      </c>
    </row>
    <row r="1018" spans="1:15" x14ac:dyDescent="0.25">
      <c r="A1018" s="1" t="s">
        <v>1048</v>
      </c>
      <c r="B1018" s="1">
        <v>63</v>
      </c>
      <c r="C1018" s="1" t="str" cm="1">
        <f t="array" ref="C1018">_xlfn.IFS(OR(B1018=" ", B1018="NA",NOT(ISNUMBER(B1018))), "Unknown",B1018&lt;18,"Underage",B1018&lt;=24,"Young Adult",B1018&lt;=34,"Early Career",B1018&lt;=44,"Mid Career",B1018&lt;=54,"Mature",B1018&lt;=65,"Pre-Senior",B1018&gt;65,"Senior")</f>
        <v>Pre-Senior</v>
      </c>
      <c r="E1018" s="1" t="s">
        <v>58</v>
      </c>
      <c r="F1018" s="1">
        <v>1850000</v>
      </c>
      <c r="G1018" s="1">
        <v>26</v>
      </c>
      <c r="H1018" s="1" t="str" cm="1">
        <f t="array" ref="H1018">_xlfn.IFS( OR(G1018=" ",NOT(ISNUMBER(G1018))),"Unknown",G1018&lt;=33,"Low Spender",G1018&lt;=66,"Medium Spender",TRUE, "High Spender")</f>
        <v>Low Spender</v>
      </c>
      <c r="I1018" s="1">
        <v>3</v>
      </c>
      <c r="J1018" s="1">
        <v>11800</v>
      </c>
      <c r="K1018" s="1">
        <v>37</v>
      </c>
      <c r="L1018" s="1" t="s">
        <v>16</v>
      </c>
      <c r="M1018" s="1" t="s">
        <v>30</v>
      </c>
      <c r="N1018" s="1" t="str">
        <f t="shared" si="30"/>
        <v>Lower</v>
      </c>
      <c r="O1018" s="1" t="str">
        <f t="shared" si="31"/>
        <v>Pre-Senior | Low Spender | Lower</v>
      </c>
    </row>
    <row r="1019" spans="1:15" x14ac:dyDescent="0.25">
      <c r="A1019" s="1" t="s">
        <v>1049</v>
      </c>
      <c r="B1019" s="1">
        <v>51</v>
      </c>
      <c r="C1019" s="1" t="str" cm="1">
        <f t="array" ref="C1019">_xlfn.IFS(OR(B1019=" ", B1019="NA",NOT(ISNUMBER(B1019))), "Unknown",B1019&lt;18,"Underage",B1019&lt;=24,"Young Adult",B1019&lt;=34,"Early Career",B1019&lt;=44,"Mid Career",B1019&lt;=54,"Mature",B1019&lt;=65,"Pre-Senior",B1019&gt;65,"Senior")</f>
        <v>Mature</v>
      </c>
      <c r="D1019" s="1" t="s">
        <v>29</v>
      </c>
      <c r="E1019" s="1" t="s">
        <v>23</v>
      </c>
      <c r="F1019" s="1">
        <v>475000</v>
      </c>
      <c r="G1019" s="1">
        <v>40</v>
      </c>
      <c r="H1019" s="1" t="str" cm="1">
        <f t="array" ref="H1019">_xlfn.IFS( OR(G1019=" ",NOT(ISNUMBER(G1019))),"Unknown",G1019&lt;=33,"Low Spender",G1019&lt;=66,"Medium Spender",TRUE, "High Spender")</f>
        <v>Medium Spender</v>
      </c>
      <c r="I1019" s="1">
        <v>59</v>
      </c>
      <c r="J1019" s="1">
        <v>1300</v>
      </c>
      <c r="K1019" s="1">
        <v>89</v>
      </c>
      <c r="L1019" s="1" t="s">
        <v>37</v>
      </c>
      <c r="M1019" s="1" t="s">
        <v>41</v>
      </c>
      <c r="N1019" s="1" t="str">
        <f t="shared" si="30"/>
        <v>Higher</v>
      </c>
      <c r="O1019" s="1" t="str">
        <f t="shared" si="31"/>
        <v>Mature | Medium Spender | Higher</v>
      </c>
    </row>
    <row r="1020" spans="1:15" x14ac:dyDescent="0.25">
      <c r="A1020" s="1" t="s">
        <v>1050</v>
      </c>
      <c r="B1020" s="1">
        <v>66</v>
      </c>
      <c r="C1020" s="1" t="str" cm="1">
        <f t="array" ref="C1020">_xlfn.IFS(OR(B1020=" ", B1020="NA",NOT(ISNUMBER(B1020))), "Unknown",B1020&lt;18,"Underage",B1020&lt;=24,"Young Adult",B1020&lt;=34,"Early Career",B1020&lt;=44,"Mid Career",B1020&lt;=54,"Mature",B1020&lt;=65,"Pre-Senior",B1020&gt;65,"Senior")</f>
        <v>Senior</v>
      </c>
      <c r="D1020" s="1" t="s">
        <v>12</v>
      </c>
      <c r="F1020" s="1">
        <v>1800000</v>
      </c>
      <c r="G1020" s="1">
        <v>38</v>
      </c>
      <c r="H1020" s="1" t="str" cm="1">
        <f t="array" ref="H1020">_xlfn.IFS( OR(G1020=" ",NOT(ISNUMBER(G1020))),"Unknown",G1020&lt;=33,"Low Spender",G1020&lt;=66,"Medium Spender",TRUE, "High Spender")</f>
        <v>Medium Spender</v>
      </c>
      <c r="I1020" s="1">
        <v>28</v>
      </c>
      <c r="J1020" s="1">
        <v>11500</v>
      </c>
      <c r="K1020" s="1">
        <v>255</v>
      </c>
      <c r="M1020" s="1" t="s">
        <v>32</v>
      </c>
      <c r="N1020" s="1" t="str">
        <f t="shared" si="30"/>
        <v>Lower</v>
      </c>
      <c r="O1020" s="1" t="str">
        <f t="shared" si="31"/>
        <v>Senior | Medium Spender | Lower</v>
      </c>
    </row>
    <row r="1021" spans="1:15" x14ac:dyDescent="0.25">
      <c r="A1021" s="1" t="s">
        <v>1051</v>
      </c>
      <c r="B1021" s="1">
        <v>31</v>
      </c>
      <c r="C1021" s="1" t="str" cm="1">
        <f t="array" ref="C1021">_xlfn.IFS(OR(B1021=" ", B1021="NA",NOT(ISNUMBER(B1021))), "Unknown",B1021&lt;18,"Underage",B1021&lt;=24,"Young Adult",B1021&lt;=34,"Early Career",B1021&lt;=44,"Mid Career",B1021&lt;=54,"Mature",B1021&lt;=65,"Pre-Senior",B1021&gt;65,"Senior")</f>
        <v>Early Career</v>
      </c>
      <c r="D1021" s="1" t="s">
        <v>29</v>
      </c>
      <c r="E1021" s="1" t="s">
        <v>23</v>
      </c>
      <c r="F1021" s="1">
        <v>700000</v>
      </c>
      <c r="G1021" s="1">
        <v>38</v>
      </c>
      <c r="H1021" s="1" t="str" cm="1">
        <f t="array" ref="H1021">_xlfn.IFS( OR(G1021=" ",NOT(ISNUMBER(G1021))),"Unknown",G1021&lt;=33,"Low Spender",G1021&lt;=66,"Medium Spender",TRUE, "High Spender")</f>
        <v>Medium Spender</v>
      </c>
      <c r="I1021" s="1">
        <v>46</v>
      </c>
      <c r="J1021" s="1">
        <v>2800</v>
      </c>
      <c r="K1021" s="1">
        <v>214</v>
      </c>
      <c r="L1021" s="1" t="s">
        <v>35</v>
      </c>
      <c r="M1021" s="1" t="s">
        <v>21</v>
      </c>
      <c r="N1021" s="1" t="str">
        <f t="shared" si="30"/>
        <v>Higher</v>
      </c>
      <c r="O1021" s="1" t="str">
        <f t="shared" si="31"/>
        <v>Early Career | Medium Spender | Higher</v>
      </c>
    </row>
    <row r="1022" spans="1:15" x14ac:dyDescent="0.25">
      <c r="A1022" s="1" t="s">
        <v>1052</v>
      </c>
      <c r="B1022" s="1">
        <v>43</v>
      </c>
      <c r="C1022" s="1" t="str" cm="1">
        <f t="array" ref="C1022">_xlfn.IFS(OR(B1022=" ", B1022="NA",NOT(ISNUMBER(B1022))), "Unknown",B1022&lt;18,"Underage",B1022&lt;=24,"Young Adult",B1022&lt;=34,"Early Career",B1022&lt;=44,"Mid Career",B1022&lt;=54,"Mature",B1022&lt;=65,"Pre-Senior",B1022&gt;65,"Senior")</f>
        <v>Mid Career</v>
      </c>
      <c r="D1022" s="1" t="s">
        <v>29</v>
      </c>
      <c r="F1022" s="1">
        <v>1650000</v>
      </c>
      <c r="G1022" s="1">
        <v>68</v>
      </c>
      <c r="H1022" s="1" t="str" cm="1">
        <f t="array" ref="H1022">_xlfn.IFS( OR(G1022=" ",NOT(ISNUMBER(G1022))),"Unknown",G1022&lt;=33,"Low Spender",G1022&lt;=66,"Medium Spender",TRUE, "High Spender")</f>
        <v>High Spender</v>
      </c>
      <c r="I1022" s="1">
        <v>64</v>
      </c>
      <c r="J1022" s="1">
        <v>5500</v>
      </c>
      <c r="K1022" s="1">
        <v>14</v>
      </c>
      <c r="M1022" s="1" t="s">
        <v>21</v>
      </c>
      <c r="N1022" s="1" t="str">
        <f t="shared" si="30"/>
        <v>Higher</v>
      </c>
      <c r="O1022" s="1" t="str">
        <f t="shared" si="31"/>
        <v>Mid Career | High Spender | Higher</v>
      </c>
    </row>
    <row r="1023" spans="1:15" x14ac:dyDescent="0.25">
      <c r="A1023" s="1" t="s">
        <v>1053</v>
      </c>
      <c r="B1023" s="1">
        <v>62</v>
      </c>
      <c r="C1023" s="1" t="str" cm="1">
        <f t="array" ref="C1023">_xlfn.IFS(OR(B1023=" ", B1023="NA",NOT(ISNUMBER(B1023))), "Unknown",B1023&lt;18,"Underage",B1023&lt;=24,"Young Adult",B1023&lt;=34,"Early Career",B1023&lt;=44,"Mid Career",B1023&lt;=54,"Mature",B1023&lt;=65,"Pre-Senior",B1023&gt;65,"Senior")</f>
        <v>Pre-Senior</v>
      </c>
      <c r="E1023" s="1" t="s">
        <v>34</v>
      </c>
      <c r="F1023" s="1">
        <v>700000</v>
      </c>
      <c r="G1023" s="1">
        <v>7</v>
      </c>
      <c r="H1023" s="1" t="str" cm="1">
        <f t="array" ref="H1023">_xlfn.IFS( OR(G1023=" ",NOT(ISNUMBER(G1023))),"Unknown",G1023&lt;=33,"Low Spender",G1023&lt;=66,"Medium Spender",TRUE, "High Spender")</f>
        <v>Low Spender</v>
      </c>
      <c r="I1023" s="1">
        <v>70</v>
      </c>
      <c r="J1023" s="1">
        <v>1600</v>
      </c>
      <c r="K1023" s="1">
        <v>192</v>
      </c>
      <c r="M1023" s="1" t="s">
        <v>32</v>
      </c>
      <c r="N1023" s="1" t="str">
        <f t="shared" si="30"/>
        <v>Lower</v>
      </c>
      <c r="O1023" s="1" t="str">
        <f t="shared" si="31"/>
        <v>Pre-Senior | Low Spender | Lower</v>
      </c>
    </row>
    <row r="1024" spans="1:15" x14ac:dyDescent="0.25">
      <c r="A1024" s="1" t="s">
        <v>1054</v>
      </c>
      <c r="B1024" s="1">
        <v>44</v>
      </c>
      <c r="C1024" s="1" t="str" cm="1">
        <f t="array" ref="C1024">_xlfn.IFS(OR(B1024=" ", B1024="NA",NOT(ISNUMBER(B1024))), "Unknown",B1024&lt;18,"Underage",B1024&lt;=24,"Young Adult",B1024&lt;=34,"Early Career",B1024&lt;=44,"Mid Career",B1024&lt;=54,"Mature",B1024&lt;=65,"Pre-Senior",B1024&gt;65,"Senior")</f>
        <v>Mid Career</v>
      </c>
      <c r="D1024" s="1" t="s">
        <v>18</v>
      </c>
      <c r="E1024" s="1" t="s">
        <v>27</v>
      </c>
      <c r="F1024" s="1">
        <v>800000</v>
      </c>
      <c r="G1024" s="1">
        <v>94</v>
      </c>
      <c r="H1024" s="1" t="str" cm="1">
        <f t="array" ref="H1024">_xlfn.IFS( OR(G1024=" ",NOT(ISNUMBER(G1024))),"Unknown",G1024&lt;=33,"Low Spender",G1024&lt;=66,"Medium Spender",TRUE, "High Spender")</f>
        <v>High Spender</v>
      </c>
      <c r="I1024" s="1">
        <v>47</v>
      </c>
      <c r="J1024" s="1">
        <v>6600</v>
      </c>
      <c r="K1024" s="1">
        <v>295</v>
      </c>
      <c r="M1024" s="1" t="s">
        <v>30</v>
      </c>
      <c r="N1024" s="1" t="str">
        <f t="shared" si="30"/>
        <v>Higher</v>
      </c>
      <c r="O1024" s="1" t="str">
        <f t="shared" si="31"/>
        <v>Mid Career | High Spender | Higher</v>
      </c>
    </row>
    <row r="1025" spans="1:15" x14ac:dyDescent="0.25">
      <c r="A1025" s="1" t="s">
        <v>1055</v>
      </c>
      <c r="B1025" s="1">
        <v>26</v>
      </c>
      <c r="C1025" s="1" t="str" cm="1">
        <f t="array" ref="C1025">_xlfn.IFS(OR(B1025=" ", B1025="NA",NOT(ISNUMBER(B1025))), "Unknown",B1025&lt;18,"Underage",B1025&lt;=24,"Young Adult",B1025&lt;=34,"Early Career",B1025&lt;=44,"Mid Career",B1025&lt;=54,"Mature",B1025&lt;=65,"Pre-Senior",B1025&gt;65,"Senior")</f>
        <v>Early Career</v>
      </c>
      <c r="D1025" s="1" t="s">
        <v>29</v>
      </c>
      <c r="E1025" s="1" t="s">
        <v>13</v>
      </c>
      <c r="F1025" s="1">
        <v>1475000</v>
      </c>
      <c r="G1025" s="1">
        <v>30</v>
      </c>
      <c r="H1025" s="1" t="str" cm="1">
        <f t="array" ref="H1025">_xlfn.IFS( OR(G1025=" ",NOT(ISNUMBER(G1025))),"Unknown",G1025&lt;=33,"Low Spender",G1025&lt;=66,"Medium Spender",TRUE, "High Spender")</f>
        <v>Low Spender</v>
      </c>
      <c r="I1025" s="1">
        <v>14</v>
      </c>
      <c r="J1025" s="1">
        <v>8200</v>
      </c>
      <c r="K1025" s="1">
        <v>182</v>
      </c>
      <c r="L1025" s="1" t="s">
        <v>35</v>
      </c>
      <c r="M1025" s="1" t="s">
        <v>30</v>
      </c>
      <c r="N1025" s="1" t="str">
        <f t="shared" si="30"/>
        <v>Higher</v>
      </c>
      <c r="O1025" s="1" t="str">
        <f t="shared" si="31"/>
        <v>Early Career | Low Spender | Higher</v>
      </c>
    </row>
    <row r="1026" spans="1:15" x14ac:dyDescent="0.25">
      <c r="A1026" s="1" t="s">
        <v>1056</v>
      </c>
      <c r="B1026" s="1">
        <v>43</v>
      </c>
      <c r="C1026" s="1" t="str" cm="1">
        <f t="array" ref="C1026">_xlfn.IFS(OR(B1026=" ", B1026="NA",NOT(ISNUMBER(B1026))), "Unknown",B1026&lt;18,"Underage",B1026&lt;=24,"Young Adult",B1026&lt;=34,"Early Career",B1026&lt;=44,"Mid Career",B1026&lt;=54,"Mature",B1026&lt;=65,"Pre-Senior",B1026&gt;65,"Senior")</f>
        <v>Mid Career</v>
      </c>
      <c r="D1026" s="1" t="s">
        <v>12</v>
      </c>
      <c r="E1026" s="1" t="s">
        <v>19</v>
      </c>
      <c r="F1026" s="1">
        <v>375000</v>
      </c>
      <c r="G1026" s="1">
        <v>19</v>
      </c>
      <c r="H1026" s="1" t="str" cm="1">
        <f t="array" ref="H1026">_xlfn.IFS( OR(G1026=" ",NOT(ISNUMBER(G1026))),"Unknown",G1026&lt;=33,"Low Spender",G1026&lt;=66,"Medium Spender",TRUE, "High Spender")</f>
        <v>Low Spender</v>
      </c>
      <c r="I1026" s="1">
        <v>7</v>
      </c>
      <c r="J1026" s="1">
        <v>1200</v>
      </c>
      <c r="K1026" s="1">
        <v>130</v>
      </c>
      <c r="L1026" s="1" t="s">
        <v>20</v>
      </c>
      <c r="M1026" s="1" t="s">
        <v>21</v>
      </c>
      <c r="N1026" s="1" t="str">
        <f t="shared" ref="N1026:N1089" si="32">IF(OR(UPPER(TRIM(D1026))="Male",UPPER(TRIM(D1026))="Female"),"Higher","Lower")</f>
        <v>Lower</v>
      </c>
      <c r="O1026" s="1" t="str">
        <f t="shared" ref="O1026:O1089" si="33">_xlfn.TEXTJOIN(" | ", TRUE, C1026, H1026, N1026)</f>
        <v>Mid Career | Low Spender | Lower</v>
      </c>
    </row>
    <row r="1027" spans="1:15" x14ac:dyDescent="0.25">
      <c r="A1027" s="1" t="s">
        <v>1057</v>
      </c>
      <c r="B1027" s="1">
        <v>64</v>
      </c>
      <c r="C1027" s="1" t="str" cm="1">
        <f t="array" ref="C1027">_xlfn.IFS(OR(B1027=" ", B1027="NA",NOT(ISNUMBER(B1027))), "Unknown",B1027&lt;18,"Underage",B1027&lt;=24,"Young Adult",B1027&lt;=34,"Early Career",B1027&lt;=44,"Mid Career",B1027&lt;=54,"Mature",B1027&lt;=65,"Pre-Senior",B1027&gt;65,"Senior")</f>
        <v>Pre-Senior</v>
      </c>
      <c r="D1027" s="1" t="s">
        <v>29</v>
      </c>
      <c r="E1027" s="1" t="s">
        <v>19</v>
      </c>
      <c r="F1027" s="1" t="s">
        <v>25</v>
      </c>
      <c r="G1027" s="1">
        <v>35</v>
      </c>
      <c r="H1027" s="1" t="str" cm="1">
        <f t="array" ref="H1027">_xlfn.IFS( OR(G1027=" ",NOT(ISNUMBER(G1027))),"Unknown",G1027&lt;=33,"Low Spender",G1027&lt;=66,"Medium Spender",TRUE, "High Spender")</f>
        <v>Medium Spender</v>
      </c>
      <c r="I1027" s="1">
        <v>74</v>
      </c>
      <c r="J1027" s="1">
        <v>3300</v>
      </c>
      <c r="K1027" s="1">
        <v>224</v>
      </c>
      <c r="L1027" s="1" t="s">
        <v>35</v>
      </c>
      <c r="M1027" s="1" t="s">
        <v>41</v>
      </c>
      <c r="N1027" s="1" t="str">
        <f t="shared" si="32"/>
        <v>Higher</v>
      </c>
      <c r="O1027" s="1" t="str">
        <f t="shared" si="33"/>
        <v>Pre-Senior | Medium Spender | Higher</v>
      </c>
    </row>
    <row r="1028" spans="1:15" x14ac:dyDescent="0.25">
      <c r="A1028" s="1" t="s">
        <v>1058</v>
      </c>
      <c r="B1028" s="1">
        <v>39</v>
      </c>
      <c r="C1028" s="1" t="str" cm="1">
        <f t="array" ref="C1028">_xlfn.IFS(OR(B1028=" ", B1028="NA",NOT(ISNUMBER(B1028))), "Unknown",B1028&lt;18,"Underage",B1028&lt;=24,"Young Adult",B1028&lt;=34,"Early Career",B1028&lt;=44,"Mid Career",B1028&lt;=54,"Mature",B1028&lt;=65,"Pre-Senior",B1028&gt;65,"Senior")</f>
        <v>Mid Career</v>
      </c>
      <c r="D1028" s="1" t="s">
        <v>18</v>
      </c>
      <c r="F1028" s="1">
        <v>525000</v>
      </c>
      <c r="G1028" s="1">
        <v>33</v>
      </c>
      <c r="H1028" s="1" t="str" cm="1">
        <f t="array" ref="H1028">_xlfn.IFS( OR(G1028=" ",NOT(ISNUMBER(G1028))),"Unknown",G1028&lt;=33,"Low Spender",G1028&lt;=66,"Medium Spender",TRUE, "High Spender")</f>
        <v>Low Spender</v>
      </c>
      <c r="I1028" s="1">
        <v>79</v>
      </c>
      <c r="J1028" s="1">
        <v>9700</v>
      </c>
      <c r="K1028" s="1">
        <v>43</v>
      </c>
      <c r="L1028" s="1" t="s">
        <v>16</v>
      </c>
      <c r="N1028" s="1" t="str">
        <f t="shared" si="32"/>
        <v>Higher</v>
      </c>
      <c r="O1028" s="1" t="str">
        <f t="shared" si="33"/>
        <v>Mid Career | Low Spender | Higher</v>
      </c>
    </row>
    <row r="1029" spans="1:15" x14ac:dyDescent="0.25">
      <c r="A1029" s="1" t="s">
        <v>1059</v>
      </c>
      <c r="B1029" s="1">
        <v>64</v>
      </c>
      <c r="C1029" s="1" t="str" cm="1">
        <f t="array" ref="C1029">_xlfn.IFS(OR(B1029=" ", B1029="NA",NOT(ISNUMBER(B1029))), "Unknown",B1029&lt;18,"Underage",B1029&lt;=24,"Young Adult",B1029&lt;=34,"Early Career",B1029&lt;=44,"Mid Career",B1029&lt;=54,"Mature",B1029&lt;=65,"Pre-Senior",B1029&gt;65,"Senior")</f>
        <v>Pre-Senior</v>
      </c>
      <c r="E1029" s="1" t="s">
        <v>49</v>
      </c>
      <c r="F1029" s="1">
        <v>1150000</v>
      </c>
      <c r="G1029" s="1">
        <v>33</v>
      </c>
      <c r="H1029" s="1" t="str" cm="1">
        <f t="array" ref="H1029">_xlfn.IFS( OR(G1029=" ",NOT(ISNUMBER(G1029))),"Unknown",G1029&lt;=33,"Low Spender",G1029&lt;=66,"Medium Spender",TRUE, "High Spender")</f>
        <v>Low Spender</v>
      </c>
      <c r="I1029" s="1">
        <v>31</v>
      </c>
      <c r="J1029" s="1">
        <v>3800</v>
      </c>
      <c r="K1029" s="1">
        <v>181</v>
      </c>
      <c r="L1029" s="1" t="s">
        <v>35</v>
      </c>
      <c r="M1029" s="1" t="s">
        <v>30</v>
      </c>
      <c r="N1029" s="1" t="str">
        <f t="shared" si="32"/>
        <v>Lower</v>
      </c>
      <c r="O1029" s="1" t="str">
        <f t="shared" si="33"/>
        <v>Pre-Senior | Low Spender | Lower</v>
      </c>
    </row>
    <row r="1030" spans="1:15" x14ac:dyDescent="0.25">
      <c r="A1030" s="1" t="s">
        <v>1060</v>
      </c>
      <c r="B1030" s="1">
        <v>47</v>
      </c>
      <c r="C1030" s="1" t="str" cm="1">
        <f t="array" ref="C1030">_xlfn.IFS(OR(B1030=" ", B1030="NA",NOT(ISNUMBER(B1030))), "Unknown",B1030&lt;18,"Underage",B1030&lt;=24,"Young Adult",B1030&lt;=34,"Early Career",B1030&lt;=44,"Mid Career",B1030&lt;=54,"Mature",B1030&lt;=65,"Pre-Senior",B1030&gt;65,"Senior")</f>
        <v>Mature</v>
      </c>
      <c r="D1030" s="1" t="s">
        <v>18</v>
      </c>
      <c r="F1030" s="1">
        <v>1500000</v>
      </c>
      <c r="G1030" s="1">
        <v>78</v>
      </c>
      <c r="H1030" s="1" t="str" cm="1">
        <f t="array" ref="H1030">_xlfn.IFS( OR(G1030=" ",NOT(ISNUMBER(G1030))),"Unknown",G1030&lt;=33,"Low Spender",G1030&lt;=66,"Medium Spender",TRUE, "High Spender")</f>
        <v>High Spender</v>
      </c>
      <c r="J1030" s="1">
        <v>1200</v>
      </c>
      <c r="K1030" s="1">
        <v>169</v>
      </c>
      <c r="M1030" s="1" t="s">
        <v>41</v>
      </c>
      <c r="N1030" s="1" t="str">
        <f t="shared" si="32"/>
        <v>Higher</v>
      </c>
      <c r="O1030" s="1" t="str">
        <f t="shared" si="33"/>
        <v>Mature | High Spender | Higher</v>
      </c>
    </row>
    <row r="1031" spans="1:15" x14ac:dyDescent="0.25">
      <c r="A1031" s="1" t="s">
        <v>1061</v>
      </c>
      <c r="B1031" s="1">
        <v>60</v>
      </c>
      <c r="C1031" s="1" t="str" cm="1">
        <f t="array" ref="C1031">_xlfn.IFS(OR(B1031=" ", B1031="NA",NOT(ISNUMBER(B1031))), "Unknown",B1031&lt;18,"Underage",B1031&lt;=24,"Young Adult",B1031&lt;=34,"Early Career",B1031&lt;=44,"Mid Career",B1031&lt;=54,"Mature",B1031&lt;=65,"Pre-Senior",B1031&gt;65,"Senior")</f>
        <v>Pre-Senior</v>
      </c>
      <c r="D1031" s="1" t="s">
        <v>12</v>
      </c>
      <c r="E1031" s="1" t="s">
        <v>49</v>
      </c>
      <c r="F1031" s="1">
        <v>1650000</v>
      </c>
      <c r="G1031" s="1">
        <v>38</v>
      </c>
      <c r="H1031" s="1" t="str" cm="1">
        <f t="array" ref="H1031">_xlfn.IFS( OR(G1031=" ",NOT(ISNUMBER(G1031))),"Unknown",G1031&lt;=33,"Low Spender",G1031&lt;=66,"Medium Spender",TRUE, "High Spender")</f>
        <v>Medium Spender</v>
      </c>
      <c r="I1031" s="1">
        <v>51</v>
      </c>
      <c r="J1031" s="1">
        <v>2800</v>
      </c>
      <c r="K1031" s="1">
        <v>264</v>
      </c>
      <c r="L1031" s="1" t="s">
        <v>35</v>
      </c>
      <c r="M1031" s="1" t="s">
        <v>30</v>
      </c>
      <c r="N1031" s="1" t="str">
        <f t="shared" si="32"/>
        <v>Lower</v>
      </c>
      <c r="O1031" s="1" t="str">
        <f t="shared" si="33"/>
        <v>Pre-Senior | Medium Spender | Lower</v>
      </c>
    </row>
    <row r="1032" spans="1:15" x14ac:dyDescent="0.25">
      <c r="A1032" s="1" t="s">
        <v>1062</v>
      </c>
      <c r="B1032" s="1">
        <v>65</v>
      </c>
      <c r="C1032" s="1" t="str" cm="1">
        <f t="array" ref="C1032">_xlfn.IFS(OR(B1032=" ", B1032="NA",NOT(ISNUMBER(B1032))), "Unknown",B1032&lt;18,"Underage",B1032&lt;=24,"Young Adult",B1032&lt;=34,"Early Career",B1032&lt;=44,"Mid Career",B1032&lt;=54,"Mature",B1032&lt;=65,"Pre-Senior",B1032&gt;65,"Senior")</f>
        <v>Pre-Senior</v>
      </c>
      <c r="D1032" s="1" t="s">
        <v>29</v>
      </c>
      <c r="E1032" s="1" t="s">
        <v>15</v>
      </c>
      <c r="F1032" s="1">
        <v>1350000</v>
      </c>
      <c r="G1032" s="1">
        <v>10</v>
      </c>
      <c r="H1032" s="1" t="str" cm="1">
        <f t="array" ref="H1032">_xlfn.IFS( OR(G1032=" ",NOT(ISNUMBER(G1032))),"Unknown",G1032&lt;=33,"Low Spender",G1032&lt;=66,"Medium Spender",TRUE, "High Spender")</f>
        <v>Low Spender</v>
      </c>
      <c r="I1032" s="1">
        <v>29</v>
      </c>
      <c r="J1032" s="1">
        <v>2200</v>
      </c>
      <c r="K1032" s="1">
        <v>96</v>
      </c>
      <c r="L1032" s="1" t="s">
        <v>35</v>
      </c>
      <c r="N1032" s="1" t="str">
        <f t="shared" si="32"/>
        <v>Higher</v>
      </c>
      <c r="O1032" s="1" t="str">
        <f t="shared" si="33"/>
        <v>Pre-Senior | Low Spender | Higher</v>
      </c>
    </row>
    <row r="1033" spans="1:15" x14ac:dyDescent="0.25">
      <c r="A1033" s="1" t="s">
        <v>1063</v>
      </c>
      <c r="B1033" s="1">
        <v>34</v>
      </c>
      <c r="C1033" s="1" t="str" cm="1">
        <f t="array" ref="C1033">_xlfn.IFS(OR(B1033=" ", B1033="NA",NOT(ISNUMBER(B1033))), "Unknown",B1033&lt;18,"Underage",B1033&lt;=24,"Young Adult",B1033&lt;=34,"Early Career",B1033&lt;=44,"Mid Career",B1033&lt;=54,"Mature",B1033&lt;=65,"Pre-Senior",B1033&gt;65,"Senior")</f>
        <v>Early Career</v>
      </c>
      <c r="D1033" s="1" t="s">
        <v>18</v>
      </c>
      <c r="F1033" s="1">
        <v>1950000</v>
      </c>
      <c r="G1033" s="1">
        <v>57</v>
      </c>
      <c r="H1033" s="1" t="str" cm="1">
        <f t="array" ref="H1033">_xlfn.IFS( OR(G1033=" ",NOT(ISNUMBER(G1033))),"Unknown",G1033&lt;=33,"Low Spender",G1033&lt;=66,"Medium Spender",TRUE, "High Spender")</f>
        <v>Medium Spender</v>
      </c>
      <c r="I1033" s="1">
        <v>15</v>
      </c>
      <c r="J1033" s="1">
        <v>4600</v>
      </c>
      <c r="K1033" s="1">
        <v>203</v>
      </c>
      <c r="M1033" s="1" t="s">
        <v>32</v>
      </c>
      <c r="N1033" s="1" t="str">
        <f t="shared" si="32"/>
        <v>Higher</v>
      </c>
      <c r="O1033" s="1" t="str">
        <f t="shared" si="33"/>
        <v>Early Career | Medium Spender | Higher</v>
      </c>
    </row>
    <row r="1034" spans="1:15" x14ac:dyDescent="0.25">
      <c r="A1034" s="1" t="s">
        <v>1064</v>
      </c>
      <c r="B1034" s="1">
        <v>43</v>
      </c>
      <c r="C1034" s="1" t="str" cm="1">
        <f t="array" ref="C1034">_xlfn.IFS(OR(B1034=" ", B1034="NA",NOT(ISNUMBER(B1034))), "Unknown",B1034&lt;18,"Underage",B1034&lt;=24,"Young Adult",B1034&lt;=34,"Early Career",B1034&lt;=44,"Mid Career",B1034&lt;=54,"Mature",B1034&lt;=65,"Pre-Senior",B1034&gt;65,"Senior")</f>
        <v>Mid Career</v>
      </c>
      <c r="D1034" s="1" t="s">
        <v>29</v>
      </c>
      <c r="E1034" s="1" t="s">
        <v>19</v>
      </c>
      <c r="F1034" s="1">
        <v>1425000</v>
      </c>
      <c r="G1034" s="1">
        <v>28</v>
      </c>
      <c r="H1034" s="1" t="str" cm="1">
        <f t="array" ref="H1034">_xlfn.IFS( OR(G1034=" ",NOT(ISNUMBER(G1034))),"Unknown",G1034&lt;=33,"Low Spender",G1034&lt;=66,"Medium Spender",TRUE, "High Spender")</f>
        <v>Low Spender</v>
      </c>
      <c r="I1034" s="1">
        <v>76</v>
      </c>
      <c r="J1034" s="1">
        <v>6400</v>
      </c>
      <c r="K1034" s="1">
        <v>321</v>
      </c>
      <c r="L1034" s="1" t="s">
        <v>35</v>
      </c>
      <c r="N1034" s="1" t="str">
        <f t="shared" si="32"/>
        <v>Higher</v>
      </c>
      <c r="O1034" s="1" t="str">
        <f t="shared" si="33"/>
        <v>Mid Career | Low Spender | Higher</v>
      </c>
    </row>
    <row r="1035" spans="1:15" x14ac:dyDescent="0.25">
      <c r="A1035" s="1" t="s">
        <v>1065</v>
      </c>
      <c r="B1035" s="1">
        <v>53</v>
      </c>
      <c r="C1035" s="1" t="str" cm="1">
        <f t="array" ref="C1035">_xlfn.IFS(OR(B1035=" ", B1035="NA",NOT(ISNUMBER(B1035))), "Unknown",B1035&lt;18,"Underage",B1035&lt;=24,"Young Adult",B1035&lt;=34,"Early Career",B1035&lt;=44,"Mid Career",B1035&lt;=54,"Mature",B1035&lt;=65,"Pre-Senior",B1035&gt;65,"Senior")</f>
        <v>Mature</v>
      </c>
      <c r="D1035" s="1" t="s">
        <v>29</v>
      </c>
      <c r="E1035" s="1" t="s">
        <v>34</v>
      </c>
      <c r="F1035" s="1">
        <v>175000</v>
      </c>
      <c r="G1035" s="1">
        <v>78</v>
      </c>
      <c r="H1035" s="1" t="str" cm="1">
        <f t="array" ref="H1035">_xlfn.IFS( OR(G1035=" ",NOT(ISNUMBER(G1035))),"Unknown",G1035&lt;=33,"Low Spender",G1035&lt;=66,"Medium Spender",TRUE, "High Spender")</f>
        <v>High Spender</v>
      </c>
      <c r="I1035" s="1">
        <v>25</v>
      </c>
      <c r="J1035" s="1">
        <v>7500</v>
      </c>
      <c r="K1035" s="1">
        <v>335</v>
      </c>
      <c r="M1035" s="1" t="s">
        <v>21</v>
      </c>
      <c r="N1035" s="1" t="str">
        <f t="shared" si="32"/>
        <v>Higher</v>
      </c>
      <c r="O1035" s="1" t="str">
        <f t="shared" si="33"/>
        <v>Mature | High Spender | Higher</v>
      </c>
    </row>
    <row r="1036" spans="1:15" x14ac:dyDescent="0.25">
      <c r="A1036" s="1" t="s">
        <v>1066</v>
      </c>
      <c r="B1036" s="1">
        <v>18</v>
      </c>
      <c r="C1036" s="1" t="str" cm="1">
        <f t="array" ref="C1036">_xlfn.IFS(OR(B1036=" ", B1036="NA",NOT(ISNUMBER(B1036))), "Unknown",B1036&lt;18,"Underage",B1036&lt;=24,"Young Adult",B1036&lt;=34,"Early Career",B1036&lt;=44,"Mid Career",B1036&lt;=54,"Mature",B1036&lt;=65,"Pre-Senior",B1036&gt;65,"Senior")</f>
        <v>Young Adult</v>
      </c>
      <c r="F1036" s="1">
        <v>1375000</v>
      </c>
      <c r="G1036" s="1">
        <v>100</v>
      </c>
      <c r="H1036" s="1" t="str" cm="1">
        <f t="array" ref="H1036">_xlfn.IFS( OR(G1036=" ",NOT(ISNUMBER(G1036))),"Unknown",G1036&lt;=33,"Low Spender",G1036&lt;=66,"Medium Spender",TRUE, "High Spender")</f>
        <v>High Spender</v>
      </c>
      <c r="I1036" s="1">
        <v>61</v>
      </c>
      <c r="J1036" s="1">
        <v>8100</v>
      </c>
      <c r="K1036" s="1">
        <v>68</v>
      </c>
      <c r="L1036" s="1" t="s">
        <v>16</v>
      </c>
      <c r="M1036" s="1" t="s">
        <v>32</v>
      </c>
      <c r="N1036" s="1" t="str">
        <f t="shared" si="32"/>
        <v>Lower</v>
      </c>
      <c r="O1036" s="1" t="str">
        <f t="shared" si="33"/>
        <v>Young Adult | High Spender | Lower</v>
      </c>
    </row>
    <row r="1037" spans="1:15" x14ac:dyDescent="0.25">
      <c r="A1037" s="1" t="s">
        <v>1067</v>
      </c>
      <c r="B1037" s="1">
        <v>25</v>
      </c>
      <c r="C1037" s="1" t="str" cm="1">
        <f t="array" ref="C1037">_xlfn.IFS(OR(B1037=" ", B1037="NA",NOT(ISNUMBER(B1037))), "Unknown",B1037&lt;18,"Underage",B1037&lt;=24,"Young Adult",B1037&lt;=34,"Early Career",B1037&lt;=44,"Mid Career",B1037&lt;=54,"Mature",B1037&lt;=65,"Pre-Senior",B1037&gt;65,"Senior")</f>
        <v>Early Career</v>
      </c>
      <c r="D1037" s="1" t="s">
        <v>18</v>
      </c>
      <c r="E1037" s="1" t="s">
        <v>34</v>
      </c>
      <c r="F1037" s="1">
        <v>1200000</v>
      </c>
      <c r="G1037" s="1">
        <v>38</v>
      </c>
      <c r="H1037" s="1" t="str" cm="1">
        <f t="array" ref="H1037">_xlfn.IFS( OR(G1037=" ",NOT(ISNUMBER(G1037))),"Unknown",G1037&lt;=33,"Low Spender",G1037&lt;=66,"Medium Spender",TRUE, "High Spender")</f>
        <v>Medium Spender</v>
      </c>
      <c r="I1037" s="1">
        <v>41</v>
      </c>
      <c r="J1037" s="1">
        <v>1100</v>
      </c>
      <c r="K1037" s="1">
        <v>92</v>
      </c>
      <c r="M1037" s="1" t="s">
        <v>30</v>
      </c>
      <c r="N1037" s="1" t="str">
        <f t="shared" si="32"/>
        <v>Higher</v>
      </c>
      <c r="O1037" s="1" t="str">
        <f t="shared" si="33"/>
        <v>Early Career | Medium Spender | Higher</v>
      </c>
    </row>
    <row r="1038" spans="1:15" x14ac:dyDescent="0.25">
      <c r="A1038" s="1" t="s">
        <v>1068</v>
      </c>
      <c r="B1038" s="1">
        <v>66</v>
      </c>
      <c r="C1038" s="1" t="str" cm="1">
        <f t="array" ref="C1038">_xlfn.IFS(OR(B1038=" ", B1038="NA",NOT(ISNUMBER(B1038))), "Unknown",B1038&lt;18,"Underage",B1038&lt;=24,"Young Adult",B1038&lt;=34,"Early Career",B1038&lt;=44,"Mid Career",B1038&lt;=54,"Mature",B1038&lt;=65,"Pre-Senior",B1038&gt;65,"Senior")</f>
        <v>Senior</v>
      </c>
      <c r="E1038" s="1" t="s">
        <v>27</v>
      </c>
      <c r="F1038" s="1" t="s">
        <v>25</v>
      </c>
      <c r="G1038" s="1">
        <v>16</v>
      </c>
      <c r="H1038" s="1" t="str" cm="1">
        <f t="array" ref="H1038">_xlfn.IFS( OR(G1038=" ",NOT(ISNUMBER(G1038))),"Unknown",G1038&lt;=33,"Low Spender",G1038&lt;=66,"Medium Spender",TRUE, "High Spender")</f>
        <v>Low Spender</v>
      </c>
      <c r="I1038" s="1">
        <v>69</v>
      </c>
      <c r="J1038" s="1">
        <v>7300</v>
      </c>
      <c r="K1038" s="1">
        <v>266</v>
      </c>
      <c r="L1038" s="1" t="s">
        <v>16</v>
      </c>
      <c r="N1038" s="1" t="str">
        <f t="shared" si="32"/>
        <v>Lower</v>
      </c>
      <c r="O1038" s="1" t="str">
        <f t="shared" si="33"/>
        <v>Senior | Low Spender | Lower</v>
      </c>
    </row>
    <row r="1039" spans="1:15" x14ac:dyDescent="0.25">
      <c r="A1039" s="1" t="s">
        <v>1069</v>
      </c>
      <c r="B1039" s="1">
        <v>52</v>
      </c>
      <c r="C1039" s="1" t="str" cm="1">
        <f t="array" ref="C1039">_xlfn.IFS(OR(B1039=" ", B1039="NA",NOT(ISNUMBER(B1039))), "Unknown",B1039&lt;18,"Underage",B1039&lt;=24,"Young Adult",B1039&lt;=34,"Early Career",B1039&lt;=44,"Mid Career",B1039&lt;=54,"Mature",B1039&lt;=65,"Pre-Senior",B1039&gt;65,"Senior")</f>
        <v>Mature</v>
      </c>
      <c r="E1039" s="1" t="s">
        <v>34</v>
      </c>
      <c r="F1039" s="1">
        <v>325000</v>
      </c>
      <c r="G1039" s="1">
        <v>21</v>
      </c>
      <c r="H1039" s="1" t="str" cm="1">
        <f t="array" ref="H1039">_xlfn.IFS( OR(G1039=" ",NOT(ISNUMBER(G1039))),"Unknown",G1039&lt;=33,"Low Spender",G1039&lt;=66,"Medium Spender",TRUE, "High Spender")</f>
        <v>Low Spender</v>
      </c>
      <c r="I1039" s="1">
        <v>4</v>
      </c>
      <c r="J1039" s="1">
        <v>9200</v>
      </c>
      <c r="K1039" s="1">
        <v>331</v>
      </c>
      <c r="L1039" s="1" t="s">
        <v>16</v>
      </c>
      <c r="M1039" s="1" t="s">
        <v>21</v>
      </c>
      <c r="N1039" s="1" t="str">
        <f t="shared" si="32"/>
        <v>Lower</v>
      </c>
      <c r="O1039" s="1" t="str">
        <f t="shared" si="33"/>
        <v>Mature | Low Spender | Lower</v>
      </c>
    </row>
    <row r="1040" spans="1:15" x14ac:dyDescent="0.25">
      <c r="A1040" s="1" t="s">
        <v>1070</v>
      </c>
      <c r="B1040" s="1">
        <v>69</v>
      </c>
      <c r="C1040" s="1" t="str" cm="1">
        <f t="array" ref="C1040">_xlfn.IFS(OR(B1040=" ", B1040="NA",NOT(ISNUMBER(B1040))), "Unknown",B1040&lt;18,"Underage",B1040&lt;=24,"Young Adult",B1040&lt;=34,"Early Career",B1040&lt;=44,"Mid Career",B1040&lt;=54,"Mature",B1040&lt;=65,"Pre-Senior",B1040&gt;65,"Senior")</f>
        <v>Senior</v>
      </c>
      <c r="D1040" s="1" t="s">
        <v>12</v>
      </c>
      <c r="E1040" s="1" t="s">
        <v>23</v>
      </c>
      <c r="F1040" s="1">
        <v>1600000</v>
      </c>
      <c r="G1040" s="1">
        <v>92</v>
      </c>
      <c r="H1040" s="1" t="str" cm="1">
        <f t="array" ref="H1040">_xlfn.IFS( OR(G1040=" ",NOT(ISNUMBER(G1040))),"Unknown",G1040&lt;=33,"Low Spender",G1040&lt;=66,"Medium Spender",TRUE, "High Spender")</f>
        <v>High Spender</v>
      </c>
      <c r="I1040" s="1">
        <v>57</v>
      </c>
      <c r="J1040" s="1">
        <v>2600</v>
      </c>
      <c r="K1040" s="1">
        <v>178</v>
      </c>
      <c r="N1040" s="1" t="str">
        <f t="shared" si="32"/>
        <v>Lower</v>
      </c>
      <c r="O1040" s="1" t="str">
        <f t="shared" si="33"/>
        <v>Senior | High Spender | Lower</v>
      </c>
    </row>
    <row r="1041" spans="1:15" x14ac:dyDescent="0.25">
      <c r="A1041" s="1" t="s">
        <v>1071</v>
      </c>
      <c r="B1041" s="1">
        <v>32</v>
      </c>
      <c r="C1041" s="1" t="str" cm="1">
        <f t="array" ref="C1041">_xlfn.IFS(OR(B1041=" ", B1041="NA",NOT(ISNUMBER(B1041))), "Unknown",B1041&lt;18,"Underage",B1041&lt;=24,"Young Adult",B1041&lt;=34,"Early Career",B1041&lt;=44,"Mid Career",B1041&lt;=54,"Mature",B1041&lt;=65,"Pre-Senior",B1041&gt;65,"Senior")</f>
        <v>Early Career</v>
      </c>
      <c r="D1041" s="1" t="s">
        <v>12</v>
      </c>
      <c r="F1041" s="1">
        <v>1750000</v>
      </c>
      <c r="G1041" s="1">
        <v>97</v>
      </c>
      <c r="H1041" s="1" t="str" cm="1">
        <f t="array" ref="H1041">_xlfn.IFS( OR(G1041=" ",NOT(ISNUMBER(G1041))),"Unknown",G1041&lt;=33,"Low Spender",G1041&lt;=66,"Medium Spender",TRUE, "High Spender")</f>
        <v>High Spender</v>
      </c>
      <c r="I1041" s="1">
        <v>31</v>
      </c>
      <c r="J1041" s="1">
        <v>1400</v>
      </c>
      <c r="K1041" s="1">
        <v>151</v>
      </c>
      <c r="L1041" s="1" t="s">
        <v>35</v>
      </c>
      <c r="N1041" s="1" t="str">
        <f t="shared" si="32"/>
        <v>Lower</v>
      </c>
      <c r="O1041" s="1" t="str">
        <f t="shared" si="33"/>
        <v>Early Career | High Spender | Lower</v>
      </c>
    </row>
    <row r="1042" spans="1:15" x14ac:dyDescent="0.25">
      <c r="A1042" s="1" t="s">
        <v>1072</v>
      </c>
      <c r="B1042" s="1">
        <v>64</v>
      </c>
      <c r="C1042" s="1" t="str" cm="1">
        <f t="array" ref="C1042">_xlfn.IFS(OR(B1042=" ", B1042="NA",NOT(ISNUMBER(B1042))), "Unknown",B1042&lt;18,"Underage",B1042&lt;=24,"Young Adult",B1042&lt;=34,"Early Career",B1042&lt;=44,"Mid Career",B1042&lt;=54,"Mature",B1042&lt;=65,"Pre-Senior",B1042&gt;65,"Senior")</f>
        <v>Pre-Senior</v>
      </c>
      <c r="D1042" s="1" t="s">
        <v>29</v>
      </c>
      <c r="E1042" s="1" t="s">
        <v>23</v>
      </c>
      <c r="F1042" s="1">
        <v>425000</v>
      </c>
      <c r="G1042" s="1">
        <v>6</v>
      </c>
      <c r="H1042" s="1" t="str" cm="1">
        <f t="array" ref="H1042">_xlfn.IFS( OR(G1042=" ",NOT(ISNUMBER(G1042))),"Unknown",G1042&lt;=33,"Low Spender",G1042&lt;=66,"Medium Spender",TRUE, "High Spender")</f>
        <v>Low Spender</v>
      </c>
      <c r="I1042" s="1">
        <v>3</v>
      </c>
      <c r="J1042" s="1">
        <v>6200</v>
      </c>
      <c r="K1042" s="1">
        <v>317</v>
      </c>
      <c r="N1042" s="1" t="str">
        <f t="shared" si="32"/>
        <v>Higher</v>
      </c>
      <c r="O1042" s="1" t="str">
        <f t="shared" si="33"/>
        <v>Pre-Senior | Low Spender | Higher</v>
      </c>
    </row>
    <row r="1043" spans="1:15" x14ac:dyDescent="0.25">
      <c r="A1043" s="1" t="s">
        <v>1073</v>
      </c>
      <c r="B1043" s="1">
        <v>39</v>
      </c>
      <c r="C1043" s="1" t="str" cm="1">
        <f t="array" ref="C1043">_xlfn.IFS(OR(B1043=" ", B1043="NA",NOT(ISNUMBER(B1043))), "Unknown",B1043&lt;18,"Underage",B1043&lt;=24,"Young Adult",B1043&lt;=34,"Early Career",B1043&lt;=44,"Mid Career",B1043&lt;=54,"Mature",B1043&lt;=65,"Pre-Senior",B1043&gt;65,"Senior")</f>
        <v>Mid Career</v>
      </c>
      <c r="D1043" s="1" t="s">
        <v>12</v>
      </c>
      <c r="E1043" s="1" t="s">
        <v>58</v>
      </c>
      <c r="F1043" s="1">
        <v>225000</v>
      </c>
      <c r="G1043" s="1">
        <v>41</v>
      </c>
      <c r="H1043" s="1" t="str" cm="1">
        <f t="array" ref="H1043">_xlfn.IFS( OR(G1043=" ",NOT(ISNUMBER(G1043))),"Unknown",G1043&lt;=33,"Low Spender",G1043&lt;=66,"Medium Spender",TRUE, "High Spender")</f>
        <v>Medium Spender</v>
      </c>
      <c r="I1043" s="1">
        <v>67</v>
      </c>
      <c r="J1043" s="1">
        <v>8600</v>
      </c>
      <c r="K1043" s="1">
        <v>47</v>
      </c>
      <c r="L1043" s="1" t="s">
        <v>20</v>
      </c>
      <c r="N1043" s="1" t="str">
        <f t="shared" si="32"/>
        <v>Lower</v>
      </c>
      <c r="O1043" s="1" t="str">
        <f t="shared" si="33"/>
        <v>Mid Career | Medium Spender | Lower</v>
      </c>
    </row>
    <row r="1044" spans="1:15" x14ac:dyDescent="0.25">
      <c r="A1044" s="1" t="s">
        <v>1074</v>
      </c>
      <c r="B1044" s="1">
        <v>31</v>
      </c>
      <c r="C1044" s="1" t="str" cm="1">
        <f t="array" ref="C1044">_xlfn.IFS(OR(B1044=" ", B1044="NA",NOT(ISNUMBER(B1044))), "Unknown",B1044&lt;18,"Underage",B1044&lt;=24,"Young Adult",B1044&lt;=34,"Early Career",B1044&lt;=44,"Mid Career",B1044&lt;=54,"Mature",B1044&lt;=65,"Pre-Senior",B1044&gt;65,"Senior")</f>
        <v>Early Career</v>
      </c>
      <c r="D1044" s="1" t="s">
        <v>12</v>
      </c>
      <c r="F1044" s="1" t="s">
        <v>25</v>
      </c>
      <c r="G1044" s="1">
        <v>15</v>
      </c>
      <c r="H1044" s="1" t="str" cm="1">
        <f t="array" ref="H1044">_xlfn.IFS( OR(G1044=" ",NOT(ISNUMBER(G1044))),"Unknown",G1044&lt;=33,"Low Spender",G1044&lt;=66,"Medium Spender",TRUE, "High Spender")</f>
        <v>Low Spender</v>
      </c>
      <c r="I1044" s="1">
        <v>50</v>
      </c>
      <c r="J1044" s="1">
        <v>8000</v>
      </c>
      <c r="K1044" s="1">
        <v>3</v>
      </c>
      <c r="M1044" s="1" t="s">
        <v>30</v>
      </c>
      <c r="N1044" s="1" t="str">
        <f t="shared" si="32"/>
        <v>Lower</v>
      </c>
      <c r="O1044" s="1" t="str">
        <f t="shared" si="33"/>
        <v>Early Career | Low Spender | Lower</v>
      </c>
    </row>
    <row r="1045" spans="1:15" x14ac:dyDescent="0.25">
      <c r="A1045" s="1" t="s">
        <v>1075</v>
      </c>
      <c r="B1045" s="1">
        <v>43</v>
      </c>
      <c r="C1045" s="1" t="str" cm="1">
        <f t="array" ref="C1045">_xlfn.IFS(OR(B1045=" ", B1045="NA",NOT(ISNUMBER(B1045))), "Unknown",B1045&lt;18,"Underage",B1045&lt;=24,"Young Adult",B1045&lt;=34,"Early Career",B1045&lt;=44,"Mid Career",B1045&lt;=54,"Mature",B1045&lt;=65,"Pre-Senior",B1045&gt;65,"Senior")</f>
        <v>Mid Career</v>
      </c>
      <c r="D1045" s="1" t="s">
        <v>29</v>
      </c>
      <c r="E1045" s="1" t="s">
        <v>19</v>
      </c>
      <c r="F1045" s="1">
        <v>1150000</v>
      </c>
      <c r="G1045" s="1">
        <v>3</v>
      </c>
      <c r="H1045" s="1" t="str" cm="1">
        <f t="array" ref="H1045">_xlfn.IFS( OR(G1045=" ",NOT(ISNUMBER(G1045))),"Unknown",G1045&lt;=33,"Low Spender",G1045&lt;=66,"Medium Spender",TRUE, "High Spender")</f>
        <v>Low Spender</v>
      </c>
      <c r="I1045" s="1">
        <v>17</v>
      </c>
      <c r="J1045" s="1">
        <v>8800</v>
      </c>
      <c r="K1045" s="1">
        <v>103</v>
      </c>
      <c r="M1045" s="1" t="s">
        <v>21</v>
      </c>
      <c r="N1045" s="1" t="str">
        <f t="shared" si="32"/>
        <v>Higher</v>
      </c>
      <c r="O1045" s="1" t="str">
        <f t="shared" si="33"/>
        <v>Mid Career | Low Spender | Higher</v>
      </c>
    </row>
    <row r="1046" spans="1:15" x14ac:dyDescent="0.25">
      <c r="A1046" s="1" t="s">
        <v>1076</v>
      </c>
      <c r="B1046" s="1">
        <v>45</v>
      </c>
      <c r="C1046" s="1" t="str" cm="1">
        <f t="array" ref="C1046">_xlfn.IFS(OR(B1046=" ", B1046="NA",NOT(ISNUMBER(B1046))), "Unknown",B1046&lt;18,"Underage",B1046&lt;=24,"Young Adult",B1046&lt;=34,"Early Career",B1046&lt;=44,"Mid Career",B1046&lt;=54,"Mature",B1046&lt;=65,"Pre-Senior",B1046&gt;65,"Senior")</f>
        <v>Mature</v>
      </c>
      <c r="D1046" s="1" t="s">
        <v>18</v>
      </c>
      <c r="F1046" s="1">
        <v>300000</v>
      </c>
      <c r="G1046" s="1">
        <v>43</v>
      </c>
      <c r="H1046" s="1" t="str" cm="1">
        <f t="array" ref="H1046">_xlfn.IFS( OR(G1046=" ",NOT(ISNUMBER(G1046))),"Unknown",G1046&lt;=33,"Low Spender",G1046&lt;=66,"Medium Spender",TRUE, "High Spender")</f>
        <v>Medium Spender</v>
      </c>
      <c r="I1046" s="1">
        <v>60</v>
      </c>
      <c r="J1046" s="1">
        <v>1800</v>
      </c>
      <c r="K1046" s="1">
        <v>273</v>
      </c>
      <c r="L1046" s="1" t="s">
        <v>35</v>
      </c>
      <c r="M1046" s="1" t="s">
        <v>30</v>
      </c>
      <c r="N1046" s="1" t="str">
        <f t="shared" si="32"/>
        <v>Higher</v>
      </c>
      <c r="O1046" s="1" t="str">
        <f t="shared" si="33"/>
        <v>Mature | Medium Spender | Higher</v>
      </c>
    </row>
    <row r="1047" spans="1:15" x14ac:dyDescent="0.25">
      <c r="A1047" s="1" t="s">
        <v>1077</v>
      </c>
      <c r="B1047" s="1">
        <v>40</v>
      </c>
      <c r="C1047" s="1" t="str" cm="1">
        <f t="array" ref="C1047">_xlfn.IFS(OR(B1047=" ", B1047="NA",NOT(ISNUMBER(B1047))), "Unknown",B1047&lt;18,"Underage",B1047&lt;=24,"Young Adult",B1047&lt;=34,"Early Career",B1047&lt;=44,"Mid Career",B1047&lt;=54,"Mature",B1047&lt;=65,"Pre-Senior",B1047&gt;65,"Senior")</f>
        <v>Mid Career</v>
      </c>
      <c r="D1047" s="1" t="s">
        <v>29</v>
      </c>
      <c r="F1047" s="1">
        <v>1850000</v>
      </c>
      <c r="G1047" s="1">
        <v>47</v>
      </c>
      <c r="H1047" s="1" t="str" cm="1">
        <f t="array" ref="H1047">_xlfn.IFS( OR(G1047=" ",NOT(ISNUMBER(G1047))),"Unknown",G1047&lt;=33,"Low Spender",G1047&lt;=66,"Medium Spender",TRUE, "High Spender")</f>
        <v>Medium Spender</v>
      </c>
      <c r="I1047" s="1">
        <v>74</v>
      </c>
      <c r="J1047" s="1">
        <v>3100</v>
      </c>
      <c r="K1047" s="1">
        <v>22</v>
      </c>
      <c r="L1047" s="1" t="s">
        <v>16</v>
      </c>
      <c r="N1047" s="1" t="str">
        <f t="shared" si="32"/>
        <v>Higher</v>
      </c>
      <c r="O1047" s="1" t="str">
        <f t="shared" si="33"/>
        <v>Mid Career | Medium Spender | Higher</v>
      </c>
    </row>
    <row r="1048" spans="1:15" x14ac:dyDescent="0.25">
      <c r="A1048" s="1" t="s">
        <v>1078</v>
      </c>
      <c r="B1048" s="1">
        <v>31</v>
      </c>
      <c r="C1048" s="1" t="str" cm="1">
        <f t="array" ref="C1048">_xlfn.IFS(OR(B1048=" ", B1048="NA",NOT(ISNUMBER(B1048))), "Unknown",B1048&lt;18,"Underage",B1048&lt;=24,"Young Adult",B1048&lt;=34,"Early Career",B1048&lt;=44,"Mid Career",B1048&lt;=54,"Mature",B1048&lt;=65,"Pre-Senior",B1048&gt;65,"Senior")</f>
        <v>Early Career</v>
      </c>
      <c r="D1048" s="1" t="s">
        <v>29</v>
      </c>
      <c r="E1048" s="1" t="s">
        <v>13</v>
      </c>
      <c r="F1048" s="1">
        <v>1850000</v>
      </c>
      <c r="G1048" s="1">
        <v>99</v>
      </c>
      <c r="H1048" s="1" t="str" cm="1">
        <f t="array" ref="H1048">_xlfn.IFS( OR(G1048=" ",NOT(ISNUMBER(G1048))),"Unknown",G1048&lt;=33,"Low Spender",G1048&lt;=66,"Medium Spender",TRUE, "High Spender")</f>
        <v>High Spender</v>
      </c>
      <c r="I1048" s="1">
        <v>66</v>
      </c>
      <c r="J1048" s="1">
        <v>3400</v>
      </c>
      <c r="K1048" s="1">
        <v>116</v>
      </c>
      <c r="L1048" s="1" t="s">
        <v>37</v>
      </c>
      <c r="M1048" s="1" t="s">
        <v>32</v>
      </c>
      <c r="N1048" s="1" t="str">
        <f t="shared" si="32"/>
        <v>Higher</v>
      </c>
      <c r="O1048" s="1" t="str">
        <f t="shared" si="33"/>
        <v>Early Career | High Spender | Higher</v>
      </c>
    </row>
    <row r="1049" spans="1:15" x14ac:dyDescent="0.25">
      <c r="A1049" s="1" t="s">
        <v>1079</v>
      </c>
      <c r="B1049" s="1">
        <v>41</v>
      </c>
      <c r="C1049" s="1" t="str" cm="1">
        <f t="array" ref="C1049">_xlfn.IFS(OR(B1049=" ", B1049="NA",NOT(ISNUMBER(B1049))), "Unknown",B1049&lt;18,"Underage",B1049&lt;=24,"Young Adult",B1049&lt;=34,"Early Career",B1049&lt;=44,"Mid Career",B1049&lt;=54,"Mature",B1049&lt;=65,"Pre-Senior",B1049&gt;65,"Senior")</f>
        <v>Mid Career</v>
      </c>
      <c r="D1049" s="1" t="s">
        <v>18</v>
      </c>
      <c r="E1049" s="1" t="s">
        <v>13</v>
      </c>
      <c r="F1049" s="1">
        <v>875000</v>
      </c>
      <c r="G1049" s="1">
        <v>14</v>
      </c>
      <c r="H1049" s="1" t="str" cm="1">
        <f t="array" ref="H1049">_xlfn.IFS( OR(G1049=" ",NOT(ISNUMBER(G1049))),"Unknown",G1049&lt;=33,"Low Spender",G1049&lt;=66,"Medium Spender",TRUE, "High Spender")</f>
        <v>Low Spender</v>
      </c>
      <c r="I1049" s="1">
        <v>75</v>
      </c>
      <c r="J1049" s="1">
        <v>8500</v>
      </c>
      <c r="K1049" s="1">
        <v>347</v>
      </c>
      <c r="L1049" s="1" t="s">
        <v>20</v>
      </c>
      <c r="M1049" s="1" t="s">
        <v>32</v>
      </c>
      <c r="N1049" s="1" t="str">
        <f t="shared" si="32"/>
        <v>Higher</v>
      </c>
      <c r="O1049" s="1" t="str">
        <f t="shared" si="33"/>
        <v>Mid Career | Low Spender | Higher</v>
      </c>
    </row>
    <row r="1050" spans="1:15" x14ac:dyDescent="0.25">
      <c r="A1050" s="1" t="s">
        <v>1080</v>
      </c>
      <c r="B1050" s="1">
        <v>19</v>
      </c>
      <c r="C1050" s="1" t="str" cm="1">
        <f t="array" ref="C1050">_xlfn.IFS(OR(B1050=" ", B1050="NA",NOT(ISNUMBER(B1050))), "Unknown",B1050&lt;18,"Underage",B1050&lt;=24,"Young Adult",B1050&lt;=34,"Early Career",B1050&lt;=44,"Mid Career",B1050&lt;=54,"Mature",B1050&lt;=65,"Pre-Senior",B1050&gt;65,"Senior")</f>
        <v>Young Adult</v>
      </c>
      <c r="E1050" s="1" t="s">
        <v>58</v>
      </c>
      <c r="F1050" s="1">
        <v>1950000</v>
      </c>
      <c r="G1050" s="1">
        <v>66</v>
      </c>
      <c r="H1050" s="1" t="str" cm="1">
        <f t="array" ref="H1050">_xlfn.IFS( OR(G1050=" ",NOT(ISNUMBER(G1050))),"Unknown",G1050&lt;=33,"Low Spender",G1050&lt;=66,"Medium Spender",TRUE, "High Spender")</f>
        <v>Medium Spender</v>
      </c>
      <c r="I1050" s="1">
        <v>24</v>
      </c>
      <c r="K1050" s="1">
        <v>104</v>
      </c>
      <c r="M1050" s="1" t="s">
        <v>41</v>
      </c>
      <c r="N1050" s="1" t="str">
        <f t="shared" si="32"/>
        <v>Lower</v>
      </c>
      <c r="O1050" s="1" t="str">
        <f t="shared" si="33"/>
        <v>Young Adult | Medium Spender | Lower</v>
      </c>
    </row>
    <row r="1051" spans="1:15" x14ac:dyDescent="0.25">
      <c r="A1051" s="1" t="s">
        <v>1081</v>
      </c>
      <c r="B1051" s="1">
        <v>62</v>
      </c>
      <c r="C1051" s="1" t="str" cm="1">
        <f t="array" ref="C1051">_xlfn.IFS(OR(B1051=" ", B1051="NA",NOT(ISNUMBER(B1051))), "Unknown",B1051&lt;18,"Underage",B1051&lt;=24,"Young Adult",B1051&lt;=34,"Early Career",B1051&lt;=44,"Mid Career",B1051&lt;=54,"Mature",B1051&lt;=65,"Pre-Senior",B1051&gt;65,"Senior")</f>
        <v>Pre-Senior</v>
      </c>
      <c r="D1051" s="1" t="s">
        <v>29</v>
      </c>
      <c r="F1051" s="1">
        <v>275000</v>
      </c>
      <c r="G1051" s="1">
        <v>29</v>
      </c>
      <c r="H1051" s="1" t="str" cm="1">
        <f t="array" ref="H1051">_xlfn.IFS( OR(G1051=" ",NOT(ISNUMBER(G1051))),"Unknown",G1051&lt;=33,"Low Spender",G1051&lt;=66,"Medium Spender",TRUE, "High Spender")</f>
        <v>Low Spender</v>
      </c>
      <c r="I1051" s="1">
        <v>32</v>
      </c>
      <c r="J1051" s="1">
        <v>3700</v>
      </c>
      <c r="K1051" s="1">
        <v>259</v>
      </c>
      <c r="L1051" s="1" t="s">
        <v>35</v>
      </c>
      <c r="N1051" s="1" t="str">
        <f t="shared" si="32"/>
        <v>Higher</v>
      </c>
      <c r="O1051" s="1" t="str">
        <f t="shared" si="33"/>
        <v>Pre-Senior | Low Spender | Higher</v>
      </c>
    </row>
    <row r="1052" spans="1:15" x14ac:dyDescent="0.25">
      <c r="A1052" s="1" t="s">
        <v>1082</v>
      </c>
      <c r="B1052" s="1">
        <v>43</v>
      </c>
      <c r="C1052" s="1" t="str" cm="1">
        <f t="array" ref="C1052">_xlfn.IFS(OR(B1052=" ", B1052="NA",NOT(ISNUMBER(B1052))), "Unknown",B1052&lt;18,"Underage",B1052&lt;=24,"Young Adult",B1052&lt;=34,"Early Career",B1052&lt;=44,"Mid Career",B1052&lt;=54,"Mature",B1052&lt;=65,"Pre-Senior",B1052&gt;65,"Senior")</f>
        <v>Mid Career</v>
      </c>
      <c r="E1052" s="1" t="s">
        <v>15</v>
      </c>
      <c r="F1052" s="1">
        <v>600000</v>
      </c>
      <c r="G1052" s="1">
        <v>4</v>
      </c>
      <c r="H1052" s="1" t="str" cm="1">
        <f t="array" ref="H1052">_xlfn.IFS( OR(G1052=" ",NOT(ISNUMBER(G1052))),"Unknown",G1052&lt;=33,"Low Spender",G1052&lt;=66,"Medium Spender",TRUE, "High Spender")</f>
        <v>Low Spender</v>
      </c>
      <c r="I1052" s="1">
        <v>19</v>
      </c>
      <c r="J1052" s="1">
        <v>4500</v>
      </c>
      <c r="K1052" s="1">
        <v>308</v>
      </c>
      <c r="L1052" s="1" t="s">
        <v>20</v>
      </c>
      <c r="N1052" s="1" t="str">
        <f t="shared" si="32"/>
        <v>Lower</v>
      </c>
      <c r="O1052" s="1" t="str">
        <f t="shared" si="33"/>
        <v>Mid Career | Low Spender | Lower</v>
      </c>
    </row>
    <row r="1053" spans="1:15" x14ac:dyDescent="0.25">
      <c r="A1053" s="1" t="s">
        <v>1083</v>
      </c>
      <c r="B1053" s="1">
        <v>31</v>
      </c>
      <c r="C1053" s="1" t="str" cm="1">
        <f t="array" ref="C1053">_xlfn.IFS(OR(B1053=" ", B1053="NA",NOT(ISNUMBER(B1053))), "Unknown",B1053&lt;18,"Underage",B1053&lt;=24,"Young Adult",B1053&lt;=34,"Early Career",B1053&lt;=44,"Mid Career",B1053&lt;=54,"Mature",B1053&lt;=65,"Pre-Senior",B1053&gt;65,"Senior")</f>
        <v>Early Career</v>
      </c>
      <c r="D1053" s="1" t="s">
        <v>29</v>
      </c>
      <c r="E1053" s="1" t="s">
        <v>15</v>
      </c>
      <c r="F1053" s="1">
        <v>1775000</v>
      </c>
      <c r="G1053" s="1">
        <v>26</v>
      </c>
      <c r="H1053" s="1" t="str" cm="1">
        <f t="array" ref="H1053">_xlfn.IFS( OR(G1053=" ",NOT(ISNUMBER(G1053))),"Unknown",G1053&lt;=33,"Low Spender",G1053&lt;=66,"Medium Spender",TRUE, "High Spender")</f>
        <v>Low Spender</v>
      </c>
      <c r="I1053" s="1">
        <v>66</v>
      </c>
      <c r="J1053" s="1">
        <v>9800</v>
      </c>
      <c r="K1053" s="1">
        <v>298</v>
      </c>
      <c r="L1053" s="1" t="s">
        <v>37</v>
      </c>
      <c r="M1053" s="1" t="s">
        <v>30</v>
      </c>
      <c r="N1053" s="1" t="str">
        <f t="shared" si="32"/>
        <v>Higher</v>
      </c>
      <c r="O1053" s="1" t="str">
        <f t="shared" si="33"/>
        <v>Early Career | Low Spender | Higher</v>
      </c>
    </row>
    <row r="1054" spans="1:15" x14ac:dyDescent="0.25">
      <c r="A1054" s="1" t="s">
        <v>1084</v>
      </c>
      <c r="B1054" s="1">
        <v>68</v>
      </c>
      <c r="C1054" s="1" t="str" cm="1">
        <f t="array" ref="C1054">_xlfn.IFS(OR(B1054=" ", B1054="NA",NOT(ISNUMBER(B1054))), "Unknown",B1054&lt;18,"Underage",B1054&lt;=24,"Young Adult",B1054&lt;=34,"Early Career",B1054&lt;=44,"Mid Career",B1054&lt;=54,"Mature",B1054&lt;=65,"Pre-Senior",B1054&gt;65,"Senior")</f>
        <v>Senior</v>
      </c>
      <c r="D1054" s="1" t="s">
        <v>12</v>
      </c>
      <c r="E1054" s="1" t="s">
        <v>15</v>
      </c>
      <c r="F1054" s="1">
        <v>375000</v>
      </c>
      <c r="G1054" s="1">
        <v>12</v>
      </c>
      <c r="H1054" s="1" t="str" cm="1">
        <f t="array" ref="H1054">_xlfn.IFS( OR(G1054=" ",NOT(ISNUMBER(G1054))),"Unknown",G1054&lt;=33,"Low Spender",G1054&lt;=66,"Medium Spender",TRUE, "High Spender")</f>
        <v>Low Spender</v>
      </c>
      <c r="I1054" s="1">
        <v>60</v>
      </c>
      <c r="K1054" s="1">
        <v>130</v>
      </c>
      <c r="L1054" s="1" t="s">
        <v>37</v>
      </c>
      <c r="M1054" s="1" t="s">
        <v>41</v>
      </c>
      <c r="N1054" s="1" t="str">
        <f t="shared" si="32"/>
        <v>Lower</v>
      </c>
      <c r="O1054" s="1" t="str">
        <f t="shared" si="33"/>
        <v>Senior | Low Spender | Lower</v>
      </c>
    </row>
    <row r="1055" spans="1:15" x14ac:dyDescent="0.25">
      <c r="A1055" s="1" t="s">
        <v>1085</v>
      </c>
      <c r="B1055" s="1">
        <v>24</v>
      </c>
      <c r="C1055" s="1" t="str" cm="1">
        <f t="array" ref="C1055">_xlfn.IFS(OR(B1055=" ", B1055="NA",NOT(ISNUMBER(B1055))), "Unknown",B1055&lt;18,"Underage",B1055&lt;=24,"Young Adult",B1055&lt;=34,"Early Career",B1055&lt;=44,"Mid Career",B1055&lt;=54,"Mature",B1055&lt;=65,"Pre-Senior",B1055&gt;65,"Senior")</f>
        <v>Young Adult</v>
      </c>
      <c r="D1055" s="1" t="s">
        <v>18</v>
      </c>
      <c r="E1055" s="1" t="s">
        <v>19</v>
      </c>
      <c r="F1055" s="1">
        <v>525000</v>
      </c>
      <c r="G1055" s="1">
        <v>2</v>
      </c>
      <c r="H1055" s="1" t="str" cm="1">
        <f t="array" ref="H1055">_xlfn.IFS( OR(G1055=" ",NOT(ISNUMBER(G1055))),"Unknown",G1055&lt;=33,"Low Spender",G1055&lt;=66,"Medium Spender",TRUE, "High Spender")</f>
        <v>Low Spender</v>
      </c>
      <c r="I1055" s="1">
        <v>66</v>
      </c>
      <c r="J1055" s="1">
        <v>5500</v>
      </c>
      <c r="K1055" s="1">
        <v>295</v>
      </c>
      <c r="L1055" s="1" t="s">
        <v>37</v>
      </c>
      <c r="N1055" s="1" t="str">
        <f t="shared" si="32"/>
        <v>Higher</v>
      </c>
      <c r="O1055" s="1" t="str">
        <f t="shared" si="33"/>
        <v>Young Adult | Low Spender | Higher</v>
      </c>
    </row>
    <row r="1056" spans="1:15" x14ac:dyDescent="0.25">
      <c r="A1056" s="1" t="s">
        <v>1086</v>
      </c>
      <c r="B1056" s="1">
        <v>20</v>
      </c>
      <c r="C1056" s="1" t="str" cm="1">
        <f t="array" ref="C1056">_xlfn.IFS(OR(B1056=" ", B1056="NA",NOT(ISNUMBER(B1056))), "Unknown",B1056&lt;18,"Underage",B1056&lt;=24,"Young Adult",B1056&lt;=34,"Early Career",B1056&lt;=44,"Mid Career",B1056&lt;=54,"Mature",B1056&lt;=65,"Pre-Senior",B1056&gt;65,"Senior")</f>
        <v>Young Adult</v>
      </c>
      <c r="D1056" s="1" t="s">
        <v>29</v>
      </c>
      <c r="E1056" s="1" t="s">
        <v>19</v>
      </c>
      <c r="F1056" s="1">
        <v>1050000</v>
      </c>
      <c r="G1056" s="1">
        <v>17</v>
      </c>
      <c r="H1056" s="1" t="str" cm="1">
        <f t="array" ref="H1056">_xlfn.IFS( OR(G1056=" ",NOT(ISNUMBER(G1056))),"Unknown",G1056&lt;=33,"Low Spender",G1056&lt;=66,"Medium Spender",TRUE, "High Spender")</f>
        <v>Low Spender</v>
      </c>
      <c r="I1056" s="1">
        <v>15</v>
      </c>
      <c r="J1056" s="1">
        <v>2200</v>
      </c>
      <c r="K1056" s="1">
        <v>302</v>
      </c>
      <c r="M1056" s="1" t="s">
        <v>41</v>
      </c>
      <c r="N1056" s="1" t="str">
        <f t="shared" si="32"/>
        <v>Higher</v>
      </c>
      <c r="O1056" s="1" t="str">
        <f t="shared" si="33"/>
        <v>Young Adult | Low Spender | Higher</v>
      </c>
    </row>
    <row r="1057" spans="1:15" x14ac:dyDescent="0.25">
      <c r="A1057" s="1" t="s">
        <v>1087</v>
      </c>
      <c r="B1057" s="1">
        <v>64</v>
      </c>
      <c r="C1057" s="1" t="str" cm="1">
        <f t="array" ref="C1057">_xlfn.IFS(OR(B1057=" ", B1057="NA",NOT(ISNUMBER(B1057))), "Unknown",B1057&lt;18,"Underage",B1057&lt;=24,"Young Adult",B1057&lt;=34,"Early Career",B1057&lt;=44,"Mid Career",B1057&lt;=54,"Mature",B1057&lt;=65,"Pre-Senior",B1057&gt;65,"Senior")</f>
        <v>Pre-Senior</v>
      </c>
      <c r="D1057" s="1" t="s">
        <v>29</v>
      </c>
      <c r="E1057" s="1" t="s">
        <v>15</v>
      </c>
      <c r="F1057" s="1" t="s">
        <v>25</v>
      </c>
      <c r="G1057" s="1">
        <v>35</v>
      </c>
      <c r="H1057" s="1" t="str" cm="1">
        <f t="array" ref="H1057">_xlfn.IFS( OR(G1057=" ",NOT(ISNUMBER(G1057))),"Unknown",G1057&lt;=33,"Low Spender",G1057&lt;=66,"Medium Spender",TRUE, "High Spender")</f>
        <v>Medium Spender</v>
      </c>
      <c r="I1057" s="1">
        <v>35</v>
      </c>
      <c r="J1057" s="1">
        <v>11700</v>
      </c>
      <c r="K1057" s="1">
        <v>48</v>
      </c>
      <c r="M1057" s="1" t="s">
        <v>21</v>
      </c>
      <c r="N1057" s="1" t="str">
        <f t="shared" si="32"/>
        <v>Higher</v>
      </c>
      <c r="O1057" s="1" t="str">
        <f t="shared" si="33"/>
        <v>Pre-Senior | Medium Spender | Higher</v>
      </c>
    </row>
    <row r="1058" spans="1:15" x14ac:dyDescent="0.25">
      <c r="A1058" s="1" t="s">
        <v>1088</v>
      </c>
      <c r="B1058" s="1">
        <v>40</v>
      </c>
      <c r="C1058" s="1" t="str" cm="1">
        <f t="array" ref="C1058">_xlfn.IFS(OR(B1058=" ", B1058="NA",NOT(ISNUMBER(B1058))), "Unknown",B1058&lt;18,"Underage",B1058&lt;=24,"Young Adult",B1058&lt;=34,"Early Career",B1058&lt;=44,"Mid Career",B1058&lt;=54,"Mature",B1058&lt;=65,"Pre-Senior",B1058&gt;65,"Senior")</f>
        <v>Mid Career</v>
      </c>
      <c r="D1058" s="1" t="s">
        <v>18</v>
      </c>
      <c r="E1058" s="1" t="s">
        <v>13</v>
      </c>
      <c r="F1058" s="1" t="s">
        <v>25</v>
      </c>
      <c r="G1058" s="1">
        <v>10</v>
      </c>
      <c r="H1058" s="1" t="str" cm="1">
        <f t="array" ref="H1058">_xlfn.IFS( OR(G1058=" ",NOT(ISNUMBER(G1058))),"Unknown",G1058&lt;=33,"Low Spender",G1058&lt;=66,"Medium Spender",TRUE, "High Spender")</f>
        <v>Low Spender</v>
      </c>
      <c r="I1058" s="1">
        <v>69</v>
      </c>
      <c r="J1058" s="1">
        <v>10600</v>
      </c>
      <c r="K1058" s="1">
        <v>27</v>
      </c>
      <c r="L1058" s="1" t="s">
        <v>20</v>
      </c>
      <c r="M1058" s="1" t="s">
        <v>30</v>
      </c>
      <c r="N1058" s="1" t="str">
        <f t="shared" si="32"/>
        <v>Higher</v>
      </c>
      <c r="O1058" s="1" t="str">
        <f t="shared" si="33"/>
        <v>Mid Career | Low Spender | Higher</v>
      </c>
    </row>
    <row r="1059" spans="1:15" x14ac:dyDescent="0.25">
      <c r="A1059" s="1" t="s">
        <v>1089</v>
      </c>
      <c r="B1059" s="1">
        <v>63</v>
      </c>
      <c r="C1059" s="1" t="str" cm="1">
        <f t="array" ref="C1059">_xlfn.IFS(OR(B1059=" ", B1059="NA",NOT(ISNUMBER(B1059))), "Unknown",B1059&lt;18,"Underage",B1059&lt;=24,"Young Adult",B1059&lt;=34,"Early Career",B1059&lt;=44,"Mid Career",B1059&lt;=54,"Mature",B1059&lt;=65,"Pre-Senior",B1059&gt;65,"Senior")</f>
        <v>Pre-Senior</v>
      </c>
      <c r="D1059" s="1" t="s">
        <v>12</v>
      </c>
      <c r="F1059" s="1">
        <v>925000</v>
      </c>
      <c r="G1059" s="1">
        <v>86</v>
      </c>
      <c r="H1059" s="1" t="str" cm="1">
        <f t="array" ref="H1059">_xlfn.IFS( OR(G1059=" ",NOT(ISNUMBER(G1059))),"Unknown",G1059&lt;=33,"Low Spender",G1059&lt;=66,"Medium Spender",TRUE, "High Spender")</f>
        <v>High Spender</v>
      </c>
      <c r="I1059" s="1">
        <v>27</v>
      </c>
      <c r="J1059" s="1">
        <v>8600</v>
      </c>
      <c r="K1059" s="1">
        <v>15</v>
      </c>
      <c r="N1059" s="1" t="str">
        <f t="shared" si="32"/>
        <v>Lower</v>
      </c>
      <c r="O1059" s="1" t="str">
        <f t="shared" si="33"/>
        <v>Pre-Senior | High Spender | Lower</v>
      </c>
    </row>
    <row r="1060" spans="1:15" x14ac:dyDescent="0.25">
      <c r="A1060" s="1" t="s">
        <v>1090</v>
      </c>
      <c r="B1060" s="1">
        <v>60</v>
      </c>
      <c r="C1060" s="1" t="str" cm="1">
        <f t="array" ref="C1060">_xlfn.IFS(OR(B1060=" ", B1060="NA",NOT(ISNUMBER(B1060))), "Unknown",B1060&lt;18,"Underage",B1060&lt;=24,"Young Adult",B1060&lt;=34,"Early Career",B1060&lt;=44,"Mid Career",B1060&lt;=54,"Mature",B1060&lt;=65,"Pre-Senior",B1060&gt;65,"Senior")</f>
        <v>Pre-Senior</v>
      </c>
      <c r="D1060" s="1" t="s">
        <v>18</v>
      </c>
      <c r="E1060" s="1" t="s">
        <v>34</v>
      </c>
      <c r="F1060" s="1">
        <v>1300000</v>
      </c>
      <c r="G1060" s="1">
        <v>43</v>
      </c>
      <c r="H1060" s="1" t="str" cm="1">
        <f t="array" ref="H1060">_xlfn.IFS( OR(G1060=" ",NOT(ISNUMBER(G1060))),"Unknown",G1060&lt;=33,"Low Spender",G1060&lt;=66,"Medium Spender",TRUE, "High Spender")</f>
        <v>Medium Spender</v>
      </c>
      <c r="I1060" s="1">
        <v>7</v>
      </c>
      <c r="J1060" s="1">
        <v>1000</v>
      </c>
      <c r="K1060" s="1">
        <v>263</v>
      </c>
      <c r="L1060" s="1" t="s">
        <v>37</v>
      </c>
      <c r="N1060" s="1" t="str">
        <f t="shared" si="32"/>
        <v>Higher</v>
      </c>
      <c r="O1060" s="1" t="str">
        <f t="shared" si="33"/>
        <v>Pre-Senior | Medium Spender | Higher</v>
      </c>
    </row>
    <row r="1061" spans="1:15" x14ac:dyDescent="0.25">
      <c r="A1061" s="1" t="s">
        <v>1091</v>
      </c>
      <c r="B1061" s="1">
        <v>64</v>
      </c>
      <c r="C1061" s="1" t="str" cm="1">
        <f t="array" ref="C1061">_xlfn.IFS(OR(B1061=" ", B1061="NA",NOT(ISNUMBER(B1061))), "Unknown",B1061&lt;18,"Underage",B1061&lt;=24,"Young Adult",B1061&lt;=34,"Early Career",B1061&lt;=44,"Mid Career",B1061&lt;=54,"Mature",B1061&lt;=65,"Pre-Senior",B1061&gt;65,"Senior")</f>
        <v>Pre-Senior</v>
      </c>
      <c r="D1061" s="1" t="s">
        <v>29</v>
      </c>
      <c r="F1061" s="1">
        <v>1925000</v>
      </c>
      <c r="G1061" s="1">
        <v>21</v>
      </c>
      <c r="H1061" s="1" t="str" cm="1">
        <f t="array" ref="H1061">_xlfn.IFS( OR(G1061=" ",NOT(ISNUMBER(G1061))),"Unknown",G1061&lt;=33,"Low Spender",G1061&lt;=66,"Medium Spender",TRUE, "High Spender")</f>
        <v>Low Spender</v>
      </c>
      <c r="I1061" s="1">
        <v>6</v>
      </c>
      <c r="J1061" s="1">
        <v>10100</v>
      </c>
      <c r="L1061" s="1" t="s">
        <v>35</v>
      </c>
      <c r="M1061" s="1" t="s">
        <v>32</v>
      </c>
      <c r="N1061" s="1" t="str">
        <f t="shared" si="32"/>
        <v>Higher</v>
      </c>
      <c r="O1061" s="1" t="str">
        <f t="shared" si="33"/>
        <v>Pre-Senior | Low Spender | Higher</v>
      </c>
    </row>
    <row r="1062" spans="1:15" x14ac:dyDescent="0.25">
      <c r="A1062" s="1" t="s">
        <v>1092</v>
      </c>
      <c r="B1062" s="1">
        <v>62</v>
      </c>
      <c r="C1062" s="1" t="str" cm="1">
        <f t="array" ref="C1062">_xlfn.IFS(OR(B1062=" ", B1062="NA",NOT(ISNUMBER(B1062))), "Unknown",B1062&lt;18,"Underage",B1062&lt;=24,"Young Adult",B1062&lt;=34,"Early Career",B1062&lt;=44,"Mid Career",B1062&lt;=54,"Mature",B1062&lt;=65,"Pre-Senior",B1062&gt;65,"Senior")</f>
        <v>Pre-Senior</v>
      </c>
      <c r="D1062" s="1" t="s">
        <v>12</v>
      </c>
      <c r="E1062" s="1" t="s">
        <v>15</v>
      </c>
      <c r="F1062" s="1">
        <v>1200000</v>
      </c>
      <c r="G1062" s="1">
        <v>15</v>
      </c>
      <c r="H1062" s="1" t="str" cm="1">
        <f t="array" ref="H1062">_xlfn.IFS( OR(G1062=" ",NOT(ISNUMBER(G1062))),"Unknown",G1062&lt;=33,"Low Spender",G1062&lt;=66,"Medium Spender",TRUE, "High Spender")</f>
        <v>Low Spender</v>
      </c>
      <c r="I1062" s="1">
        <v>33</v>
      </c>
      <c r="J1062" s="1">
        <v>4400</v>
      </c>
      <c r="K1062" s="1">
        <v>298</v>
      </c>
      <c r="L1062" s="1" t="s">
        <v>37</v>
      </c>
      <c r="M1062" s="1" t="s">
        <v>21</v>
      </c>
      <c r="N1062" s="1" t="str">
        <f t="shared" si="32"/>
        <v>Lower</v>
      </c>
      <c r="O1062" s="1" t="str">
        <f t="shared" si="33"/>
        <v>Pre-Senior | Low Spender | Lower</v>
      </c>
    </row>
    <row r="1063" spans="1:15" x14ac:dyDescent="0.25">
      <c r="A1063" s="1" t="s">
        <v>1093</v>
      </c>
      <c r="B1063" s="1">
        <v>35</v>
      </c>
      <c r="C1063" s="1" t="str" cm="1">
        <f t="array" ref="C1063">_xlfn.IFS(OR(B1063=" ", B1063="NA",NOT(ISNUMBER(B1063))), "Unknown",B1063&lt;18,"Underage",B1063&lt;=24,"Young Adult",B1063&lt;=34,"Early Career",B1063&lt;=44,"Mid Career",B1063&lt;=54,"Mature",B1063&lt;=65,"Pre-Senior",B1063&gt;65,"Senior")</f>
        <v>Mid Career</v>
      </c>
      <c r="F1063" s="1">
        <v>1025000</v>
      </c>
      <c r="G1063" s="1">
        <v>35</v>
      </c>
      <c r="H1063" s="1" t="str" cm="1">
        <f t="array" ref="H1063">_xlfn.IFS( OR(G1063=" ",NOT(ISNUMBER(G1063))),"Unknown",G1063&lt;=33,"Low Spender",G1063&lt;=66,"Medium Spender",TRUE, "High Spender")</f>
        <v>Medium Spender</v>
      </c>
      <c r="I1063" s="1">
        <v>58</v>
      </c>
      <c r="J1063" s="1">
        <v>7900</v>
      </c>
      <c r="K1063" s="1">
        <v>265</v>
      </c>
      <c r="M1063" s="1" t="s">
        <v>41</v>
      </c>
      <c r="N1063" s="1" t="str">
        <f t="shared" si="32"/>
        <v>Lower</v>
      </c>
      <c r="O1063" s="1" t="str">
        <f t="shared" si="33"/>
        <v>Mid Career | Medium Spender | Lower</v>
      </c>
    </row>
    <row r="1064" spans="1:15" x14ac:dyDescent="0.25">
      <c r="A1064" s="1" t="s">
        <v>1094</v>
      </c>
      <c r="B1064" s="1">
        <v>55</v>
      </c>
      <c r="C1064" s="1" t="str" cm="1">
        <f t="array" ref="C1064">_xlfn.IFS(OR(B1064=" ", B1064="NA",NOT(ISNUMBER(B1064))), "Unknown",B1064&lt;18,"Underage",B1064&lt;=24,"Young Adult",B1064&lt;=34,"Early Career",B1064&lt;=44,"Mid Career",B1064&lt;=54,"Mature",B1064&lt;=65,"Pre-Senior",B1064&gt;65,"Senior")</f>
        <v>Pre-Senior</v>
      </c>
      <c r="E1064" s="1" t="s">
        <v>27</v>
      </c>
      <c r="F1064" s="1">
        <v>775000</v>
      </c>
      <c r="G1064" s="1">
        <v>85</v>
      </c>
      <c r="H1064" s="1" t="str" cm="1">
        <f t="array" ref="H1064">_xlfn.IFS( OR(G1064=" ",NOT(ISNUMBER(G1064))),"Unknown",G1064&lt;=33,"Low Spender",G1064&lt;=66,"Medium Spender",TRUE, "High Spender")</f>
        <v>High Spender</v>
      </c>
      <c r="I1064" s="1">
        <v>49</v>
      </c>
      <c r="J1064" s="1">
        <v>10700</v>
      </c>
      <c r="K1064" s="1">
        <v>361</v>
      </c>
      <c r="L1064" s="1" t="s">
        <v>37</v>
      </c>
      <c r="M1064" s="1" t="s">
        <v>32</v>
      </c>
      <c r="N1064" s="1" t="str">
        <f t="shared" si="32"/>
        <v>Lower</v>
      </c>
      <c r="O1064" s="1" t="str">
        <f t="shared" si="33"/>
        <v>Pre-Senior | High Spender | Lower</v>
      </c>
    </row>
    <row r="1065" spans="1:15" x14ac:dyDescent="0.25">
      <c r="A1065" s="1" t="s">
        <v>1095</v>
      </c>
      <c r="B1065" s="1">
        <v>52</v>
      </c>
      <c r="C1065" s="1" t="str" cm="1">
        <f t="array" ref="C1065">_xlfn.IFS(OR(B1065=" ", B1065="NA",NOT(ISNUMBER(B1065))), "Unknown",B1065&lt;18,"Underage",B1065&lt;=24,"Young Adult",B1065&lt;=34,"Early Career",B1065&lt;=44,"Mid Career",B1065&lt;=54,"Mature",B1065&lt;=65,"Pre-Senior",B1065&gt;65,"Senior")</f>
        <v>Mature</v>
      </c>
      <c r="D1065" s="1" t="s">
        <v>18</v>
      </c>
      <c r="E1065" s="1" t="s">
        <v>19</v>
      </c>
      <c r="F1065" s="1">
        <v>375000</v>
      </c>
      <c r="G1065" s="1">
        <v>85</v>
      </c>
      <c r="H1065" s="1" t="str" cm="1">
        <f t="array" ref="H1065">_xlfn.IFS( OR(G1065=" ",NOT(ISNUMBER(G1065))),"Unknown",G1065&lt;=33,"Low Spender",G1065&lt;=66,"Medium Spender",TRUE, "High Spender")</f>
        <v>High Spender</v>
      </c>
      <c r="I1065" s="1">
        <v>17</v>
      </c>
      <c r="J1065" s="1">
        <v>7200</v>
      </c>
      <c r="K1065" s="1">
        <v>134</v>
      </c>
      <c r="L1065" s="1" t="s">
        <v>37</v>
      </c>
      <c r="N1065" s="1" t="str">
        <f t="shared" si="32"/>
        <v>Higher</v>
      </c>
      <c r="O1065" s="1" t="str">
        <f t="shared" si="33"/>
        <v>Mature | High Spender | Higher</v>
      </c>
    </row>
    <row r="1066" spans="1:15" x14ac:dyDescent="0.25">
      <c r="A1066" s="1" t="s">
        <v>1096</v>
      </c>
      <c r="B1066" s="1">
        <v>68</v>
      </c>
      <c r="C1066" s="1" t="str" cm="1">
        <f t="array" ref="C1066">_xlfn.IFS(OR(B1066=" ", B1066="NA",NOT(ISNUMBER(B1066))), "Unknown",B1066&lt;18,"Underage",B1066&lt;=24,"Young Adult",B1066&lt;=34,"Early Career",B1066&lt;=44,"Mid Career",B1066&lt;=54,"Mature",B1066&lt;=65,"Pre-Senior",B1066&gt;65,"Senior")</f>
        <v>Senior</v>
      </c>
      <c r="D1066" s="1" t="s">
        <v>29</v>
      </c>
      <c r="E1066" s="1" t="s">
        <v>19</v>
      </c>
      <c r="F1066" s="1">
        <v>900000</v>
      </c>
      <c r="G1066" s="1">
        <v>85</v>
      </c>
      <c r="H1066" s="1" t="str" cm="1">
        <f t="array" ref="H1066">_xlfn.IFS( OR(G1066=" ",NOT(ISNUMBER(G1066))),"Unknown",G1066&lt;=33,"Low Spender",G1066&lt;=66,"Medium Spender",TRUE, "High Spender")</f>
        <v>High Spender</v>
      </c>
      <c r="I1066" s="1">
        <v>42</v>
      </c>
      <c r="J1066" s="1">
        <v>11300</v>
      </c>
      <c r="K1066" s="1">
        <v>76</v>
      </c>
      <c r="M1066" s="1" t="s">
        <v>30</v>
      </c>
      <c r="N1066" s="1" t="str">
        <f t="shared" si="32"/>
        <v>Higher</v>
      </c>
      <c r="O1066" s="1" t="str">
        <f t="shared" si="33"/>
        <v>Senior | High Spender | Higher</v>
      </c>
    </row>
    <row r="1067" spans="1:15" x14ac:dyDescent="0.25">
      <c r="A1067" s="1" t="s">
        <v>1097</v>
      </c>
      <c r="B1067" s="1">
        <v>32</v>
      </c>
      <c r="C1067" s="1" t="str" cm="1">
        <f t="array" ref="C1067">_xlfn.IFS(OR(B1067=" ", B1067="NA",NOT(ISNUMBER(B1067))), "Unknown",B1067&lt;18,"Underage",B1067&lt;=24,"Young Adult",B1067&lt;=34,"Early Career",B1067&lt;=44,"Mid Career",B1067&lt;=54,"Mature",B1067&lt;=65,"Pre-Senior",B1067&gt;65,"Senior")</f>
        <v>Early Career</v>
      </c>
      <c r="D1067" s="1" t="s">
        <v>29</v>
      </c>
      <c r="E1067" s="1" t="s">
        <v>13</v>
      </c>
      <c r="F1067" s="1">
        <v>850000</v>
      </c>
      <c r="G1067" s="1">
        <v>60</v>
      </c>
      <c r="H1067" s="1" t="str" cm="1">
        <f t="array" ref="H1067">_xlfn.IFS( OR(G1067=" ",NOT(ISNUMBER(G1067))),"Unknown",G1067&lt;=33,"Low Spender",G1067&lt;=66,"Medium Spender",TRUE, "High Spender")</f>
        <v>Medium Spender</v>
      </c>
      <c r="I1067" s="1">
        <v>72</v>
      </c>
      <c r="J1067" s="1">
        <v>1800</v>
      </c>
      <c r="K1067" s="1">
        <v>30</v>
      </c>
      <c r="M1067" s="1" t="s">
        <v>41</v>
      </c>
      <c r="N1067" s="1" t="str">
        <f t="shared" si="32"/>
        <v>Higher</v>
      </c>
      <c r="O1067" s="1" t="str">
        <f t="shared" si="33"/>
        <v>Early Career | Medium Spender | Higher</v>
      </c>
    </row>
    <row r="1068" spans="1:15" x14ac:dyDescent="0.25">
      <c r="A1068" s="1" t="s">
        <v>1098</v>
      </c>
      <c r="B1068" s="1">
        <v>42</v>
      </c>
      <c r="C1068" s="1" t="str" cm="1">
        <f t="array" ref="C1068">_xlfn.IFS(OR(B1068=" ", B1068="NA",NOT(ISNUMBER(B1068))), "Unknown",B1068&lt;18,"Underage",B1068&lt;=24,"Young Adult",B1068&lt;=34,"Early Career",B1068&lt;=44,"Mid Career",B1068&lt;=54,"Mature",B1068&lt;=65,"Pre-Senior",B1068&gt;65,"Senior")</f>
        <v>Mid Career</v>
      </c>
      <c r="E1068" s="1" t="s">
        <v>34</v>
      </c>
      <c r="F1068" s="1">
        <v>250000</v>
      </c>
      <c r="G1068" s="1">
        <v>44</v>
      </c>
      <c r="H1068" s="1" t="str" cm="1">
        <f t="array" ref="H1068">_xlfn.IFS( OR(G1068=" ",NOT(ISNUMBER(G1068))),"Unknown",G1068&lt;=33,"Low Spender",G1068&lt;=66,"Medium Spender",TRUE, "High Spender")</f>
        <v>Medium Spender</v>
      </c>
      <c r="I1068" s="1">
        <v>40</v>
      </c>
      <c r="J1068" s="1">
        <v>7100</v>
      </c>
      <c r="K1068" s="1">
        <v>340</v>
      </c>
      <c r="L1068" s="1" t="s">
        <v>35</v>
      </c>
      <c r="N1068" s="1" t="str">
        <f t="shared" si="32"/>
        <v>Lower</v>
      </c>
      <c r="O1068" s="1" t="str">
        <f t="shared" si="33"/>
        <v>Mid Career | Medium Spender | Lower</v>
      </c>
    </row>
    <row r="1069" spans="1:15" x14ac:dyDescent="0.25">
      <c r="A1069" s="1" t="s">
        <v>1099</v>
      </c>
      <c r="B1069" s="1" t="s">
        <v>73</v>
      </c>
      <c r="C1069" s="1" t="str" cm="1">
        <f t="array" ref="C1069">_xlfn.IFS(OR(B1069=" ", B1069="NA",NOT(ISNUMBER(B1069))), "Unknown",B1069&lt;18,"Underage",B1069&lt;=24,"Young Adult",B1069&lt;=34,"Early Career",B1069&lt;=44,"Mid Career",B1069&lt;=54,"Mature",B1069&lt;=65,"Pre-Senior",B1069&gt;65,"Senior")</f>
        <v>Unknown</v>
      </c>
      <c r="D1069" s="1" t="s">
        <v>18</v>
      </c>
      <c r="E1069" s="1" t="s">
        <v>15</v>
      </c>
      <c r="F1069" s="1" t="s">
        <v>25</v>
      </c>
      <c r="G1069" s="1">
        <v>96</v>
      </c>
      <c r="H1069" s="1" t="str" cm="1">
        <f t="array" ref="H1069">_xlfn.IFS( OR(G1069=" ",NOT(ISNUMBER(G1069))),"Unknown",G1069&lt;=33,"Low Spender",G1069&lt;=66,"Medium Spender",TRUE, "High Spender")</f>
        <v>High Spender</v>
      </c>
      <c r="I1069" s="1">
        <v>46</v>
      </c>
      <c r="J1069" s="1">
        <v>5500</v>
      </c>
      <c r="K1069" s="1">
        <v>126</v>
      </c>
      <c r="N1069" s="1" t="str">
        <f t="shared" si="32"/>
        <v>Higher</v>
      </c>
      <c r="O1069" s="1" t="str">
        <f t="shared" si="33"/>
        <v>Unknown | High Spender | Higher</v>
      </c>
    </row>
    <row r="1070" spans="1:15" x14ac:dyDescent="0.25">
      <c r="A1070" s="1" t="s">
        <v>1100</v>
      </c>
      <c r="B1070" s="1">
        <v>54</v>
      </c>
      <c r="C1070" s="1" t="str" cm="1">
        <f t="array" ref="C1070">_xlfn.IFS(OR(B1070=" ", B1070="NA",NOT(ISNUMBER(B1070))), "Unknown",B1070&lt;18,"Underage",B1070&lt;=24,"Young Adult",B1070&lt;=34,"Early Career",B1070&lt;=44,"Mid Career",B1070&lt;=54,"Mature",B1070&lt;=65,"Pre-Senior",B1070&gt;65,"Senior")</f>
        <v>Mature</v>
      </c>
      <c r="F1070" s="1">
        <v>150000</v>
      </c>
      <c r="G1070" s="1">
        <v>5</v>
      </c>
      <c r="H1070" s="1" t="str" cm="1">
        <f t="array" ref="H1070">_xlfn.IFS( OR(G1070=" ",NOT(ISNUMBER(G1070))),"Unknown",G1070&lt;=33,"Low Spender",G1070&lt;=66,"Medium Spender",TRUE, "High Spender")</f>
        <v>Low Spender</v>
      </c>
      <c r="I1070" s="1">
        <v>71</v>
      </c>
      <c r="J1070" s="1">
        <v>4700</v>
      </c>
      <c r="K1070" s="1">
        <v>84</v>
      </c>
      <c r="L1070" s="1" t="s">
        <v>35</v>
      </c>
      <c r="M1070" s="1" t="s">
        <v>41</v>
      </c>
      <c r="N1070" s="1" t="str">
        <f t="shared" si="32"/>
        <v>Lower</v>
      </c>
      <c r="O1070" s="1" t="str">
        <f t="shared" si="33"/>
        <v>Mature | Low Spender | Lower</v>
      </c>
    </row>
    <row r="1071" spans="1:15" x14ac:dyDescent="0.25">
      <c r="A1071" s="1" t="s">
        <v>1101</v>
      </c>
      <c r="B1071" s="1">
        <v>45</v>
      </c>
      <c r="C1071" s="1" t="str" cm="1">
        <f t="array" ref="C1071">_xlfn.IFS(OR(B1071=" ", B1071="NA",NOT(ISNUMBER(B1071))), "Unknown",B1071&lt;18,"Underage",B1071&lt;=24,"Young Adult",B1071&lt;=34,"Early Career",B1071&lt;=44,"Mid Career",B1071&lt;=54,"Mature",B1071&lt;=65,"Pre-Senior",B1071&gt;65,"Senior")</f>
        <v>Mature</v>
      </c>
      <c r="D1071" s="1" t="s">
        <v>29</v>
      </c>
      <c r="E1071" s="1" t="s">
        <v>13</v>
      </c>
      <c r="F1071" s="1">
        <v>200000</v>
      </c>
      <c r="G1071" s="1">
        <v>73</v>
      </c>
      <c r="H1071" s="1" t="str" cm="1">
        <f t="array" ref="H1071">_xlfn.IFS( OR(G1071=" ",NOT(ISNUMBER(G1071))),"Unknown",G1071&lt;=33,"Low Spender",G1071&lt;=66,"Medium Spender",TRUE, "High Spender")</f>
        <v>High Spender</v>
      </c>
      <c r="I1071" s="1">
        <v>70</v>
      </c>
      <c r="J1071" s="1">
        <v>5300</v>
      </c>
      <c r="K1071" s="1">
        <v>54</v>
      </c>
      <c r="L1071" s="1" t="s">
        <v>16</v>
      </c>
      <c r="M1071" s="1" t="s">
        <v>32</v>
      </c>
      <c r="N1071" s="1" t="str">
        <f t="shared" si="32"/>
        <v>Higher</v>
      </c>
      <c r="O1071" s="1" t="str">
        <f t="shared" si="33"/>
        <v>Mature | High Spender | Higher</v>
      </c>
    </row>
    <row r="1072" spans="1:15" x14ac:dyDescent="0.25">
      <c r="A1072" s="1" t="s">
        <v>1102</v>
      </c>
      <c r="B1072" s="1">
        <v>27</v>
      </c>
      <c r="C1072" s="1" t="str" cm="1">
        <f t="array" ref="C1072">_xlfn.IFS(OR(B1072=" ", B1072="NA",NOT(ISNUMBER(B1072))), "Unknown",B1072&lt;18,"Underage",B1072&lt;=24,"Young Adult",B1072&lt;=34,"Early Career",B1072&lt;=44,"Mid Career",B1072&lt;=54,"Mature",B1072&lt;=65,"Pre-Senior",B1072&gt;65,"Senior")</f>
        <v>Early Career</v>
      </c>
      <c r="D1072" s="1" t="s">
        <v>18</v>
      </c>
      <c r="E1072" s="1" t="s">
        <v>13</v>
      </c>
      <c r="F1072" s="1">
        <v>1800000</v>
      </c>
      <c r="G1072" s="1">
        <v>18</v>
      </c>
      <c r="H1072" s="1" t="str" cm="1">
        <f t="array" ref="H1072">_xlfn.IFS( OR(G1072=" ",NOT(ISNUMBER(G1072))),"Unknown",G1072&lt;=33,"Low Spender",G1072&lt;=66,"Medium Spender",TRUE, "High Spender")</f>
        <v>Low Spender</v>
      </c>
      <c r="I1072" s="1">
        <v>68</v>
      </c>
      <c r="J1072" s="1">
        <v>10000</v>
      </c>
      <c r="L1072" s="1" t="s">
        <v>16</v>
      </c>
      <c r="M1072" s="1" t="s">
        <v>21</v>
      </c>
      <c r="N1072" s="1" t="str">
        <f t="shared" si="32"/>
        <v>Higher</v>
      </c>
      <c r="O1072" s="1" t="str">
        <f t="shared" si="33"/>
        <v>Early Career | Low Spender | Higher</v>
      </c>
    </row>
    <row r="1073" spans="1:15" x14ac:dyDescent="0.25">
      <c r="A1073" s="1" t="s">
        <v>1103</v>
      </c>
      <c r="B1073" s="1">
        <v>56</v>
      </c>
      <c r="C1073" s="1" t="str" cm="1">
        <f t="array" ref="C1073">_xlfn.IFS(OR(B1073=" ", B1073="NA",NOT(ISNUMBER(B1073))), "Unknown",B1073&lt;18,"Underage",B1073&lt;=24,"Young Adult",B1073&lt;=34,"Early Career",B1073&lt;=44,"Mid Career",B1073&lt;=54,"Mature",B1073&lt;=65,"Pre-Senior",B1073&gt;65,"Senior")</f>
        <v>Pre-Senior</v>
      </c>
      <c r="D1073" s="1" t="s">
        <v>29</v>
      </c>
      <c r="E1073" s="1" t="s">
        <v>34</v>
      </c>
      <c r="F1073" s="1">
        <v>1900000</v>
      </c>
      <c r="G1073" s="1">
        <v>21</v>
      </c>
      <c r="H1073" s="1" t="str" cm="1">
        <f t="array" ref="H1073">_xlfn.IFS( OR(G1073=" ",NOT(ISNUMBER(G1073))),"Unknown",G1073&lt;=33,"Low Spender",G1073&lt;=66,"Medium Spender",TRUE, "High Spender")</f>
        <v>Low Spender</v>
      </c>
      <c r="I1073" s="1">
        <v>1</v>
      </c>
      <c r="J1073" s="1">
        <v>800</v>
      </c>
      <c r="K1073" s="1">
        <v>283</v>
      </c>
      <c r="M1073" s="1" t="s">
        <v>32</v>
      </c>
      <c r="N1073" s="1" t="str">
        <f t="shared" si="32"/>
        <v>Higher</v>
      </c>
      <c r="O1073" s="1" t="str">
        <f t="shared" si="33"/>
        <v>Pre-Senior | Low Spender | Higher</v>
      </c>
    </row>
    <row r="1074" spans="1:15" x14ac:dyDescent="0.25">
      <c r="A1074" s="1" t="s">
        <v>1104</v>
      </c>
      <c r="B1074" s="1">
        <v>34</v>
      </c>
      <c r="C1074" s="1" t="str" cm="1">
        <f t="array" ref="C1074">_xlfn.IFS(OR(B1074=" ", B1074="NA",NOT(ISNUMBER(B1074))), "Unknown",B1074&lt;18,"Underage",B1074&lt;=24,"Young Adult",B1074&lt;=34,"Early Career",B1074&lt;=44,"Mid Career",B1074&lt;=54,"Mature",B1074&lt;=65,"Pre-Senior",B1074&gt;65,"Senior")</f>
        <v>Early Career</v>
      </c>
      <c r="D1074" s="1" t="s">
        <v>18</v>
      </c>
      <c r="E1074" s="1" t="s">
        <v>23</v>
      </c>
      <c r="F1074" s="1">
        <v>1000000</v>
      </c>
      <c r="G1074" s="1">
        <v>72</v>
      </c>
      <c r="H1074" s="1" t="str" cm="1">
        <f t="array" ref="H1074">_xlfn.IFS( OR(G1074=" ",NOT(ISNUMBER(G1074))),"Unknown",G1074&lt;=33,"Low Spender",G1074&lt;=66,"Medium Spender",TRUE, "High Spender")</f>
        <v>High Spender</v>
      </c>
      <c r="I1074" s="1">
        <v>79</v>
      </c>
      <c r="J1074" s="1">
        <v>3500</v>
      </c>
      <c r="K1074" s="1">
        <v>340</v>
      </c>
      <c r="L1074" s="1" t="s">
        <v>37</v>
      </c>
      <c r="M1074" s="1" t="s">
        <v>30</v>
      </c>
      <c r="N1074" s="1" t="str">
        <f t="shared" si="32"/>
        <v>Higher</v>
      </c>
      <c r="O1074" s="1" t="str">
        <f t="shared" si="33"/>
        <v>Early Career | High Spender | Higher</v>
      </c>
    </row>
    <row r="1075" spans="1:15" x14ac:dyDescent="0.25">
      <c r="A1075" s="1" t="s">
        <v>1105</v>
      </c>
      <c r="B1075" s="1">
        <v>56</v>
      </c>
      <c r="C1075" s="1" t="str" cm="1">
        <f t="array" ref="C1075">_xlfn.IFS(OR(B1075=" ", B1075="NA",NOT(ISNUMBER(B1075))), "Unknown",B1075&lt;18,"Underage",B1075&lt;=24,"Young Adult",B1075&lt;=34,"Early Career",B1075&lt;=44,"Mid Career",B1075&lt;=54,"Mature",B1075&lt;=65,"Pre-Senior",B1075&gt;65,"Senior")</f>
        <v>Pre-Senior</v>
      </c>
      <c r="E1075" s="1" t="s">
        <v>15</v>
      </c>
      <c r="F1075" s="1">
        <v>500000</v>
      </c>
      <c r="G1075" s="1">
        <v>98</v>
      </c>
      <c r="H1075" s="1" t="str" cm="1">
        <f t="array" ref="H1075">_xlfn.IFS( OR(G1075=" ",NOT(ISNUMBER(G1075))),"Unknown",G1075&lt;=33,"Low Spender",G1075&lt;=66,"Medium Spender",TRUE, "High Spender")</f>
        <v>High Spender</v>
      </c>
      <c r="I1075" s="1">
        <v>52</v>
      </c>
      <c r="J1075" s="1">
        <v>8100</v>
      </c>
      <c r="K1075" s="1">
        <v>263</v>
      </c>
      <c r="L1075" s="1" t="s">
        <v>20</v>
      </c>
      <c r="M1075" s="1" t="s">
        <v>30</v>
      </c>
      <c r="N1075" s="1" t="str">
        <f t="shared" si="32"/>
        <v>Lower</v>
      </c>
      <c r="O1075" s="1" t="str">
        <f t="shared" si="33"/>
        <v>Pre-Senior | High Spender | Lower</v>
      </c>
    </row>
    <row r="1076" spans="1:15" x14ac:dyDescent="0.25">
      <c r="A1076" s="1" t="s">
        <v>1106</v>
      </c>
      <c r="B1076" s="1">
        <v>39</v>
      </c>
      <c r="C1076" s="1" t="str" cm="1">
        <f t="array" ref="C1076">_xlfn.IFS(OR(B1076=" ", B1076="NA",NOT(ISNUMBER(B1076))), "Unknown",B1076&lt;18,"Underage",B1076&lt;=24,"Young Adult",B1076&lt;=34,"Early Career",B1076&lt;=44,"Mid Career",B1076&lt;=54,"Mature",B1076&lt;=65,"Pre-Senior",B1076&gt;65,"Senior")</f>
        <v>Mid Career</v>
      </c>
      <c r="D1076" s="1" t="s">
        <v>29</v>
      </c>
      <c r="F1076" s="1">
        <v>1800000</v>
      </c>
      <c r="G1076" s="1">
        <v>74</v>
      </c>
      <c r="H1076" s="1" t="str" cm="1">
        <f t="array" ref="H1076">_xlfn.IFS( OR(G1076=" ",NOT(ISNUMBER(G1076))),"Unknown",G1076&lt;=33,"Low Spender",G1076&lt;=66,"Medium Spender",TRUE, "High Spender")</f>
        <v>High Spender</v>
      </c>
      <c r="I1076" s="1">
        <v>35</v>
      </c>
      <c r="J1076" s="1">
        <v>1700</v>
      </c>
      <c r="K1076" s="1">
        <v>360</v>
      </c>
      <c r="L1076" s="1" t="s">
        <v>37</v>
      </c>
      <c r="M1076" s="1" t="s">
        <v>41</v>
      </c>
      <c r="N1076" s="1" t="str">
        <f t="shared" si="32"/>
        <v>Higher</v>
      </c>
      <c r="O1076" s="1" t="str">
        <f t="shared" si="33"/>
        <v>Mid Career | High Spender | Higher</v>
      </c>
    </row>
    <row r="1077" spans="1:15" x14ac:dyDescent="0.25">
      <c r="A1077" s="1" t="s">
        <v>1107</v>
      </c>
      <c r="B1077" s="1">
        <v>43</v>
      </c>
      <c r="C1077" s="1" t="str" cm="1">
        <f t="array" ref="C1077">_xlfn.IFS(OR(B1077=" ", B1077="NA",NOT(ISNUMBER(B1077))), "Unknown",B1077&lt;18,"Underage",B1077&lt;=24,"Young Adult",B1077&lt;=34,"Early Career",B1077&lt;=44,"Mid Career",B1077&lt;=54,"Mature",B1077&lt;=65,"Pre-Senior",B1077&gt;65,"Senior")</f>
        <v>Mid Career</v>
      </c>
      <c r="D1077" s="1" t="s">
        <v>12</v>
      </c>
      <c r="E1077" s="1" t="s">
        <v>19</v>
      </c>
      <c r="F1077" s="1">
        <v>875000</v>
      </c>
      <c r="G1077" s="1">
        <v>51</v>
      </c>
      <c r="H1077" s="1" t="str" cm="1">
        <f t="array" ref="H1077">_xlfn.IFS( OR(G1077=" ",NOT(ISNUMBER(G1077))),"Unknown",G1077&lt;=33,"Low Spender",G1077&lt;=66,"Medium Spender",TRUE, "High Spender")</f>
        <v>Medium Spender</v>
      </c>
      <c r="I1077" s="1">
        <v>69</v>
      </c>
      <c r="J1077" s="1">
        <v>1600</v>
      </c>
      <c r="K1077" s="1">
        <v>222</v>
      </c>
      <c r="M1077" s="1" t="s">
        <v>32</v>
      </c>
      <c r="N1077" s="1" t="str">
        <f t="shared" si="32"/>
        <v>Lower</v>
      </c>
      <c r="O1077" s="1" t="str">
        <f t="shared" si="33"/>
        <v>Mid Career | Medium Spender | Lower</v>
      </c>
    </row>
    <row r="1078" spans="1:15" x14ac:dyDescent="0.25">
      <c r="A1078" s="1" t="s">
        <v>1108</v>
      </c>
      <c r="B1078" s="1">
        <v>61</v>
      </c>
      <c r="C1078" s="1" t="str" cm="1">
        <f t="array" ref="C1078">_xlfn.IFS(OR(B1078=" ", B1078="NA",NOT(ISNUMBER(B1078))), "Unknown",B1078&lt;18,"Underage",B1078&lt;=24,"Young Adult",B1078&lt;=34,"Early Career",B1078&lt;=44,"Mid Career",B1078&lt;=54,"Mature",B1078&lt;=65,"Pre-Senior",B1078&gt;65,"Senior")</f>
        <v>Pre-Senior</v>
      </c>
      <c r="D1078" s="1" t="s">
        <v>18</v>
      </c>
      <c r="E1078" s="1" t="s">
        <v>34</v>
      </c>
      <c r="G1078" s="1">
        <v>41</v>
      </c>
      <c r="H1078" s="1" t="str" cm="1">
        <f t="array" ref="H1078">_xlfn.IFS( OR(G1078=" ",NOT(ISNUMBER(G1078))),"Unknown",G1078&lt;=33,"Low Spender",G1078&lt;=66,"Medium Spender",TRUE, "High Spender")</f>
        <v>Medium Spender</v>
      </c>
      <c r="I1078" s="1">
        <v>5</v>
      </c>
      <c r="J1078" s="1">
        <v>4100</v>
      </c>
      <c r="K1078" s="1">
        <v>328</v>
      </c>
      <c r="L1078" s="1" t="s">
        <v>35</v>
      </c>
      <c r="M1078" s="1" t="s">
        <v>21</v>
      </c>
      <c r="N1078" s="1" t="str">
        <f t="shared" si="32"/>
        <v>Higher</v>
      </c>
      <c r="O1078" s="1" t="str">
        <f t="shared" si="33"/>
        <v>Pre-Senior | Medium Spender | Higher</v>
      </c>
    </row>
    <row r="1079" spans="1:15" x14ac:dyDescent="0.25">
      <c r="A1079" s="1" t="s">
        <v>1109</v>
      </c>
      <c r="B1079" s="1">
        <v>42</v>
      </c>
      <c r="C1079" s="1" t="str" cm="1">
        <f t="array" ref="C1079">_xlfn.IFS(OR(B1079=" ", B1079="NA",NOT(ISNUMBER(B1079))), "Unknown",B1079&lt;18,"Underage",B1079&lt;=24,"Young Adult",B1079&lt;=34,"Early Career",B1079&lt;=44,"Mid Career",B1079&lt;=54,"Mature",B1079&lt;=65,"Pre-Senior",B1079&gt;65,"Senior")</f>
        <v>Mid Career</v>
      </c>
      <c r="D1079" s="1" t="s">
        <v>12</v>
      </c>
      <c r="F1079" s="1">
        <v>1200000</v>
      </c>
      <c r="G1079" s="1">
        <v>24</v>
      </c>
      <c r="H1079" s="1" t="str" cm="1">
        <f t="array" ref="H1079">_xlfn.IFS( OR(G1079=" ",NOT(ISNUMBER(G1079))),"Unknown",G1079&lt;=33,"Low Spender",G1079&lt;=66,"Medium Spender",TRUE, "High Spender")</f>
        <v>Low Spender</v>
      </c>
      <c r="I1079" s="1">
        <v>17</v>
      </c>
      <c r="J1079" s="1">
        <v>6500</v>
      </c>
      <c r="K1079" s="1">
        <v>2</v>
      </c>
      <c r="L1079" s="1" t="s">
        <v>37</v>
      </c>
      <c r="N1079" s="1" t="str">
        <f t="shared" si="32"/>
        <v>Lower</v>
      </c>
      <c r="O1079" s="1" t="str">
        <f t="shared" si="33"/>
        <v>Mid Career | Low Spender | Lower</v>
      </c>
    </row>
    <row r="1080" spans="1:15" x14ac:dyDescent="0.25">
      <c r="A1080" s="1" t="s">
        <v>1110</v>
      </c>
      <c r="B1080" s="1">
        <v>34</v>
      </c>
      <c r="C1080" s="1" t="str" cm="1">
        <f t="array" ref="C1080">_xlfn.IFS(OR(B1080=" ", B1080="NA",NOT(ISNUMBER(B1080))), "Unknown",B1080&lt;18,"Underage",B1080&lt;=24,"Young Adult",B1080&lt;=34,"Early Career",B1080&lt;=44,"Mid Career",B1080&lt;=54,"Mature",B1080&lt;=65,"Pre-Senior",B1080&gt;65,"Senior")</f>
        <v>Early Career</v>
      </c>
      <c r="D1080" s="1" t="s">
        <v>12</v>
      </c>
      <c r="E1080" s="1" t="s">
        <v>27</v>
      </c>
      <c r="F1080" s="1">
        <v>1625000</v>
      </c>
      <c r="G1080" s="1">
        <v>24</v>
      </c>
      <c r="H1080" s="1" t="str" cm="1">
        <f t="array" ref="H1080">_xlfn.IFS( OR(G1080=" ",NOT(ISNUMBER(G1080))),"Unknown",G1080&lt;=33,"Low Spender",G1080&lt;=66,"Medium Spender",TRUE, "High Spender")</f>
        <v>Low Spender</v>
      </c>
      <c r="I1080" s="1">
        <v>53</v>
      </c>
      <c r="J1080" s="1">
        <v>700</v>
      </c>
      <c r="K1080" s="1">
        <v>306</v>
      </c>
      <c r="L1080" s="1" t="s">
        <v>16</v>
      </c>
      <c r="M1080" s="1" t="s">
        <v>30</v>
      </c>
      <c r="N1080" s="1" t="str">
        <f t="shared" si="32"/>
        <v>Lower</v>
      </c>
      <c r="O1080" s="1" t="str">
        <f t="shared" si="33"/>
        <v>Early Career | Low Spender | Lower</v>
      </c>
    </row>
    <row r="1081" spans="1:15" x14ac:dyDescent="0.25">
      <c r="A1081" s="1" t="s">
        <v>1111</v>
      </c>
      <c r="B1081" s="1">
        <v>30</v>
      </c>
      <c r="C1081" s="1" t="str" cm="1">
        <f t="array" ref="C1081">_xlfn.IFS(OR(B1081=" ", B1081="NA",NOT(ISNUMBER(B1081))), "Unknown",B1081&lt;18,"Underage",B1081&lt;=24,"Young Adult",B1081&lt;=34,"Early Career",B1081&lt;=44,"Mid Career",B1081&lt;=54,"Mature",B1081&lt;=65,"Pre-Senior",B1081&gt;65,"Senior")</f>
        <v>Early Career</v>
      </c>
      <c r="D1081" s="1" t="s">
        <v>18</v>
      </c>
      <c r="E1081" s="1" t="s">
        <v>13</v>
      </c>
      <c r="F1081" s="1">
        <v>1125000</v>
      </c>
      <c r="G1081" s="1">
        <v>96</v>
      </c>
      <c r="H1081" s="1" t="str" cm="1">
        <f t="array" ref="H1081">_xlfn.IFS( OR(G1081=" ",NOT(ISNUMBER(G1081))),"Unknown",G1081&lt;=33,"Low Spender",G1081&lt;=66,"Medium Spender",TRUE, "High Spender")</f>
        <v>High Spender</v>
      </c>
      <c r="I1081" s="1">
        <v>52</v>
      </c>
      <c r="J1081" s="1">
        <v>11800</v>
      </c>
      <c r="K1081" s="1">
        <v>146</v>
      </c>
      <c r="M1081" s="1" t="s">
        <v>21</v>
      </c>
      <c r="N1081" s="1" t="str">
        <f t="shared" si="32"/>
        <v>Higher</v>
      </c>
      <c r="O1081" s="1" t="str">
        <f t="shared" si="33"/>
        <v>Early Career | High Spender | Higher</v>
      </c>
    </row>
    <row r="1082" spans="1:15" x14ac:dyDescent="0.25">
      <c r="A1082" s="1" t="s">
        <v>1112</v>
      </c>
      <c r="B1082" s="1">
        <v>37</v>
      </c>
      <c r="C1082" s="1" t="str" cm="1">
        <f t="array" ref="C1082">_xlfn.IFS(OR(B1082=" ", B1082="NA",NOT(ISNUMBER(B1082))), "Unknown",B1082&lt;18,"Underage",B1082&lt;=24,"Young Adult",B1082&lt;=34,"Early Career",B1082&lt;=44,"Mid Career",B1082&lt;=54,"Mature",B1082&lt;=65,"Pre-Senior",B1082&gt;65,"Senior")</f>
        <v>Mid Career</v>
      </c>
      <c r="E1082" s="1" t="s">
        <v>34</v>
      </c>
      <c r="F1082" s="1">
        <v>1750000</v>
      </c>
      <c r="G1082" s="1">
        <v>97</v>
      </c>
      <c r="H1082" s="1" t="str" cm="1">
        <f t="array" ref="H1082">_xlfn.IFS( OR(G1082=" ",NOT(ISNUMBER(G1082))),"Unknown",G1082&lt;=33,"Low Spender",G1082&lt;=66,"Medium Spender",TRUE, "High Spender")</f>
        <v>High Spender</v>
      </c>
      <c r="I1082" s="1">
        <v>14</v>
      </c>
      <c r="J1082" s="1">
        <v>9200</v>
      </c>
      <c r="K1082" s="1">
        <v>18</v>
      </c>
      <c r="N1082" s="1" t="str">
        <f t="shared" si="32"/>
        <v>Lower</v>
      </c>
      <c r="O1082" s="1" t="str">
        <f t="shared" si="33"/>
        <v>Mid Career | High Spender | Lower</v>
      </c>
    </row>
    <row r="1083" spans="1:15" x14ac:dyDescent="0.25">
      <c r="A1083" s="1" t="s">
        <v>1113</v>
      </c>
      <c r="B1083" s="1">
        <v>42</v>
      </c>
      <c r="C1083" s="1" t="str" cm="1">
        <f t="array" ref="C1083">_xlfn.IFS(OR(B1083=" ", B1083="NA",NOT(ISNUMBER(B1083))), "Unknown",B1083&lt;18,"Underage",B1083&lt;=24,"Young Adult",B1083&lt;=34,"Early Career",B1083&lt;=44,"Mid Career",B1083&lt;=54,"Mature",B1083&lt;=65,"Pre-Senior",B1083&gt;65,"Senior")</f>
        <v>Mid Career</v>
      </c>
      <c r="D1083" s="1" t="s">
        <v>18</v>
      </c>
      <c r="E1083" s="1" t="s">
        <v>19</v>
      </c>
      <c r="F1083" s="1">
        <v>850000</v>
      </c>
      <c r="G1083" s="1">
        <v>38</v>
      </c>
      <c r="H1083" s="1" t="str" cm="1">
        <f t="array" ref="H1083">_xlfn.IFS( OR(G1083=" ",NOT(ISNUMBER(G1083))),"Unknown",G1083&lt;=33,"Low Spender",G1083&lt;=66,"Medium Spender",TRUE, "High Spender")</f>
        <v>Medium Spender</v>
      </c>
      <c r="I1083" s="1">
        <v>29</v>
      </c>
      <c r="J1083" s="1">
        <v>11400</v>
      </c>
      <c r="K1083" s="1">
        <v>16</v>
      </c>
      <c r="L1083" s="1" t="s">
        <v>37</v>
      </c>
      <c r="M1083" s="1" t="s">
        <v>41</v>
      </c>
      <c r="N1083" s="1" t="str">
        <f t="shared" si="32"/>
        <v>Higher</v>
      </c>
      <c r="O1083" s="1" t="str">
        <f t="shared" si="33"/>
        <v>Mid Career | Medium Spender | Higher</v>
      </c>
    </row>
    <row r="1084" spans="1:15" x14ac:dyDescent="0.25">
      <c r="A1084" s="1" t="s">
        <v>1114</v>
      </c>
      <c r="B1084" s="1">
        <v>21</v>
      </c>
      <c r="C1084" s="1" t="str" cm="1">
        <f t="array" ref="C1084">_xlfn.IFS(OR(B1084=" ", B1084="NA",NOT(ISNUMBER(B1084))), "Unknown",B1084&lt;18,"Underage",B1084&lt;=24,"Young Adult",B1084&lt;=34,"Early Career",B1084&lt;=44,"Mid Career",B1084&lt;=54,"Mature",B1084&lt;=65,"Pre-Senior",B1084&gt;65,"Senior")</f>
        <v>Young Adult</v>
      </c>
      <c r="D1084" s="1" t="s">
        <v>29</v>
      </c>
      <c r="F1084" s="1">
        <v>1975000</v>
      </c>
      <c r="G1084" s="1">
        <v>44</v>
      </c>
      <c r="H1084" s="1" t="str" cm="1">
        <f t="array" ref="H1084">_xlfn.IFS( OR(G1084=" ",NOT(ISNUMBER(G1084))),"Unknown",G1084&lt;=33,"Low Spender",G1084&lt;=66,"Medium Spender",TRUE, "High Spender")</f>
        <v>Medium Spender</v>
      </c>
      <c r="I1084" s="1">
        <v>8</v>
      </c>
      <c r="J1084" s="1">
        <v>8300</v>
      </c>
      <c r="K1084" s="1">
        <v>308</v>
      </c>
      <c r="M1084" s="1" t="s">
        <v>21</v>
      </c>
      <c r="N1084" s="1" t="str">
        <f t="shared" si="32"/>
        <v>Higher</v>
      </c>
      <c r="O1084" s="1" t="str">
        <f t="shared" si="33"/>
        <v>Young Adult | Medium Spender | Higher</v>
      </c>
    </row>
    <row r="1085" spans="1:15" x14ac:dyDescent="0.25">
      <c r="A1085" s="1" t="s">
        <v>1115</v>
      </c>
      <c r="B1085" s="1">
        <v>27</v>
      </c>
      <c r="C1085" s="1" t="str" cm="1">
        <f t="array" ref="C1085">_xlfn.IFS(OR(B1085=" ", B1085="NA",NOT(ISNUMBER(B1085))), "Unknown",B1085&lt;18,"Underage",B1085&lt;=24,"Young Adult",B1085&lt;=34,"Early Career",B1085&lt;=44,"Mid Career",B1085&lt;=54,"Mature",B1085&lt;=65,"Pre-Senior",B1085&gt;65,"Senior")</f>
        <v>Early Career</v>
      </c>
      <c r="D1085" s="1" t="s">
        <v>29</v>
      </c>
      <c r="E1085" s="1" t="s">
        <v>19</v>
      </c>
      <c r="F1085" s="1">
        <v>600000</v>
      </c>
      <c r="G1085" s="1">
        <v>57</v>
      </c>
      <c r="H1085" s="1" t="str" cm="1">
        <f t="array" ref="H1085">_xlfn.IFS( OR(G1085=" ",NOT(ISNUMBER(G1085))),"Unknown",G1085&lt;=33,"Low Spender",G1085&lt;=66,"Medium Spender",TRUE, "High Spender")</f>
        <v>Medium Spender</v>
      </c>
      <c r="I1085" s="1">
        <v>1</v>
      </c>
      <c r="J1085" s="1">
        <v>10900</v>
      </c>
      <c r="K1085" s="1">
        <v>159</v>
      </c>
      <c r="L1085" s="1" t="s">
        <v>37</v>
      </c>
      <c r="M1085" s="1" t="s">
        <v>41</v>
      </c>
      <c r="N1085" s="1" t="str">
        <f t="shared" si="32"/>
        <v>Higher</v>
      </c>
      <c r="O1085" s="1" t="str">
        <f t="shared" si="33"/>
        <v>Early Career | Medium Spender | Higher</v>
      </c>
    </row>
    <row r="1086" spans="1:15" x14ac:dyDescent="0.25">
      <c r="A1086" s="1" t="s">
        <v>1116</v>
      </c>
      <c r="B1086" s="1">
        <v>20</v>
      </c>
      <c r="C1086" s="1" t="str" cm="1">
        <f t="array" ref="C1086">_xlfn.IFS(OR(B1086=" ", B1086="NA",NOT(ISNUMBER(B1086))), "Unknown",B1086&lt;18,"Underage",B1086&lt;=24,"Young Adult",B1086&lt;=34,"Early Career",B1086&lt;=44,"Mid Career",B1086&lt;=54,"Mature",B1086&lt;=65,"Pre-Senior",B1086&gt;65,"Senior")</f>
        <v>Young Adult</v>
      </c>
      <c r="E1086" s="1" t="s">
        <v>27</v>
      </c>
      <c r="F1086" s="1">
        <v>200000</v>
      </c>
      <c r="G1086" s="1">
        <v>59</v>
      </c>
      <c r="H1086" s="1" t="str" cm="1">
        <f t="array" ref="H1086">_xlfn.IFS( OR(G1086=" ",NOT(ISNUMBER(G1086))),"Unknown",G1086&lt;=33,"Low Spender",G1086&lt;=66,"Medium Spender",TRUE, "High Spender")</f>
        <v>Medium Spender</v>
      </c>
      <c r="I1086" s="1">
        <v>29</v>
      </c>
      <c r="J1086" s="1">
        <v>11300</v>
      </c>
      <c r="K1086" s="1">
        <v>340</v>
      </c>
      <c r="L1086" s="1" t="s">
        <v>35</v>
      </c>
      <c r="N1086" s="1" t="str">
        <f t="shared" si="32"/>
        <v>Lower</v>
      </c>
      <c r="O1086" s="1" t="str">
        <f t="shared" si="33"/>
        <v>Young Adult | Medium Spender | Lower</v>
      </c>
    </row>
    <row r="1087" spans="1:15" x14ac:dyDescent="0.25">
      <c r="A1087" s="1" t="s">
        <v>1117</v>
      </c>
      <c r="B1087" s="1">
        <v>58</v>
      </c>
      <c r="C1087" s="1" t="str" cm="1">
        <f t="array" ref="C1087">_xlfn.IFS(OR(B1087=" ", B1087="NA",NOT(ISNUMBER(B1087))), "Unknown",B1087&lt;18,"Underage",B1087&lt;=24,"Young Adult",B1087&lt;=34,"Early Career",B1087&lt;=44,"Mid Career",B1087&lt;=54,"Mature",B1087&lt;=65,"Pre-Senior",B1087&gt;65,"Senior")</f>
        <v>Pre-Senior</v>
      </c>
      <c r="D1087" s="1" t="s">
        <v>29</v>
      </c>
      <c r="E1087" s="1" t="s">
        <v>34</v>
      </c>
      <c r="F1087" s="1">
        <v>1025000</v>
      </c>
      <c r="G1087" s="1">
        <v>34</v>
      </c>
      <c r="H1087" s="1" t="str" cm="1">
        <f t="array" ref="H1087">_xlfn.IFS( OR(G1087=" ",NOT(ISNUMBER(G1087))),"Unknown",G1087&lt;=33,"Low Spender",G1087&lt;=66,"Medium Spender",TRUE, "High Spender")</f>
        <v>Medium Spender</v>
      </c>
      <c r="I1087" s="1">
        <v>36</v>
      </c>
      <c r="J1087" s="1">
        <v>5400</v>
      </c>
      <c r="K1087" s="1">
        <v>352</v>
      </c>
      <c r="L1087" s="1" t="s">
        <v>35</v>
      </c>
      <c r="M1087" s="1" t="s">
        <v>21</v>
      </c>
      <c r="N1087" s="1" t="str">
        <f t="shared" si="32"/>
        <v>Higher</v>
      </c>
      <c r="O1087" s="1" t="str">
        <f t="shared" si="33"/>
        <v>Pre-Senior | Medium Spender | Higher</v>
      </c>
    </row>
    <row r="1088" spans="1:15" x14ac:dyDescent="0.25">
      <c r="A1088" s="1" t="s">
        <v>1118</v>
      </c>
      <c r="B1088" s="1">
        <v>62</v>
      </c>
      <c r="C1088" s="1" t="str" cm="1">
        <f t="array" ref="C1088">_xlfn.IFS(OR(B1088=" ", B1088="NA",NOT(ISNUMBER(B1088))), "Unknown",B1088&lt;18,"Underage",B1088&lt;=24,"Young Adult",B1088&lt;=34,"Early Career",B1088&lt;=44,"Mid Career",B1088&lt;=54,"Mature",B1088&lt;=65,"Pre-Senior",B1088&gt;65,"Senior")</f>
        <v>Pre-Senior</v>
      </c>
      <c r="E1088" s="1" t="s">
        <v>27</v>
      </c>
      <c r="F1088" s="1">
        <v>1200000</v>
      </c>
      <c r="G1088" s="1">
        <v>75</v>
      </c>
      <c r="H1088" s="1" t="str" cm="1">
        <f t="array" ref="H1088">_xlfn.IFS( OR(G1088=" ",NOT(ISNUMBER(G1088))),"Unknown",G1088&lt;=33,"Low Spender",G1088&lt;=66,"Medium Spender",TRUE, "High Spender")</f>
        <v>High Spender</v>
      </c>
      <c r="I1088" s="1">
        <v>51</v>
      </c>
      <c r="J1088" s="1">
        <v>1800</v>
      </c>
      <c r="K1088" s="1">
        <v>298</v>
      </c>
      <c r="L1088" s="1" t="s">
        <v>35</v>
      </c>
      <c r="M1088" s="1" t="s">
        <v>21</v>
      </c>
      <c r="N1088" s="1" t="str">
        <f t="shared" si="32"/>
        <v>Lower</v>
      </c>
      <c r="O1088" s="1" t="str">
        <f t="shared" si="33"/>
        <v>Pre-Senior | High Spender | Lower</v>
      </c>
    </row>
    <row r="1089" spans="1:15" x14ac:dyDescent="0.25">
      <c r="A1089" s="1" t="s">
        <v>1119</v>
      </c>
      <c r="B1089" s="1">
        <v>35</v>
      </c>
      <c r="C1089" s="1" t="str" cm="1">
        <f t="array" ref="C1089">_xlfn.IFS(OR(B1089=" ", B1089="NA",NOT(ISNUMBER(B1089))), "Unknown",B1089&lt;18,"Underage",B1089&lt;=24,"Young Adult",B1089&lt;=34,"Early Career",B1089&lt;=44,"Mid Career",B1089&lt;=54,"Mature",B1089&lt;=65,"Pre-Senior",B1089&gt;65,"Senior")</f>
        <v>Mid Career</v>
      </c>
      <c r="E1089" s="1" t="s">
        <v>15</v>
      </c>
      <c r="F1089" s="1">
        <v>500000</v>
      </c>
      <c r="G1089" s="1">
        <v>95</v>
      </c>
      <c r="H1089" s="1" t="str" cm="1">
        <f t="array" ref="H1089">_xlfn.IFS( OR(G1089=" ",NOT(ISNUMBER(G1089))),"Unknown",G1089&lt;=33,"Low Spender",G1089&lt;=66,"Medium Spender",TRUE, "High Spender")</f>
        <v>High Spender</v>
      </c>
      <c r="I1089" s="1">
        <v>37</v>
      </c>
      <c r="J1089" s="1">
        <v>10100</v>
      </c>
      <c r="K1089" s="1">
        <v>209</v>
      </c>
      <c r="N1089" s="1" t="str">
        <f t="shared" si="32"/>
        <v>Lower</v>
      </c>
      <c r="O1089" s="1" t="str">
        <f t="shared" si="33"/>
        <v>Mid Career | High Spender | Lower</v>
      </c>
    </row>
    <row r="1090" spans="1:15" x14ac:dyDescent="0.25">
      <c r="A1090" s="1" t="s">
        <v>1120</v>
      </c>
      <c r="B1090" s="1">
        <v>64</v>
      </c>
      <c r="C1090" s="1" t="str" cm="1">
        <f t="array" ref="C1090">_xlfn.IFS(OR(B1090=" ", B1090="NA",NOT(ISNUMBER(B1090))), "Unknown",B1090&lt;18,"Underage",B1090&lt;=24,"Young Adult",B1090&lt;=34,"Early Career",B1090&lt;=44,"Mid Career",B1090&lt;=54,"Mature",B1090&lt;=65,"Pre-Senior",B1090&gt;65,"Senior")</f>
        <v>Pre-Senior</v>
      </c>
      <c r="D1090" s="1" t="s">
        <v>29</v>
      </c>
      <c r="E1090" s="1" t="s">
        <v>15</v>
      </c>
      <c r="F1090" s="1">
        <v>1150000</v>
      </c>
      <c r="G1090" s="1">
        <v>82</v>
      </c>
      <c r="H1090" s="1" t="str" cm="1">
        <f t="array" ref="H1090">_xlfn.IFS( OR(G1090=" ",NOT(ISNUMBER(G1090))),"Unknown",G1090&lt;=33,"Low Spender",G1090&lt;=66,"Medium Spender",TRUE, "High Spender")</f>
        <v>High Spender</v>
      </c>
      <c r="I1090" s="1">
        <v>69</v>
      </c>
      <c r="J1090" s="1">
        <v>4000</v>
      </c>
      <c r="K1090" s="1">
        <v>205</v>
      </c>
      <c r="L1090" s="1" t="s">
        <v>20</v>
      </c>
      <c r="N1090" s="1" t="str">
        <f t="shared" ref="N1090:N1153" si="34">IF(OR(UPPER(TRIM(D1090))="Male",UPPER(TRIM(D1090))="Female"),"Higher","Lower")</f>
        <v>Higher</v>
      </c>
      <c r="O1090" s="1" t="str">
        <f t="shared" ref="O1090:O1153" si="35">_xlfn.TEXTJOIN(" | ", TRUE, C1090, H1090, N1090)</f>
        <v>Pre-Senior | High Spender | Higher</v>
      </c>
    </row>
    <row r="1091" spans="1:15" x14ac:dyDescent="0.25">
      <c r="A1091" s="1" t="s">
        <v>1121</v>
      </c>
      <c r="B1091" s="1">
        <v>53</v>
      </c>
      <c r="C1091" s="1" t="str" cm="1">
        <f t="array" ref="C1091">_xlfn.IFS(OR(B1091=" ", B1091="NA",NOT(ISNUMBER(B1091))), "Unknown",B1091&lt;18,"Underage",B1091&lt;=24,"Young Adult",B1091&lt;=34,"Early Career",B1091&lt;=44,"Mid Career",B1091&lt;=54,"Mature",B1091&lt;=65,"Pre-Senior",B1091&gt;65,"Senior")</f>
        <v>Mature</v>
      </c>
      <c r="D1091" s="1" t="s">
        <v>18</v>
      </c>
      <c r="F1091" s="1">
        <v>1025000</v>
      </c>
      <c r="G1091" s="1">
        <v>23</v>
      </c>
      <c r="H1091" s="1" t="str" cm="1">
        <f t="array" ref="H1091">_xlfn.IFS( OR(G1091=" ",NOT(ISNUMBER(G1091))),"Unknown",G1091&lt;=33,"Low Spender",G1091&lt;=66,"Medium Spender",TRUE, "High Spender")</f>
        <v>Low Spender</v>
      </c>
      <c r="I1091" s="1">
        <v>53</v>
      </c>
      <c r="J1091" s="1">
        <v>5500</v>
      </c>
      <c r="K1091" s="1">
        <v>113</v>
      </c>
      <c r="M1091" s="1" t="s">
        <v>32</v>
      </c>
      <c r="N1091" s="1" t="str">
        <f t="shared" si="34"/>
        <v>Higher</v>
      </c>
      <c r="O1091" s="1" t="str">
        <f t="shared" si="35"/>
        <v>Mature | Low Spender | Higher</v>
      </c>
    </row>
    <row r="1092" spans="1:15" x14ac:dyDescent="0.25">
      <c r="A1092" s="1" t="s">
        <v>1122</v>
      </c>
      <c r="B1092" s="1">
        <v>64</v>
      </c>
      <c r="C1092" s="1" t="str" cm="1">
        <f t="array" ref="C1092">_xlfn.IFS(OR(B1092=" ", B1092="NA",NOT(ISNUMBER(B1092))), "Unknown",B1092&lt;18,"Underage",B1092&lt;=24,"Young Adult",B1092&lt;=34,"Early Career",B1092&lt;=44,"Mid Career",B1092&lt;=54,"Mature",B1092&lt;=65,"Pre-Senior",B1092&gt;65,"Senior")</f>
        <v>Pre-Senior</v>
      </c>
      <c r="D1092" s="1" t="s">
        <v>12</v>
      </c>
      <c r="E1092" s="1" t="s">
        <v>13</v>
      </c>
      <c r="F1092" s="1" t="s">
        <v>25</v>
      </c>
      <c r="G1092" s="1">
        <v>86</v>
      </c>
      <c r="H1092" s="1" t="str" cm="1">
        <f t="array" ref="H1092">_xlfn.IFS( OR(G1092=" ",NOT(ISNUMBER(G1092))),"Unknown",G1092&lt;=33,"Low Spender",G1092&lt;=66,"Medium Spender",TRUE, "High Spender")</f>
        <v>High Spender</v>
      </c>
      <c r="I1092" s="1">
        <v>52</v>
      </c>
      <c r="J1092" s="1">
        <v>8900</v>
      </c>
      <c r="K1092" s="1">
        <v>178</v>
      </c>
      <c r="M1092" s="1" t="s">
        <v>21</v>
      </c>
      <c r="N1092" s="1" t="str">
        <f t="shared" si="34"/>
        <v>Lower</v>
      </c>
      <c r="O1092" s="1" t="str">
        <f t="shared" si="35"/>
        <v>Pre-Senior | High Spender | Lower</v>
      </c>
    </row>
    <row r="1093" spans="1:15" x14ac:dyDescent="0.25">
      <c r="A1093" s="1" t="s">
        <v>1123</v>
      </c>
      <c r="B1093" s="1">
        <v>39</v>
      </c>
      <c r="C1093" s="1" t="str" cm="1">
        <f t="array" ref="C1093">_xlfn.IFS(OR(B1093=" ", B1093="NA",NOT(ISNUMBER(B1093))), "Unknown",B1093&lt;18,"Underage",B1093&lt;=24,"Young Adult",B1093&lt;=34,"Early Career",B1093&lt;=44,"Mid Career",B1093&lt;=54,"Mature",B1093&lt;=65,"Pre-Senior",B1093&gt;65,"Senior")</f>
        <v>Mid Career</v>
      </c>
      <c r="E1093" s="1" t="s">
        <v>23</v>
      </c>
      <c r="F1093" s="1">
        <v>950000</v>
      </c>
      <c r="G1093" s="1">
        <v>43</v>
      </c>
      <c r="H1093" s="1" t="str" cm="1">
        <f t="array" ref="H1093">_xlfn.IFS( OR(G1093=" ",NOT(ISNUMBER(G1093))),"Unknown",G1093&lt;=33,"Low Spender",G1093&lt;=66,"Medium Spender",TRUE, "High Spender")</f>
        <v>Medium Spender</v>
      </c>
      <c r="I1093" s="1">
        <v>12</v>
      </c>
      <c r="J1093" s="1">
        <v>7900</v>
      </c>
      <c r="K1093" s="1">
        <v>209</v>
      </c>
      <c r="N1093" s="1" t="str">
        <f t="shared" si="34"/>
        <v>Lower</v>
      </c>
      <c r="O1093" s="1" t="str">
        <f t="shared" si="35"/>
        <v>Mid Career | Medium Spender | Lower</v>
      </c>
    </row>
    <row r="1094" spans="1:15" x14ac:dyDescent="0.25">
      <c r="A1094" s="1" t="s">
        <v>1124</v>
      </c>
      <c r="B1094" s="1">
        <v>51</v>
      </c>
      <c r="C1094" s="1" t="str" cm="1">
        <f t="array" ref="C1094">_xlfn.IFS(OR(B1094=" ", B1094="NA",NOT(ISNUMBER(B1094))), "Unknown",B1094&lt;18,"Underage",B1094&lt;=24,"Young Adult",B1094&lt;=34,"Early Career",B1094&lt;=44,"Mid Career",B1094&lt;=54,"Mature",B1094&lt;=65,"Pre-Senior",B1094&gt;65,"Senior")</f>
        <v>Mature</v>
      </c>
      <c r="D1094" s="1" t="s">
        <v>12</v>
      </c>
      <c r="E1094" s="1" t="s">
        <v>49</v>
      </c>
      <c r="F1094" s="1">
        <v>250000</v>
      </c>
      <c r="G1094" s="1">
        <v>82</v>
      </c>
      <c r="H1094" s="1" t="str" cm="1">
        <f t="array" ref="H1094">_xlfn.IFS( OR(G1094=" ",NOT(ISNUMBER(G1094))),"Unknown",G1094&lt;=33,"Low Spender",G1094&lt;=66,"Medium Spender",TRUE, "High Spender")</f>
        <v>High Spender</v>
      </c>
      <c r="I1094" s="1">
        <v>52</v>
      </c>
      <c r="J1094" s="1">
        <v>9900</v>
      </c>
      <c r="K1094" s="1">
        <v>124</v>
      </c>
      <c r="L1094" s="1" t="s">
        <v>16</v>
      </c>
      <c r="M1094" s="1" t="s">
        <v>21</v>
      </c>
      <c r="N1094" s="1" t="str">
        <f t="shared" si="34"/>
        <v>Lower</v>
      </c>
      <c r="O1094" s="1" t="str">
        <f t="shared" si="35"/>
        <v>Mature | High Spender | Lower</v>
      </c>
    </row>
    <row r="1095" spans="1:15" x14ac:dyDescent="0.25">
      <c r="A1095" s="1" t="s">
        <v>1125</v>
      </c>
      <c r="B1095" s="1">
        <v>64</v>
      </c>
      <c r="C1095" s="1" t="str" cm="1">
        <f t="array" ref="C1095">_xlfn.IFS(OR(B1095=" ", B1095="NA",NOT(ISNUMBER(B1095))), "Unknown",B1095&lt;18,"Underage",B1095&lt;=24,"Young Adult",B1095&lt;=34,"Early Career",B1095&lt;=44,"Mid Career",B1095&lt;=54,"Mature",B1095&lt;=65,"Pre-Senior",B1095&gt;65,"Senior")</f>
        <v>Pre-Senior</v>
      </c>
      <c r="D1095" s="1" t="s">
        <v>12</v>
      </c>
      <c r="F1095" s="1">
        <v>475000</v>
      </c>
      <c r="G1095" s="1">
        <v>40</v>
      </c>
      <c r="H1095" s="1" t="str" cm="1">
        <f t="array" ref="H1095">_xlfn.IFS( OR(G1095=" ",NOT(ISNUMBER(G1095))),"Unknown",G1095&lt;=33,"Low Spender",G1095&lt;=66,"Medium Spender",TRUE, "High Spender")</f>
        <v>Medium Spender</v>
      </c>
      <c r="I1095" s="1">
        <v>1</v>
      </c>
      <c r="J1095" s="1">
        <v>9500</v>
      </c>
      <c r="K1095" s="1">
        <v>15</v>
      </c>
      <c r="L1095" s="1" t="s">
        <v>16</v>
      </c>
      <c r="N1095" s="1" t="str">
        <f t="shared" si="34"/>
        <v>Lower</v>
      </c>
      <c r="O1095" s="1" t="str">
        <f t="shared" si="35"/>
        <v>Pre-Senior | Medium Spender | Lower</v>
      </c>
    </row>
    <row r="1096" spans="1:15" x14ac:dyDescent="0.25">
      <c r="A1096" s="1" t="s">
        <v>1126</v>
      </c>
      <c r="B1096" s="1">
        <v>25</v>
      </c>
      <c r="C1096" s="1" t="str" cm="1">
        <f t="array" ref="C1096">_xlfn.IFS(OR(B1096=" ", B1096="NA",NOT(ISNUMBER(B1096))), "Unknown",B1096&lt;18,"Underage",B1096&lt;=24,"Young Adult",B1096&lt;=34,"Early Career",B1096&lt;=44,"Mid Career",B1096&lt;=54,"Mature",B1096&lt;=65,"Pre-Senior",B1096&gt;65,"Senior")</f>
        <v>Early Career</v>
      </c>
      <c r="D1096" s="1" t="s">
        <v>18</v>
      </c>
      <c r="E1096" s="1" t="s">
        <v>27</v>
      </c>
      <c r="F1096" s="1">
        <v>1825000</v>
      </c>
      <c r="G1096" s="1">
        <v>47</v>
      </c>
      <c r="H1096" s="1" t="str" cm="1">
        <f t="array" ref="H1096">_xlfn.IFS( OR(G1096=" ",NOT(ISNUMBER(G1096))),"Unknown",G1096&lt;=33,"Low Spender",G1096&lt;=66,"Medium Spender",TRUE, "High Spender")</f>
        <v>Medium Spender</v>
      </c>
      <c r="I1096" s="1">
        <v>7</v>
      </c>
      <c r="J1096" s="1">
        <v>5500</v>
      </c>
      <c r="K1096" s="1">
        <v>346</v>
      </c>
      <c r="M1096" s="1" t="s">
        <v>30</v>
      </c>
      <c r="N1096" s="1" t="str">
        <f t="shared" si="34"/>
        <v>Higher</v>
      </c>
      <c r="O1096" s="1" t="str">
        <f t="shared" si="35"/>
        <v>Early Career | Medium Spender | Higher</v>
      </c>
    </row>
    <row r="1097" spans="1:15" x14ac:dyDescent="0.25">
      <c r="A1097" s="1" t="s">
        <v>1127</v>
      </c>
      <c r="B1097" s="1">
        <v>57</v>
      </c>
      <c r="C1097" s="1" t="str" cm="1">
        <f t="array" ref="C1097">_xlfn.IFS(OR(B1097=" ", B1097="NA",NOT(ISNUMBER(B1097))), "Unknown",B1097&lt;18,"Underage",B1097&lt;=24,"Young Adult",B1097&lt;=34,"Early Career",B1097&lt;=44,"Mid Career",B1097&lt;=54,"Mature",B1097&lt;=65,"Pre-Senior",B1097&gt;65,"Senior")</f>
        <v>Pre-Senior</v>
      </c>
      <c r="D1097" s="1" t="s">
        <v>29</v>
      </c>
      <c r="F1097" s="1">
        <v>1300000</v>
      </c>
      <c r="G1097" s="1">
        <v>41</v>
      </c>
      <c r="H1097" s="1" t="str" cm="1">
        <f t="array" ref="H1097">_xlfn.IFS( OR(G1097=" ",NOT(ISNUMBER(G1097))),"Unknown",G1097&lt;=33,"Low Spender",G1097&lt;=66,"Medium Spender",TRUE, "High Spender")</f>
        <v>Medium Spender</v>
      </c>
      <c r="I1097" s="1">
        <v>17</v>
      </c>
      <c r="J1097" s="1">
        <v>4800</v>
      </c>
      <c r="K1097" s="1">
        <v>298</v>
      </c>
      <c r="L1097" s="1" t="s">
        <v>37</v>
      </c>
      <c r="M1097" s="1" t="s">
        <v>32</v>
      </c>
      <c r="N1097" s="1" t="str">
        <f t="shared" si="34"/>
        <v>Higher</v>
      </c>
      <c r="O1097" s="1" t="str">
        <f t="shared" si="35"/>
        <v>Pre-Senior | Medium Spender | Higher</v>
      </c>
    </row>
    <row r="1098" spans="1:15" x14ac:dyDescent="0.25">
      <c r="A1098" s="1" t="s">
        <v>1128</v>
      </c>
      <c r="B1098" s="1">
        <v>66</v>
      </c>
      <c r="C1098" s="1" t="str" cm="1">
        <f t="array" ref="C1098">_xlfn.IFS(OR(B1098=" ", B1098="NA",NOT(ISNUMBER(B1098))), "Unknown",B1098&lt;18,"Underage",B1098&lt;=24,"Young Adult",B1098&lt;=34,"Early Career",B1098&lt;=44,"Mid Career",B1098&lt;=54,"Mature",B1098&lt;=65,"Pre-Senior",B1098&gt;65,"Senior")</f>
        <v>Senior</v>
      </c>
      <c r="F1098" s="1">
        <v>1475000</v>
      </c>
      <c r="G1098" s="1">
        <v>47</v>
      </c>
      <c r="H1098" s="1" t="str" cm="1">
        <f t="array" ref="H1098">_xlfn.IFS( OR(G1098=" ",NOT(ISNUMBER(G1098))),"Unknown",G1098&lt;=33,"Low Spender",G1098&lt;=66,"Medium Spender",TRUE, "High Spender")</f>
        <v>Medium Spender</v>
      </c>
      <c r="I1098" s="1">
        <v>43</v>
      </c>
      <c r="J1098" s="1">
        <v>10000</v>
      </c>
      <c r="K1098" s="1">
        <v>45</v>
      </c>
      <c r="M1098" s="1" t="s">
        <v>21</v>
      </c>
      <c r="N1098" s="1" t="str">
        <f t="shared" si="34"/>
        <v>Lower</v>
      </c>
      <c r="O1098" s="1" t="str">
        <f t="shared" si="35"/>
        <v>Senior | Medium Spender | Lower</v>
      </c>
    </row>
    <row r="1099" spans="1:15" x14ac:dyDescent="0.25">
      <c r="A1099" s="1" t="s">
        <v>1129</v>
      </c>
      <c r="B1099" s="1">
        <v>61</v>
      </c>
      <c r="C1099" s="1" t="str" cm="1">
        <f t="array" ref="C1099">_xlfn.IFS(OR(B1099=" ", B1099="NA",NOT(ISNUMBER(B1099))), "Unknown",B1099&lt;18,"Underage",B1099&lt;=24,"Young Adult",B1099&lt;=34,"Early Career",B1099&lt;=44,"Mid Career",B1099&lt;=54,"Mature",B1099&lt;=65,"Pre-Senior",B1099&gt;65,"Senior")</f>
        <v>Pre-Senior</v>
      </c>
      <c r="D1099" s="1" t="s">
        <v>18</v>
      </c>
      <c r="F1099" s="1">
        <v>225000</v>
      </c>
      <c r="G1099" s="1">
        <v>20</v>
      </c>
      <c r="H1099" s="1" t="str" cm="1">
        <f t="array" ref="H1099">_xlfn.IFS( OR(G1099=" ",NOT(ISNUMBER(G1099))),"Unknown",G1099&lt;=33,"Low Spender",G1099&lt;=66,"Medium Spender",TRUE, "High Spender")</f>
        <v>Low Spender</v>
      </c>
      <c r="I1099" s="1">
        <v>71</v>
      </c>
      <c r="J1099" s="1">
        <v>10000</v>
      </c>
      <c r="K1099" s="1">
        <v>94</v>
      </c>
      <c r="L1099" s="1" t="s">
        <v>20</v>
      </c>
      <c r="N1099" s="1" t="str">
        <f t="shared" si="34"/>
        <v>Higher</v>
      </c>
      <c r="O1099" s="1" t="str">
        <f t="shared" si="35"/>
        <v>Pre-Senior | Low Spender | Higher</v>
      </c>
    </row>
    <row r="1100" spans="1:15" x14ac:dyDescent="0.25">
      <c r="A1100" s="1" t="s">
        <v>1130</v>
      </c>
      <c r="B1100" s="1">
        <v>36</v>
      </c>
      <c r="C1100" s="1" t="str" cm="1">
        <f t="array" ref="C1100">_xlfn.IFS(OR(B1100=" ", B1100="NA",NOT(ISNUMBER(B1100))), "Unknown",B1100&lt;18,"Underage",B1100&lt;=24,"Young Adult",B1100&lt;=34,"Early Career",B1100&lt;=44,"Mid Career",B1100&lt;=54,"Mature",B1100&lt;=65,"Pre-Senior",B1100&gt;65,"Senior")</f>
        <v>Mid Career</v>
      </c>
      <c r="D1100" s="1" t="s">
        <v>18</v>
      </c>
      <c r="F1100" s="1">
        <v>350000</v>
      </c>
      <c r="G1100" s="1">
        <v>77</v>
      </c>
      <c r="H1100" s="1" t="str" cm="1">
        <f t="array" ref="H1100">_xlfn.IFS( OR(G1100=" ",NOT(ISNUMBER(G1100))),"Unknown",G1100&lt;=33,"Low Spender",G1100&lt;=66,"Medium Spender",TRUE, "High Spender")</f>
        <v>High Spender</v>
      </c>
      <c r="I1100" s="1">
        <v>17</v>
      </c>
      <c r="J1100" s="1">
        <v>9300</v>
      </c>
      <c r="K1100" s="1">
        <v>107</v>
      </c>
      <c r="L1100" s="1" t="s">
        <v>16</v>
      </c>
      <c r="M1100" s="1" t="s">
        <v>41</v>
      </c>
      <c r="N1100" s="1" t="str">
        <f t="shared" si="34"/>
        <v>Higher</v>
      </c>
      <c r="O1100" s="1" t="str">
        <f t="shared" si="35"/>
        <v>Mid Career | High Spender | Higher</v>
      </c>
    </row>
    <row r="1101" spans="1:15" x14ac:dyDescent="0.25">
      <c r="A1101" s="1" t="s">
        <v>1131</v>
      </c>
      <c r="B1101" s="1">
        <v>59</v>
      </c>
      <c r="C1101" s="1" t="str" cm="1">
        <f t="array" ref="C1101">_xlfn.IFS(OR(B1101=" ", B1101="NA",NOT(ISNUMBER(B1101))), "Unknown",B1101&lt;18,"Underage",B1101&lt;=24,"Young Adult",B1101&lt;=34,"Early Career",B1101&lt;=44,"Mid Career",B1101&lt;=54,"Mature",B1101&lt;=65,"Pre-Senior",B1101&gt;65,"Senior")</f>
        <v>Pre-Senior</v>
      </c>
      <c r="D1101" s="1" t="s">
        <v>29</v>
      </c>
      <c r="E1101" s="1" t="s">
        <v>19</v>
      </c>
      <c r="F1101" s="1">
        <v>1450000</v>
      </c>
      <c r="G1101" s="1">
        <v>65</v>
      </c>
      <c r="H1101" s="1" t="str" cm="1">
        <f t="array" ref="H1101">_xlfn.IFS( OR(G1101=" ",NOT(ISNUMBER(G1101))),"Unknown",G1101&lt;=33,"Low Spender",G1101&lt;=66,"Medium Spender",TRUE, "High Spender")</f>
        <v>Medium Spender</v>
      </c>
      <c r="I1101" s="1">
        <v>59</v>
      </c>
      <c r="J1101" s="1">
        <v>1700</v>
      </c>
      <c r="K1101" s="1">
        <v>278</v>
      </c>
      <c r="L1101" s="1" t="s">
        <v>16</v>
      </c>
      <c r="N1101" s="1" t="str">
        <f t="shared" si="34"/>
        <v>Higher</v>
      </c>
      <c r="O1101" s="1" t="str">
        <f t="shared" si="35"/>
        <v>Pre-Senior | Medium Spender | Higher</v>
      </c>
    </row>
    <row r="1102" spans="1:15" x14ac:dyDescent="0.25">
      <c r="A1102" s="1" t="s">
        <v>1132</v>
      </c>
      <c r="B1102" s="1">
        <v>58</v>
      </c>
      <c r="C1102" s="1" t="str" cm="1">
        <f t="array" ref="C1102">_xlfn.IFS(OR(B1102=" ", B1102="NA",NOT(ISNUMBER(B1102))), "Unknown",B1102&lt;18,"Underage",B1102&lt;=24,"Young Adult",B1102&lt;=34,"Early Career",B1102&lt;=44,"Mid Career",B1102&lt;=54,"Mature",B1102&lt;=65,"Pre-Senior",B1102&gt;65,"Senior")</f>
        <v>Pre-Senior</v>
      </c>
      <c r="D1102" s="1" t="s">
        <v>18</v>
      </c>
      <c r="E1102" s="1" t="s">
        <v>34</v>
      </c>
      <c r="F1102" s="1" t="s">
        <v>25</v>
      </c>
      <c r="G1102" s="1">
        <v>68</v>
      </c>
      <c r="H1102" s="1" t="str" cm="1">
        <f t="array" ref="H1102">_xlfn.IFS( OR(G1102=" ",NOT(ISNUMBER(G1102))),"Unknown",G1102&lt;=33,"Low Spender",G1102&lt;=66,"Medium Spender",TRUE, "High Spender")</f>
        <v>High Spender</v>
      </c>
      <c r="I1102" s="1">
        <v>3</v>
      </c>
      <c r="J1102" s="1">
        <v>6100</v>
      </c>
      <c r="K1102" s="1">
        <v>128</v>
      </c>
      <c r="M1102" s="1" t="s">
        <v>32</v>
      </c>
      <c r="N1102" s="1" t="str">
        <f t="shared" si="34"/>
        <v>Higher</v>
      </c>
      <c r="O1102" s="1" t="str">
        <f t="shared" si="35"/>
        <v>Pre-Senior | High Spender | Higher</v>
      </c>
    </row>
    <row r="1103" spans="1:15" x14ac:dyDescent="0.25">
      <c r="A1103" s="1" t="s">
        <v>1133</v>
      </c>
      <c r="B1103" s="1">
        <v>54</v>
      </c>
      <c r="C1103" s="1" t="str" cm="1">
        <f t="array" ref="C1103">_xlfn.IFS(OR(B1103=" ", B1103="NA",NOT(ISNUMBER(B1103))), "Unknown",B1103&lt;18,"Underage",B1103&lt;=24,"Young Adult",B1103&lt;=34,"Early Career",B1103&lt;=44,"Mid Career",B1103&lt;=54,"Mature",B1103&lt;=65,"Pre-Senior",B1103&gt;65,"Senior")</f>
        <v>Mature</v>
      </c>
      <c r="E1103" s="1" t="s">
        <v>13</v>
      </c>
      <c r="F1103" s="1">
        <v>1625000</v>
      </c>
      <c r="G1103" s="1">
        <v>24</v>
      </c>
      <c r="H1103" s="1" t="str" cm="1">
        <f t="array" ref="H1103">_xlfn.IFS( OR(G1103=" ",NOT(ISNUMBER(G1103))),"Unknown",G1103&lt;=33,"Low Spender",G1103&lt;=66,"Medium Spender",TRUE, "High Spender")</f>
        <v>Low Spender</v>
      </c>
      <c r="I1103" s="1">
        <v>29</v>
      </c>
      <c r="J1103" s="1">
        <v>5200</v>
      </c>
      <c r="K1103" s="1">
        <v>38</v>
      </c>
      <c r="L1103" s="1" t="s">
        <v>16</v>
      </c>
      <c r="M1103" s="1" t="s">
        <v>30</v>
      </c>
      <c r="N1103" s="1" t="str">
        <f t="shared" si="34"/>
        <v>Lower</v>
      </c>
      <c r="O1103" s="1" t="str">
        <f t="shared" si="35"/>
        <v>Mature | Low Spender | Lower</v>
      </c>
    </row>
    <row r="1104" spans="1:15" x14ac:dyDescent="0.25">
      <c r="A1104" s="1" t="s">
        <v>1134</v>
      </c>
      <c r="B1104" s="1">
        <v>23</v>
      </c>
      <c r="C1104" s="1" t="str" cm="1">
        <f t="array" ref="C1104">_xlfn.IFS(OR(B1104=" ", B1104="NA",NOT(ISNUMBER(B1104))), "Unknown",B1104&lt;18,"Underage",B1104&lt;=24,"Young Adult",B1104&lt;=34,"Early Career",B1104&lt;=44,"Mid Career",B1104&lt;=54,"Mature",B1104&lt;=65,"Pre-Senior",B1104&gt;65,"Senior")</f>
        <v>Young Adult</v>
      </c>
      <c r="D1104" s="1" t="s">
        <v>18</v>
      </c>
      <c r="E1104" s="1" t="s">
        <v>49</v>
      </c>
      <c r="F1104" s="1">
        <v>1275000</v>
      </c>
      <c r="G1104" s="1">
        <v>100</v>
      </c>
      <c r="H1104" s="1" t="str" cm="1">
        <f t="array" ref="H1104">_xlfn.IFS( OR(G1104=" ",NOT(ISNUMBER(G1104))),"Unknown",G1104&lt;=33,"Low Spender",G1104&lt;=66,"Medium Spender",TRUE, "High Spender")</f>
        <v>High Spender</v>
      </c>
      <c r="I1104" s="1">
        <v>22</v>
      </c>
      <c r="J1104" s="1">
        <v>1100</v>
      </c>
      <c r="K1104" s="1">
        <v>97</v>
      </c>
      <c r="M1104" s="1" t="s">
        <v>30</v>
      </c>
      <c r="N1104" s="1" t="str">
        <f t="shared" si="34"/>
        <v>Higher</v>
      </c>
      <c r="O1104" s="1" t="str">
        <f t="shared" si="35"/>
        <v>Young Adult | High Spender | Higher</v>
      </c>
    </row>
    <row r="1105" spans="1:15" x14ac:dyDescent="0.25">
      <c r="A1105" s="1" t="s">
        <v>1135</v>
      </c>
      <c r="B1105" s="1">
        <v>69</v>
      </c>
      <c r="C1105" s="1" t="str" cm="1">
        <f t="array" ref="C1105">_xlfn.IFS(OR(B1105=" ", B1105="NA",NOT(ISNUMBER(B1105))), "Unknown",B1105&lt;18,"Underage",B1105&lt;=24,"Young Adult",B1105&lt;=34,"Early Career",B1105&lt;=44,"Mid Career",B1105&lt;=54,"Mature",B1105&lt;=65,"Pre-Senior",B1105&gt;65,"Senior")</f>
        <v>Senior</v>
      </c>
      <c r="D1105" s="1" t="s">
        <v>18</v>
      </c>
      <c r="E1105" s="1" t="s">
        <v>34</v>
      </c>
      <c r="F1105" s="1">
        <v>1475000</v>
      </c>
      <c r="G1105" s="1">
        <v>36</v>
      </c>
      <c r="H1105" s="1" t="str" cm="1">
        <f t="array" ref="H1105">_xlfn.IFS( OR(G1105=" ",NOT(ISNUMBER(G1105))),"Unknown",G1105&lt;=33,"Low Spender",G1105&lt;=66,"Medium Spender",TRUE, "High Spender")</f>
        <v>Medium Spender</v>
      </c>
      <c r="I1105" s="1">
        <v>38</v>
      </c>
      <c r="J1105" s="1">
        <v>2800</v>
      </c>
      <c r="K1105" s="1">
        <v>198</v>
      </c>
      <c r="L1105" s="1" t="s">
        <v>16</v>
      </c>
      <c r="M1105" s="1" t="s">
        <v>30</v>
      </c>
      <c r="N1105" s="1" t="str">
        <f t="shared" si="34"/>
        <v>Higher</v>
      </c>
      <c r="O1105" s="1" t="str">
        <f t="shared" si="35"/>
        <v>Senior | Medium Spender | Higher</v>
      </c>
    </row>
    <row r="1106" spans="1:15" x14ac:dyDescent="0.25">
      <c r="A1106" s="1" t="s">
        <v>1136</v>
      </c>
      <c r="B1106" s="1">
        <v>43</v>
      </c>
      <c r="C1106" s="1" t="str" cm="1">
        <f t="array" ref="C1106">_xlfn.IFS(OR(B1106=" ", B1106="NA",NOT(ISNUMBER(B1106))), "Unknown",B1106&lt;18,"Underage",B1106&lt;=24,"Young Adult",B1106&lt;=34,"Early Career",B1106&lt;=44,"Mid Career",B1106&lt;=54,"Mature",B1106&lt;=65,"Pre-Senior",B1106&gt;65,"Senior")</f>
        <v>Mid Career</v>
      </c>
      <c r="D1106" s="1" t="s">
        <v>12</v>
      </c>
      <c r="E1106" s="1" t="s">
        <v>19</v>
      </c>
      <c r="F1106" s="1">
        <v>1975000</v>
      </c>
      <c r="G1106" s="1">
        <v>45</v>
      </c>
      <c r="H1106" s="1" t="str" cm="1">
        <f t="array" ref="H1106">_xlfn.IFS( OR(G1106=" ",NOT(ISNUMBER(G1106))),"Unknown",G1106&lt;=33,"Low Spender",G1106&lt;=66,"Medium Spender",TRUE, "High Spender")</f>
        <v>Medium Spender</v>
      </c>
      <c r="I1106" s="1">
        <v>54</v>
      </c>
      <c r="J1106" s="1">
        <v>500</v>
      </c>
      <c r="K1106" s="1">
        <v>192</v>
      </c>
      <c r="L1106" s="1" t="s">
        <v>16</v>
      </c>
      <c r="N1106" s="1" t="str">
        <f t="shared" si="34"/>
        <v>Lower</v>
      </c>
      <c r="O1106" s="1" t="str">
        <f t="shared" si="35"/>
        <v>Mid Career | Medium Spender | Lower</v>
      </c>
    </row>
    <row r="1107" spans="1:15" x14ac:dyDescent="0.25">
      <c r="A1107" s="1" t="s">
        <v>1137</v>
      </c>
      <c r="B1107" s="1">
        <v>51</v>
      </c>
      <c r="C1107" s="1" t="str" cm="1">
        <f t="array" ref="C1107">_xlfn.IFS(OR(B1107=" ", B1107="NA",NOT(ISNUMBER(B1107))), "Unknown",B1107&lt;18,"Underage",B1107&lt;=24,"Young Adult",B1107&lt;=34,"Early Career",B1107&lt;=44,"Mid Career",B1107&lt;=54,"Mature",B1107&lt;=65,"Pre-Senior",B1107&gt;65,"Senior")</f>
        <v>Mature</v>
      </c>
      <c r="D1107" s="1" t="s">
        <v>18</v>
      </c>
      <c r="F1107" s="1">
        <v>1050000</v>
      </c>
      <c r="G1107" s="1">
        <v>2</v>
      </c>
      <c r="H1107" s="1" t="str" cm="1">
        <f t="array" ref="H1107">_xlfn.IFS( OR(G1107=" ",NOT(ISNUMBER(G1107))),"Unknown",G1107&lt;=33,"Low Spender",G1107&lt;=66,"Medium Spender",TRUE, "High Spender")</f>
        <v>Low Spender</v>
      </c>
      <c r="I1107" s="1">
        <v>50</v>
      </c>
      <c r="J1107" s="1">
        <v>10200</v>
      </c>
      <c r="K1107" s="1">
        <v>357</v>
      </c>
      <c r="N1107" s="1" t="str">
        <f t="shared" si="34"/>
        <v>Higher</v>
      </c>
      <c r="O1107" s="1" t="str">
        <f t="shared" si="35"/>
        <v>Mature | Low Spender | Higher</v>
      </c>
    </row>
    <row r="1108" spans="1:15" x14ac:dyDescent="0.25">
      <c r="A1108" s="1" t="s">
        <v>1138</v>
      </c>
      <c r="B1108" s="1">
        <v>62</v>
      </c>
      <c r="C1108" s="1" t="str" cm="1">
        <f t="array" ref="C1108">_xlfn.IFS(OR(B1108=" ", B1108="NA",NOT(ISNUMBER(B1108))), "Unknown",B1108&lt;18,"Underage",B1108&lt;=24,"Young Adult",B1108&lt;=34,"Early Career",B1108&lt;=44,"Mid Career",B1108&lt;=54,"Mature",B1108&lt;=65,"Pre-Senior",B1108&gt;65,"Senior")</f>
        <v>Pre-Senior</v>
      </c>
      <c r="E1108" s="1" t="s">
        <v>49</v>
      </c>
      <c r="F1108" s="1">
        <v>700000</v>
      </c>
      <c r="G1108" s="1">
        <v>28</v>
      </c>
      <c r="H1108" s="1" t="str" cm="1">
        <f t="array" ref="H1108">_xlfn.IFS( OR(G1108=" ",NOT(ISNUMBER(G1108))),"Unknown",G1108&lt;=33,"Low Spender",G1108&lt;=66,"Medium Spender",TRUE, "High Spender")</f>
        <v>Low Spender</v>
      </c>
      <c r="I1108" s="1">
        <v>69</v>
      </c>
      <c r="J1108" s="1">
        <v>4900</v>
      </c>
      <c r="K1108" s="1">
        <v>7</v>
      </c>
      <c r="M1108" s="1" t="s">
        <v>41</v>
      </c>
      <c r="N1108" s="1" t="str">
        <f t="shared" si="34"/>
        <v>Lower</v>
      </c>
      <c r="O1108" s="1" t="str">
        <f t="shared" si="35"/>
        <v>Pre-Senior | Low Spender | Lower</v>
      </c>
    </row>
    <row r="1109" spans="1:15" x14ac:dyDescent="0.25">
      <c r="A1109" s="1" t="s">
        <v>1139</v>
      </c>
      <c r="B1109" s="1">
        <v>23</v>
      </c>
      <c r="C1109" s="1" t="str" cm="1">
        <f t="array" ref="C1109">_xlfn.IFS(OR(B1109=" ", B1109="NA",NOT(ISNUMBER(B1109))), "Unknown",B1109&lt;18,"Underage",B1109&lt;=24,"Young Adult",B1109&lt;=34,"Early Career",B1109&lt;=44,"Mid Career",B1109&lt;=54,"Mature",B1109&lt;=65,"Pre-Senior",B1109&gt;65,"Senior")</f>
        <v>Young Adult</v>
      </c>
      <c r="E1109" s="1" t="s">
        <v>19</v>
      </c>
      <c r="F1109" s="1">
        <v>800000</v>
      </c>
      <c r="G1109" s="1">
        <v>26</v>
      </c>
      <c r="H1109" s="1" t="str" cm="1">
        <f t="array" ref="H1109">_xlfn.IFS( OR(G1109=" ",NOT(ISNUMBER(G1109))),"Unknown",G1109&lt;=33,"Low Spender",G1109&lt;=66,"Medium Spender",TRUE, "High Spender")</f>
        <v>Low Spender</v>
      </c>
      <c r="I1109" s="1">
        <v>30</v>
      </c>
      <c r="J1109" s="1">
        <v>700</v>
      </c>
      <c r="K1109" s="1">
        <v>44</v>
      </c>
      <c r="L1109" s="1" t="s">
        <v>37</v>
      </c>
      <c r="M1109" s="1" t="s">
        <v>41</v>
      </c>
      <c r="N1109" s="1" t="str">
        <f t="shared" si="34"/>
        <v>Lower</v>
      </c>
      <c r="O1109" s="1" t="str">
        <f t="shared" si="35"/>
        <v>Young Adult | Low Spender | Lower</v>
      </c>
    </row>
    <row r="1110" spans="1:15" x14ac:dyDescent="0.25">
      <c r="A1110" s="1" t="s">
        <v>1140</v>
      </c>
      <c r="B1110" s="1">
        <v>54</v>
      </c>
      <c r="C1110" s="1" t="str" cm="1">
        <f t="array" ref="C1110">_xlfn.IFS(OR(B1110=" ", B1110="NA",NOT(ISNUMBER(B1110))), "Unknown",B1110&lt;18,"Underage",B1110&lt;=24,"Young Adult",B1110&lt;=34,"Early Career",B1110&lt;=44,"Mid Career",B1110&lt;=54,"Mature",B1110&lt;=65,"Pre-Senior",B1110&gt;65,"Senior")</f>
        <v>Mature</v>
      </c>
      <c r="D1110" s="1" t="s">
        <v>29</v>
      </c>
      <c r="E1110" s="1" t="s">
        <v>19</v>
      </c>
      <c r="F1110" s="1">
        <v>1875000</v>
      </c>
      <c r="G1110" s="1">
        <v>23</v>
      </c>
      <c r="H1110" s="1" t="str" cm="1">
        <f t="array" ref="H1110">_xlfn.IFS( OR(G1110=" ",NOT(ISNUMBER(G1110))),"Unknown",G1110&lt;=33,"Low Spender",G1110&lt;=66,"Medium Spender",TRUE, "High Spender")</f>
        <v>Low Spender</v>
      </c>
      <c r="I1110" s="1">
        <v>23</v>
      </c>
      <c r="J1110" s="1">
        <v>6400</v>
      </c>
      <c r="K1110" s="1">
        <v>332</v>
      </c>
      <c r="L1110" s="1" t="s">
        <v>16</v>
      </c>
      <c r="N1110" s="1" t="str">
        <f t="shared" si="34"/>
        <v>Higher</v>
      </c>
      <c r="O1110" s="1" t="str">
        <f t="shared" si="35"/>
        <v>Mature | Low Spender | Higher</v>
      </c>
    </row>
    <row r="1111" spans="1:15" x14ac:dyDescent="0.25">
      <c r="A1111" s="1" t="s">
        <v>1141</v>
      </c>
      <c r="B1111" s="1">
        <v>50</v>
      </c>
      <c r="C1111" s="1" t="str" cm="1">
        <f t="array" ref="C1111">_xlfn.IFS(OR(B1111=" ", B1111="NA",NOT(ISNUMBER(B1111))), "Unknown",B1111&lt;18,"Underage",B1111&lt;=24,"Young Adult",B1111&lt;=34,"Early Career",B1111&lt;=44,"Mid Career",B1111&lt;=54,"Mature",B1111&lt;=65,"Pre-Senior",B1111&gt;65,"Senior")</f>
        <v>Mature</v>
      </c>
      <c r="D1111" s="1" t="s">
        <v>18</v>
      </c>
      <c r="E1111" s="1" t="s">
        <v>19</v>
      </c>
      <c r="F1111" s="1">
        <v>1775000</v>
      </c>
      <c r="G1111" s="1">
        <v>79</v>
      </c>
      <c r="H1111" s="1" t="str" cm="1">
        <f t="array" ref="H1111">_xlfn.IFS( OR(G1111=" ",NOT(ISNUMBER(G1111))),"Unknown",G1111&lt;=33,"Low Spender",G1111&lt;=66,"Medium Spender",TRUE, "High Spender")</f>
        <v>High Spender</v>
      </c>
      <c r="I1111" s="1">
        <v>47</v>
      </c>
      <c r="J1111" s="1">
        <v>8600</v>
      </c>
      <c r="K1111" s="1">
        <v>7</v>
      </c>
      <c r="L1111" s="1" t="s">
        <v>16</v>
      </c>
      <c r="M1111" s="1" t="s">
        <v>21</v>
      </c>
      <c r="N1111" s="1" t="str">
        <f t="shared" si="34"/>
        <v>Higher</v>
      </c>
      <c r="O1111" s="1" t="str">
        <f t="shared" si="35"/>
        <v>Mature | High Spender | Higher</v>
      </c>
    </row>
    <row r="1112" spans="1:15" x14ac:dyDescent="0.25">
      <c r="A1112" s="1" t="s">
        <v>1142</v>
      </c>
      <c r="C1112" s="1" t="str" cm="1">
        <f t="array" ref="C1112">_xlfn.IFS(OR(B1112=" ", B1112="NA",NOT(ISNUMBER(B1112))), "Unknown",B1112&lt;18,"Underage",B1112&lt;=24,"Young Adult",B1112&lt;=34,"Early Career",B1112&lt;=44,"Mid Career",B1112&lt;=54,"Mature",B1112&lt;=65,"Pre-Senior",B1112&gt;65,"Senior")</f>
        <v>Unknown</v>
      </c>
      <c r="D1112" s="1" t="s">
        <v>12</v>
      </c>
      <c r="E1112" s="1" t="s">
        <v>15</v>
      </c>
      <c r="F1112" s="1">
        <v>1650000</v>
      </c>
      <c r="G1112" s="1">
        <v>36</v>
      </c>
      <c r="H1112" s="1" t="str" cm="1">
        <f t="array" ref="H1112">_xlfn.IFS( OR(G1112=" ",NOT(ISNUMBER(G1112))),"Unknown",G1112&lt;=33,"Low Spender",G1112&lt;=66,"Medium Spender",TRUE, "High Spender")</f>
        <v>Medium Spender</v>
      </c>
      <c r="I1112" s="1">
        <v>21</v>
      </c>
      <c r="J1112" s="1">
        <v>8600</v>
      </c>
      <c r="K1112" s="1">
        <v>194</v>
      </c>
      <c r="L1112" s="1" t="s">
        <v>16</v>
      </c>
      <c r="N1112" s="1" t="str">
        <f t="shared" si="34"/>
        <v>Lower</v>
      </c>
      <c r="O1112" s="1" t="str">
        <f t="shared" si="35"/>
        <v>Unknown | Medium Spender | Lower</v>
      </c>
    </row>
    <row r="1113" spans="1:15" x14ac:dyDescent="0.25">
      <c r="A1113" s="1" t="s">
        <v>1143</v>
      </c>
      <c r="B1113" s="1">
        <v>39</v>
      </c>
      <c r="C1113" s="1" t="str" cm="1">
        <f t="array" ref="C1113">_xlfn.IFS(OR(B1113=" ", B1113="NA",NOT(ISNUMBER(B1113))), "Unknown",B1113&lt;18,"Underage",B1113&lt;=24,"Young Adult",B1113&lt;=34,"Early Career",B1113&lt;=44,"Mid Career",B1113&lt;=54,"Mature",B1113&lt;=65,"Pre-Senior",B1113&gt;65,"Senior")</f>
        <v>Mid Career</v>
      </c>
      <c r="D1113" s="1" t="s">
        <v>18</v>
      </c>
      <c r="E1113" s="1" t="s">
        <v>49</v>
      </c>
      <c r="F1113" s="1" t="s">
        <v>25</v>
      </c>
      <c r="G1113" s="1">
        <v>91</v>
      </c>
      <c r="H1113" s="1" t="str" cm="1">
        <f t="array" ref="H1113">_xlfn.IFS( OR(G1113=" ",NOT(ISNUMBER(G1113))),"Unknown",G1113&lt;=33,"Low Spender",G1113&lt;=66,"Medium Spender",TRUE, "High Spender")</f>
        <v>High Spender</v>
      </c>
      <c r="I1113" s="1">
        <v>20</v>
      </c>
      <c r="J1113" s="1">
        <v>700</v>
      </c>
      <c r="K1113" s="1">
        <v>316</v>
      </c>
      <c r="L1113" s="1" t="s">
        <v>20</v>
      </c>
      <c r="M1113" s="1" t="s">
        <v>41</v>
      </c>
      <c r="N1113" s="1" t="str">
        <f t="shared" si="34"/>
        <v>Higher</v>
      </c>
      <c r="O1113" s="1" t="str">
        <f t="shared" si="35"/>
        <v>Mid Career | High Spender | Higher</v>
      </c>
    </row>
    <row r="1114" spans="1:15" x14ac:dyDescent="0.25">
      <c r="A1114" s="1" t="s">
        <v>1144</v>
      </c>
      <c r="B1114" s="1">
        <v>38</v>
      </c>
      <c r="C1114" s="1" t="str" cm="1">
        <f t="array" ref="C1114">_xlfn.IFS(OR(B1114=" ", B1114="NA",NOT(ISNUMBER(B1114))), "Unknown",B1114&lt;18,"Underage",B1114&lt;=24,"Young Adult",B1114&lt;=34,"Early Career",B1114&lt;=44,"Mid Career",B1114&lt;=54,"Mature",B1114&lt;=65,"Pre-Senior",B1114&gt;65,"Senior")</f>
        <v>Mid Career</v>
      </c>
      <c r="D1114" s="1" t="s">
        <v>29</v>
      </c>
      <c r="E1114" s="1" t="s">
        <v>19</v>
      </c>
      <c r="F1114" s="1">
        <v>1400000</v>
      </c>
      <c r="G1114" s="1">
        <v>6</v>
      </c>
      <c r="H1114" s="1" t="str" cm="1">
        <f t="array" ref="H1114">_xlfn.IFS( OR(G1114=" ",NOT(ISNUMBER(G1114))),"Unknown",G1114&lt;=33,"Low Spender",G1114&lt;=66,"Medium Spender",TRUE, "High Spender")</f>
        <v>Low Spender</v>
      </c>
      <c r="I1114" s="1">
        <v>23</v>
      </c>
      <c r="J1114" s="1">
        <v>1200</v>
      </c>
      <c r="K1114" s="1">
        <v>1</v>
      </c>
      <c r="M1114" s="1" t="s">
        <v>41</v>
      </c>
      <c r="N1114" s="1" t="str">
        <f t="shared" si="34"/>
        <v>Higher</v>
      </c>
      <c r="O1114" s="1" t="str">
        <f t="shared" si="35"/>
        <v>Mid Career | Low Spender | Higher</v>
      </c>
    </row>
    <row r="1115" spans="1:15" x14ac:dyDescent="0.25">
      <c r="A1115" s="1" t="s">
        <v>1145</v>
      </c>
      <c r="B1115" s="1">
        <v>23</v>
      </c>
      <c r="C1115" s="1" t="str" cm="1">
        <f t="array" ref="C1115">_xlfn.IFS(OR(B1115=" ", B1115="NA",NOT(ISNUMBER(B1115))), "Unknown",B1115&lt;18,"Underage",B1115&lt;=24,"Young Adult",B1115&lt;=34,"Early Career",B1115&lt;=44,"Mid Career",B1115&lt;=54,"Mature",B1115&lt;=65,"Pre-Senior",B1115&gt;65,"Senior")</f>
        <v>Young Adult</v>
      </c>
      <c r="D1115" s="1" t="s">
        <v>29</v>
      </c>
      <c r="E1115" s="1" t="s">
        <v>23</v>
      </c>
      <c r="F1115" s="1">
        <v>1375000</v>
      </c>
      <c r="G1115" s="1">
        <v>35</v>
      </c>
      <c r="H1115" s="1" t="str" cm="1">
        <f t="array" ref="H1115">_xlfn.IFS( OR(G1115=" ",NOT(ISNUMBER(G1115))),"Unknown",G1115&lt;=33,"Low Spender",G1115&lt;=66,"Medium Spender",TRUE, "High Spender")</f>
        <v>Medium Spender</v>
      </c>
      <c r="I1115" s="1">
        <v>68</v>
      </c>
      <c r="J1115" s="1">
        <v>8200</v>
      </c>
      <c r="K1115" s="1">
        <v>62</v>
      </c>
      <c r="L1115" s="1" t="s">
        <v>16</v>
      </c>
      <c r="M1115" s="1" t="s">
        <v>21</v>
      </c>
      <c r="N1115" s="1" t="str">
        <f t="shared" si="34"/>
        <v>Higher</v>
      </c>
      <c r="O1115" s="1" t="str">
        <f t="shared" si="35"/>
        <v>Young Adult | Medium Spender | Higher</v>
      </c>
    </row>
    <row r="1116" spans="1:15" x14ac:dyDescent="0.25">
      <c r="A1116" s="1" t="s">
        <v>1146</v>
      </c>
      <c r="B1116" s="1">
        <v>23</v>
      </c>
      <c r="C1116" s="1" t="str" cm="1">
        <f t="array" ref="C1116">_xlfn.IFS(OR(B1116=" ", B1116="NA",NOT(ISNUMBER(B1116))), "Unknown",B1116&lt;18,"Underage",B1116&lt;=24,"Young Adult",B1116&lt;=34,"Early Career",B1116&lt;=44,"Mid Career",B1116&lt;=54,"Mature",B1116&lt;=65,"Pre-Senior",B1116&gt;65,"Senior")</f>
        <v>Young Adult</v>
      </c>
      <c r="D1116" s="1" t="s">
        <v>12</v>
      </c>
      <c r="F1116" s="1">
        <v>600000</v>
      </c>
      <c r="G1116" s="1">
        <v>38</v>
      </c>
      <c r="H1116" s="1" t="str" cm="1">
        <f t="array" ref="H1116">_xlfn.IFS( OR(G1116=" ",NOT(ISNUMBER(G1116))),"Unknown",G1116&lt;=33,"Low Spender",G1116&lt;=66,"Medium Spender",TRUE, "High Spender")</f>
        <v>Medium Spender</v>
      </c>
      <c r="I1116" s="1">
        <v>21</v>
      </c>
      <c r="J1116" s="1">
        <v>6500</v>
      </c>
      <c r="K1116" s="1">
        <v>343</v>
      </c>
      <c r="L1116" s="1" t="s">
        <v>20</v>
      </c>
      <c r="N1116" s="1" t="str">
        <f t="shared" si="34"/>
        <v>Lower</v>
      </c>
      <c r="O1116" s="1" t="str">
        <f t="shared" si="35"/>
        <v>Young Adult | Medium Spender | Lower</v>
      </c>
    </row>
    <row r="1117" spans="1:15" x14ac:dyDescent="0.25">
      <c r="A1117" s="1" t="s">
        <v>1147</v>
      </c>
      <c r="B1117" s="1" t="s">
        <v>73</v>
      </c>
      <c r="C1117" s="1" t="str" cm="1">
        <f t="array" ref="C1117">_xlfn.IFS(OR(B1117=" ", B1117="NA",NOT(ISNUMBER(B1117))), "Unknown",B1117&lt;18,"Underage",B1117&lt;=24,"Young Adult",B1117&lt;=34,"Early Career",B1117&lt;=44,"Mid Career",B1117&lt;=54,"Mature",B1117&lt;=65,"Pre-Senior",B1117&gt;65,"Senior")</f>
        <v>Unknown</v>
      </c>
      <c r="D1117" s="1" t="s">
        <v>29</v>
      </c>
      <c r="E1117" s="1" t="s">
        <v>49</v>
      </c>
      <c r="F1117" s="1">
        <v>150000</v>
      </c>
      <c r="G1117" s="1">
        <v>35</v>
      </c>
      <c r="H1117" s="1" t="str" cm="1">
        <f t="array" ref="H1117">_xlfn.IFS( OR(G1117=" ",NOT(ISNUMBER(G1117))),"Unknown",G1117&lt;=33,"Low Spender",G1117&lt;=66,"Medium Spender",TRUE, "High Spender")</f>
        <v>Medium Spender</v>
      </c>
      <c r="I1117" s="1">
        <v>21</v>
      </c>
      <c r="J1117" s="1">
        <v>2700</v>
      </c>
      <c r="K1117" s="1">
        <v>89</v>
      </c>
      <c r="L1117" s="1" t="s">
        <v>37</v>
      </c>
      <c r="N1117" s="1" t="str">
        <f t="shared" si="34"/>
        <v>Higher</v>
      </c>
      <c r="O1117" s="1" t="str">
        <f t="shared" si="35"/>
        <v>Unknown | Medium Spender | Higher</v>
      </c>
    </row>
    <row r="1118" spans="1:15" x14ac:dyDescent="0.25">
      <c r="A1118" s="1" t="s">
        <v>1148</v>
      </c>
      <c r="B1118" s="1">
        <v>65</v>
      </c>
      <c r="C1118" s="1" t="str" cm="1">
        <f t="array" ref="C1118">_xlfn.IFS(OR(B1118=" ", B1118="NA",NOT(ISNUMBER(B1118))), "Unknown",B1118&lt;18,"Underage",B1118&lt;=24,"Young Adult",B1118&lt;=34,"Early Career",B1118&lt;=44,"Mid Career",B1118&lt;=54,"Mature",B1118&lt;=65,"Pre-Senior",B1118&gt;65,"Senior")</f>
        <v>Pre-Senior</v>
      </c>
      <c r="D1118" s="1" t="s">
        <v>29</v>
      </c>
      <c r="E1118" s="1" t="s">
        <v>15</v>
      </c>
      <c r="F1118" s="1">
        <v>1125000</v>
      </c>
      <c r="G1118" s="1">
        <v>100</v>
      </c>
      <c r="H1118" s="1" t="str" cm="1">
        <f t="array" ref="H1118">_xlfn.IFS( OR(G1118=" ",NOT(ISNUMBER(G1118))),"Unknown",G1118&lt;=33,"Low Spender",G1118&lt;=66,"Medium Spender",TRUE, "High Spender")</f>
        <v>High Spender</v>
      </c>
      <c r="I1118" s="1">
        <v>1</v>
      </c>
      <c r="J1118" s="1">
        <v>4600</v>
      </c>
      <c r="K1118" s="1">
        <v>18</v>
      </c>
      <c r="L1118" s="1" t="s">
        <v>37</v>
      </c>
      <c r="M1118" s="1" t="s">
        <v>32</v>
      </c>
      <c r="N1118" s="1" t="str">
        <f t="shared" si="34"/>
        <v>Higher</v>
      </c>
      <c r="O1118" s="1" t="str">
        <f t="shared" si="35"/>
        <v>Pre-Senior | High Spender | Higher</v>
      </c>
    </row>
    <row r="1119" spans="1:15" x14ac:dyDescent="0.25">
      <c r="A1119" s="1" t="s">
        <v>1149</v>
      </c>
      <c r="B1119" s="1">
        <v>21</v>
      </c>
      <c r="C1119" s="1" t="str" cm="1">
        <f t="array" ref="C1119">_xlfn.IFS(OR(B1119=" ", B1119="NA",NOT(ISNUMBER(B1119))), "Unknown",B1119&lt;18,"Underage",B1119&lt;=24,"Young Adult",B1119&lt;=34,"Early Career",B1119&lt;=44,"Mid Career",B1119&lt;=54,"Mature",B1119&lt;=65,"Pre-Senior",B1119&gt;65,"Senior")</f>
        <v>Young Adult</v>
      </c>
      <c r="E1119" s="1" t="s">
        <v>27</v>
      </c>
      <c r="F1119" s="1">
        <v>925000</v>
      </c>
      <c r="G1119" s="1">
        <v>74</v>
      </c>
      <c r="H1119" s="1" t="str" cm="1">
        <f t="array" ref="H1119">_xlfn.IFS( OR(G1119=" ",NOT(ISNUMBER(G1119))),"Unknown",G1119&lt;=33,"Low Spender",G1119&lt;=66,"Medium Spender",TRUE, "High Spender")</f>
        <v>High Spender</v>
      </c>
      <c r="I1119" s="1">
        <v>15</v>
      </c>
      <c r="J1119" s="1">
        <v>2700</v>
      </c>
      <c r="K1119" s="1">
        <v>108</v>
      </c>
      <c r="N1119" s="1" t="str">
        <f t="shared" si="34"/>
        <v>Lower</v>
      </c>
      <c r="O1119" s="1" t="str">
        <f t="shared" si="35"/>
        <v>Young Adult | High Spender | Lower</v>
      </c>
    </row>
    <row r="1120" spans="1:15" x14ac:dyDescent="0.25">
      <c r="A1120" s="1" t="s">
        <v>1150</v>
      </c>
      <c r="B1120" s="1">
        <v>47</v>
      </c>
      <c r="C1120" s="1" t="str" cm="1">
        <f t="array" ref="C1120">_xlfn.IFS(OR(B1120=" ", B1120="NA",NOT(ISNUMBER(B1120))), "Unknown",B1120&lt;18,"Underage",B1120&lt;=24,"Young Adult",B1120&lt;=34,"Early Career",B1120&lt;=44,"Mid Career",B1120&lt;=54,"Mature",B1120&lt;=65,"Pre-Senior",B1120&gt;65,"Senior")</f>
        <v>Mature</v>
      </c>
      <c r="E1120" s="1" t="s">
        <v>27</v>
      </c>
      <c r="F1120" s="1">
        <v>675000</v>
      </c>
      <c r="G1120" s="1">
        <v>94</v>
      </c>
      <c r="H1120" s="1" t="str" cm="1">
        <f t="array" ref="H1120">_xlfn.IFS( OR(G1120=" ",NOT(ISNUMBER(G1120))),"Unknown",G1120&lt;=33,"Low Spender",G1120&lt;=66,"Medium Spender",TRUE, "High Spender")</f>
        <v>High Spender</v>
      </c>
      <c r="I1120" s="1">
        <v>17</v>
      </c>
      <c r="J1120" s="1">
        <v>3200</v>
      </c>
      <c r="K1120" s="1">
        <v>135</v>
      </c>
      <c r="M1120" s="1" t="s">
        <v>30</v>
      </c>
      <c r="N1120" s="1" t="str">
        <f t="shared" si="34"/>
        <v>Lower</v>
      </c>
      <c r="O1120" s="1" t="str">
        <f t="shared" si="35"/>
        <v>Mature | High Spender | Lower</v>
      </c>
    </row>
    <row r="1121" spans="1:15" x14ac:dyDescent="0.25">
      <c r="A1121" s="1" t="s">
        <v>1151</v>
      </c>
      <c r="B1121" s="1">
        <v>28</v>
      </c>
      <c r="C1121" s="1" t="str" cm="1">
        <f t="array" ref="C1121">_xlfn.IFS(OR(B1121=" ", B1121="NA",NOT(ISNUMBER(B1121))), "Unknown",B1121&lt;18,"Underage",B1121&lt;=24,"Young Adult",B1121&lt;=34,"Early Career",B1121&lt;=44,"Mid Career",B1121&lt;=54,"Mature",B1121&lt;=65,"Pre-Senior",B1121&gt;65,"Senior")</f>
        <v>Early Career</v>
      </c>
      <c r="D1121" s="1" t="s">
        <v>18</v>
      </c>
      <c r="E1121" s="1" t="s">
        <v>13</v>
      </c>
      <c r="F1121" s="1">
        <v>1775000</v>
      </c>
      <c r="G1121" s="1">
        <v>53</v>
      </c>
      <c r="H1121" s="1" t="str" cm="1">
        <f t="array" ref="H1121">_xlfn.IFS( OR(G1121=" ",NOT(ISNUMBER(G1121))),"Unknown",G1121&lt;=33,"Low Spender",G1121&lt;=66,"Medium Spender",TRUE, "High Spender")</f>
        <v>Medium Spender</v>
      </c>
      <c r="I1121" s="1">
        <v>51</v>
      </c>
      <c r="J1121" s="1">
        <v>1600</v>
      </c>
      <c r="K1121" s="1">
        <v>310</v>
      </c>
      <c r="M1121" s="1" t="s">
        <v>30</v>
      </c>
      <c r="N1121" s="1" t="str">
        <f t="shared" si="34"/>
        <v>Higher</v>
      </c>
      <c r="O1121" s="1" t="str">
        <f t="shared" si="35"/>
        <v>Early Career | Medium Spender | Higher</v>
      </c>
    </row>
    <row r="1122" spans="1:15" x14ac:dyDescent="0.25">
      <c r="A1122" s="1" t="s">
        <v>1152</v>
      </c>
      <c r="B1122" s="1">
        <v>47</v>
      </c>
      <c r="C1122" s="1" t="str" cm="1">
        <f t="array" ref="C1122">_xlfn.IFS(OR(B1122=" ", B1122="NA",NOT(ISNUMBER(B1122))), "Unknown",B1122&lt;18,"Underage",B1122&lt;=24,"Young Adult",B1122&lt;=34,"Early Career",B1122&lt;=44,"Mid Career",B1122&lt;=54,"Mature",B1122&lt;=65,"Pre-Senior",B1122&gt;65,"Senior")</f>
        <v>Mature</v>
      </c>
      <c r="D1122" s="1" t="s">
        <v>12</v>
      </c>
      <c r="E1122" s="1" t="s">
        <v>58</v>
      </c>
      <c r="F1122" s="1">
        <v>1125000</v>
      </c>
      <c r="G1122" s="1">
        <v>38</v>
      </c>
      <c r="H1122" s="1" t="str" cm="1">
        <f t="array" ref="H1122">_xlfn.IFS( OR(G1122=" ",NOT(ISNUMBER(G1122))),"Unknown",G1122&lt;=33,"Low Spender",G1122&lt;=66,"Medium Spender",TRUE, "High Spender")</f>
        <v>Medium Spender</v>
      </c>
      <c r="I1122" s="1">
        <v>63</v>
      </c>
      <c r="J1122" s="1">
        <v>8800</v>
      </c>
      <c r="K1122" s="1">
        <v>67</v>
      </c>
      <c r="L1122" s="1" t="s">
        <v>20</v>
      </c>
      <c r="M1122" s="1" t="s">
        <v>32</v>
      </c>
      <c r="N1122" s="1" t="str">
        <f t="shared" si="34"/>
        <v>Lower</v>
      </c>
      <c r="O1122" s="1" t="str">
        <f t="shared" si="35"/>
        <v>Mature | Medium Spender | Lower</v>
      </c>
    </row>
    <row r="1123" spans="1:15" x14ac:dyDescent="0.25">
      <c r="A1123" s="1" t="s">
        <v>1153</v>
      </c>
      <c r="B1123" s="1">
        <v>48</v>
      </c>
      <c r="C1123" s="1" t="str" cm="1">
        <f t="array" ref="C1123">_xlfn.IFS(OR(B1123=" ", B1123="NA",NOT(ISNUMBER(B1123))), "Unknown",B1123&lt;18,"Underage",B1123&lt;=24,"Young Adult",B1123&lt;=34,"Early Career",B1123&lt;=44,"Mid Career",B1123&lt;=54,"Mature",B1123&lt;=65,"Pre-Senior",B1123&gt;65,"Senior")</f>
        <v>Mature</v>
      </c>
      <c r="D1123" s="1" t="s">
        <v>18</v>
      </c>
      <c r="E1123" s="1" t="s">
        <v>23</v>
      </c>
      <c r="F1123" s="1">
        <v>1075000</v>
      </c>
      <c r="G1123" s="1">
        <v>93</v>
      </c>
      <c r="H1123" s="1" t="str" cm="1">
        <f t="array" ref="H1123">_xlfn.IFS( OR(G1123=" ",NOT(ISNUMBER(G1123))),"Unknown",G1123&lt;=33,"Low Spender",G1123&lt;=66,"Medium Spender",TRUE, "High Spender")</f>
        <v>High Spender</v>
      </c>
      <c r="I1123" s="1">
        <v>14</v>
      </c>
      <c r="J1123" s="1">
        <v>4500</v>
      </c>
      <c r="K1123" s="1">
        <v>93</v>
      </c>
      <c r="L1123" s="1" t="s">
        <v>37</v>
      </c>
      <c r="M1123" s="1" t="s">
        <v>41</v>
      </c>
      <c r="N1123" s="1" t="str">
        <f t="shared" si="34"/>
        <v>Higher</v>
      </c>
      <c r="O1123" s="1" t="str">
        <f t="shared" si="35"/>
        <v>Mature | High Spender | Higher</v>
      </c>
    </row>
    <row r="1124" spans="1:15" x14ac:dyDescent="0.25">
      <c r="A1124" s="1" t="s">
        <v>1154</v>
      </c>
      <c r="B1124" s="1">
        <v>41</v>
      </c>
      <c r="C1124" s="1" t="str" cm="1">
        <f t="array" ref="C1124">_xlfn.IFS(OR(B1124=" ", B1124="NA",NOT(ISNUMBER(B1124))), "Unknown",B1124&lt;18,"Underage",B1124&lt;=24,"Young Adult",B1124&lt;=34,"Early Career",B1124&lt;=44,"Mid Career",B1124&lt;=54,"Mature",B1124&lt;=65,"Pre-Senior",B1124&gt;65,"Senior")</f>
        <v>Mid Career</v>
      </c>
      <c r="E1124" s="1" t="s">
        <v>27</v>
      </c>
      <c r="F1124" s="1">
        <v>1325000</v>
      </c>
      <c r="G1124" s="1">
        <v>59</v>
      </c>
      <c r="H1124" s="1" t="str" cm="1">
        <f t="array" ref="H1124">_xlfn.IFS( OR(G1124=" ",NOT(ISNUMBER(G1124))),"Unknown",G1124&lt;=33,"Low Spender",G1124&lt;=66,"Medium Spender",TRUE, "High Spender")</f>
        <v>Medium Spender</v>
      </c>
      <c r="I1124" s="1">
        <v>59</v>
      </c>
      <c r="J1124" s="1">
        <v>3000</v>
      </c>
      <c r="K1124" s="1">
        <v>138</v>
      </c>
      <c r="M1124" s="1" t="s">
        <v>32</v>
      </c>
      <c r="N1124" s="1" t="str">
        <f t="shared" si="34"/>
        <v>Lower</v>
      </c>
      <c r="O1124" s="1" t="str">
        <f t="shared" si="35"/>
        <v>Mid Career | Medium Spender | Lower</v>
      </c>
    </row>
    <row r="1125" spans="1:15" x14ac:dyDescent="0.25">
      <c r="A1125" s="1" t="s">
        <v>1155</v>
      </c>
      <c r="B1125" s="1" t="s">
        <v>73</v>
      </c>
      <c r="C1125" s="1" t="str" cm="1">
        <f t="array" ref="C1125">_xlfn.IFS(OR(B1125=" ", B1125="NA",NOT(ISNUMBER(B1125))), "Unknown",B1125&lt;18,"Underage",B1125&lt;=24,"Young Adult",B1125&lt;=34,"Early Career",B1125&lt;=44,"Mid Career",B1125&lt;=54,"Mature",B1125&lt;=65,"Pre-Senior",B1125&gt;65,"Senior")</f>
        <v>Unknown</v>
      </c>
      <c r="D1125" s="1" t="s">
        <v>12</v>
      </c>
      <c r="E1125" s="1" t="s">
        <v>15</v>
      </c>
      <c r="F1125" s="1">
        <v>1500000</v>
      </c>
      <c r="G1125" s="1">
        <v>43</v>
      </c>
      <c r="H1125" s="1" t="str" cm="1">
        <f t="array" ref="H1125">_xlfn.IFS( OR(G1125=" ",NOT(ISNUMBER(G1125))),"Unknown",G1125&lt;=33,"Low Spender",G1125&lt;=66,"Medium Spender",TRUE, "High Spender")</f>
        <v>Medium Spender</v>
      </c>
      <c r="I1125" s="1">
        <v>50</v>
      </c>
      <c r="J1125" s="1">
        <v>9600</v>
      </c>
      <c r="K1125" s="1">
        <v>189</v>
      </c>
      <c r="L1125" s="1" t="s">
        <v>35</v>
      </c>
      <c r="M1125" s="1" t="s">
        <v>21</v>
      </c>
      <c r="N1125" s="1" t="str">
        <f t="shared" si="34"/>
        <v>Lower</v>
      </c>
      <c r="O1125" s="1" t="str">
        <f t="shared" si="35"/>
        <v>Unknown | Medium Spender | Lower</v>
      </c>
    </row>
    <row r="1126" spans="1:15" x14ac:dyDescent="0.25">
      <c r="A1126" s="1" t="s">
        <v>1156</v>
      </c>
      <c r="B1126" s="1">
        <v>26</v>
      </c>
      <c r="C1126" s="1" t="str" cm="1">
        <f t="array" ref="C1126">_xlfn.IFS(OR(B1126=" ", B1126="NA",NOT(ISNUMBER(B1126))), "Unknown",B1126&lt;18,"Underage",B1126&lt;=24,"Young Adult",B1126&lt;=34,"Early Career",B1126&lt;=44,"Mid Career",B1126&lt;=54,"Mature",B1126&lt;=65,"Pre-Senior",B1126&gt;65,"Senior")</f>
        <v>Early Career</v>
      </c>
      <c r="D1126" s="1" t="s">
        <v>18</v>
      </c>
      <c r="E1126" s="1" t="s">
        <v>58</v>
      </c>
      <c r="G1126" s="1">
        <v>4</v>
      </c>
      <c r="H1126" s="1" t="str" cm="1">
        <f t="array" ref="H1126">_xlfn.IFS( OR(G1126=" ",NOT(ISNUMBER(G1126))),"Unknown",G1126&lt;=33,"Low Spender",G1126&lt;=66,"Medium Spender",TRUE, "High Spender")</f>
        <v>Low Spender</v>
      </c>
      <c r="I1126" s="1">
        <v>34</v>
      </c>
      <c r="J1126" s="1">
        <v>2100</v>
      </c>
      <c r="K1126" s="1">
        <v>59</v>
      </c>
      <c r="M1126" s="1" t="s">
        <v>32</v>
      </c>
      <c r="N1126" s="1" t="str">
        <f t="shared" si="34"/>
        <v>Higher</v>
      </c>
      <c r="O1126" s="1" t="str">
        <f t="shared" si="35"/>
        <v>Early Career | Low Spender | Higher</v>
      </c>
    </row>
    <row r="1127" spans="1:15" x14ac:dyDescent="0.25">
      <c r="A1127" s="1" t="s">
        <v>1157</v>
      </c>
      <c r="B1127" s="1" t="s">
        <v>73</v>
      </c>
      <c r="C1127" s="1" t="str" cm="1">
        <f t="array" ref="C1127">_xlfn.IFS(OR(B1127=" ", B1127="NA",NOT(ISNUMBER(B1127))), "Unknown",B1127&lt;18,"Underage",B1127&lt;=24,"Young Adult",B1127&lt;=34,"Early Career",B1127&lt;=44,"Mid Career",B1127&lt;=54,"Mature",B1127&lt;=65,"Pre-Senior",B1127&gt;65,"Senior")</f>
        <v>Unknown</v>
      </c>
      <c r="E1127" s="1" t="s">
        <v>19</v>
      </c>
      <c r="F1127" s="1">
        <v>1500000</v>
      </c>
      <c r="G1127" s="1">
        <v>5</v>
      </c>
      <c r="H1127" s="1" t="str" cm="1">
        <f t="array" ref="H1127">_xlfn.IFS( OR(G1127=" ",NOT(ISNUMBER(G1127))),"Unknown",G1127&lt;=33,"Low Spender",G1127&lt;=66,"Medium Spender",TRUE, "High Spender")</f>
        <v>Low Spender</v>
      </c>
      <c r="I1127" s="1">
        <v>6</v>
      </c>
      <c r="J1127" s="1">
        <v>10400</v>
      </c>
      <c r="K1127" s="1">
        <v>187</v>
      </c>
      <c r="L1127" s="1" t="s">
        <v>37</v>
      </c>
      <c r="M1127" s="1" t="s">
        <v>32</v>
      </c>
      <c r="N1127" s="1" t="str">
        <f t="shared" si="34"/>
        <v>Lower</v>
      </c>
      <c r="O1127" s="1" t="str">
        <f t="shared" si="35"/>
        <v>Unknown | Low Spender | Lower</v>
      </c>
    </row>
    <row r="1128" spans="1:15" x14ac:dyDescent="0.25">
      <c r="A1128" s="1" t="s">
        <v>1158</v>
      </c>
      <c r="B1128" s="1">
        <v>20</v>
      </c>
      <c r="C1128" s="1" t="str" cm="1">
        <f t="array" ref="C1128">_xlfn.IFS(OR(B1128=" ", B1128="NA",NOT(ISNUMBER(B1128))), "Unknown",B1128&lt;18,"Underage",B1128&lt;=24,"Young Adult",B1128&lt;=34,"Early Career",B1128&lt;=44,"Mid Career",B1128&lt;=54,"Mature",B1128&lt;=65,"Pre-Senior",B1128&gt;65,"Senior")</f>
        <v>Young Adult</v>
      </c>
      <c r="D1128" s="1" t="s">
        <v>12</v>
      </c>
      <c r="E1128" s="1" t="s">
        <v>19</v>
      </c>
      <c r="F1128" s="1">
        <v>1400000</v>
      </c>
      <c r="G1128" s="1">
        <v>68</v>
      </c>
      <c r="H1128" s="1" t="str" cm="1">
        <f t="array" ref="H1128">_xlfn.IFS( OR(G1128=" ",NOT(ISNUMBER(G1128))),"Unknown",G1128&lt;=33,"Low Spender",G1128&lt;=66,"Medium Spender",TRUE, "High Spender")</f>
        <v>High Spender</v>
      </c>
      <c r="I1128" s="1">
        <v>49</v>
      </c>
      <c r="J1128" s="1">
        <v>4400</v>
      </c>
      <c r="K1128" s="1">
        <v>235</v>
      </c>
      <c r="L1128" s="1" t="s">
        <v>35</v>
      </c>
      <c r="N1128" s="1" t="str">
        <f t="shared" si="34"/>
        <v>Lower</v>
      </c>
      <c r="O1128" s="1" t="str">
        <f t="shared" si="35"/>
        <v>Young Adult | High Spender | Lower</v>
      </c>
    </row>
    <row r="1129" spans="1:15" x14ac:dyDescent="0.25">
      <c r="A1129" s="1" t="s">
        <v>1159</v>
      </c>
      <c r="B1129" s="1">
        <v>68</v>
      </c>
      <c r="C1129" s="1" t="str" cm="1">
        <f t="array" ref="C1129">_xlfn.IFS(OR(B1129=" ", B1129="NA",NOT(ISNUMBER(B1129))), "Unknown",B1129&lt;18,"Underage",B1129&lt;=24,"Young Adult",B1129&lt;=34,"Early Career",B1129&lt;=44,"Mid Career",B1129&lt;=54,"Mature",B1129&lt;=65,"Pre-Senior",B1129&gt;65,"Senior")</f>
        <v>Senior</v>
      </c>
      <c r="D1129" s="1" t="s">
        <v>12</v>
      </c>
      <c r="F1129" s="1">
        <v>1625000</v>
      </c>
      <c r="G1129" s="1">
        <v>100</v>
      </c>
      <c r="H1129" s="1" t="str" cm="1">
        <f t="array" ref="H1129">_xlfn.IFS( OR(G1129=" ",NOT(ISNUMBER(G1129))),"Unknown",G1129&lt;=33,"Low Spender",G1129&lt;=66,"Medium Spender",TRUE, "High Spender")</f>
        <v>High Spender</v>
      </c>
      <c r="I1129" s="1">
        <v>6</v>
      </c>
      <c r="J1129" s="1">
        <v>2200</v>
      </c>
      <c r="K1129" s="1">
        <v>69</v>
      </c>
      <c r="L1129" s="1" t="s">
        <v>20</v>
      </c>
      <c r="M1129" s="1" t="s">
        <v>30</v>
      </c>
      <c r="N1129" s="1" t="str">
        <f t="shared" si="34"/>
        <v>Lower</v>
      </c>
      <c r="O1129" s="1" t="str">
        <f t="shared" si="35"/>
        <v>Senior | High Spender | Lower</v>
      </c>
    </row>
    <row r="1130" spans="1:15" x14ac:dyDescent="0.25">
      <c r="A1130" s="1" t="s">
        <v>1160</v>
      </c>
      <c r="B1130" s="1">
        <v>48</v>
      </c>
      <c r="C1130" s="1" t="str" cm="1">
        <f t="array" ref="C1130">_xlfn.IFS(OR(B1130=" ", B1130="NA",NOT(ISNUMBER(B1130))), "Unknown",B1130&lt;18,"Underage",B1130&lt;=24,"Young Adult",B1130&lt;=34,"Early Career",B1130&lt;=44,"Mid Career",B1130&lt;=54,"Mature",B1130&lt;=65,"Pre-Senior",B1130&gt;65,"Senior")</f>
        <v>Mature</v>
      </c>
      <c r="F1130" s="1">
        <v>325000</v>
      </c>
      <c r="G1130" s="1">
        <v>45</v>
      </c>
      <c r="H1130" s="1" t="str" cm="1">
        <f t="array" ref="H1130">_xlfn.IFS( OR(G1130=" ",NOT(ISNUMBER(G1130))),"Unknown",G1130&lt;=33,"Low Spender",G1130&lt;=66,"Medium Spender",TRUE, "High Spender")</f>
        <v>Medium Spender</v>
      </c>
      <c r="I1130" s="1">
        <v>69</v>
      </c>
      <c r="J1130" s="1">
        <v>10100</v>
      </c>
      <c r="K1130" s="1">
        <v>98</v>
      </c>
      <c r="L1130" s="1" t="s">
        <v>35</v>
      </c>
      <c r="M1130" s="1" t="s">
        <v>21</v>
      </c>
      <c r="N1130" s="1" t="str">
        <f t="shared" si="34"/>
        <v>Lower</v>
      </c>
      <c r="O1130" s="1" t="str">
        <f t="shared" si="35"/>
        <v>Mature | Medium Spender | Lower</v>
      </c>
    </row>
    <row r="1131" spans="1:15" x14ac:dyDescent="0.25">
      <c r="A1131" s="1" t="s">
        <v>1161</v>
      </c>
      <c r="B1131" s="1">
        <v>57</v>
      </c>
      <c r="C1131" s="1" t="str" cm="1">
        <f t="array" ref="C1131">_xlfn.IFS(OR(B1131=" ", B1131="NA",NOT(ISNUMBER(B1131))), "Unknown",B1131&lt;18,"Underage",B1131&lt;=24,"Young Adult",B1131&lt;=34,"Early Career",B1131&lt;=44,"Mid Career",B1131&lt;=54,"Mature",B1131&lt;=65,"Pre-Senior",B1131&gt;65,"Senior")</f>
        <v>Pre-Senior</v>
      </c>
      <c r="D1131" s="1" t="s">
        <v>18</v>
      </c>
      <c r="E1131" s="1" t="s">
        <v>58</v>
      </c>
      <c r="F1131" s="1">
        <v>1825000</v>
      </c>
      <c r="G1131" s="1">
        <v>80</v>
      </c>
      <c r="H1131" s="1" t="str" cm="1">
        <f t="array" ref="H1131">_xlfn.IFS( OR(G1131=" ",NOT(ISNUMBER(G1131))),"Unknown",G1131&lt;=33,"Low Spender",G1131&lt;=66,"Medium Spender",TRUE, "High Spender")</f>
        <v>High Spender</v>
      </c>
      <c r="I1131" s="1">
        <v>7</v>
      </c>
      <c r="J1131" s="1">
        <v>8800</v>
      </c>
      <c r="K1131" s="1">
        <v>8</v>
      </c>
      <c r="L1131" s="1" t="s">
        <v>37</v>
      </c>
      <c r="N1131" s="1" t="str">
        <f t="shared" si="34"/>
        <v>Higher</v>
      </c>
      <c r="O1131" s="1" t="str">
        <f t="shared" si="35"/>
        <v>Pre-Senior | High Spender | Higher</v>
      </c>
    </row>
    <row r="1132" spans="1:15" x14ac:dyDescent="0.25">
      <c r="A1132" s="1" t="s">
        <v>1162</v>
      </c>
      <c r="B1132" s="1">
        <v>54</v>
      </c>
      <c r="C1132" s="1" t="str" cm="1">
        <f t="array" ref="C1132">_xlfn.IFS(OR(B1132=" ", B1132="NA",NOT(ISNUMBER(B1132))), "Unknown",B1132&lt;18,"Underage",B1132&lt;=24,"Young Adult",B1132&lt;=34,"Early Career",B1132&lt;=44,"Mid Career",B1132&lt;=54,"Mature",B1132&lt;=65,"Pre-Senior",B1132&gt;65,"Senior")</f>
        <v>Mature</v>
      </c>
      <c r="G1132" s="1">
        <v>25</v>
      </c>
      <c r="H1132" s="1" t="str" cm="1">
        <f t="array" ref="H1132">_xlfn.IFS( OR(G1132=" ",NOT(ISNUMBER(G1132))),"Unknown",G1132&lt;=33,"Low Spender",G1132&lt;=66,"Medium Spender",TRUE, "High Spender")</f>
        <v>Low Spender</v>
      </c>
      <c r="I1132" s="1">
        <v>77</v>
      </c>
      <c r="J1132" s="1">
        <v>8100</v>
      </c>
      <c r="K1132" s="1">
        <v>311</v>
      </c>
      <c r="L1132" s="1" t="s">
        <v>16</v>
      </c>
      <c r="M1132" s="1" t="s">
        <v>21</v>
      </c>
      <c r="N1132" s="1" t="str">
        <f t="shared" si="34"/>
        <v>Lower</v>
      </c>
      <c r="O1132" s="1" t="str">
        <f t="shared" si="35"/>
        <v>Mature | Low Spender | Lower</v>
      </c>
    </row>
    <row r="1133" spans="1:15" x14ac:dyDescent="0.25">
      <c r="A1133" s="1" t="s">
        <v>1163</v>
      </c>
      <c r="B1133" s="1">
        <v>53</v>
      </c>
      <c r="C1133" s="1" t="str" cm="1">
        <f t="array" ref="C1133">_xlfn.IFS(OR(B1133=" ", B1133="NA",NOT(ISNUMBER(B1133))), "Unknown",B1133&lt;18,"Underage",B1133&lt;=24,"Young Adult",B1133&lt;=34,"Early Career",B1133&lt;=44,"Mid Career",B1133&lt;=54,"Mature",B1133&lt;=65,"Pre-Senior",B1133&gt;65,"Senior")</f>
        <v>Mature</v>
      </c>
      <c r="D1133" s="1" t="s">
        <v>29</v>
      </c>
      <c r="E1133" s="1" t="s">
        <v>15</v>
      </c>
      <c r="F1133" s="1">
        <v>1925000</v>
      </c>
      <c r="G1133" s="1">
        <v>78</v>
      </c>
      <c r="H1133" s="1" t="str" cm="1">
        <f t="array" ref="H1133">_xlfn.IFS( OR(G1133=" ",NOT(ISNUMBER(G1133))),"Unknown",G1133&lt;=33,"Low Spender",G1133&lt;=66,"Medium Spender",TRUE, "High Spender")</f>
        <v>High Spender</v>
      </c>
      <c r="I1133" s="1">
        <v>51</v>
      </c>
      <c r="J1133" s="1">
        <v>1300</v>
      </c>
      <c r="K1133" s="1">
        <v>134</v>
      </c>
      <c r="L1133" s="1" t="s">
        <v>35</v>
      </c>
      <c r="M1133" s="1" t="s">
        <v>32</v>
      </c>
      <c r="N1133" s="1" t="str">
        <f t="shared" si="34"/>
        <v>Higher</v>
      </c>
      <c r="O1133" s="1" t="str">
        <f t="shared" si="35"/>
        <v>Mature | High Spender | Higher</v>
      </c>
    </row>
    <row r="1134" spans="1:15" x14ac:dyDescent="0.25">
      <c r="A1134" s="1" t="s">
        <v>1164</v>
      </c>
      <c r="B1134" s="1">
        <v>41</v>
      </c>
      <c r="C1134" s="1" t="str" cm="1">
        <f t="array" ref="C1134">_xlfn.IFS(OR(B1134=" ", B1134="NA",NOT(ISNUMBER(B1134))), "Unknown",B1134&lt;18,"Underage",B1134&lt;=24,"Young Adult",B1134&lt;=34,"Early Career",B1134&lt;=44,"Mid Career",B1134&lt;=54,"Mature",B1134&lt;=65,"Pre-Senior",B1134&gt;65,"Senior")</f>
        <v>Mid Career</v>
      </c>
      <c r="D1134" s="1" t="s">
        <v>18</v>
      </c>
      <c r="E1134" s="1" t="s">
        <v>23</v>
      </c>
      <c r="F1134" s="1">
        <v>350000</v>
      </c>
      <c r="G1134" s="1">
        <v>11</v>
      </c>
      <c r="H1134" s="1" t="str" cm="1">
        <f t="array" ref="H1134">_xlfn.IFS( OR(G1134=" ",NOT(ISNUMBER(G1134))),"Unknown",G1134&lt;=33,"Low Spender",G1134&lt;=66,"Medium Spender",TRUE, "High Spender")</f>
        <v>Low Spender</v>
      </c>
      <c r="I1134" s="1">
        <v>1</v>
      </c>
      <c r="J1134" s="1">
        <v>5600</v>
      </c>
      <c r="K1134" s="1">
        <v>56</v>
      </c>
      <c r="L1134" s="1" t="s">
        <v>37</v>
      </c>
      <c r="N1134" s="1" t="str">
        <f t="shared" si="34"/>
        <v>Higher</v>
      </c>
      <c r="O1134" s="1" t="str">
        <f t="shared" si="35"/>
        <v>Mid Career | Low Spender | Higher</v>
      </c>
    </row>
    <row r="1135" spans="1:15" x14ac:dyDescent="0.25">
      <c r="A1135" s="1" t="s">
        <v>1165</v>
      </c>
      <c r="B1135" s="1">
        <v>48</v>
      </c>
      <c r="C1135" s="1" t="str" cm="1">
        <f t="array" ref="C1135">_xlfn.IFS(OR(B1135=" ", B1135="NA",NOT(ISNUMBER(B1135))), "Unknown",B1135&lt;18,"Underage",B1135&lt;=24,"Young Adult",B1135&lt;=34,"Early Career",B1135&lt;=44,"Mid Career",B1135&lt;=54,"Mature",B1135&lt;=65,"Pre-Senior",B1135&gt;65,"Senior")</f>
        <v>Mature</v>
      </c>
      <c r="E1135" s="1" t="s">
        <v>58</v>
      </c>
      <c r="F1135" s="1">
        <v>175000</v>
      </c>
      <c r="G1135" s="1">
        <v>29</v>
      </c>
      <c r="H1135" s="1" t="str" cm="1">
        <f t="array" ref="H1135">_xlfn.IFS( OR(G1135=" ",NOT(ISNUMBER(G1135))),"Unknown",G1135&lt;=33,"Low Spender",G1135&lt;=66,"Medium Spender",TRUE, "High Spender")</f>
        <v>Low Spender</v>
      </c>
      <c r="I1135" s="1">
        <v>13</v>
      </c>
      <c r="J1135" s="1">
        <v>10000</v>
      </c>
      <c r="K1135" s="1">
        <v>360</v>
      </c>
      <c r="N1135" s="1" t="str">
        <f t="shared" si="34"/>
        <v>Lower</v>
      </c>
      <c r="O1135" s="1" t="str">
        <f t="shared" si="35"/>
        <v>Mature | Low Spender | Lower</v>
      </c>
    </row>
    <row r="1136" spans="1:15" x14ac:dyDescent="0.25">
      <c r="A1136" s="1" t="s">
        <v>1166</v>
      </c>
      <c r="B1136" s="1">
        <v>23</v>
      </c>
      <c r="C1136" s="1" t="str" cm="1">
        <f t="array" ref="C1136">_xlfn.IFS(OR(B1136=" ", B1136="NA",NOT(ISNUMBER(B1136))), "Unknown",B1136&lt;18,"Underage",B1136&lt;=24,"Young Adult",B1136&lt;=34,"Early Career",B1136&lt;=44,"Mid Career",B1136&lt;=54,"Mature",B1136&lt;=65,"Pre-Senior",B1136&gt;65,"Senior")</f>
        <v>Young Adult</v>
      </c>
      <c r="D1136" s="1" t="s">
        <v>18</v>
      </c>
      <c r="E1136" s="1" t="s">
        <v>27</v>
      </c>
      <c r="F1136" s="1">
        <v>1875000</v>
      </c>
      <c r="G1136" s="1">
        <v>34</v>
      </c>
      <c r="H1136" s="1" t="str" cm="1">
        <f t="array" ref="H1136">_xlfn.IFS( OR(G1136=" ",NOT(ISNUMBER(G1136))),"Unknown",G1136&lt;=33,"Low Spender",G1136&lt;=66,"Medium Spender",TRUE, "High Spender")</f>
        <v>Medium Spender</v>
      </c>
      <c r="I1136" s="1">
        <v>43</v>
      </c>
      <c r="J1136" s="1">
        <v>2600</v>
      </c>
      <c r="K1136" s="1">
        <v>114</v>
      </c>
      <c r="L1136" s="1" t="s">
        <v>16</v>
      </c>
      <c r="M1136" s="1" t="s">
        <v>21</v>
      </c>
      <c r="N1136" s="1" t="str">
        <f t="shared" si="34"/>
        <v>Higher</v>
      </c>
      <c r="O1136" s="1" t="str">
        <f t="shared" si="35"/>
        <v>Young Adult | Medium Spender | Higher</v>
      </c>
    </row>
    <row r="1137" spans="1:15" x14ac:dyDescent="0.25">
      <c r="A1137" s="1" t="s">
        <v>1167</v>
      </c>
      <c r="B1137" s="1">
        <v>19</v>
      </c>
      <c r="C1137" s="1" t="str" cm="1">
        <f t="array" ref="C1137">_xlfn.IFS(OR(B1137=" ", B1137="NA",NOT(ISNUMBER(B1137))), "Unknown",B1137&lt;18,"Underage",B1137&lt;=24,"Young Adult",B1137&lt;=34,"Early Career",B1137&lt;=44,"Mid Career",B1137&lt;=54,"Mature",B1137&lt;=65,"Pre-Senior",B1137&gt;65,"Senior")</f>
        <v>Young Adult</v>
      </c>
      <c r="D1137" s="1" t="s">
        <v>29</v>
      </c>
      <c r="E1137" s="1" t="s">
        <v>23</v>
      </c>
      <c r="F1137" s="1">
        <v>1600000</v>
      </c>
      <c r="G1137" s="1">
        <v>86</v>
      </c>
      <c r="H1137" s="1" t="str" cm="1">
        <f t="array" ref="H1137">_xlfn.IFS( OR(G1137=" ",NOT(ISNUMBER(G1137))),"Unknown",G1137&lt;=33,"Low Spender",G1137&lt;=66,"Medium Spender",TRUE, "High Spender")</f>
        <v>High Spender</v>
      </c>
      <c r="I1137" s="1">
        <v>27</v>
      </c>
      <c r="J1137" s="1">
        <v>7200</v>
      </c>
      <c r="K1137" s="1">
        <v>88</v>
      </c>
      <c r="L1137" s="1" t="s">
        <v>20</v>
      </c>
      <c r="M1137" s="1" t="s">
        <v>21</v>
      </c>
      <c r="N1137" s="1" t="str">
        <f t="shared" si="34"/>
        <v>Higher</v>
      </c>
      <c r="O1137" s="1" t="str">
        <f t="shared" si="35"/>
        <v>Young Adult | High Spender | Higher</v>
      </c>
    </row>
    <row r="1138" spans="1:15" x14ac:dyDescent="0.25">
      <c r="A1138" s="1" t="s">
        <v>1168</v>
      </c>
      <c r="B1138" s="1">
        <v>37</v>
      </c>
      <c r="C1138" s="1" t="str" cm="1">
        <f t="array" ref="C1138">_xlfn.IFS(OR(B1138=" ", B1138="NA",NOT(ISNUMBER(B1138))), "Unknown",B1138&lt;18,"Underage",B1138&lt;=24,"Young Adult",B1138&lt;=34,"Early Career",B1138&lt;=44,"Mid Career",B1138&lt;=54,"Mature",B1138&lt;=65,"Pre-Senior",B1138&gt;65,"Senior")</f>
        <v>Mid Career</v>
      </c>
      <c r="D1138" s="1" t="s">
        <v>29</v>
      </c>
      <c r="F1138" s="1">
        <v>600000</v>
      </c>
      <c r="G1138" s="1">
        <v>14</v>
      </c>
      <c r="H1138" s="1" t="str" cm="1">
        <f t="array" ref="H1138">_xlfn.IFS( OR(G1138=" ",NOT(ISNUMBER(G1138))),"Unknown",G1138&lt;=33,"Low Spender",G1138&lt;=66,"Medium Spender",TRUE, "High Spender")</f>
        <v>Low Spender</v>
      </c>
      <c r="I1138" s="1">
        <v>71</v>
      </c>
      <c r="J1138" s="1">
        <v>1900</v>
      </c>
      <c r="K1138" s="1">
        <v>138</v>
      </c>
      <c r="L1138" s="1" t="s">
        <v>20</v>
      </c>
      <c r="N1138" s="1" t="str">
        <f t="shared" si="34"/>
        <v>Higher</v>
      </c>
      <c r="O1138" s="1" t="str">
        <f t="shared" si="35"/>
        <v>Mid Career | Low Spender | Higher</v>
      </c>
    </row>
    <row r="1139" spans="1:15" x14ac:dyDescent="0.25">
      <c r="A1139" s="1" t="s">
        <v>1169</v>
      </c>
      <c r="B1139" s="1">
        <v>45</v>
      </c>
      <c r="C1139" s="1" t="str" cm="1">
        <f t="array" ref="C1139">_xlfn.IFS(OR(B1139=" ", B1139="NA",NOT(ISNUMBER(B1139))), "Unknown",B1139&lt;18,"Underage",B1139&lt;=24,"Young Adult",B1139&lt;=34,"Early Career",B1139&lt;=44,"Mid Career",B1139&lt;=54,"Mature",B1139&lt;=65,"Pre-Senior",B1139&gt;65,"Senior")</f>
        <v>Mature</v>
      </c>
      <c r="D1139" s="1" t="s">
        <v>29</v>
      </c>
      <c r="F1139" s="1">
        <v>825000</v>
      </c>
      <c r="G1139" s="1">
        <v>24</v>
      </c>
      <c r="H1139" s="1" t="str" cm="1">
        <f t="array" ref="H1139">_xlfn.IFS( OR(G1139=" ",NOT(ISNUMBER(G1139))),"Unknown",G1139&lt;=33,"Low Spender",G1139&lt;=66,"Medium Spender",TRUE, "High Spender")</f>
        <v>Low Spender</v>
      </c>
      <c r="I1139" s="1">
        <v>3</v>
      </c>
      <c r="J1139" s="1">
        <v>3000</v>
      </c>
      <c r="K1139" s="1">
        <v>108</v>
      </c>
      <c r="M1139" s="1" t="s">
        <v>21</v>
      </c>
      <c r="N1139" s="1" t="str">
        <f t="shared" si="34"/>
        <v>Higher</v>
      </c>
      <c r="O1139" s="1" t="str">
        <f t="shared" si="35"/>
        <v>Mature | Low Spender | Higher</v>
      </c>
    </row>
    <row r="1140" spans="1:15" x14ac:dyDescent="0.25">
      <c r="A1140" s="1" t="s">
        <v>1170</v>
      </c>
      <c r="B1140" s="1">
        <v>28</v>
      </c>
      <c r="C1140" s="1" t="str" cm="1">
        <f t="array" ref="C1140">_xlfn.IFS(OR(B1140=" ", B1140="NA",NOT(ISNUMBER(B1140))), "Unknown",B1140&lt;18,"Underage",B1140&lt;=24,"Young Adult",B1140&lt;=34,"Early Career",B1140&lt;=44,"Mid Career",B1140&lt;=54,"Mature",B1140&lt;=65,"Pre-Senior",B1140&gt;65,"Senior")</f>
        <v>Early Career</v>
      </c>
      <c r="F1140" s="1">
        <v>1925000</v>
      </c>
      <c r="G1140" s="1">
        <v>59</v>
      </c>
      <c r="H1140" s="1" t="str" cm="1">
        <f t="array" ref="H1140">_xlfn.IFS( OR(G1140=" ",NOT(ISNUMBER(G1140))),"Unknown",G1140&lt;=33,"Low Spender",G1140&lt;=66,"Medium Spender",TRUE, "High Spender")</f>
        <v>Medium Spender</v>
      </c>
      <c r="I1140" s="1">
        <v>58</v>
      </c>
      <c r="J1140" s="1">
        <v>5200</v>
      </c>
      <c r="K1140" s="1">
        <v>23</v>
      </c>
      <c r="L1140" s="1" t="s">
        <v>20</v>
      </c>
      <c r="N1140" s="1" t="str">
        <f t="shared" si="34"/>
        <v>Lower</v>
      </c>
      <c r="O1140" s="1" t="str">
        <f t="shared" si="35"/>
        <v>Early Career | Medium Spender | Lower</v>
      </c>
    </row>
    <row r="1141" spans="1:15" x14ac:dyDescent="0.25">
      <c r="A1141" s="1" t="s">
        <v>1171</v>
      </c>
      <c r="B1141" s="1">
        <v>21</v>
      </c>
      <c r="C1141" s="1" t="str" cm="1">
        <f t="array" ref="C1141">_xlfn.IFS(OR(B1141=" ", B1141="NA",NOT(ISNUMBER(B1141))), "Unknown",B1141&lt;18,"Underage",B1141&lt;=24,"Young Adult",B1141&lt;=34,"Early Career",B1141&lt;=44,"Mid Career",B1141&lt;=54,"Mature",B1141&lt;=65,"Pre-Senior",B1141&gt;65,"Senior")</f>
        <v>Young Adult</v>
      </c>
      <c r="E1141" s="1" t="s">
        <v>23</v>
      </c>
      <c r="F1141" s="1">
        <v>475000</v>
      </c>
      <c r="G1141" s="1">
        <v>39</v>
      </c>
      <c r="H1141" s="1" t="str" cm="1">
        <f t="array" ref="H1141">_xlfn.IFS( OR(G1141=" ",NOT(ISNUMBER(G1141))),"Unknown",G1141&lt;=33,"Low Spender",G1141&lt;=66,"Medium Spender",TRUE, "High Spender")</f>
        <v>Medium Spender</v>
      </c>
      <c r="I1141" s="1">
        <v>17</v>
      </c>
      <c r="J1141" s="1">
        <v>9700</v>
      </c>
      <c r="K1141" s="1">
        <v>144</v>
      </c>
      <c r="M1141" s="1" t="s">
        <v>41</v>
      </c>
      <c r="N1141" s="1" t="str">
        <f t="shared" si="34"/>
        <v>Lower</v>
      </c>
      <c r="O1141" s="1" t="str">
        <f t="shared" si="35"/>
        <v>Young Adult | Medium Spender | Lower</v>
      </c>
    </row>
    <row r="1142" spans="1:15" x14ac:dyDescent="0.25">
      <c r="A1142" s="1" t="s">
        <v>1172</v>
      </c>
      <c r="B1142" s="1">
        <v>32</v>
      </c>
      <c r="C1142" s="1" t="str" cm="1">
        <f t="array" ref="C1142">_xlfn.IFS(OR(B1142=" ", B1142="NA",NOT(ISNUMBER(B1142))), "Unknown",B1142&lt;18,"Underage",B1142&lt;=24,"Young Adult",B1142&lt;=34,"Early Career",B1142&lt;=44,"Mid Career",B1142&lt;=54,"Mature",B1142&lt;=65,"Pre-Senior",B1142&gt;65,"Senior")</f>
        <v>Early Career</v>
      </c>
      <c r="D1142" s="1" t="s">
        <v>29</v>
      </c>
      <c r="E1142" s="1" t="s">
        <v>19</v>
      </c>
      <c r="F1142" s="1">
        <v>725000</v>
      </c>
      <c r="G1142" s="1">
        <v>26</v>
      </c>
      <c r="H1142" s="1" t="str" cm="1">
        <f t="array" ref="H1142">_xlfn.IFS( OR(G1142=" ",NOT(ISNUMBER(G1142))),"Unknown",G1142&lt;=33,"Low Spender",G1142&lt;=66,"Medium Spender",TRUE, "High Spender")</f>
        <v>Low Spender</v>
      </c>
      <c r="I1142" s="1">
        <v>45</v>
      </c>
      <c r="J1142" s="1">
        <v>10200</v>
      </c>
      <c r="K1142" s="1">
        <v>357</v>
      </c>
      <c r="L1142" s="1" t="s">
        <v>20</v>
      </c>
      <c r="M1142" s="1" t="s">
        <v>21</v>
      </c>
      <c r="N1142" s="1" t="str">
        <f t="shared" si="34"/>
        <v>Higher</v>
      </c>
      <c r="O1142" s="1" t="str">
        <f t="shared" si="35"/>
        <v>Early Career | Low Spender | Higher</v>
      </c>
    </row>
    <row r="1143" spans="1:15" x14ac:dyDescent="0.25">
      <c r="A1143" s="1" t="s">
        <v>1173</v>
      </c>
      <c r="B1143" s="1">
        <v>23</v>
      </c>
      <c r="C1143" s="1" t="str" cm="1">
        <f t="array" ref="C1143">_xlfn.IFS(OR(B1143=" ", B1143="NA",NOT(ISNUMBER(B1143))), "Unknown",B1143&lt;18,"Underage",B1143&lt;=24,"Young Adult",B1143&lt;=34,"Early Career",B1143&lt;=44,"Mid Career",B1143&lt;=54,"Mature",B1143&lt;=65,"Pre-Senior",B1143&gt;65,"Senior")</f>
        <v>Young Adult</v>
      </c>
      <c r="D1143" s="1" t="s">
        <v>18</v>
      </c>
      <c r="F1143" s="1">
        <v>1225000</v>
      </c>
      <c r="G1143" s="1">
        <v>43</v>
      </c>
      <c r="H1143" s="1" t="str" cm="1">
        <f t="array" ref="H1143">_xlfn.IFS( OR(G1143=" ",NOT(ISNUMBER(G1143))),"Unknown",G1143&lt;=33,"Low Spender",G1143&lt;=66,"Medium Spender",TRUE, "High Spender")</f>
        <v>Medium Spender</v>
      </c>
      <c r="I1143" s="1">
        <v>78</v>
      </c>
      <c r="J1143" s="1">
        <v>5700</v>
      </c>
      <c r="K1143" s="1">
        <v>144</v>
      </c>
      <c r="L1143" s="1" t="s">
        <v>20</v>
      </c>
      <c r="M1143" s="1" t="s">
        <v>30</v>
      </c>
      <c r="N1143" s="1" t="str">
        <f t="shared" si="34"/>
        <v>Higher</v>
      </c>
      <c r="O1143" s="1" t="str">
        <f t="shared" si="35"/>
        <v>Young Adult | Medium Spender | Higher</v>
      </c>
    </row>
    <row r="1144" spans="1:15" x14ac:dyDescent="0.25">
      <c r="A1144" s="1" t="s">
        <v>1174</v>
      </c>
      <c r="C1144" s="1" t="str" cm="1">
        <f t="array" ref="C1144">_xlfn.IFS(OR(B1144=" ", B1144="NA",NOT(ISNUMBER(B1144))), "Unknown",B1144&lt;18,"Underage",B1144&lt;=24,"Young Adult",B1144&lt;=34,"Early Career",B1144&lt;=44,"Mid Career",B1144&lt;=54,"Mature",B1144&lt;=65,"Pre-Senior",B1144&gt;65,"Senior")</f>
        <v>Unknown</v>
      </c>
      <c r="F1144" s="1">
        <v>1525000</v>
      </c>
      <c r="G1144" s="1">
        <v>36</v>
      </c>
      <c r="H1144" s="1" t="str" cm="1">
        <f t="array" ref="H1144">_xlfn.IFS( OR(G1144=" ",NOT(ISNUMBER(G1144))),"Unknown",G1144&lt;=33,"Low Spender",G1144&lt;=66,"Medium Spender",TRUE, "High Spender")</f>
        <v>Medium Spender</v>
      </c>
      <c r="I1144" s="1">
        <v>58</v>
      </c>
      <c r="J1144" s="1">
        <v>7500</v>
      </c>
      <c r="K1144" s="1">
        <v>56</v>
      </c>
      <c r="L1144" s="1" t="s">
        <v>20</v>
      </c>
      <c r="N1144" s="1" t="str">
        <f t="shared" si="34"/>
        <v>Lower</v>
      </c>
      <c r="O1144" s="1" t="str">
        <f t="shared" si="35"/>
        <v>Unknown | Medium Spender | Lower</v>
      </c>
    </row>
    <row r="1145" spans="1:15" x14ac:dyDescent="0.25">
      <c r="A1145" s="1" t="s">
        <v>1175</v>
      </c>
      <c r="B1145" s="1">
        <v>66</v>
      </c>
      <c r="C1145" s="1" t="str" cm="1">
        <f t="array" ref="C1145">_xlfn.IFS(OR(B1145=" ", B1145="NA",NOT(ISNUMBER(B1145))), "Unknown",B1145&lt;18,"Underage",B1145&lt;=24,"Young Adult",B1145&lt;=34,"Early Career",B1145&lt;=44,"Mid Career",B1145&lt;=54,"Mature",B1145&lt;=65,"Pre-Senior",B1145&gt;65,"Senior")</f>
        <v>Senior</v>
      </c>
      <c r="D1145" s="1" t="s">
        <v>18</v>
      </c>
      <c r="E1145" s="1" t="s">
        <v>27</v>
      </c>
      <c r="F1145" s="1">
        <v>1400000</v>
      </c>
      <c r="G1145" s="1">
        <v>39</v>
      </c>
      <c r="H1145" s="1" t="str" cm="1">
        <f t="array" ref="H1145">_xlfn.IFS( OR(G1145=" ",NOT(ISNUMBER(G1145))),"Unknown",G1145&lt;=33,"Low Spender",G1145&lt;=66,"Medium Spender",TRUE, "High Spender")</f>
        <v>Medium Spender</v>
      </c>
      <c r="I1145" s="1">
        <v>56</v>
      </c>
      <c r="J1145" s="1">
        <v>1200</v>
      </c>
      <c r="K1145" s="1">
        <v>108</v>
      </c>
      <c r="M1145" s="1" t="s">
        <v>30</v>
      </c>
      <c r="N1145" s="1" t="str">
        <f t="shared" si="34"/>
        <v>Higher</v>
      </c>
      <c r="O1145" s="1" t="str">
        <f t="shared" si="35"/>
        <v>Senior | Medium Spender | Higher</v>
      </c>
    </row>
    <row r="1146" spans="1:15" x14ac:dyDescent="0.25">
      <c r="A1146" s="1" t="s">
        <v>1176</v>
      </c>
      <c r="B1146" s="1">
        <v>47</v>
      </c>
      <c r="C1146" s="1" t="str" cm="1">
        <f t="array" ref="C1146">_xlfn.IFS(OR(B1146=" ", B1146="NA",NOT(ISNUMBER(B1146))), "Unknown",B1146&lt;18,"Underage",B1146&lt;=24,"Young Adult",B1146&lt;=34,"Early Career",B1146&lt;=44,"Mid Career",B1146&lt;=54,"Mature",B1146&lt;=65,"Pre-Senior",B1146&gt;65,"Senior")</f>
        <v>Mature</v>
      </c>
      <c r="D1146" s="1" t="s">
        <v>12</v>
      </c>
      <c r="E1146" s="1" t="s">
        <v>49</v>
      </c>
      <c r="F1146" s="1">
        <v>925000</v>
      </c>
      <c r="G1146" s="1">
        <v>61</v>
      </c>
      <c r="H1146" s="1" t="str" cm="1">
        <f t="array" ref="H1146">_xlfn.IFS( OR(G1146=" ",NOT(ISNUMBER(G1146))),"Unknown",G1146&lt;=33,"Low Spender",G1146&lt;=66,"Medium Spender",TRUE, "High Spender")</f>
        <v>Medium Spender</v>
      </c>
      <c r="I1146" s="1">
        <v>54</v>
      </c>
      <c r="J1146" s="1">
        <v>2300</v>
      </c>
      <c r="K1146" s="1">
        <v>351</v>
      </c>
      <c r="M1146" s="1" t="s">
        <v>30</v>
      </c>
      <c r="N1146" s="1" t="str">
        <f t="shared" si="34"/>
        <v>Lower</v>
      </c>
      <c r="O1146" s="1" t="str">
        <f t="shared" si="35"/>
        <v>Mature | Medium Spender | Lower</v>
      </c>
    </row>
    <row r="1147" spans="1:15" x14ac:dyDescent="0.25">
      <c r="A1147" s="1" t="s">
        <v>1177</v>
      </c>
      <c r="B1147" s="1">
        <v>55</v>
      </c>
      <c r="C1147" s="1" t="str" cm="1">
        <f t="array" ref="C1147">_xlfn.IFS(OR(B1147=" ", B1147="NA",NOT(ISNUMBER(B1147))), "Unknown",B1147&lt;18,"Underage",B1147&lt;=24,"Young Adult",B1147&lt;=34,"Early Career",B1147&lt;=44,"Mid Career",B1147&lt;=54,"Mature",B1147&lt;=65,"Pre-Senior",B1147&gt;65,"Senior")</f>
        <v>Pre-Senior</v>
      </c>
      <c r="D1147" s="1" t="s">
        <v>29</v>
      </c>
      <c r="E1147" s="1" t="s">
        <v>27</v>
      </c>
      <c r="F1147" s="1">
        <v>1375000</v>
      </c>
      <c r="G1147" s="1">
        <v>16</v>
      </c>
      <c r="H1147" s="1" t="str" cm="1">
        <f t="array" ref="H1147">_xlfn.IFS( OR(G1147=" ",NOT(ISNUMBER(G1147))),"Unknown",G1147&lt;=33,"Low Spender",G1147&lt;=66,"Medium Spender",TRUE, "High Spender")</f>
        <v>Low Spender</v>
      </c>
      <c r="I1147" s="1">
        <v>29</v>
      </c>
      <c r="J1147" s="1">
        <v>6000</v>
      </c>
      <c r="K1147" s="1">
        <v>6</v>
      </c>
      <c r="M1147" s="1" t="s">
        <v>41</v>
      </c>
      <c r="N1147" s="1" t="str">
        <f t="shared" si="34"/>
        <v>Higher</v>
      </c>
      <c r="O1147" s="1" t="str">
        <f t="shared" si="35"/>
        <v>Pre-Senior | Low Spender | Higher</v>
      </c>
    </row>
    <row r="1148" spans="1:15" x14ac:dyDescent="0.25">
      <c r="A1148" s="1" t="s">
        <v>1178</v>
      </c>
      <c r="B1148" s="1">
        <v>68</v>
      </c>
      <c r="C1148" s="1" t="str" cm="1">
        <f t="array" ref="C1148">_xlfn.IFS(OR(B1148=" ", B1148="NA",NOT(ISNUMBER(B1148))), "Unknown",B1148&lt;18,"Underage",B1148&lt;=24,"Young Adult",B1148&lt;=34,"Early Career",B1148&lt;=44,"Mid Career",B1148&lt;=54,"Mature",B1148&lt;=65,"Pre-Senior",B1148&gt;65,"Senior")</f>
        <v>Senior</v>
      </c>
      <c r="D1148" s="1" t="s">
        <v>29</v>
      </c>
      <c r="E1148" s="1" t="s">
        <v>27</v>
      </c>
      <c r="F1148" s="1">
        <v>1150000</v>
      </c>
      <c r="H1148" s="1" t="str" cm="1">
        <f t="array" ref="H1148">_xlfn.IFS( OR(G1148=" ",NOT(ISNUMBER(G1148))),"Unknown",G1148&lt;=33,"Low Spender",G1148&lt;=66,"Medium Spender",TRUE, "High Spender")</f>
        <v>Unknown</v>
      </c>
      <c r="I1148" s="1">
        <v>54</v>
      </c>
      <c r="J1148" s="1">
        <v>3600</v>
      </c>
      <c r="K1148" s="1">
        <v>30</v>
      </c>
      <c r="L1148" s="1" t="s">
        <v>35</v>
      </c>
      <c r="N1148" s="1" t="str">
        <f t="shared" si="34"/>
        <v>Higher</v>
      </c>
      <c r="O1148" s="1" t="str">
        <f t="shared" si="35"/>
        <v>Senior | Unknown | Higher</v>
      </c>
    </row>
    <row r="1149" spans="1:15" x14ac:dyDescent="0.25">
      <c r="A1149" s="1" t="s">
        <v>1179</v>
      </c>
      <c r="B1149" s="1">
        <v>19</v>
      </c>
      <c r="C1149" s="1" t="str" cm="1">
        <f t="array" ref="C1149">_xlfn.IFS(OR(B1149=" ", B1149="NA",NOT(ISNUMBER(B1149))), "Unknown",B1149&lt;18,"Underage",B1149&lt;=24,"Young Adult",B1149&lt;=34,"Early Career",B1149&lt;=44,"Mid Career",B1149&lt;=54,"Mature",B1149&lt;=65,"Pre-Senior",B1149&gt;65,"Senior")</f>
        <v>Young Adult</v>
      </c>
      <c r="D1149" s="1" t="s">
        <v>18</v>
      </c>
      <c r="F1149" s="1">
        <v>1775000</v>
      </c>
      <c r="G1149" s="1">
        <v>59</v>
      </c>
      <c r="H1149" s="1" t="str" cm="1">
        <f t="array" ref="H1149">_xlfn.IFS( OR(G1149=" ",NOT(ISNUMBER(G1149))),"Unknown",G1149&lt;=33,"Low Spender",G1149&lt;=66,"Medium Spender",TRUE, "High Spender")</f>
        <v>Medium Spender</v>
      </c>
      <c r="I1149" s="1">
        <v>27</v>
      </c>
      <c r="J1149" s="1">
        <v>9700</v>
      </c>
      <c r="K1149" s="1">
        <v>307</v>
      </c>
      <c r="L1149" s="1" t="s">
        <v>37</v>
      </c>
      <c r="M1149" s="1" t="s">
        <v>32</v>
      </c>
      <c r="N1149" s="1" t="str">
        <f t="shared" si="34"/>
        <v>Higher</v>
      </c>
      <c r="O1149" s="1" t="str">
        <f t="shared" si="35"/>
        <v>Young Adult | Medium Spender | Higher</v>
      </c>
    </row>
    <row r="1150" spans="1:15" x14ac:dyDescent="0.25">
      <c r="A1150" s="1" t="s">
        <v>1180</v>
      </c>
      <c r="B1150" s="1">
        <v>32</v>
      </c>
      <c r="C1150" s="1" t="str" cm="1">
        <f t="array" ref="C1150">_xlfn.IFS(OR(B1150=" ", B1150="NA",NOT(ISNUMBER(B1150))), "Unknown",B1150&lt;18,"Underage",B1150&lt;=24,"Young Adult",B1150&lt;=34,"Early Career",B1150&lt;=44,"Mid Career",B1150&lt;=54,"Mature",B1150&lt;=65,"Pre-Senior",B1150&gt;65,"Senior")</f>
        <v>Early Career</v>
      </c>
      <c r="D1150" s="1" t="s">
        <v>18</v>
      </c>
      <c r="E1150" s="1" t="s">
        <v>34</v>
      </c>
      <c r="F1150" s="1">
        <v>750000</v>
      </c>
      <c r="G1150" s="1">
        <v>96</v>
      </c>
      <c r="H1150" s="1" t="str" cm="1">
        <f t="array" ref="H1150">_xlfn.IFS( OR(G1150=" ",NOT(ISNUMBER(G1150))),"Unknown",G1150&lt;=33,"Low Spender",G1150&lt;=66,"Medium Spender",TRUE, "High Spender")</f>
        <v>High Spender</v>
      </c>
      <c r="I1150" s="1">
        <v>45</v>
      </c>
      <c r="J1150" s="1">
        <v>9500</v>
      </c>
      <c r="K1150" s="1">
        <v>362</v>
      </c>
      <c r="L1150" s="1" t="s">
        <v>37</v>
      </c>
      <c r="N1150" s="1" t="str">
        <f t="shared" si="34"/>
        <v>Higher</v>
      </c>
      <c r="O1150" s="1" t="str">
        <f t="shared" si="35"/>
        <v>Early Career | High Spender | Higher</v>
      </c>
    </row>
    <row r="1151" spans="1:15" x14ac:dyDescent="0.25">
      <c r="A1151" s="1" t="s">
        <v>1181</v>
      </c>
      <c r="B1151" s="1">
        <v>28</v>
      </c>
      <c r="C1151" s="1" t="str" cm="1">
        <f t="array" ref="C1151">_xlfn.IFS(OR(B1151=" ", B1151="NA",NOT(ISNUMBER(B1151))), "Unknown",B1151&lt;18,"Underage",B1151&lt;=24,"Young Adult",B1151&lt;=34,"Early Career",B1151&lt;=44,"Mid Career",B1151&lt;=54,"Mature",B1151&lt;=65,"Pre-Senior",B1151&gt;65,"Senior")</f>
        <v>Early Career</v>
      </c>
      <c r="D1151" s="1" t="s">
        <v>18</v>
      </c>
      <c r="E1151" s="1" t="s">
        <v>19</v>
      </c>
      <c r="F1151" s="1">
        <v>1650000</v>
      </c>
      <c r="G1151" s="1">
        <v>6</v>
      </c>
      <c r="H1151" s="1" t="str" cm="1">
        <f t="array" ref="H1151">_xlfn.IFS( OR(G1151=" ",NOT(ISNUMBER(G1151))),"Unknown",G1151&lt;=33,"Low Spender",G1151&lt;=66,"Medium Spender",TRUE, "High Spender")</f>
        <v>Low Spender</v>
      </c>
      <c r="I1151" s="1">
        <v>31</v>
      </c>
      <c r="J1151" s="1">
        <v>10900</v>
      </c>
      <c r="K1151" s="1">
        <v>345</v>
      </c>
      <c r="N1151" s="1" t="str">
        <f t="shared" si="34"/>
        <v>Higher</v>
      </c>
      <c r="O1151" s="1" t="str">
        <f t="shared" si="35"/>
        <v>Early Career | Low Spender | Higher</v>
      </c>
    </row>
    <row r="1152" spans="1:15" x14ac:dyDescent="0.25">
      <c r="A1152" s="1" t="s">
        <v>1182</v>
      </c>
      <c r="B1152" s="1">
        <v>25</v>
      </c>
      <c r="C1152" s="1" t="str" cm="1">
        <f t="array" ref="C1152">_xlfn.IFS(OR(B1152=" ", B1152="NA",NOT(ISNUMBER(B1152))), "Unknown",B1152&lt;18,"Underage",B1152&lt;=24,"Young Adult",B1152&lt;=34,"Early Career",B1152&lt;=44,"Mid Career",B1152&lt;=54,"Mature",B1152&lt;=65,"Pre-Senior",B1152&gt;65,"Senior")</f>
        <v>Early Career</v>
      </c>
      <c r="D1152" s="1" t="s">
        <v>18</v>
      </c>
      <c r="F1152" s="1">
        <v>1775000</v>
      </c>
      <c r="G1152" s="1">
        <v>98</v>
      </c>
      <c r="H1152" s="1" t="str" cm="1">
        <f t="array" ref="H1152">_xlfn.IFS( OR(G1152=" ",NOT(ISNUMBER(G1152))),"Unknown",G1152&lt;=33,"Low Spender",G1152&lt;=66,"Medium Spender",TRUE, "High Spender")</f>
        <v>High Spender</v>
      </c>
      <c r="I1152" s="1">
        <v>36</v>
      </c>
      <c r="J1152" s="1">
        <v>4500</v>
      </c>
      <c r="K1152" s="1">
        <v>127</v>
      </c>
      <c r="L1152" s="1" t="s">
        <v>37</v>
      </c>
      <c r="M1152" s="1" t="s">
        <v>21</v>
      </c>
      <c r="N1152" s="1" t="str">
        <f t="shared" si="34"/>
        <v>Higher</v>
      </c>
      <c r="O1152" s="1" t="str">
        <f t="shared" si="35"/>
        <v>Early Career | High Spender | Higher</v>
      </c>
    </row>
    <row r="1153" spans="1:15" x14ac:dyDescent="0.25">
      <c r="A1153" s="1" t="s">
        <v>1183</v>
      </c>
      <c r="B1153" s="1">
        <v>43</v>
      </c>
      <c r="C1153" s="1" t="str" cm="1">
        <f t="array" ref="C1153">_xlfn.IFS(OR(B1153=" ", B1153="NA",NOT(ISNUMBER(B1153))), "Unknown",B1153&lt;18,"Underage",B1153&lt;=24,"Young Adult",B1153&lt;=34,"Early Career",B1153&lt;=44,"Mid Career",B1153&lt;=54,"Mature",B1153&lt;=65,"Pre-Senior",B1153&gt;65,"Senior")</f>
        <v>Mid Career</v>
      </c>
      <c r="E1153" s="1" t="s">
        <v>19</v>
      </c>
      <c r="F1153" s="1">
        <v>1175000</v>
      </c>
      <c r="G1153" s="1">
        <v>56</v>
      </c>
      <c r="H1153" s="1" t="str" cm="1">
        <f t="array" ref="H1153">_xlfn.IFS( OR(G1153=" ",NOT(ISNUMBER(G1153))),"Unknown",G1153&lt;=33,"Low Spender",G1153&lt;=66,"Medium Spender",TRUE, "High Spender")</f>
        <v>Medium Spender</v>
      </c>
      <c r="J1153" s="1">
        <v>1300</v>
      </c>
      <c r="K1153" s="1">
        <v>302</v>
      </c>
      <c r="L1153" s="1" t="s">
        <v>20</v>
      </c>
      <c r="N1153" s="1" t="str">
        <f t="shared" si="34"/>
        <v>Lower</v>
      </c>
      <c r="O1153" s="1" t="str">
        <f t="shared" si="35"/>
        <v>Mid Career | Medium Spender | Lower</v>
      </c>
    </row>
    <row r="1154" spans="1:15" x14ac:dyDescent="0.25">
      <c r="A1154" s="1" t="s">
        <v>1184</v>
      </c>
      <c r="B1154" s="1">
        <v>68</v>
      </c>
      <c r="C1154" s="1" t="str" cm="1">
        <f t="array" ref="C1154">_xlfn.IFS(OR(B1154=" ", B1154="NA",NOT(ISNUMBER(B1154))), "Unknown",B1154&lt;18,"Underage",B1154&lt;=24,"Young Adult",B1154&lt;=34,"Early Career",B1154&lt;=44,"Mid Career",B1154&lt;=54,"Mature",B1154&lt;=65,"Pre-Senior",B1154&gt;65,"Senior")</f>
        <v>Senior</v>
      </c>
      <c r="D1154" s="1" t="s">
        <v>29</v>
      </c>
      <c r="E1154" s="1" t="s">
        <v>15</v>
      </c>
      <c r="F1154" s="1">
        <v>1750000</v>
      </c>
      <c r="G1154" s="1">
        <v>8</v>
      </c>
      <c r="H1154" s="1" t="str" cm="1">
        <f t="array" ref="H1154">_xlfn.IFS( OR(G1154=" ",NOT(ISNUMBER(G1154))),"Unknown",G1154&lt;=33,"Low Spender",G1154&lt;=66,"Medium Spender",TRUE, "High Spender")</f>
        <v>Low Spender</v>
      </c>
      <c r="I1154" s="1">
        <v>61</v>
      </c>
      <c r="J1154" s="1">
        <v>3500</v>
      </c>
      <c r="K1154" s="1">
        <v>121</v>
      </c>
      <c r="M1154" s="1" t="s">
        <v>41</v>
      </c>
      <c r="N1154" s="1" t="str">
        <f t="shared" ref="N1154:N1217" si="36">IF(OR(UPPER(TRIM(D1154))="Male",UPPER(TRIM(D1154))="Female"),"Higher","Lower")</f>
        <v>Higher</v>
      </c>
      <c r="O1154" s="1" t="str">
        <f t="shared" ref="O1154:O1217" si="37">_xlfn.TEXTJOIN(" | ", TRUE, C1154, H1154, N1154)</f>
        <v>Senior | Low Spender | Higher</v>
      </c>
    </row>
    <row r="1155" spans="1:15" x14ac:dyDescent="0.25">
      <c r="A1155" s="1" t="s">
        <v>1185</v>
      </c>
      <c r="B1155" s="1">
        <v>62</v>
      </c>
      <c r="C1155" s="1" t="str" cm="1">
        <f t="array" ref="C1155">_xlfn.IFS(OR(B1155=" ", B1155="NA",NOT(ISNUMBER(B1155))), "Unknown",B1155&lt;18,"Underage",B1155&lt;=24,"Young Adult",B1155&lt;=34,"Early Career",B1155&lt;=44,"Mid Career",B1155&lt;=54,"Mature",B1155&lt;=65,"Pre-Senior",B1155&gt;65,"Senior")</f>
        <v>Pre-Senior</v>
      </c>
      <c r="D1155" s="1" t="s">
        <v>18</v>
      </c>
      <c r="E1155" s="1" t="s">
        <v>34</v>
      </c>
      <c r="F1155" s="1">
        <v>1025000</v>
      </c>
      <c r="G1155" s="1">
        <v>94</v>
      </c>
      <c r="H1155" s="1" t="str" cm="1">
        <f t="array" ref="H1155">_xlfn.IFS( OR(G1155=" ",NOT(ISNUMBER(G1155))),"Unknown",G1155&lt;=33,"Low Spender",G1155&lt;=66,"Medium Spender",TRUE, "High Spender")</f>
        <v>High Spender</v>
      </c>
      <c r="I1155" s="1">
        <v>37</v>
      </c>
      <c r="J1155" s="1">
        <v>6000</v>
      </c>
      <c r="K1155" s="1">
        <v>99</v>
      </c>
      <c r="L1155" s="1" t="s">
        <v>37</v>
      </c>
      <c r="N1155" s="1" t="str">
        <f t="shared" si="36"/>
        <v>Higher</v>
      </c>
      <c r="O1155" s="1" t="str">
        <f t="shared" si="37"/>
        <v>Pre-Senior | High Spender | Higher</v>
      </c>
    </row>
    <row r="1156" spans="1:15" x14ac:dyDescent="0.25">
      <c r="A1156" s="1" t="s">
        <v>1186</v>
      </c>
      <c r="B1156" s="1">
        <v>61</v>
      </c>
      <c r="C1156" s="1" t="str" cm="1">
        <f t="array" ref="C1156">_xlfn.IFS(OR(B1156=" ", B1156="NA",NOT(ISNUMBER(B1156))), "Unknown",B1156&lt;18,"Underage",B1156&lt;=24,"Young Adult",B1156&lt;=34,"Early Career",B1156&lt;=44,"Mid Career",B1156&lt;=54,"Mature",B1156&lt;=65,"Pre-Senior",B1156&gt;65,"Senior")</f>
        <v>Pre-Senior</v>
      </c>
      <c r="G1156" s="1">
        <v>27</v>
      </c>
      <c r="H1156" s="1" t="str" cm="1">
        <f t="array" ref="H1156">_xlfn.IFS( OR(G1156=" ",NOT(ISNUMBER(G1156))),"Unknown",G1156&lt;=33,"Low Spender",G1156&lt;=66,"Medium Spender",TRUE, "High Spender")</f>
        <v>Low Spender</v>
      </c>
      <c r="I1156" s="1">
        <v>67</v>
      </c>
      <c r="J1156" s="1">
        <v>4800</v>
      </c>
      <c r="K1156" s="1">
        <v>166</v>
      </c>
      <c r="M1156" s="1" t="s">
        <v>41</v>
      </c>
      <c r="N1156" s="1" t="str">
        <f t="shared" si="36"/>
        <v>Lower</v>
      </c>
      <c r="O1156" s="1" t="str">
        <f t="shared" si="37"/>
        <v>Pre-Senior | Low Spender | Lower</v>
      </c>
    </row>
    <row r="1157" spans="1:15" x14ac:dyDescent="0.25">
      <c r="A1157" s="1" t="s">
        <v>1187</v>
      </c>
      <c r="B1157" s="1">
        <v>22</v>
      </c>
      <c r="C1157" s="1" t="str" cm="1">
        <f t="array" ref="C1157">_xlfn.IFS(OR(B1157=" ", B1157="NA",NOT(ISNUMBER(B1157))), "Unknown",B1157&lt;18,"Underage",B1157&lt;=24,"Young Adult",B1157&lt;=34,"Early Career",B1157&lt;=44,"Mid Career",B1157&lt;=54,"Mature",B1157&lt;=65,"Pre-Senior",B1157&gt;65,"Senior")</f>
        <v>Young Adult</v>
      </c>
      <c r="D1157" s="1" t="s">
        <v>18</v>
      </c>
      <c r="E1157" s="1" t="s">
        <v>13</v>
      </c>
      <c r="F1157" s="1">
        <v>350000</v>
      </c>
      <c r="G1157" s="1">
        <v>71</v>
      </c>
      <c r="H1157" s="1" t="str" cm="1">
        <f t="array" ref="H1157">_xlfn.IFS( OR(G1157=" ",NOT(ISNUMBER(G1157))),"Unknown",G1157&lt;=33,"Low Spender",G1157&lt;=66,"Medium Spender",TRUE, "High Spender")</f>
        <v>High Spender</v>
      </c>
      <c r="I1157" s="1">
        <v>36</v>
      </c>
      <c r="J1157" s="1">
        <v>6300</v>
      </c>
      <c r="K1157" s="1">
        <v>325</v>
      </c>
      <c r="L1157" s="1" t="s">
        <v>35</v>
      </c>
      <c r="M1157" s="1" t="s">
        <v>32</v>
      </c>
      <c r="N1157" s="1" t="str">
        <f t="shared" si="36"/>
        <v>Higher</v>
      </c>
      <c r="O1157" s="1" t="str">
        <f t="shared" si="37"/>
        <v>Young Adult | High Spender | Higher</v>
      </c>
    </row>
    <row r="1158" spans="1:15" x14ac:dyDescent="0.25">
      <c r="A1158" s="1" t="s">
        <v>1188</v>
      </c>
      <c r="B1158" s="1">
        <v>23</v>
      </c>
      <c r="C1158" s="1" t="str" cm="1">
        <f t="array" ref="C1158">_xlfn.IFS(OR(B1158=" ", B1158="NA",NOT(ISNUMBER(B1158))), "Unknown",B1158&lt;18,"Underage",B1158&lt;=24,"Young Adult",B1158&lt;=34,"Early Career",B1158&lt;=44,"Mid Career",B1158&lt;=54,"Mature",B1158&lt;=65,"Pre-Senior",B1158&gt;65,"Senior")</f>
        <v>Young Adult</v>
      </c>
      <c r="E1158" s="1" t="s">
        <v>27</v>
      </c>
      <c r="F1158" s="1">
        <v>1025000</v>
      </c>
      <c r="G1158" s="1">
        <v>27</v>
      </c>
      <c r="H1158" s="1" t="str" cm="1">
        <f t="array" ref="H1158">_xlfn.IFS( OR(G1158=" ",NOT(ISNUMBER(G1158))),"Unknown",G1158&lt;=33,"Low Spender",G1158&lt;=66,"Medium Spender",TRUE, "High Spender")</f>
        <v>Low Spender</v>
      </c>
      <c r="I1158" s="1">
        <v>5</v>
      </c>
      <c r="J1158" s="1">
        <v>6400</v>
      </c>
      <c r="K1158" s="1">
        <v>319</v>
      </c>
      <c r="L1158" s="1" t="s">
        <v>16</v>
      </c>
      <c r="M1158" s="1" t="s">
        <v>41</v>
      </c>
      <c r="N1158" s="1" t="str">
        <f t="shared" si="36"/>
        <v>Lower</v>
      </c>
      <c r="O1158" s="1" t="str">
        <f t="shared" si="37"/>
        <v>Young Adult | Low Spender | Lower</v>
      </c>
    </row>
    <row r="1159" spans="1:15" x14ac:dyDescent="0.25">
      <c r="A1159" s="1" t="s">
        <v>1189</v>
      </c>
      <c r="B1159" s="1">
        <v>43</v>
      </c>
      <c r="C1159" s="1" t="str" cm="1">
        <f t="array" ref="C1159">_xlfn.IFS(OR(B1159=" ", B1159="NA",NOT(ISNUMBER(B1159))), "Unknown",B1159&lt;18,"Underage",B1159&lt;=24,"Young Adult",B1159&lt;=34,"Early Career",B1159&lt;=44,"Mid Career",B1159&lt;=54,"Mature",B1159&lt;=65,"Pre-Senior",B1159&gt;65,"Senior")</f>
        <v>Mid Career</v>
      </c>
      <c r="D1159" s="1" t="s">
        <v>29</v>
      </c>
      <c r="E1159" s="1" t="s">
        <v>15</v>
      </c>
      <c r="F1159" s="1">
        <v>1075000</v>
      </c>
      <c r="G1159" s="1">
        <v>89</v>
      </c>
      <c r="H1159" s="1" t="str" cm="1">
        <f t="array" ref="H1159">_xlfn.IFS( OR(G1159=" ",NOT(ISNUMBER(G1159))),"Unknown",G1159&lt;=33,"Low Spender",G1159&lt;=66,"Medium Spender",TRUE, "High Spender")</f>
        <v>High Spender</v>
      </c>
      <c r="I1159" s="1">
        <v>46</v>
      </c>
      <c r="J1159" s="1">
        <v>300</v>
      </c>
      <c r="K1159" s="1">
        <v>241</v>
      </c>
      <c r="L1159" s="1" t="s">
        <v>35</v>
      </c>
      <c r="M1159" s="1" t="s">
        <v>32</v>
      </c>
      <c r="N1159" s="1" t="str">
        <f t="shared" si="36"/>
        <v>Higher</v>
      </c>
      <c r="O1159" s="1" t="str">
        <f t="shared" si="37"/>
        <v>Mid Career | High Spender | Higher</v>
      </c>
    </row>
    <row r="1160" spans="1:15" x14ac:dyDescent="0.25">
      <c r="A1160" s="1" t="s">
        <v>1190</v>
      </c>
      <c r="C1160" s="1" t="str" cm="1">
        <f t="array" ref="C1160">_xlfn.IFS(OR(B1160=" ", B1160="NA",NOT(ISNUMBER(B1160))), "Unknown",B1160&lt;18,"Underage",B1160&lt;=24,"Young Adult",B1160&lt;=34,"Early Career",B1160&lt;=44,"Mid Career",B1160&lt;=54,"Mature",B1160&lt;=65,"Pre-Senior",B1160&gt;65,"Senior")</f>
        <v>Unknown</v>
      </c>
      <c r="D1160" s="1" t="s">
        <v>18</v>
      </c>
      <c r="E1160" s="1" t="s">
        <v>34</v>
      </c>
      <c r="F1160" s="1">
        <v>950000</v>
      </c>
      <c r="G1160" s="1">
        <v>46</v>
      </c>
      <c r="H1160" s="1" t="str" cm="1">
        <f t="array" ref="H1160">_xlfn.IFS( OR(G1160=" ",NOT(ISNUMBER(G1160))),"Unknown",G1160&lt;=33,"Low Spender",G1160&lt;=66,"Medium Spender",TRUE, "High Spender")</f>
        <v>Medium Spender</v>
      </c>
      <c r="I1160" s="1">
        <v>79</v>
      </c>
      <c r="J1160" s="1">
        <v>2300</v>
      </c>
      <c r="K1160" s="1">
        <v>50</v>
      </c>
      <c r="L1160" s="1" t="s">
        <v>37</v>
      </c>
      <c r="M1160" s="1" t="s">
        <v>32</v>
      </c>
      <c r="N1160" s="1" t="str">
        <f t="shared" si="36"/>
        <v>Higher</v>
      </c>
      <c r="O1160" s="1" t="str">
        <f t="shared" si="37"/>
        <v>Unknown | Medium Spender | Higher</v>
      </c>
    </row>
    <row r="1161" spans="1:15" x14ac:dyDescent="0.25">
      <c r="A1161" s="1" t="s">
        <v>1191</v>
      </c>
      <c r="B1161" s="1">
        <v>21</v>
      </c>
      <c r="C1161" s="1" t="str" cm="1">
        <f t="array" ref="C1161">_xlfn.IFS(OR(B1161=" ", B1161="NA",NOT(ISNUMBER(B1161))), "Unknown",B1161&lt;18,"Underage",B1161&lt;=24,"Young Adult",B1161&lt;=34,"Early Career",B1161&lt;=44,"Mid Career",B1161&lt;=54,"Mature",B1161&lt;=65,"Pre-Senior",B1161&gt;65,"Senior")</f>
        <v>Young Adult</v>
      </c>
      <c r="D1161" s="1" t="s">
        <v>18</v>
      </c>
      <c r="F1161" s="1">
        <v>1175000</v>
      </c>
      <c r="G1161" s="1">
        <v>41</v>
      </c>
      <c r="H1161" s="1" t="str" cm="1">
        <f t="array" ref="H1161">_xlfn.IFS( OR(G1161=" ",NOT(ISNUMBER(G1161))),"Unknown",G1161&lt;=33,"Low Spender",G1161&lt;=66,"Medium Spender",TRUE, "High Spender")</f>
        <v>Medium Spender</v>
      </c>
      <c r="I1161" s="1">
        <v>52</v>
      </c>
      <c r="J1161" s="1">
        <v>6400</v>
      </c>
      <c r="K1161" s="1">
        <v>268</v>
      </c>
      <c r="M1161" s="1" t="s">
        <v>32</v>
      </c>
      <c r="N1161" s="1" t="str">
        <f t="shared" si="36"/>
        <v>Higher</v>
      </c>
      <c r="O1161" s="1" t="str">
        <f t="shared" si="37"/>
        <v>Young Adult | Medium Spender | Higher</v>
      </c>
    </row>
    <row r="1162" spans="1:15" x14ac:dyDescent="0.25">
      <c r="A1162" s="1" t="s">
        <v>1192</v>
      </c>
      <c r="B1162" s="1">
        <v>36</v>
      </c>
      <c r="C1162" s="1" t="str" cm="1">
        <f t="array" ref="C1162">_xlfn.IFS(OR(B1162=" ", B1162="NA",NOT(ISNUMBER(B1162))), "Unknown",B1162&lt;18,"Underage",B1162&lt;=24,"Young Adult",B1162&lt;=34,"Early Career",B1162&lt;=44,"Mid Career",B1162&lt;=54,"Mature",B1162&lt;=65,"Pre-Senior",B1162&gt;65,"Senior")</f>
        <v>Mid Career</v>
      </c>
      <c r="D1162" s="1" t="s">
        <v>18</v>
      </c>
      <c r="F1162" s="1">
        <v>1650000</v>
      </c>
      <c r="G1162" s="1">
        <v>79</v>
      </c>
      <c r="H1162" s="1" t="str" cm="1">
        <f t="array" ref="H1162">_xlfn.IFS( OR(G1162=" ",NOT(ISNUMBER(G1162))),"Unknown",G1162&lt;=33,"Low Spender",G1162&lt;=66,"Medium Spender",TRUE, "High Spender")</f>
        <v>High Spender</v>
      </c>
      <c r="I1162" s="1">
        <v>49</v>
      </c>
      <c r="J1162" s="1">
        <v>6600</v>
      </c>
      <c r="K1162" s="1">
        <v>325</v>
      </c>
      <c r="L1162" s="1" t="s">
        <v>37</v>
      </c>
      <c r="M1162" s="1" t="s">
        <v>41</v>
      </c>
      <c r="N1162" s="1" t="str">
        <f t="shared" si="36"/>
        <v>Higher</v>
      </c>
      <c r="O1162" s="1" t="str">
        <f t="shared" si="37"/>
        <v>Mid Career | High Spender | Higher</v>
      </c>
    </row>
    <row r="1163" spans="1:15" x14ac:dyDescent="0.25">
      <c r="A1163" s="1" t="s">
        <v>1193</v>
      </c>
      <c r="B1163" s="1">
        <v>37</v>
      </c>
      <c r="C1163" s="1" t="str" cm="1">
        <f t="array" ref="C1163">_xlfn.IFS(OR(B1163=" ", B1163="NA",NOT(ISNUMBER(B1163))), "Unknown",B1163&lt;18,"Underage",B1163&lt;=24,"Young Adult",B1163&lt;=34,"Early Career",B1163&lt;=44,"Mid Career",B1163&lt;=54,"Mature",B1163&lt;=65,"Pre-Senior",B1163&gt;65,"Senior")</f>
        <v>Mid Career</v>
      </c>
      <c r="D1163" s="1" t="s">
        <v>29</v>
      </c>
      <c r="E1163" s="1" t="s">
        <v>23</v>
      </c>
      <c r="F1163" s="1">
        <v>1275000</v>
      </c>
      <c r="G1163" s="1">
        <v>25</v>
      </c>
      <c r="H1163" s="1" t="str" cm="1">
        <f t="array" ref="H1163">_xlfn.IFS( OR(G1163=" ",NOT(ISNUMBER(G1163))),"Unknown",G1163&lt;=33,"Low Spender",G1163&lt;=66,"Medium Spender",TRUE, "High Spender")</f>
        <v>Low Spender</v>
      </c>
      <c r="I1163" s="1">
        <v>6</v>
      </c>
      <c r="J1163" s="1">
        <v>8900</v>
      </c>
      <c r="K1163" s="1">
        <v>73</v>
      </c>
      <c r="M1163" s="1" t="s">
        <v>32</v>
      </c>
      <c r="N1163" s="1" t="str">
        <f t="shared" si="36"/>
        <v>Higher</v>
      </c>
      <c r="O1163" s="1" t="str">
        <f t="shared" si="37"/>
        <v>Mid Career | Low Spender | Higher</v>
      </c>
    </row>
    <row r="1164" spans="1:15" x14ac:dyDescent="0.25">
      <c r="A1164" s="1" t="s">
        <v>1194</v>
      </c>
      <c r="B1164" s="1">
        <v>50</v>
      </c>
      <c r="C1164" s="1" t="str" cm="1">
        <f t="array" ref="C1164">_xlfn.IFS(OR(B1164=" ", B1164="NA",NOT(ISNUMBER(B1164))), "Unknown",B1164&lt;18,"Underage",B1164&lt;=24,"Young Adult",B1164&lt;=34,"Early Career",B1164&lt;=44,"Mid Career",B1164&lt;=54,"Mature",B1164&lt;=65,"Pre-Senior",B1164&gt;65,"Senior")</f>
        <v>Mature</v>
      </c>
      <c r="E1164" s="1" t="s">
        <v>23</v>
      </c>
      <c r="F1164" s="1">
        <v>1650000</v>
      </c>
      <c r="G1164" s="1">
        <v>86</v>
      </c>
      <c r="H1164" s="1" t="str" cm="1">
        <f t="array" ref="H1164">_xlfn.IFS( OR(G1164=" ",NOT(ISNUMBER(G1164))),"Unknown",G1164&lt;=33,"Low Spender",G1164&lt;=66,"Medium Spender",TRUE, "High Spender")</f>
        <v>High Spender</v>
      </c>
      <c r="I1164" s="1">
        <v>10</v>
      </c>
      <c r="J1164" s="1">
        <v>7500</v>
      </c>
      <c r="K1164" s="1">
        <v>300</v>
      </c>
      <c r="L1164" s="1" t="s">
        <v>35</v>
      </c>
      <c r="M1164" s="1" t="s">
        <v>41</v>
      </c>
      <c r="N1164" s="1" t="str">
        <f t="shared" si="36"/>
        <v>Lower</v>
      </c>
      <c r="O1164" s="1" t="str">
        <f t="shared" si="37"/>
        <v>Mature | High Spender | Lower</v>
      </c>
    </row>
    <row r="1165" spans="1:15" x14ac:dyDescent="0.25">
      <c r="A1165" s="1" t="s">
        <v>1195</v>
      </c>
      <c r="B1165" s="1">
        <v>37</v>
      </c>
      <c r="C1165" s="1" t="str" cm="1">
        <f t="array" ref="C1165">_xlfn.IFS(OR(B1165=" ", B1165="NA",NOT(ISNUMBER(B1165))), "Unknown",B1165&lt;18,"Underage",B1165&lt;=24,"Young Adult",B1165&lt;=34,"Early Career",B1165&lt;=44,"Mid Career",B1165&lt;=54,"Mature",B1165&lt;=65,"Pre-Senior",B1165&gt;65,"Senior")</f>
        <v>Mid Career</v>
      </c>
      <c r="D1165" s="1" t="s">
        <v>12</v>
      </c>
      <c r="E1165" s="1" t="s">
        <v>19</v>
      </c>
      <c r="F1165" s="1">
        <v>575000</v>
      </c>
      <c r="G1165" s="1">
        <v>18</v>
      </c>
      <c r="H1165" s="1" t="str" cm="1">
        <f t="array" ref="H1165">_xlfn.IFS( OR(G1165=" ",NOT(ISNUMBER(G1165))),"Unknown",G1165&lt;=33,"Low Spender",G1165&lt;=66,"Medium Spender",TRUE, "High Spender")</f>
        <v>Low Spender</v>
      </c>
      <c r="I1165" s="1">
        <v>23</v>
      </c>
      <c r="J1165" s="1">
        <v>5800</v>
      </c>
      <c r="K1165" s="1">
        <v>52</v>
      </c>
      <c r="N1165" s="1" t="str">
        <f t="shared" si="36"/>
        <v>Lower</v>
      </c>
      <c r="O1165" s="1" t="str">
        <f t="shared" si="37"/>
        <v>Mid Career | Low Spender | Lower</v>
      </c>
    </row>
    <row r="1166" spans="1:15" x14ac:dyDescent="0.25">
      <c r="A1166" s="1" t="s">
        <v>1196</v>
      </c>
      <c r="B1166" s="1">
        <v>66</v>
      </c>
      <c r="C1166" s="1" t="str" cm="1">
        <f t="array" ref="C1166">_xlfn.IFS(OR(B1166=" ", B1166="NA",NOT(ISNUMBER(B1166))), "Unknown",B1166&lt;18,"Underage",B1166&lt;=24,"Young Adult",B1166&lt;=34,"Early Career",B1166&lt;=44,"Mid Career",B1166&lt;=54,"Mature",B1166&lt;=65,"Pre-Senior",B1166&gt;65,"Senior")</f>
        <v>Senior</v>
      </c>
      <c r="D1166" s="1" t="s">
        <v>18</v>
      </c>
      <c r="E1166" s="1" t="s">
        <v>34</v>
      </c>
      <c r="F1166" s="1">
        <v>1875000</v>
      </c>
      <c r="G1166" s="1">
        <v>12</v>
      </c>
      <c r="H1166" s="1" t="str" cm="1">
        <f t="array" ref="H1166">_xlfn.IFS( OR(G1166=" ",NOT(ISNUMBER(G1166))),"Unknown",G1166&lt;=33,"Low Spender",G1166&lt;=66,"Medium Spender",TRUE, "High Spender")</f>
        <v>Low Spender</v>
      </c>
      <c r="I1166" s="1">
        <v>17</v>
      </c>
      <c r="J1166" s="1">
        <v>300</v>
      </c>
      <c r="K1166" s="1">
        <v>265</v>
      </c>
      <c r="M1166" s="1" t="s">
        <v>32</v>
      </c>
      <c r="N1166" s="1" t="str">
        <f t="shared" si="36"/>
        <v>Higher</v>
      </c>
      <c r="O1166" s="1" t="str">
        <f t="shared" si="37"/>
        <v>Senior | Low Spender | Higher</v>
      </c>
    </row>
    <row r="1167" spans="1:15" x14ac:dyDescent="0.25">
      <c r="A1167" s="1" t="s">
        <v>1197</v>
      </c>
      <c r="B1167" s="1">
        <v>29</v>
      </c>
      <c r="C1167" s="1" t="str" cm="1">
        <f t="array" ref="C1167">_xlfn.IFS(OR(B1167=" ", B1167="NA",NOT(ISNUMBER(B1167))), "Unknown",B1167&lt;18,"Underage",B1167&lt;=24,"Young Adult",B1167&lt;=34,"Early Career",B1167&lt;=44,"Mid Career",B1167&lt;=54,"Mature",B1167&lt;=65,"Pre-Senior",B1167&gt;65,"Senior")</f>
        <v>Early Career</v>
      </c>
      <c r="D1167" s="1" t="s">
        <v>29</v>
      </c>
      <c r="E1167" s="1" t="s">
        <v>27</v>
      </c>
      <c r="F1167" s="1">
        <v>500000</v>
      </c>
      <c r="G1167" s="1">
        <v>87</v>
      </c>
      <c r="H1167" s="1" t="str" cm="1">
        <f t="array" ref="H1167">_xlfn.IFS( OR(G1167=" ",NOT(ISNUMBER(G1167))),"Unknown",G1167&lt;=33,"Low Spender",G1167&lt;=66,"Medium Spender",TRUE, "High Spender")</f>
        <v>High Spender</v>
      </c>
      <c r="I1167" s="1">
        <v>44</v>
      </c>
      <c r="J1167" s="1">
        <v>2300</v>
      </c>
      <c r="K1167" s="1">
        <v>227</v>
      </c>
      <c r="L1167" s="1" t="s">
        <v>16</v>
      </c>
      <c r="M1167" s="1" t="s">
        <v>41</v>
      </c>
      <c r="N1167" s="1" t="str">
        <f t="shared" si="36"/>
        <v>Higher</v>
      </c>
      <c r="O1167" s="1" t="str">
        <f t="shared" si="37"/>
        <v>Early Career | High Spender | Higher</v>
      </c>
    </row>
    <row r="1168" spans="1:15" x14ac:dyDescent="0.25">
      <c r="A1168" s="1" t="s">
        <v>1198</v>
      </c>
      <c r="B1168" s="1">
        <v>64</v>
      </c>
      <c r="C1168" s="1" t="str" cm="1">
        <f t="array" ref="C1168">_xlfn.IFS(OR(B1168=" ", B1168="NA",NOT(ISNUMBER(B1168))), "Unknown",B1168&lt;18,"Underage",B1168&lt;=24,"Young Adult",B1168&lt;=34,"Early Career",B1168&lt;=44,"Mid Career",B1168&lt;=54,"Mature",B1168&lt;=65,"Pre-Senior",B1168&gt;65,"Senior")</f>
        <v>Pre-Senior</v>
      </c>
      <c r="E1168" s="1" t="s">
        <v>27</v>
      </c>
      <c r="F1168" s="1">
        <v>1325000</v>
      </c>
      <c r="G1168" s="1">
        <v>51</v>
      </c>
      <c r="H1168" s="1" t="str" cm="1">
        <f t="array" ref="H1168">_xlfn.IFS( OR(G1168=" ",NOT(ISNUMBER(G1168))),"Unknown",G1168&lt;=33,"Low Spender",G1168&lt;=66,"Medium Spender",TRUE, "High Spender")</f>
        <v>Medium Spender</v>
      </c>
      <c r="I1168" s="1">
        <v>41</v>
      </c>
      <c r="J1168" s="1">
        <v>2400</v>
      </c>
      <c r="K1168" s="1">
        <v>193</v>
      </c>
      <c r="M1168" s="1" t="s">
        <v>41</v>
      </c>
      <c r="N1168" s="1" t="str">
        <f t="shared" si="36"/>
        <v>Lower</v>
      </c>
      <c r="O1168" s="1" t="str">
        <f t="shared" si="37"/>
        <v>Pre-Senior | Medium Spender | Lower</v>
      </c>
    </row>
    <row r="1169" spans="1:15" x14ac:dyDescent="0.25">
      <c r="A1169" s="1" t="s">
        <v>1199</v>
      </c>
      <c r="B1169" s="1">
        <v>18</v>
      </c>
      <c r="C1169" s="1" t="str" cm="1">
        <f t="array" ref="C1169">_xlfn.IFS(OR(B1169=" ", B1169="NA",NOT(ISNUMBER(B1169))), "Unknown",B1169&lt;18,"Underage",B1169&lt;=24,"Young Adult",B1169&lt;=34,"Early Career",B1169&lt;=44,"Mid Career",B1169&lt;=54,"Mature",B1169&lt;=65,"Pre-Senior",B1169&gt;65,"Senior")</f>
        <v>Young Adult</v>
      </c>
      <c r="E1169" s="1" t="s">
        <v>49</v>
      </c>
      <c r="F1169" s="1">
        <v>1925000</v>
      </c>
      <c r="G1169" s="1">
        <v>39</v>
      </c>
      <c r="H1169" s="1" t="str" cm="1">
        <f t="array" ref="H1169">_xlfn.IFS( OR(G1169=" ",NOT(ISNUMBER(G1169))),"Unknown",G1169&lt;=33,"Low Spender",G1169&lt;=66,"Medium Spender",TRUE, "High Spender")</f>
        <v>Medium Spender</v>
      </c>
      <c r="I1169" s="1">
        <v>15</v>
      </c>
      <c r="J1169" s="1">
        <v>5600</v>
      </c>
      <c r="K1169" s="1">
        <v>239</v>
      </c>
      <c r="M1169" s="1" t="s">
        <v>41</v>
      </c>
      <c r="N1169" s="1" t="str">
        <f t="shared" si="36"/>
        <v>Lower</v>
      </c>
      <c r="O1169" s="1" t="str">
        <f t="shared" si="37"/>
        <v>Young Adult | Medium Spender | Lower</v>
      </c>
    </row>
    <row r="1170" spans="1:15" x14ac:dyDescent="0.25">
      <c r="A1170" s="1" t="s">
        <v>1200</v>
      </c>
      <c r="B1170" s="1">
        <v>43</v>
      </c>
      <c r="C1170" s="1" t="str" cm="1">
        <f t="array" ref="C1170">_xlfn.IFS(OR(B1170=" ", B1170="NA",NOT(ISNUMBER(B1170))), "Unknown",B1170&lt;18,"Underage",B1170&lt;=24,"Young Adult",B1170&lt;=34,"Early Career",B1170&lt;=44,"Mid Career",B1170&lt;=54,"Mature",B1170&lt;=65,"Pre-Senior",B1170&gt;65,"Senior")</f>
        <v>Mid Career</v>
      </c>
      <c r="D1170" s="1" t="s">
        <v>29</v>
      </c>
      <c r="E1170" s="1" t="s">
        <v>23</v>
      </c>
      <c r="F1170" s="1">
        <v>450000</v>
      </c>
      <c r="G1170" s="1">
        <v>89</v>
      </c>
      <c r="H1170" s="1" t="str" cm="1">
        <f t="array" ref="H1170">_xlfn.IFS( OR(G1170=" ",NOT(ISNUMBER(G1170))),"Unknown",G1170&lt;=33,"Low Spender",G1170&lt;=66,"Medium Spender",TRUE, "High Spender")</f>
        <v>High Spender</v>
      </c>
      <c r="I1170" s="1">
        <v>44</v>
      </c>
      <c r="J1170" s="1">
        <v>600</v>
      </c>
      <c r="K1170" s="1">
        <v>10</v>
      </c>
      <c r="L1170" s="1" t="s">
        <v>16</v>
      </c>
      <c r="M1170" s="1" t="s">
        <v>21</v>
      </c>
      <c r="N1170" s="1" t="str">
        <f t="shared" si="36"/>
        <v>Higher</v>
      </c>
      <c r="O1170" s="1" t="str">
        <f t="shared" si="37"/>
        <v>Mid Career | High Spender | Higher</v>
      </c>
    </row>
    <row r="1171" spans="1:15" x14ac:dyDescent="0.25">
      <c r="A1171" s="1" t="s">
        <v>1201</v>
      </c>
      <c r="B1171" s="1">
        <v>31</v>
      </c>
      <c r="C1171" s="1" t="str" cm="1">
        <f t="array" ref="C1171">_xlfn.IFS(OR(B1171=" ", B1171="NA",NOT(ISNUMBER(B1171))), "Unknown",B1171&lt;18,"Underage",B1171&lt;=24,"Young Adult",B1171&lt;=34,"Early Career",B1171&lt;=44,"Mid Career",B1171&lt;=54,"Mature",B1171&lt;=65,"Pre-Senior",B1171&gt;65,"Senior")</f>
        <v>Early Career</v>
      </c>
      <c r="D1171" s="1" t="s">
        <v>18</v>
      </c>
      <c r="E1171" s="1" t="s">
        <v>15</v>
      </c>
      <c r="F1171" s="1">
        <v>1200000</v>
      </c>
      <c r="G1171" s="1">
        <v>10</v>
      </c>
      <c r="H1171" s="1" t="str" cm="1">
        <f t="array" ref="H1171">_xlfn.IFS( OR(G1171=" ",NOT(ISNUMBER(G1171))),"Unknown",G1171&lt;=33,"Low Spender",G1171&lt;=66,"Medium Spender",TRUE, "High Spender")</f>
        <v>Low Spender</v>
      </c>
      <c r="I1171" s="1">
        <v>58</v>
      </c>
      <c r="J1171" s="1">
        <v>6700</v>
      </c>
      <c r="K1171" s="1">
        <v>302</v>
      </c>
      <c r="L1171" s="1" t="s">
        <v>20</v>
      </c>
      <c r="M1171" s="1" t="s">
        <v>21</v>
      </c>
      <c r="N1171" s="1" t="str">
        <f t="shared" si="36"/>
        <v>Higher</v>
      </c>
      <c r="O1171" s="1" t="str">
        <f t="shared" si="37"/>
        <v>Early Career | Low Spender | Higher</v>
      </c>
    </row>
    <row r="1172" spans="1:15" x14ac:dyDescent="0.25">
      <c r="A1172" s="1" t="s">
        <v>1202</v>
      </c>
      <c r="B1172" s="1">
        <v>55</v>
      </c>
      <c r="C1172" s="1" t="str" cm="1">
        <f t="array" ref="C1172">_xlfn.IFS(OR(B1172=" ", B1172="NA",NOT(ISNUMBER(B1172))), "Unknown",B1172&lt;18,"Underage",B1172&lt;=24,"Young Adult",B1172&lt;=34,"Early Career",B1172&lt;=44,"Mid Career",B1172&lt;=54,"Mature",B1172&lt;=65,"Pre-Senior",B1172&gt;65,"Senior")</f>
        <v>Pre-Senior</v>
      </c>
      <c r="D1172" s="1" t="s">
        <v>12</v>
      </c>
      <c r="E1172" s="1" t="s">
        <v>34</v>
      </c>
      <c r="F1172" s="1">
        <v>1625000</v>
      </c>
      <c r="G1172" s="1">
        <v>94</v>
      </c>
      <c r="H1172" s="1" t="str" cm="1">
        <f t="array" ref="H1172">_xlfn.IFS( OR(G1172=" ",NOT(ISNUMBER(G1172))),"Unknown",G1172&lt;=33,"Low Spender",G1172&lt;=66,"Medium Spender",TRUE, "High Spender")</f>
        <v>High Spender</v>
      </c>
      <c r="I1172" s="1">
        <v>50</v>
      </c>
      <c r="J1172" s="1">
        <v>5300</v>
      </c>
      <c r="K1172" s="1">
        <v>359</v>
      </c>
      <c r="L1172" s="1" t="s">
        <v>20</v>
      </c>
      <c r="M1172" s="1" t="s">
        <v>32</v>
      </c>
      <c r="N1172" s="1" t="str">
        <f t="shared" si="36"/>
        <v>Lower</v>
      </c>
      <c r="O1172" s="1" t="str">
        <f t="shared" si="37"/>
        <v>Pre-Senior | High Spender | Lower</v>
      </c>
    </row>
    <row r="1173" spans="1:15" x14ac:dyDescent="0.25">
      <c r="A1173" s="1" t="s">
        <v>1203</v>
      </c>
      <c r="B1173" s="1">
        <v>54</v>
      </c>
      <c r="C1173" s="1" t="str" cm="1">
        <f t="array" ref="C1173">_xlfn.IFS(OR(B1173=" ", B1173="NA",NOT(ISNUMBER(B1173))), "Unknown",B1173&lt;18,"Underage",B1173&lt;=24,"Young Adult",B1173&lt;=34,"Early Career",B1173&lt;=44,"Mid Career",B1173&lt;=54,"Mature",B1173&lt;=65,"Pre-Senior",B1173&gt;65,"Senior")</f>
        <v>Mature</v>
      </c>
      <c r="E1173" s="1" t="s">
        <v>27</v>
      </c>
      <c r="F1173" s="1">
        <v>1550000</v>
      </c>
      <c r="G1173" s="1">
        <v>74</v>
      </c>
      <c r="H1173" s="1" t="str" cm="1">
        <f t="array" ref="H1173">_xlfn.IFS( OR(G1173=" ",NOT(ISNUMBER(G1173))),"Unknown",G1173&lt;=33,"Low Spender",G1173&lt;=66,"Medium Spender",TRUE, "High Spender")</f>
        <v>High Spender</v>
      </c>
      <c r="I1173" s="1">
        <v>52</v>
      </c>
      <c r="J1173" s="1">
        <v>7600</v>
      </c>
      <c r="K1173" s="1">
        <v>228</v>
      </c>
      <c r="N1173" s="1" t="str">
        <f t="shared" si="36"/>
        <v>Lower</v>
      </c>
      <c r="O1173" s="1" t="str">
        <f t="shared" si="37"/>
        <v>Mature | High Spender | Lower</v>
      </c>
    </row>
    <row r="1174" spans="1:15" x14ac:dyDescent="0.25">
      <c r="A1174" s="1" t="s">
        <v>1204</v>
      </c>
      <c r="B1174" s="1">
        <v>28</v>
      </c>
      <c r="C1174" s="1" t="str" cm="1">
        <f t="array" ref="C1174">_xlfn.IFS(OR(B1174=" ", B1174="NA",NOT(ISNUMBER(B1174))), "Unknown",B1174&lt;18,"Underage",B1174&lt;=24,"Young Adult",B1174&lt;=34,"Early Career",B1174&lt;=44,"Mid Career",B1174&lt;=54,"Mature",B1174&lt;=65,"Pre-Senior",B1174&gt;65,"Senior")</f>
        <v>Early Career</v>
      </c>
      <c r="E1174" s="1" t="s">
        <v>49</v>
      </c>
      <c r="F1174" s="1">
        <v>1900000</v>
      </c>
      <c r="G1174" s="1">
        <v>98</v>
      </c>
      <c r="H1174" s="1" t="str" cm="1">
        <f t="array" ref="H1174">_xlfn.IFS( OR(G1174=" ",NOT(ISNUMBER(G1174))),"Unknown",G1174&lt;=33,"Low Spender",G1174&lt;=66,"Medium Spender",TRUE, "High Spender")</f>
        <v>High Spender</v>
      </c>
      <c r="I1174" s="1">
        <v>70</v>
      </c>
      <c r="J1174" s="1">
        <v>6500</v>
      </c>
      <c r="K1174" s="1">
        <v>293</v>
      </c>
      <c r="L1174" s="1" t="s">
        <v>16</v>
      </c>
      <c r="N1174" s="1" t="str">
        <f t="shared" si="36"/>
        <v>Lower</v>
      </c>
      <c r="O1174" s="1" t="str">
        <f t="shared" si="37"/>
        <v>Early Career | High Spender | Lower</v>
      </c>
    </row>
    <row r="1175" spans="1:15" x14ac:dyDescent="0.25">
      <c r="A1175" s="1" t="s">
        <v>1205</v>
      </c>
      <c r="B1175" s="1">
        <v>53</v>
      </c>
      <c r="C1175" s="1" t="str" cm="1">
        <f t="array" ref="C1175">_xlfn.IFS(OR(B1175=" ", B1175="NA",NOT(ISNUMBER(B1175))), "Unknown",B1175&lt;18,"Underage",B1175&lt;=24,"Young Adult",B1175&lt;=34,"Early Career",B1175&lt;=44,"Mid Career",B1175&lt;=54,"Mature",B1175&lt;=65,"Pre-Senior",B1175&gt;65,"Senior")</f>
        <v>Mature</v>
      </c>
      <c r="D1175" s="1" t="s">
        <v>12</v>
      </c>
      <c r="E1175" s="1" t="s">
        <v>34</v>
      </c>
      <c r="F1175" s="1">
        <v>550000</v>
      </c>
      <c r="G1175" s="1">
        <v>77</v>
      </c>
      <c r="H1175" s="1" t="str" cm="1">
        <f t="array" ref="H1175">_xlfn.IFS( OR(G1175=" ",NOT(ISNUMBER(G1175))),"Unknown",G1175&lt;=33,"Low Spender",G1175&lt;=66,"Medium Spender",TRUE, "High Spender")</f>
        <v>High Spender</v>
      </c>
      <c r="I1175" s="1">
        <v>68</v>
      </c>
      <c r="J1175" s="1">
        <v>1700</v>
      </c>
      <c r="K1175" s="1">
        <v>52</v>
      </c>
      <c r="N1175" s="1" t="str">
        <f t="shared" si="36"/>
        <v>Lower</v>
      </c>
      <c r="O1175" s="1" t="str">
        <f t="shared" si="37"/>
        <v>Mature | High Spender | Lower</v>
      </c>
    </row>
    <row r="1176" spans="1:15" x14ac:dyDescent="0.25">
      <c r="A1176" s="1" t="s">
        <v>1206</v>
      </c>
      <c r="B1176" s="1">
        <v>30</v>
      </c>
      <c r="C1176" s="1" t="str" cm="1">
        <f t="array" ref="C1176">_xlfn.IFS(OR(B1176=" ", B1176="NA",NOT(ISNUMBER(B1176))), "Unknown",B1176&lt;18,"Underage",B1176&lt;=24,"Young Adult",B1176&lt;=34,"Early Career",B1176&lt;=44,"Mid Career",B1176&lt;=54,"Mature",B1176&lt;=65,"Pre-Senior",B1176&gt;65,"Senior")</f>
        <v>Early Career</v>
      </c>
      <c r="D1176" s="1" t="s">
        <v>29</v>
      </c>
      <c r="E1176" s="1" t="s">
        <v>58</v>
      </c>
      <c r="F1176" s="1">
        <v>1375000</v>
      </c>
      <c r="G1176" s="1">
        <v>54</v>
      </c>
      <c r="H1176" s="1" t="str" cm="1">
        <f t="array" ref="H1176">_xlfn.IFS( OR(G1176=" ",NOT(ISNUMBER(G1176))),"Unknown",G1176&lt;=33,"Low Spender",G1176&lt;=66,"Medium Spender",TRUE, "High Spender")</f>
        <v>Medium Spender</v>
      </c>
      <c r="I1176" s="1">
        <v>63</v>
      </c>
      <c r="J1176" s="1">
        <v>11800</v>
      </c>
      <c r="K1176" s="1">
        <v>240</v>
      </c>
      <c r="M1176" s="1" t="s">
        <v>32</v>
      </c>
      <c r="N1176" s="1" t="str">
        <f t="shared" si="36"/>
        <v>Higher</v>
      </c>
      <c r="O1176" s="1" t="str">
        <f t="shared" si="37"/>
        <v>Early Career | Medium Spender | Higher</v>
      </c>
    </row>
    <row r="1177" spans="1:15" x14ac:dyDescent="0.25">
      <c r="A1177" s="1" t="s">
        <v>1207</v>
      </c>
      <c r="B1177" s="1">
        <v>60</v>
      </c>
      <c r="C1177" s="1" t="str" cm="1">
        <f t="array" ref="C1177">_xlfn.IFS(OR(B1177=" ", B1177="NA",NOT(ISNUMBER(B1177))), "Unknown",B1177&lt;18,"Underage",B1177&lt;=24,"Young Adult",B1177&lt;=34,"Early Career",B1177&lt;=44,"Mid Career",B1177&lt;=54,"Mature",B1177&lt;=65,"Pre-Senior",B1177&gt;65,"Senior")</f>
        <v>Pre-Senior</v>
      </c>
      <c r="D1177" s="1" t="s">
        <v>29</v>
      </c>
      <c r="E1177" s="1" t="s">
        <v>27</v>
      </c>
      <c r="F1177" s="1">
        <v>925000</v>
      </c>
      <c r="G1177" s="1">
        <v>29</v>
      </c>
      <c r="H1177" s="1" t="str" cm="1">
        <f t="array" ref="H1177">_xlfn.IFS( OR(G1177=" ",NOT(ISNUMBER(G1177))),"Unknown",G1177&lt;=33,"Low Spender",G1177&lt;=66,"Medium Spender",TRUE, "High Spender")</f>
        <v>Low Spender</v>
      </c>
      <c r="I1177" s="1">
        <v>58</v>
      </c>
      <c r="J1177" s="1">
        <v>3800</v>
      </c>
      <c r="K1177" s="1">
        <v>99</v>
      </c>
      <c r="M1177" s="1" t="s">
        <v>30</v>
      </c>
      <c r="N1177" s="1" t="str">
        <f t="shared" si="36"/>
        <v>Higher</v>
      </c>
      <c r="O1177" s="1" t="str">
        <f t="shared" si="37"/>
        <v>Pre-Senior | Low Spender | Higher</v>
      </c>
    </row>
    <row r="1178" spans="1:15" x14ac:dyDescent="0.25">
      <c r="A1178" s="1" t="s">
        <v>1208</v>
      </c>
      <c r="B1178" s="1">
        <v>20</v>
      </c>
      <c r="C1178" s="1" t="str" cm="1">
        <f t="array" ref="C1178">_xlfn.IFS(OR(B1178=" ", B1178="NA",NOT(ISNUMBER(B1178))), "Unknown",B1178&lt;18,"Underage",B1178&lt;=24,"Young Adult",B1178&lt;=34,"Early Career",B1178&lt;=44,"Mid Career",B1178&lt;=54,"Mature",B1178&lt;=65,"Pre-Senior",B1178&gt;65,"Senior")</f>
        <v>Young Adult</v>
      </c>
      <c r="E1178" s="1" t="s">
        <v>58</v>
      </c>
      <c r="F1178" s="1">
        <v>675000</v>
      </c>
      <c r="H1178" s="1" t="str" cm="1">
        <f t="array" ref="H1178">_xlfn.IFS( OR(G1178=" ",NOT(ISNUMBER(G1178))),"Unknown",G1178&lt;=33,"Low Spender",G1178&lt;=66,"Medium Spender",TRUE, "High Spender")</f>
        <v>Unknown</v>
      </c>
      <c r="I1178" s="1">
        <v>23</v>
      </c>
      <c r="J1178" s="1">
        <v>3100</v>
      </c>
      <c r="K1178" s="1">
        <v>81</v>
      </c>
      <c r="M1178" s="1" t="s">
        <v>30</v>
      </c>
      <c r="N1178" s="1" t="str">
        <f t="shared" si="36"/>
        <v>Lower</v>
      </c>
      <c r="O1178" s="1" t="str">
        <f t="shared" si="37"/>
        <v>Young Adult | Unknown | Lower</v>
      </c>
    </row>
    <row r="1179" spans="1:15" x14ac:dyDescent="0.25">
      <c r="A1179" s="1" t="s">
        <v>1209</v>
      </c>
      <c r="B1179" s="1">
        <v>50</v>
      </c>
      <c r="C1179" s="1" t="str" cm="1">
        <f t="array" ref="C1179">_xlfn.IFS(OR(B1179=" ", B1179="NA",NOT(ISNUMBER(B1179))), "Unknown",B1179&lt;18,"Underage",B1179&lt;=24,"Young Adult",B1179&lt;=34,"Early Career",B1179&lt;=44,"Mid Career",B1179&lt;=54,"Mature",B1179&lt;=65,"Pre-Senior",B1179&gt;65,"Senior")</f>
        <v>Mature</v>
      </c>
      <c r="D1179" s="1" t="s">
        <v>18</v>
      </c>
      <c r="E1179" s="1" t="s">
        <v>34</v>
      </c>
      <c r="F1179" s="1">
        <v>1500000</v>
      </c>
      <c r="G1179" s="1">
        <v>41</v>
      </c>
      <c r="H1179" s="1" t="str" cm="1">
        <f t="array" ref="H1179">_xlfn.IFS( OR(G1179=" ",NOT(ISNUMBER(G1179))),"Unknown",G1179&lt;=33,"Low Spender",G1179&lt;=66,"Medium Spender",TRUE, "High Spender")</f>
        <v>Medium Spender</v>
      </c>
      <c r="I1179" s="1">
        <v>44</v>
      </c>
      <c r="J1179" s="1">
        <v>5400</v>
      </c>
      <c r="K1179" s="1">
        <v>13</v>
      </c>
      <c r="L1179" s="1" t="s">
        <v>37</v>
      </c>
      <c r="N1179" s="1" t="str">
        <f t="shared" si="36"/>
        <v>Higher</v>
      </c>
      <c r="O1179" s="1" t="str">
        <f t="shared" si="37"/>
        <v>Mature | Medium Spender | Higher</v>
      </c>
    </row>
    <row r="1180" spans="1:15" x14ac:dyDescent="0.25">
      <c r="A1180" s="1" t="s">
        <v>1210</v>
      </c>
      <c r="B1180" s="1">
        <v>23</v>
      </c>
      <c r="C1180" s="1" t="str" cm="1">
        <f t="array" ref="C1180">_xlfn.IFS(OR(B1180=" ", B1180="NA",NOT(ISNUMBER(B1180))), "Unknown",B1180&lt;18,"Underage",B1180&lt;=24,"Young Adult",B1180&lt;=34,"Early Career",B1180&lt;=44,"Mid Career",B1180&lt;=54,"Mature",B1180&lt;=65,"Pre-Senior",B1180&gt;65,"Senior")</f>
        <v>Young Adult</v>
      </c>
      <c r="E1180" s="1" t="s">
        <v>27</v>
      </c>
      <c r="F1180" s="1">
        <v>1550000</v>
      </c>
      <c r="G1180" s="1">
        <v>9</v>
      </c>
      <c r="H1180" s="1" t="str" cm="1">
        <f t="array" ref="H1180">_xlfn.IFS( OR(G1180=" ",NOT(ISNUMBER(G1180))),"Unknown",G1180&lt;=33,"Low Spender",G1180&lt;=66,"Medium Spender",TRUE, "High Spender")</f>
        <v>Low Spender</v>
      </c>
      <c r="I1180" s="1">
        <v>44</v>
      </c>
      <c r="J1180" s="1">
        <v>4800</v>
      </c>
      <c r="K1180" s="1">
        <v>357</v>
      </c>
      <c r="L1180" s="1" t="s">
        <v>35</v>
      </c>
      <c r="N1180" s="1" t="str">
        <f t="shared" si="36"/>
        <v>Lower</v>
      </c>
      <c r="O1180" s="1" t="str">
        <f t="shared" si="37"/>
        <v>Young Adult | Low Spender | Lower</v>
      </c>
    </row>
    <row r="1181" spans="1:15" x14ac:dyDescent="0.25">
      <c r="A1181" s="1" t="s">
        <v>1211</v>
      </c>
      <c r="B1181" s="1">
        <v>67</v>
      </c>
      <c r="C1181" s="1" t="str" cm="1">
        <f t="array" ref="C1181">_xlfn.IFS(OR(B1181=" ", B1181="NA",NOT(ISNUMBER(B1181))), "Unknown",B1181&lt;18,"Underage",B1181&lt;=24,"Young Adult",B1181&lt;=34,"Early Career",B1181&lt;=44,"Mid Career",B1181&lt;=54,"Mature",B1181&lt;=65,"Pre-Senior",B1181&gt;65,"Senior")</f>
        <v>Senior</v>
      </c>
      <c r="D1181" s="1" t="s">
        <v>18</v>
      </c>
      <c r="E1181" s="1" t="s">
        <v>58</v>
      </c>
      <c r="F1181" s="1">
        <v>450000</v>
      </c>
      <c r="G1181" s="1">
        <v>63</v>
      </c>
      <c r="H1181" s="1" t="str" cm="1">
        <f t="array" ref="H1181">_xlfn.IFS( OR(G1181=" ",NOT(ISNUMBER(G1181))),"Unknown",G1181&lt;=33,"Low Spender",G1181&lt;=66,"Medium Spender",TRUE, "High Spender")</f>
        <v>Medium Spender</v>
      </c>
      <c r="I1181" s="1">
        <v>52</v>
      </c>
      <c r="J1181" s="1">
        <v>7100</v>
      </c>
      <c r="K1181" s="1">
        <v>128</v>
      </c>
      <c r="L1181" s="1" t="s">
        <v>37</v>
      </c>
      <c r="N1181" s="1" t="str">
        <f t="shared" si="36"/>
        <v>Higher</v>
      </c>
      <c r="O1181" s="1" t="str">
        <f t="shared" si="37"/>
        <v>Senior | Medium Spender | Higher</v>
      </c>
    </row>
    <row r="1182" spans="1:15" x14ac:dyDescent="0.25">
      <c r="A1182" s="1" t="s">
        <v>1212</v>
      </c>
      <c r="B1182" s="1">
        <v>27</v>
      </c>
      <c r="C1182" s="1" t="str" cm="1">
        <f t="array" ref="C1182">_xlfn.IFS(OR(B1182=" ", B1182="NA",NOT(ISNUMBER(B1182))), "Unknown",B1182&lt;18,"Underage",B1182&lt;=24,"Young Adult",B1182&lt;=34,"Early Career",B1182&lt;=44,"Mid Career",B1182&lt;=54,"Mature",B1182&lt;=65,"Pre-Senior",B1182&gt;65,"Senior")</f>
        <v>Early Career</v>
      </c>
      <c r="D1182" s="1" t="s">
        <v>29</v>
      </c>
      <c r="E1182" s="1" t="s">
        <v>13</v>
      </c>
      <c r="F1182" s="1">
        <v>1300000</v>
      </c>
      <c r="G1182" s="1">
        <v>77</v>
      </c>
      <c r="H1182" s="1" t="str" cm="1">
        <f t="array" ref="H1182">_xlfn.IFS( OR(G1182=" ",NOT(ISNUMBER(G1182))),"Unknown",G1182&lt;=33,"Low Spender",G1182&lt;=66,"Medium Spender",TRUE, "High Spender")</f>
        <v>High Spender</v>
      </c>
      <c r="I1182" s="1">
        <v>67</v>
      </c>
      <c r="J1182" s="1">
        <v>3100</v>
      </c>
      <c r="K1182" s="1">
        <v>304</v>
      </c>
      <c r="L1182" s="1" t="s">
        <v>37</v>
      </c>
      <c r="M1182" s="1" t="s">
        <v>21</v>
      </c>
      <c r="N1182" s="1" t="str">
        <f t="shared" si="36"/>
        <v>Higher</v>
      </c>
      <c r="O1182" s="1" t="str">
        <f t="shared" si="37"/>
        <v>Early Career | High Spender | Higher</v>
      </c>
    </row>
    <row r="1183" spans="1:15" x14ac:dyDescent="0.25">
      <c r="A1183" s="1" t="s">
        <v>1213</v>
      </c>
      <c r="B1183" s="1">
        <v>22</v>
      </c>
      <c r="C1183" s="1" t="str" cm="1">
        <f t="array" ref="C1183">_xlfn.IFS(OR(B1183=" ", B1183="NA",NOT(ISNUMBER(B1183))), "Unknown",B1183&lt;18,"Underage",B1183&lt;=24,"Young Adult",B1183&lt;=34,"Early Career",B1183&lt;=44,"Mid Career",B1183&lt;=54,"Mature",B1183&lt;=65,"Pre-Senior",B1183&gt;65,"Senior")</f>
        <v>Young Adult</v>
      </c>
      <c r="E1183" s="1" t="s">
        <v>49</v>
      </c>
      <c r="F1183" s="1">
        <v>1675000</v>
      </c>
      <c r="G1183" s="1">
        <v>37</v>
      </c>
      <c r="H1183" s="1" t="str" cm="1">
        <f t="array" ref="H1183">_xlfn.IFS( OR(G1183=" ",NOT(ISNUMBER(G1183))),"Unknown",G1183&lt;=33,"Low Spender",G1183&lt;=66,"Medium Spender",TRUE, "High Spender")</f>
        <v>Medium Spender</v>
      </c>
      <c r="I1183" s="1">
        <v>28</v>
      </c>
      <c r="J1183" s="1">
        <v>11300</v>
      </c>
      <c r="K1183" s="1">
        <v>11</v>
      </c>
      <c r="M1183" s="1" t="s">
        <v>21</v>
      </c>
      <c r="N1183" s="1" t="str">
        <f t="shared" si="36"/>
        <v>Lower</v>
      </c>
      <c r="O1183" s="1" t="str">
        <f t="shared" si="37"/>
        <v>Young Adult | Medium Spender | Lower</v>
      </c>
    </row>
    <row r="1184" spans="1:15" x14ac:dyDescent="0.25">
      <c r="A1184" s="1" t="s">
        <v>1214</v>
      </c>
      <c r="B1184" s="1">
        <v>40</v>
      </c>
      <c r="C1184" s="1" t="str" cm="1">
        <f t="array" ref="C1184">_xlfn.IFS(OR(B1184=" ", B1184="NA",NOT(ISNUMBER(B1184))), "Unknown",B1184&lt;18,"Underage",B1184&lt;=24,"Young Adult",B1184&lt;=34,"Early Career",B1184&lt;=44,"Mid Career",B1184&lt;=54,"Mature",B1184&lt;=65,"Pre-Senior",B1184&gt;65,"Senior")</f>
        <v>Mid Career</v>
      </c>
      <c r="D1184" s="1" t="s">
        <v>18</v>
      </c>
      <c r="E1184" s="1" t="s">
        <v>15</v>
      </c>
      <c r="F1184" s="1">
        <v>1475000</v>
      </c>
      <c r="G1184" s="1">
        <v>14</v>
      </c>
      <c r="H1184" s="1" t="str" cm="1">
        <f t="array" ref="H1184">_xlfn.IFS( OR(G1184=" ",NOT(ISNUMBER(G1184))),"Unknown",G1184&lt;=33,"Low Spender",G1184&lt;=66,"Medium Spender",TRUE, "High Spender")</f>
        <v>Low Spender</v>
      </c>
      <c r="I1184" s="1">
        <v>67</v>
      </c>
      <c r="J1184" s="1">
        <v>4900</v>
      </c>
      <c r="K1184" s="1">
        <v>81</v>
      </c>
      <c r="L1184" s="1" t="s">
        <v>35</v>
      </c>
      <c r="M1184" s="1" t="s">
        <v>30</v>
      </c>
      <c r="N1184" s="1" t="str">
        <f t="shared" si="36"/>
        <v>Higher</v>
      </c>
      <c r="O1184" s="1" t="str">
        <f t="shared" si="37"/>
        <v>Mid Career | Low Spender | Higher</v>
      </c>
    </row>
    <row r="1185" spans="1:15" x14ac:dyDescent="0.25">
      <c r="A1185" s="1" t="s">
        <v>1215</v>
      </c>
      <c r="B1185" s="1">
        <v>27</v>
      </c>
      <c r="C1185" s="1" t="str" cm="1">
        <f t="array" ref="C1185">_xlfn.IFS(OR(B1185=" ", B1185="NA",NOT(ISNUMBER(B1185))), "Unknown",B1185&lt;18,"Underage",B1185&lt;=24,"Young Adult",B1185&lt;=34,"Early Career",B1185&lt;=44,"Mid Career",B1185&lt;=54,"Mature",B1185&lt;=65,"Pre-Senior",B1185&gt;65,"Senior")</f>
        <v>Early Career</v>
      </c>
      <c r="D1185" s="1" t="s">
        <v>29</v>
      </c>
      <c r="E1185" s="1" t="s">
        <v>23</v>
      </c>
      <c r="F1185" s="1">
        <v>850000</v>
      </c>
      <c r="H1185" s="1" t="str" cm="1">
        <f t="array" ref="H1185">_xlfn.IFS( OR(G1185=" ",NOT(ISNUMBER(G1185))),"Unknown",G1185&lt;=33,"Low Spender",G1185&lt;=66,"Medium Spender",TRUE, "High Spender")</f>
        <v>Unknown</v>
      </c>
      <c r="I1185" s="1">
        <v>78</v>
      </c>
      <c r="J1185" s="1">
        <v>9300</v>
      </c>
      <c r="K1185" s="1">
        <v>261</v>
      </c>
      <c r="N1185" s="1" t="str">
        <f t="shared" si="36"/>
        <v>Higher</v>
      </c>
      <c r="O1185" s="1" t="str">
        <f t="shared" si="37"/>
        <v>Early Career | Unknown | Higher</v>
      </c>
    </row>
    <row r="1186" spans="1:15" x14ac:dyDescent="0.25">
      <c r="A1186" s="1" t="s">
        <v>1216</v>
      </c>
      <c r="B1186" s="1">
        <v>61</v>
      </c>
      <c r="C1186" s="1" t="str" cm="1">
        <f t="array" ref="C1186">_xlfn.IFS(OR(B1186=" ", B1186="NA",NOT(ISNUMBER(B1186))), "Unknown",B1186&lt;18,"Underage",B1186&lt;=24,"Young Adult",B1186&lt;=34,"Early Career",B1186&lt;=44,"Mid Career",B1186&lt;=54,"Mature",B1186&lt;=65,"Pre-Senior",B1186&gt;65,"Senior")</f>
        <v>Pre-Senior</v>
      </c>
      <c r="D1186" s="1" t="s">
        <v>12</v>
      </c>
      <c r="E1186" s="1" t="s">
        <v>49</v>
      </c>
      <c r="F1186" s="1">
        <v>675000</v>
      </c>
      <c r="G1186" s="1">
        <v>73</v>
      </c>
      <c r="H1186" s="1" t="str" cm="1">
        <f t="array" ref="H1186">_xlfn.IFS( OR(G1186=" ",NOT(ISNUMBER(G1186))),"Unknown",G1186&lt;=33,"Low Spender",G1186&lt;=66,"Medium Spender",TRUE, "High Spender")</f>
        <v>High Spender</v>
      </c>
      <c r="I1186" s="1">
        <v>18</v>
      </c>
      <c r="J1186" s="1">
        <v>2700</v>
      </c>
      <c r="K1186" s="1">
        <v>6</v>
      </c>
      <c r="L1186" s="1" t="s">
        <v>35</v>
      </c>
      <c r="M1186" s="1" t="s">
        <v>41</v>
      </c>
      <c r="N1186" s="1" t="str">
        <f t="shared" si="36"/>
        <v>Lower</v>
      </c>
      <c r="O1186" s="1" t="str">
        <f t="shared" si="37"/>
        <v>Pre-Senior | High Spender | Lower</v>
      </c>
    </row>
    <row r="1187" spans="1:15" x14ac:dyDescent="0.25">
      <c r="A1187" s="1" t="s">
        <v>1217</v>
      </c>
      <c r="B1187" s="1">
        <v>19</v>
      </c>
      <c r="C1187" s="1" t="str" cm="1">
        <f t="array" ref="C1187">_xlfn.IFS(OR(B1187=" ", B1187="NA",NOT(ISNUMBER(B1187))), "Unknown",B1187&lt;18,"Underage",B1187&lt;=24,"Young Adult",B1187&lt;=34,"Early Career",B1187&lt;=44,"Mid Career",B1187&lt;=54,"Mature",B1187&lt;=65,"Pre-Senior",B1187&gt;65,"Senior")</f>
        <v>Young Adult</v>
      </c>
      <c r="D1187" s="1" t="s">
        <v>18</v>
      </c>
      <c r="E1187" s="1" t="s">
        <v>58</v>
      </c>
      <c r="F1187" s="1">
        <v>1750000</v>
      </c>
      <c r="G1187" s="1">
        <v>72</v>
      </c>
      <c r="H1187" s="1" t="str" cm="1">
        <f t="array" ref="H1187">_xlfn.IFS( OR(G1187=" ",NOT(ISNUMBER(G1187))),"Unknown",G1187&lt;=33,"Low Spender",G1187&lt;=66,"Medium Spender",TRUE, "High Spender")</f>
        <v>High Spender</v>
      </c>
      <c r="I1187" s="1">
        <v>27</v>
      </c>
      <c r="J1187" s="1">
        <v>8200</v>
      </c>
      <c r="K1187" s="1">
        <v>222</v>
      </c>
      <c r="N1187" s="1" t="str">
        <f t="shared" si="36"/>
        <v>Higher</v>
      </c>
      <c r="O1187" s="1" t="str">
        <f t="shared" si="37"/>
        <v>Young Adult | High Spender | Higher</v>
      </c>
    </row>
    <row r="1188" spans="1:15" x14ac:dyDescent="0.25">
      <c r="A1188" s="1" t="s">
        <v>1218</v>
      </c>
      <c r="B1188" s="1">
        <v>30</v>
      </c>
      <c r="C1188" s="1" t="str" cm="1">
        <f t="array" ref="C1188">_xlfn.IFS(OR(B1188=" ", B1188="NA",NOT(ISNUMBER(B1188))), "Unknown",B1188&lt;18,"Underage",B1188&lt;=24,"Young Adult",B1188&lt;=34,"Early Career",B1188&lt;=44,"Mid Career",B1188&lt;=54,"Mature",B1188&lt;=65,"Pre-Senior",B1188&gt;65,"Senior")</f>
        <v>Early Career</v>
      </c>
      <c r="D1188" s="1" t="s">
        <v>12</v>
      </c>
      <c r="E1188" s="1" t="s">
        <v>27</v>
      </c>
      <c r="F1188" s="1">
        <v>850000</v>
      </c>
      <c r="G1188" s="1">
        <v>39</v>
      </c>
      <c r="H1188" s="1" t="str" cm="1">
        <f t="array" ref="H1188">_xlfn.IFS( OR(G1188=" ",NOT(ISNUMBER(G1188))),"Unknown",G1188&lt;=33,"Low Spender",G1188&lt;=66,"Medium Spender",TRUE, "High Spender")</f>
        <v>Medium Spender</v>
      </c>
      <c r="I1188" s="1">
        <v>51</v>
      </c>
      <c r="J1188" s="1">
        <v>1800</v>
      </c>
      <c r="K1188" s="1">
        <v>298</v>
      </c>
      <c r="L1188" s="1" t="s">
        <v>20</v>
      </c>
      <c r="M1188" s="1" t="s">
        <v>30</v>
      </c>
      <c r="N1188" s="1" t="str">
        <f t="shared" si="36"/>
        <v>Lower</v>
      </c>
      <c r="O1188" s="1" t="str">
        <f t="shared" si="37"/>
        <v>Early Career | Medium Spender | Lower</v>
      </c>
    </row>
    <row r="1189" spans="1:15" x14ac:dyDescent="0.25">
      <c r="A1189" s="1" t="s">
        <v>1219</v>
      </c>
      <c r="B1189" s="1">
        <v>57</v>
      </c>
      <c r="C1189" s="1" t="str" cm="1">
        <f t="array" ref="C1189">_xlfn.IFS(OR(B1189=" ", B1189="NA",NOT(ISNUMBER(B1189))), "Unknown",B1189&lt;18,"Underage",B1189&lt;=24,"Young Adult",B1189&lt;=34,"Early Career",B1189&lt;=44,"Mid Career",B1189&lt;=54,"Mature",B1189&lt;=65,"Pre-Senior",B1189&gt;65,"Senior")</f>
        <v>Pre-Senior</v>
      </c>
      <c r="E1189" s="1" t="s">
        <v>13</v>
      </c>
      <c r="F1189" s="1">
        <v>1325000</v>
      </c>
      <c r="G1189" s="1">
        <v>40</v>
      </c>
      <c r="H1189" s="1" t="str" cm="1">
        <f t="array" ref="H1189">_xlfn.IFS( OR(G1189=" ",NOT(ISNUMBER(G1189))),"Unknown",G1189&lt;=33,"Low Spender",G1189&lt;=66,"Medium Spender",TRUE, "High Spender")</f>
        <v>Medium Spender</v>
      </c>
      <c r="I1189" s="1">
        <v>60</v>
      </c>
      <c r="J1189" s="1">
        <v>10200</v>
      </c>
      <c r="K1189" s="1">
        <v>81</v>
      </c>
      <c r="L1189" s="1" t="s">
        <v>16</v>
      </c>
      <c r="N1189" s="1" t="str">
        <f t="shared" si="36"/>
        <v>Lower</v>
      </c>
      <c r="O1189" s="1" t="str">
        <f t="shared" si="37"/>
        <v>Pre-Senior | Medium Spender | Lower</v>
      </c>
    </row>
    <row r="1190" spans="1:15" x14ac:dyDescent="0.25">
      <c r="A1190" s="1" t="s">
        <v>1220</v>
      </c>
      <c r="B1190" s="1">
        <v>19</v>
      </c>
      <c r="C1190" s="1" t="str" cm="1">
        <f t="array" ref="C1190">_xlfn.IFS(OR(B1190=" ", B1190="NA",NOT(ISNUMBER(B1190))), "Unknown",B1190&lt;18,"Underage",B1190&lt;=24,"Young Adult",B1190&lt;=34,"Early Career",B1190&lt;=44,"Mid Career",B1190&lt;=54,"Mature",B1190&lt;=65,"Pre-Senior",B1190&gt;65,"Senior")</f>
        <v>Young Adult</v>
      </c>
      <c r="D1190" s="1" t="s">
        <v>18</v>
      </c>
      <c r="E1190" s="1" t="s">
        <v>13</v>
      </c>
      <c r="F1190" s="1">
        <v>250000</v>
      </c>
      <c r="G1190" s="1">
        <v>54</v>
      </c>
      <c r="H1190" s="1" t="str" cm="1">
        <f t="array" ref="H1190">_xlfn.IFS( OR(G1190=" ",NOT(ISNUMBER(G1190))),"Unknown",G1190&lt;=33,"Low Spender",G1190&lt;=66,"Medium Spender",TRUE, "High Spender")</f>
        <v>Medium Spender</v>
      </c>
      <c r="I1190" s="1">
        <v>74</v>
      </c>
      <c r="J1190" s="1">
        <v>9100</v>
      </c>
      <c r="K1190" s="1">
        <v>3</v>
      </c>
      <c r="M1190" s="1" t="s">
        <v>41</v>
      </c>
      <c r="N1190" s="1" t="str">
        <f t="shared" si="36"/>
        <v>Higher</v>
      </c>
      <c r="O1190" s="1" t="str">
        <f t="shared" si="37"/>
        <v>Young Adult | Medium Spender | Higher</v>
      </c>
    </row>
    <row r="1191" spans="1:15" x14ac:dyDescent="0.25">
      <c r="A1191" s="1" t="s">
        <v>1221</v>
      </c>
      <c r="B1191" s="1">
        <v>37</v>
      </c>
      <c r="C1191" s="1" t="str" cm="1">
        <f t="array" ref="C1191">_xlfn.IFS(OR(B1191=" ", B1191="NA",NOT(ISNUMBER(B1191))), "Unknown",B1191&lt;18,"Underage",B1191&lt;=24,"Young Adult",B1191&lt;=34,"Early Career",B1191&lt;=44,"Mid Career",B1191&lt;=54,"Mature",B1191&lt;=65,"Pre-Senior",B1191&gt;65,"Senior")</f>
        <v>Mid Career</v>
      </c>
      <c r="E1191" s="1" t="s">
        <v>23</v>
      </c>
      <c r="F1191" s="1">
        <v>1000000</v>
      </c>
      <c r="G1191" s="1">
        <v>3</v>
      </c>
      <c r="H1191" s="1" t="str" cm="1">
        <f t="array" ref="H1191">_xlfn.IFS( OR(G1191=" ",NOT(ISNUMBER(G1191))),"Unknown",G1191&lt;=33,"Low Spender",G1191&lt;=66,"Medium Spender",TRUE, "High Spender")</f>
        <v>Low Spender</v>
      </c>
      <c r="I1191" s="1">
        <v>49</v>
      </c>
      <c r="J1191" s="1">
        <v>4300</v>
      </c>
      <c r="K1191" s="1">
        <v>60</v>
      </c>
      <c r="N1191" s="1" t="str">
        <f t="shared" si="36"/>
        <v>Lower</v>
      </c>
      <c r="O1191" s="1" t="str">
        <f t="shared" si="37"/>
        <v>Mid Career | Low Spender | Lower</v>
      </c>
    </row>
    <row r="1192" spans="1:15" x14ac:dyDescent="0.25">
      <c r="A1192" s="1" t="s">
        <v>1222</v>
      </c>
      <c r="B1192" s="1">
        <v>18</v>
      </c>
      <c r="C1192" s="1" t="str" cm="1">
        <f t="array" ref="C1192">_xlfn.IFS(OR(B1192=" ", B1192="NA",NOT(ISNUMBER(B1192))), "Unknown",B1192&lt;18,"Underage",B1192&lt;=24,"Young Adult",B1192&lt;=34,"Early Career",B1192&lt;=44,"Mid Career",B1192&lt;=54,"Mature",B1192&lt;=65,"Pre-Senior",B1192&gt;65,"Senior")</f>
        <v>Young Adult</v>
      </c>
      <c r="D1192" s="1" t="s">
        <v>29</v>
      </c>
      <c r="E1192" s="1" t="s">
        <v>13</v>
      </c>
      <c r="F1192" s="1">
        <v>1975000</v>
      </c>
      <c r="G1192" s="1">
        <v>55</v>
      </c>
      <c r="H1192" s="1" t="str" cm="1">
        <f t="array" ref="H1192">_xlfn.IFS( OR(G1192=" ",NOT(ISNUMBER(G1192))),"Unknown",G1192&lt;=33,"Low Spender",G1192&lt;=66,"Medium Spender",TRUE, "High Spender")</f>
        <v>Medium Spender</v>
      </c>
      <c r="I1192" s="1">
        <v>15</v>
      </c>
      <c r="J1192" s="1">
        <v>6700</v>
      </c>
      <c r="K1192" s="1">
        <v>221</v>
      </c>
      <c r="M1192" s="1" t="s">
        <v>32</v>
      </c>
      <c r="N1192" s="1" t="str">
        <f t="shared" si="36"/>
        <v>Higher</v>
      </c>
      <c r="O1192" s="1" t="str">
        <f t="shared" si="37"/>
        <v>Young Adult | Medium Spender | Higher</v>
      </c>
    </row>
    <row r="1193" spans="1:15" x14ac:dyDescent="0.25">
      <c r="A1193" s="1" t="s">
        <v>1223</v>
      </c>
      <c r="B1193" s="1">
        <v>54</v>
      </c>
      <c r="C1193" s="1" t="str" cm="1">
        <f t="array" ref="C1193">_xlfn.IFS(OR(B1193=" ", B1193="NA",NOT(ISNUMBER(B1193))), "Unknown",B1193&lt;18,"Underage",B1193&lt;=24,"Young Adult",B1193&lt;=34,"Early Career",B1193&lt;=44,"Mid Career",B1193&lt;=54,"Mature",B1193&lt;=65,"Pre-Senior",B1193&gt;65,"Senior")</f>
        <v>Mature</v>
      </c>
      <c r="D1193" s="1" t="s">
        <v>29</v>
      </c>
      <c r="E1193" s="1" t="s">
        <v>49</v>
      </c>
      <c r="F1193" s="1">
        <v>1900000</v>
      </c>
      <c r="G1193" s="1">
        <v>33</v>
      </c>
      <c r="H1193" s="1" t="str" cm="1">
        <f t="array" ref="H1193">_xlfn.IFS( OR(G1193=" ",NOT(ISNUMBER(G1193))),"Unknown",G1193&lt;=33,"Low Spender",G1193&lt;=66,"Medium Spender",TRUE, "High Spender")</f>
        <v>Low Spender</v>
      </c>
      <c r="I1193" s="1">
        <v>73</v>
      </c>
      <c r="J1193" s="1">
        <v>7100</v>
      </c>
      <c r="K1193" s="1">
        <v>349</v>
      </c>
      <c r="L1193" s="1" t="s">
        <v>35</v>
      </c>
      <c r="M1193" s="1" t="s">
        <v>41</v>
      </c>
      <c r="N1193" s="1" t="str">
        <f t="shared" si="36"/>
        <v>Higher</v>
      </c>
      <c r="O1193" s="1" t="str">
        <f t="shared" si="37"/>
        <v>Mature | Low Spender | Higher</v>
      </c>
    </row>
    <row r="1194" spans="1:15" x14ac:dyDescent="0.25">
      <c r="A1194" s="1" t="s">
        <v>1224</v>
      </c>
      <c r="B1194" s="1">
        <v>26</v>
      </c>
      <c r="C1194" s="1" t="str" cm="1">
        <f t="array" ref="C1194">_xlfn.IFS(OR(B1194=" ", B1194="NA",NOT(ISNUMBER(B1194))), "Unknown",B1194&lt;18,"Underage",B1194&lt;=24,"Young Adult",B1194&lt;=34,"Early Career",B1194&lt;=44,"Mid Career",B1194&lt;=54,"Mature",B1194&lt;=65,"Pre-Senior",B1194&gt;65,"Senior")</f>
        <v>Early Career</v>
      </c>
      <c r="D1194" s="1" t="s">
        <v>29</v>
      </c>
      <c r="F1194" s="1">
        <v>1275000</v>
      </c>
      <c r="G1194" s="1">
        <v>96</v>
      </c>
      <c r="H1194" s="1" t="str" cm="1">
        <f t="array" ref="H1194">_xlfn.IFS( OR(G1194=" ",NOT(ISNUMBER(G1194))),"Unknown",G1194&lt;=33,"Low Spender",G1194&lt;=66,"Medium Spender",TRUE, "High Spender")</f>
        <v>High Spender</v>
      </c>
      <c r="I1194" s="1">
        <v>68</v>
      </c>
      <c r="J1194" s="1">
        <v>10700</v>
      </c>
      <c r="K1194" s="1">
        <v>49</v>
      </c>
      <c r="N1194" s="1" t="str">
        <f t="shared" si="36"/>
        <v>Higher</v>
      </c>
      <c r="O1194" s="1" t="str">
        <f t="shared" si="37"/>
        <v>Early Career | High Spender | Higher</v>
      </c>
    </row>
    <row r="1195" spans="1:15" x14ac:dyDescent="0.25">
      <c r="A1195" s="1" t="s">
        <v>1225</v>
      </c>
      <c r="B1195" s="1">
        <v>34</v>
      </c>
      <c r="C1195" s="1" t="str" cm="1">
        <f t="array" ref="C1195">_xlfn.IFS(OR(B1195=" ", B1195="NA",NOT(ISNUMBER(B1195))), "Unknown",B1195&lt;18,"Underage",B1195&lt;=24,"Young Adult",B1195&lt;=34,"Early Career",B1195&lt;=44,"Mid Career",B1195&lt;=54,"Mature",B1195&lt;=65,"Pre-Senior",B1195&gt;65,"Senior")</f>
        <v>Early Career</v>
      </c>
      <c r="D1195" s="1" t="s">
        <v>29</v>
      </c>
      <c r="E1195" s="1" t="s">
        <v>13</v>
      </c>
      <c r="F1195" s="1">
        <v>1000000</v>
      </c>
      <c r="G1195" s="1">
        <v>71</v>
      </c>
      <c r="H1195" s="1" t="str" cm="1">
        <f t="array" ref="H1195">_xlfn.IFS( OR(G1195=" ",NOT(ISNUMBER(G1195))),"Unknown",G1195&lt;=33,"Low Spender",G1195&lt;=66,"Medium Spender",TRUE, "High Spender")</f>
        <v>High Spender</v>
      </c>
      <c r="I1195" s="1">
        <v>15</v>
      </c>
      <c r="J1195" s="1">
        <v>2200</v>
      </c>
      <c r="K1195" s="1">
        <v>228</v>
      </c>
      <c r="M1195" s="1" t="s">
        <v>32</v>
      </c>
      <c r="N1195" s="1" t="str">
        <f t="shared" si="36"/>
        <v>Higher</v>
      </c>
      <c r="O1195" s="1" t="str">
        <f t="shared" si="37"/>
        <v>Early Career | High Spender | Higher</v>
      </c>
    </row>
    <row r="1196" spans="1:15" x14ac:dyDescent="0.25">
      <c r="A1196" s="1" t="s">
        <v>1226</v>
      </c>
      <c r="B1196" s="1">
        <v>26</v>
      </c>
      <c r="C1196" s="1" t="str" cm="1">
        <f t="array" ref="C1196">_xlfn.IFS(OR(B1196=" ", B1196="NA",NOT(ISNUMBER(B1196))), "Unknown",B1196&lt;18,"Underage",B1196&lt;=24,"Young Adult",B1196&lt;=34,"Early Career",B1196&lt;=44,"Mid Career",B1196&lt;=54,"Mature",B1196&lt;=65,"Pre-Senior",B1196&gt;65,"Senior")</f>
        <v>Early Career</v>
      </c>
      <c r="E1196" s="1" t="s">
        <v>23</v>
      </c>
      <c r="F1196" s="1">
        <v>1250000</v>
      </c>
      <c r="G1196" s="1">
        <v>19</v>
      </c>
      <c r="H1196" s="1" t="str" cm="1">
        <f t="array" ref="H1196">_xlfn.IFS( OR(G1196=" ",NOT(ISNUMBER(G1196))),"Unknown",G1196&lt;=33,"Low Spender",G1196&lt;=66,"Medium Spender",TRUE, "High Spender")</f>
        <v>Low Spender</v>
      </c>
      <c r="I1196" s="1">
        <v>51</v>
      </c>
      <c r="J1196" s="1">
        <v>7100</v>
      </c>
      <c r="K1196" s="1">
        <v>290</v>
      </c>
      <c r="L1196" s="1" t="s">
        <v>20</v>
      </c>
      <c r="M1196" s="1" t="s">
        <v>21</v>
      </c>
      <c r="N1196" s="1" t="str">
        <f t="shared" si="36"/>
        <v>Lower</v>
      </c>
      <c r="O1196" s="1" t="str">
        <f t="shared" si="37"/>
        <v>Early Career | Low Spender | Lower</v>
      </c>
    </row>
    <row r="1197" spans="1:15" x14ac:dyDescent="0.25">
      <c r="A1197" s="1" t="s">
        <v>1227</v>
      </c>
      <c r="B1197" s="1">
        <v>28</v>
      </c>
      <c r="C1197" s="1" t="str" cm="1">
        <f t="array" ref="C1197">_xlfn.IFS(OR(B1197=" ", B1197="NA",NOT(ISNUMBER(B1197))), "Unknown",B1197&lt;18,"Underage",B1197&lt;=24,"Young Adult",B1197&lt;=34,"Early Career",B1197&lt;=44,"Mid Career",B1197&lt;=54,"Mature",B1197&lt;=65,"Pre-Senior",B1197&gt;65,"Senior")</f>
        <v>Early Career</v>
      </c>
      <c r="D1197" s="1" t="s">
        <v>29</v>
      </c>
      <c r="E1197" s="1" t="s">
        <v>13</v>
      </c>
      <c r="F1197" s="1">
        <v>450000</v>
      </c>
      <c r="G1197" s="1">
        <v>34</v>
      </c>
      <c r="H1197" s="1" t="str" cm="1">
        <f t="array" ref="H1197">_xlfn.IFS( OR(G1197=" ",NOT(ISNUMBER(G1197))),"Unknown",G1197&lt;=33,"Low Spender",G1197&lt;=66,"Medium Spender",TRUE, "High Spender")</f>
        <v>Medium Spender</v>
      </c>
      <c r="I1197" s="1">
        <v>48</v>
      </c>
      <c r="J1197" s="1">
        <v>3800</v>
      </c>
      <c r="K1197" s="1">
        <v>293</v>
      </c>
      <c r="L1197" s="1" t="s">
        <v>37</v>
      </c>
      <c r="M1197" s="1" t="s">
        <v>30</v>
      </c>
      <c r="N1197" s="1" t="str">
        <f t="shared" si="36"/>
        <v>Higher</v>
      </c>
      <c r="O1197" s="1" t="str">
        <f t="shared" si="37"/>
        <v>Early Career | Medium Spender | Higher</v>
      </c>
    </row>
    <row r="1198" spans="1:15" x14ac:dyDescent="0.25">
      <c r="A1198" s="1" t="s">
        <v>1228</v>
      </c>
      <c r="B1198" s="1">
        <v>32</v>
      </c>
      <c r="C1198" s="1" t="str" cm="1">
        <f t="array" ref="C1198">_xlfn.IFS(OR(B1198=" ", B1198="NA",NOT(ISNUMBER(B1198))), "Unknown",B1198&lt;18,"Underage",B1198&lt;=24,"Young Adult",B1198&lt;=34,"Early Career",B1198&lt;=44,"Mid Career",B1198&lt;=54,"Mature",B1198&lt;=65,"Pre-Senior",B1198&gt;65,"Senior")</f>
        <v>Early Career</v>
      </c>
      <c r="D1198" s="1" t="s">
        <v>12</v>
      </c>
      <c r="E1198" s="1" t="s">
        <v>13</v>
      </c>
      <c r="F1198" s="1">
        <v>375000</v>
      </c>
      <c r="G1198" s="1">
        <v>78</v>
      </c>
      <c r="H1198" s="1" t="str" cm="1">
        <f t="array" ref="H1198">_xlfn.IFS( OR(G1198=" ",NOT(ISNUMBER(G1198))),"Unknown",G1198&lt;=33,"Low Spender",G1198&lt;=66,"Medium Spender",TRUE, "High Spender")</f>
        <v>High Spender</v>
      </c>
      <c r="I1198" s="1">
        <v>72</v>
      </c>
      <c r="J1198" s="1">
        <v>9500</v>
      </c>
      <c r="K1198" s="1">
        <v>298</v>
      </c>
      <c r="N1198" s="1" t="str">
        <f t="shared" si="36"/>
        <v>Lower</v>
      </c>
      <c r="O1198" s="1" t="str">
        <f t="shared" si="37"/>
        <v>Early Career | High Spender | Lower</v>
      </c>
    </row>
    <row r="1199" spans="1:15" x14ac:dyDescent="0.25">
      <c r="A1199" s="1" t="s">
        <v>1229</v>
      </c>
      <c r="B1199" s="1">
        <v>41</v>
      </c>
      <c r="C1199" s="1" t="str" cm="1">
        <f t="array" ref="C1199">_xlfn.IFS(OR(B1199=" ", B1199="NA",NOT(ISNUMBER(B1199))), "Unknown",B1199&lt;18,"Underage",B1199&lt;=24,"Young Adult",B1199&lt;=34,"Early Career",B1199&lt;=44,"Mid Career",B1199&lt;=54,"Mature",B1199&lt;=65,"Pre-Senior",B1199&gt;65,"Senior")</f>
        <v>Mid Career</v>
      </c>
      <c r="F1199" s="1">
        <v>1775000</v>
      </c>
      <c r="G1199" s="1">
        <v>50</v>
      </c>
      <c r="H1199" s="1" t="str" cm="1">
        <f t="array" ref="H1199">_xlfn.IFS( OR(G1199=" ",NOT(ISNUMBER(G1199))),"Unknown",G1199&lt;=33,"Low Spender",G1199&lt;=66,"Medium Spender",TRUE, "High Spender")</f>
        <v>Medium Spender</v>
      </c>
      <c r="I1199" s="1">
        <v>1</v>
      </c>
      <c r="J1199" s="1">
        <v>11400</v>
      </c>
      <c r="K1199" s="1">
        <v>193</v>
      </c>
      <c r="L1199" s="1" t="s">
        <v>35</v>
      </c>
      <c r="M1199" s="1" t="s">
        <v>30</v>
      </c>
      <c r="N1199" s="1" t="str">
        <f t="shared" si="36"/>
        <v>Lower</v>
      </c>
      <c r="O1199" s="1" t="str">
        <f t="shared" si="37"/>
        <v>Mid Career | Medium Spender | Lower</v>
      </c>
    </row>
    <row r="1200" spans="1:15" x14ac:dyDescent="0.25">
      <c r="A1200" s="1" t="s">
        <v>1230</v>
      </c>
      <c r="B1200" s="1">
        <v>55</v>
      </c>
      <c r="C1200" s="1" t="str" cm="1">
        <f t="array" ref="C1200">_xlfn.IFS(OR(B1200=" ", B1200="NA",NOT(ISNUMBER(B1200))), "Unknown",B1200&lt;18,"Underage",B1200&lt;=24,"Young Adult",B1200&lt;=34,"Early Career",B1200&lt;=44,"Mid Career",B1200&lt;=54,"Mature",B1200&lt;=65,"Pre-Senior",B1200&gt;65,"Senior")</f>
        <v>Pre-Senior</v>
      </c>
      <c r="D1200" s="1" t="s">
        <v>29</v>
      </c>
      <c r="E1200" s="1" t="s">
        <v>49</v>
      </c>
      <c r="F1200" s="1">
        <v>1875000</v>
      </c>
      <c r="G1200" s="1">
        <v>47</v>
      </c>
      <c r="H1200" s="1" t="str" cm="1">
        <f t="array" ref="H1200">_xlfn.IFS( OR(G1200=" ",NOT(ISNUMBER(G1200))),"Unknown",G1200&lt;=33,"Low Spender",G1200&lt;=66,"Medium Spender",TRUE, "High Spender")</f>
        <v>Medium Spender</v>
      </c>
      <c r="I1200" s="1">
        <v>7</v>
      </c>
      <c r="J1200" s="1">
        <v>10000</v>
      </c>
      <c r="K1200" s="1">
        <v>257</v>
      </c>
      <c r="L1200" s="1" t="s">
        <v>20</v>
      </c>
      <c r="N1200" s="1" t="str">
        <f t="shared" si="36"/>
        <v>Higher</v>
      </c>
      <c r="O1200" s="1" t="str">
        <f t="shared" si="37"/>
        <v>Pre-Senior | Medium Spender | Higher</v>
      </c>
    </row>
    <row r="1201" spans="1:15" x14ac:dyDescent="0.25">
      <c r="A1201" s="1" t="s">
        <v>1231</v>
      </c>
      <c r="B1201" s="1" t="s">
        <v>73</v>
      </c>
      <c r="C1201" s="1" t="str" cm="1">
        <f t="array" ref="C1201">_xlfn.IFS(OR(B1201=" ", B1201="NA",NOT(ISNUMBER(B1201))), "Unknown",B1201&lt;18,"Underage",B1201&lt;=24,"Young Adult",B1201&lt;=34,"Early Career",B1201&lt;=44,"Mid Career",B1201&lt;=54,"Mature",B1201&lt;=65,"Pre-Senior",B1201&gt;65,"Senior")</f>
        <v>Unknown</v>
      </c>
      <c r="D1201" s="1" t="s">
        <v>18</v>
      </c>
      <c r="E1201" s="1" t="s">
        <v>58</v>
      </c>
      <c r="F1201" s="1">
        <v>1925000</v>
      </c>
      <c r="G1201" s="1">
        <v>46</v>
      </c>
      <c r="H1201" s="1" t="str" cm="1">
        <f t="array" ref="H1201">_xlfn.IFS( OR(G1201=" ",NOT(ISNUMBER(G1201))),"Unknown",G1201&lt;=33,"Low Spender",G1201&lt;=66,"Medium Spender",TRUE, "High Spender")</f>
        <v>Medium Spender</v>
      </c>
      <c r="I1201" s="1">
        <v>53</v>
      </c>
      <c r="J1201" s="1">
        <v>6000</v>
      </c>
      <c r="K1201" s="1">
        <v>103</v>
      </c>
      <c r="N1201" s="1" t="str">
        <f t="shared" si="36"/>
        <v>Higher</v>
      </c>
      <c r="O1201" s="1" t="str">
        <f t="shared" si="37"/>
        <v>Unknown | Medium Spender | Higher</v>
      </c>
    </row>
    <row r="1202" spans="1:15" x14ac:dyDescent="0.25">
      <c r="A1202" s="1" t="s">
        <v>1232</v>
      </c>
      <c r="B1202" s="1">
        <v>52</v>
      </c>
      <c r="C1202" s="1" t="str" cm="1">
        <f t="array" ref="C1202">_xlfn.IFS(OR(B1202=" ", B1202="NA",NOT(ISNUMBER(B1202))), "Unknown",B1202&lt;18,"Underage",B1202&lt;=24,"Young Adult",B1202&lt;=34,"Early Career",B1202&lt;=44,"Mid Career",B1202&lt;=54,"Mature",B1202&lt;=65,"Pre-Senior",B1202&gt;65,"Senior")</f>
        <v>Mature</v>
      </c>
      <c r="D1202" s="1" t="s">
        <v>29</v>
      </c>
      <c r="E1202" s="1" t="s">
        <v>19</v>
      </c>
      <c r="F1202" s="1">
        <v>750000</v>
      </c>
      <c r="G1202" s="1">
        <v>56</v>
      </c>
      <c r="H1202" s="1" t="str" cm="1">
        <f t="array" ref="H1202">_xlfn.IFS( OR(G1202=" ",NOT(ISNUMBER(G1202))),"Unknown",G1202&lt;=33,"Low Spender",G1202&lt;=66,"Medium Spender",TRUE, "High Spender")</f>
        <v>Medium Spender</v>
      </c>
      <c r="I1202" s="1">
        <v>31</v>
      </c>
      <c r="J1202" s="1">
        <v>5000</v>
      </c>
      <c r="M1202" s="1" t="s">
        <v>32</v>
      </c>
      <c r="N1202" s="1" t="str">
        <f t="shared" si="36"/>
        <v>Higher</v>
      </c>
      <c r="O1202" s="1" t="str">
        <f t="shared" si="37"/>
        <v>Mature | Medium Spender | Higher</v>
      </c>
    </row>
    <row r="1203" spans="1:15" x14ac:dyDescent="0.25">
      <c r="A1203" s="1" t="s">
        <v>1233</v>
      </c>
      <c r="B1203" s="1">
        <v>47</v>
      </c>
      <c r="C1203" s="1" t="str" cm="1">
        <f t="array" ref="C1203">_xlfn.IFS(OR(B1203=" ", B1203="NA",NOT(ISNUMBER(B1203))), "Unknown",B1203&lt;18,"Underage",B1203&lt;=24,"Young Adult",B1203&lt;=34,"Early Career",B1203&lt;=44,"Mid Career",B1203&lt;=54,"Mature",B1203&lt;=65,"Pre-Senior",B1203&gt;65,"Senior")</f>
        <v>Mature</v>
      </c>
      <c r="D1203" s="1" t="s">
        <v>12</v>
      </c>
      <c r="F1203" s="1">
        <v>1225000</v>
      </c>
      <c r="G1203" s="1">
        <v>57</v>
      </c>
      <c r="H1203" s="1" t="str" cm="1">
        <f t="array" ref="H1203">_xlfn.IFS( OR(G1203=" ",NOT(ISNUMBER(G1203))),"Unknown",G1203&lt;=33,"Low Spender",G1203&lt;=66,"Medium Spender",TRUE, "High Spender")</f>
        <v>Medium Spender</v>
      </c>
      <c r="I1203" s="1">
        <v>18</v>
      </c>
      <c r="J1203" s="1">
        <v>8400</v>
      </c>
      <c r="K1203" s="1">
        <v>146</v>
      </c>
      <c r="L1203" s="1" t="s">
        <v>20</v>
      </c>
      <c r="M1203" s="1" t="s">
        <v>41</v>
      </c>
      <c r="N1203" s="1" t="str">
        <f t="shared" si="36"/>
        <v>Lower</v>
      </c>
      <c r="O1203" s="1" t="str">
        <f t="shared" si="37"/>
        <v>Mature | Medium Spender | Lower</v>
      </c>
    </row>
    <row r="1204" spans="1:15" x14ac:dyDescent="0.25">
      <c r="A1204" s="1" t="s">
        <v>1234</v>
      </c>
      <c r="B1204" s="1">
        <v>48</v>
      </c>
      <c r="C1204" s="1" t="str" cm="1">
        <f t="array" ref="C1204">_xlfn.IFS(OR(B1204=" ", B1204="NA",NOT(ISNUMBER(B1204))), "Unknown",B1204&lt;18,"Underage",B1204&lt;=24,"Young Adult",B1204&lt;=34,"Early Career",B1204&lt;=44,"Mid Career",B1204&lt;=54,"Mature",B1204&lt;=65,"Pre-Senior",B1204&gt;65,"Senior")</f>
        <v>Mature</v>
      </c>
      <c r="D1204" s="1" t="s">
        <v>29</v>
      </c>
      <c r="E1204" s="1" t="s">
        <v>13</v>
      </c>
      <c r="F1204" s="1">
        <v>1625000</v>
      </c>
      <c r="G1204" s="1">
        <v>83</v>
      </c>
      <c r="H1204" s="1" t="str" cm="1">
        <f t="array" ref="H1204">_xlfn.IFS( OR(G1204=" ",NOT(ISNUMBER(G1204))),"Unknown",G1204&lt;=33,"Low Spender",G1204&lt;=66,"Medium Spender",TRUE, "High Spender")</f>
        <v>High Spender</v>
      </c>
      <c r="I1204" s="1">
        <v>12</v>
      </c>
      <c r="J1204" s="1">
        <v>400</v>
      </c>
      <c r="K1204" s="1">
        <v>290</v>
      </c>
      <c r="L1204" s="1" t="s">
        <v>20</v>
      </c>
      <c r="M1204" s="1" t="s">
        <v>41</v>
      </c>
      <c r="N1204" s="1" t="str">
        <f t="shared" si="36"/>
        <v>Higher</v>
      </c>
      <c r="O1204" s="1" t="str">
        <f t="shared" si="37"/>
        <v>Mature | High Spender | Higher</v>
      </c>
    </row>
    <row r="1205" spans="1:15" x14ac:dyDescent="0.25">
      <c r="A1205" s="1" t="s">
        <v>1235</v>
      </c>
      <c r="B1205" s="1">
        <v>66</v>
      </c>
      <c r="C1205" s="1" t="str" cm="1">
        <f t="array" ref="C1205">_xlfn.IFS(OR(B1205=" ", B1205="NA",NOT(ISNUMBER(B1205))), "Unknown",B1205&lt;18,"Underage",B1205&lt;=24,"Young Adult",B1205&lt;=34,"Early Career",B1205&lt;=44,"Mid Career",B1205&lt;=54,"Mature",B1205&lt;=65,"Pre-Senior",B1205&gt;65,"Senior")</f>
        <v>Senior</v>
      </c>
      <c r="D1205" s="1" t="s">
        <v>12</v>
      </c>
      <c r="E1205" s="1" t="s">
        <v>15</v>
      </c>
      <c r="F1205" s="1">
        <v>1300000</v>
      </c>
      <c r="G1205" s="1">
        <v>51</v>
      </c>
      <c r="H1205" s="1" t="str" cm="1">
        <f t="array" ref="H1205">_xlfn.IFS( OR(G1205=" ",NOT(ISNUMBER(G1205))),"Unknown",G1205&lt;=33,"Low Spender",G1205&lt;=66,"Medium Spender",TRUE, "High Spender")</f>
        <v>Medium Spender</v>
      </c>
      <c r="I1205" s="1">
        <v>48</v>
      </c>
      <c r="J1205" s="1">
        <v>8200</v>
      </c>
      <c r="K1205" s="1">
        <v>257</v>
      </c>
      <c r="L1205" s="1" t="s">
        <v>20</v>
      </c>
      <c r="N1205" s="1" t="str">
        <f t="shared" si="36"/>
        <v>Lower</v>
      </c>
      <c r="O1205" s="1" t="str">
        <f t="shared" si="37"/>
        <v>Senior | Medium Spender | Lower</v>
      </c>
    </row>
    <row r="1206" spans="1:15" x14ac:dyDescent="0.25">
      <c r="A1206" s="1" t="s">
        <v>1236</v>
      </c>
      <c r="B1206" s="1">
        <v>22</v>
      </c>
      <c r="C1206" s="1" t="str" cm="1">
        <f t="array" ref="C1206">_xlfn.IFS(OR(B1206=" ", B1206="NA",NOT(ISNUMBER(B1206))), "Unknown",B1206&lt;18,"Underage",B1206&lt;=24,"Young Adult",B1206&lt;=34,"Early Career",B1206&lt;=44,"Mid Career",B1206&lt;=54,"Mature",B1206&lt;=65,"Pre-Senior",B1206&gt;65,"Senior")</f>
        <v>Young Adult</v>
      </c>
      <c r="D1206" s="1" t="s">
        <v>18</v>
      </c>
      <c r="E1206" s="1" t="s">
        <v>13</v>
      </c>
      <c r="F1206" s="1">
        <v>1125000</v>
      </c>
      <c r="G1206" s="1">
        <v>54</v>
      </c>
      <c r="H1206" s="1" t="str" cm="1">
        <f t="array" ref="H1206">_xlfn.IFS( OR(G1206=" ",NOT(ISNUMBER(G1206))),"Unknown",G1206&lt;=33,"Low Spender",G1206&lt;=66,"Medium Spender",TRUE, "High Spender")</f>
        <v>Medium Spender</v>
      </c>
      <c r="I1206" s="1">
        <v>30</v>
      </c>
      <c r="J1206" s="1">
        <v>3100</v>
      </c>
      <c r="K1206" s="1">
        <v>309</v>
      </c>
      <c r="L1206" s="1" t="s">
        <v>20</v>
      </c>
      <c r="M1206" s="1" t="s">
        <v>32</v>
      </c>
      <c r="N1206" s="1" t="str">
        <f t="shared" si="36"/>
        <v>Higher</v>
      </c>
      <c r="O1206" s="1" t="str">
        <f t="shared" si="37"/>
        <v>Young Adult | Medium Spender | Higher</v>
      </c>
    </row>
    <row r="1207" spans="1:15" x14ac:dyDescent="0.25">
      <c r="A1207" s="1" t="s">
        <v>1237</v>
      </c>
      <c r="B1207" s="1">
        <v>61</v>
      </c>
      <c r="C1207" s="1" t="str" cm="1">
        <f t="array" ref="C1207">_xlfn.IFS(OR(B1207=" ", B1207="NA",NOT(ISNUMBER(B1207))), "Unknown",B1207&lt;18,"Underage",B1207&lt;=24,"Young Adult",B1207&lt;=34,"Early Career",B1207&lt;=44,"Mid Career",B1207&lt;=54,"Mature",B1207&lt;=65,"Pre-Senior",B1207&gt;65,"Senior")</f>
        <v>Pre-Senior</v>
      </c>
      <c r="D1207" s="1" t="s">
        <v>18</v>
      </c>
      <c r="F1207" s="1">
        <v>300000</v>
      </c>
      <c r="G1207" s="1">
        <v>90</v>
      </c>
      <c r="H1207" s="1" t="str" cm="1">
        <f t="array" ref="H1207">_xlfn.IFS( OR(G1207=" ",NOT(ISNUMBER(G1207))),"Unknown",G1207&lt;=33,"Low Spender",G1207&lt;=66,"Medium Spender",TRUE, "High Spender")</f>
        <v>High Spender</v>
      </c>
      <c r="I1207" s="1">
        <v>7</v>
      </c>
      <c r="J1207" s="1">
        <v>9900</v>
      </c>
      <c r="K1207" s="1">
        <v>278</v>
      </c>
      <c r="L1207" s="1" t="s">
        <v>20</v>
      </c>
      <c r="N1207" s="1" t="str">
        <f t="shared" si="36"/>
        <v>Higher</v>
      </c>
      <c r="O1207" s="1" t="str">
        <f t="shared" si="37"/>
        <v>Pre-Senior | High Spender | Higher</v>
      </c>
    </row>
    <row r="1208" spans="1:15" x14ac:dyDescent="0.25">
      <c r="A1208" s="1" t="s">
        <v>1238</v>
      </c>
      <c r="B1208" s="1">
        <v>67</v>
      </c>
      <c r="C1208" s="1" t="str" cm="1">
        <f t="array" ref="C1208">_xlfn.IFS(OR(B1208=" ", B1208="NA",NOT(ISNUMBER(B1208))), "Unknown",B1208&lt;18,"Underage",B1208&lt;=24,"Young Adult",B1208&lt;=34,"Early Career",B1208&lt;=44,"Mid Career",B1208&lt;=54,"Mature",B1208&lt;=65,"Pre-Senior",B1208&gt;65,"Senior")</f>
        <v>Senior</v>
      </c>
      <c r="D1208" s="1" t="s">
        <v>18</v>
      </c>
      <c r="E1208" s="1" t="s">
        <v>58</v>
      </c>
      <c r="F1208" s="1">
        <v>1275000</v>
      </c>
      <c r="G1208" s="1">
        <v>81</v>
      </c>
      <c r="H1208" s="1" t="str" cm="1">
        <f t="array" ref="H1208">_xlfn.IFS( OR(G1208=" ",NOT(ISNUMBER(G1208))),"Unknown",G1208&lt;=33,"Low Spender",G1208&lt;=66,"Medium Spender",TRUE, "High Spender")</f>
        <v>High Spender</v>
      </c>
      <c r="I1208" s="1">
        <v>3</v>
      </c>
      <c r="J1208" s="1">
        <v>1800</v>
      </c>
      <c r="K1208" s="1">
        <v>189</v>
      </c>
      <c r="L1208" s="1" t="s">
        <v>20</v>
      </c>
      <c r="N1208" s="1" t="str">
        <f t="shared" si="36"/>
        <v>Higher</v>
      </c>
      <c r="O1208" s="1" t="str">
        <f t="shared" si="37"/>
        <v>Senior | High Spender | Higher</v>
      </c>
    </row>
    <row r="1209" spans="1:15" x14ac:dyDescent="0.25">
      <c r="A1209" s="1" t="s">
        <v>1239</v>
      </c>
      <c r="B1209" s="1">
        <v>31</v>
      </c>
      <c r="C1209" s="1" t="str" cm="1">
        <f t="array" ref="C1209">_xlfn.IFS(OR(B1209=" ", B1209="NA",NOT(ISNUMBER(B1209))), "Unknown",B1209&lt;18,"Underage",B1209&lt;=24,"Young Adult",B1209&lt;=34,"Early Career",B1209&lt;=44,"Mid Career",B1209&lt;=54,"Mature",B1209&lt;=65,"Pre-Senior",B1209&gt;65,"Senior")</f>
        <v>Early Career</v>
      </c>
      <c r="D1209" s="1" t="s">
        <v>12</v>
      </c>
      <c r="E1209" s="1" t="s">
        <v>15</v>
      </c>
      <c r="F1209" s="1">
        <v>700000</v>
      </c>
      <c r="G1209" s="1">
        <v>28</v>
      </c>
      <c r="H1209" s="1" t="str" cm="1">
        <f t="array" ref="H1209">_xlfn.IFS( OR(G1209=" ",NOT(ISNUMBER(G1209))),"Unknown",G1209&lt;=33,"Low Spender",G1209&lt;=66,"Medium Spender",TRUE, "High Spender")</f>
        <v>Low Spender</v>
      </c>
      <c r="I1209" s="1">
        <v>63</v>
      </c>
      <c r="J1209" s="1">
        <v>3700</v>
      </c>
      <c r="K1209" s="1">
        <v>178</v>
      </c>
      <c r="L1209" s="1" t="s">
        <v>16</v>
      </c>
      <c r="N1209" s="1" t="str">
        <f t="shared" si="36"/>
        <v>Lower</v>
      </c>
      <c r="O1209" s="1" t="str">
        <f t="shared" si="37"/>
        <v>Early Career | Low Spender | Lower</v>
      </c>
    </row>
    <row r="1210" spans="1:15" x14ac:dyDescent="0.25">
      <c r="A1210" s="1" t="s">
        <v>1240</v>
      </c>
      <c r="C1210" s="1" t="str" cm="1">
        <f t="array" ref="C1210">_xlfn.IFS(OR(B1210=" ", B1210="NA",NOT(ISNUMBER(B1210))), "Unknown",B1210&lt;18,"Underage",B1210&lt;=24,"Young Adult",B1210&lt;=34,"Early Career",B1210&lt;=44,"Mid Career",B1210&lt;=54,"Mature",B1210&lt;=65,"Pre-Senior",B1210&gt;65,"Senior")</f>
        <v>Unknown</v>
      </c>
      <c r="F1210" s="1">
        <v>1275000</v>
      </c>
      <c r="G1210" s="1">
        <v>19</v>
      </c>
      <c r="H1210" s="1" t="str" cm="1">
        <f t="array" ref="H1210">_xlfn.IFS( OR(G1210=" ",NOT(ISNUMBER(G1210))),"Unknown",G1210&lt;=33,"Low Spender",G1210&lt;=66,"Medium Spender",TRUE, "High Spender")</f>
        <v>Low Spender</v>
      </c>
      <c r="I1210" s="1">
        <v>6</v>
      </c>
      <c r="J1210" s="1">
        <v>11300</v>
      </c>
      <c r="K1210" s="1">
        <v>16</v>
      </c>
      <c r="M1210" s="1" t="s">
        <v>41</v>
      </c>
      <c r="N1210" s="1" t="str">
        <f t="shared" si="36"/>
        <v>Lower</v>
      </c>
      <c r="O1210" s="1" t="str">
        <f t="shared" si="37"/>
        <v>Unknown | Low Spender | Lower</v>
      </c>
    </row>
    <row r="1211" spans="1:15" x14ac:dyDescent="0.25">
      <c r="A1211" s="1" t="s">
        <v>1241</v>
      </c>
      <c r="B1211" s="1">
        <v>28</v>
      </c>
      <c r="C1211" s="1" t="str" cm="1">
        <f t="array" ref="C1211">_xlfn.IFS(OR(B1211=" ", B1211="NA",NOT(ISNUMBER(B1211))), "Unknown",B1211&lt;18,"Underage",B1211&lt;=24,"Young Adult",B1211&lt;=34,"Early Career",B1211&lt;=44,"Mid Career",B1211&lt;=54,"Mature",B1211&lt;=65,"Pre-Senior",B1211&gt;65,"Senior")</f>
        <v>Early Career</v>
      </c>
      <c r="D1211" s="1" t="s">
        <v>18</v>
      </c>
      <c r="E1211" s="1" t="s">
        <v>15</v>
      </c>
      <c r="F1211" s="1">
        <v>450000</v>
      </c>
      <c r="G1211" s="1">
        <v>27</v>
      </c>
      <c r="H1211" s="1" t="str" cm="1">
        <f t="array" ref="H1211">_xlfn.IFS( OR(G1211=" ",NOT(ISNUMBER(G1211))),"Unknown",G1211&lt;=33,"Low Spender",G1211&lt;=66,"Medium Spender",TRUE, "High Spender")</f>
        <v>Low Spender</v>
      </c>
      <c r="I1211" s="1">
        <v>15</v>
      </c>
      <c r="J1211" s="1">
        <v>6400</v>
      </c>
      <c r="K1211" s="1">
        <v>86</v>
      </c>
      <c r="L1211" s="1" t="s">
        <v>37</v>
      </c>
      <c r="N1211" s="1" t="str">
        <f t="shared" si="36"/>
        <v>Higher</v>
      </c>
      <c r="O1211" s="1" t="str">
        <f t="shared" si="37"/>
        <v>Early Career | Low Spender | Higher</v>
      </c>
    </row>
    <row r="1212" spans="1:15" x14ac:dyDescent="0.25">
      <c r="A1212" s="1" t="s">
        <v>1242</v>
      </c>
      <c r="B1212" s="1">
        <v>26</v>
      </c>
      <c r="C1212" s="1" t="str" cm="1">
        <f t="array" ref="C1212">_xlfn.IFS(OR(B1212=" ", B1212="NA",NOT(ISNUMBER(B1212))), "Unknown",B1212&lt;18,"Underage",B1212&lt;=24,"Young Adult",B1212&lt;=34,"Early Career",B1212&lt;=44,"Mid Career",B1212&lt;=54,"Mature",B1212&lt;=65,"Pre-Senior",B1212&gt;65,"Senior")</f>
        <v>Early Career</v>
      </c>
      <c r="E1212" s="1" t="s">
        <v>49</v>
      </c>
      <c r="F1212" s="1">
        <v>650000</v>
      </c>
      <c r="G1212" s="1">
        <v>48</v>
      </c>
      <c r="H1212" s="1" t="str" cm="1">
        <f t="array" ref="H1212">_xlfn.IFS( OR(G1212=" ",NOT(ISNUMBER(G1212))),"Unknown",G1212&lt;=33,"Low Spender",G1212&lt;=66,"Medium Spender",TRUE, "High Spender")</f>
        <v>Medium Spender</v>
      </c>
      <c r="I1212" s="1">
        <v>71</v>
      </c>
      <c r="J1212" s="1">
        <v>10900</v>
      </c>
      <c r="K1212" s="1">
        <v>248</v>
      </c>
      <c r="N1212" s="1" t="str">
        <f t="shared" si="36"/>
        <v>Lower</v>
      </c>
      <c r="O1212" s="1" t="str">
        <f t="shared" si="37"/>
        <v>Early Career | Medium Spender | Lower</v>
      </c>
    </row>
    <row r="1213" spans="1:15" x14ac:dyDescent="0.25">
      <c r="A1213" s="1" t="s">
        <v>1243</v>
      </c>
      <c r="B1213" s="1">
        <v>51</v>
      </c>
      <c r="C1213" s="1" t="str" cm="1">
        <f t="array" ref="C1213">_xlfn.IFS(OR(B1213=" ", B1213="NA",NOT(ISNUMBER(B1213))), "Unknown",B1213&lt;18,"Underage",B1213&lt;=24,"Young Adult",B1213&lt;=34,"Early Career",B1213&lt;=44,"Mid Career",B1213&lt;=54,"Mature",B1213&lt;=65,"Pre-Senior",B1213&gt;65,"Senior")</f>
        <v>Mature</v>
      </c>
      <c r="D1213" s="1" t="s">
        <v>18</v>
      </c>
      <c r="E1213" s="1" t="s">
        <v>23</v>
      </c>
      <c r="F1213" s="1">
        <v>150000</v>
      </c>
      <c r="G1213" s="1">
        <v>19</v>
      </c>
      <c r="H1213" s="1" t="str" cm="1">
        <f t="array" ref="H1213">_xlfn.IFS( OR(G1213=" ",NOT(ISNUMBER(G1213))),"Unknown",G1213&lt;=33,"Low Spender",G1213&lt;=66,"Medium Spender",TRUE, "High Spender")</f>
        <v>Low Spender</v>
      </c>
      <c r="I1213" s="1">
        <v>43</v>
      </c>
      <c r="J1213" s="1">
        <v>10800</v>
      </c>
      <c r="K1213" s="1">
        <v>217</v>
      </c>
      <c r="L1213" s="1" t="s">
        <v>35</v>
      </c>
      <c r="M1213" s="1" t="s">
        <v>41</v>
      </c>
      <c r="N1213" s="1" t="str">
        <f t="shared" si="36"/>
        <v>Higher</v>
      </c>
      <c r="O1213" s="1" t="str">
        <f t="shared" si="37"/>
        <v>Mature | Low Spender | Higher</v>
      </c>
    </row>
    <row r="1214" spans="1:15" x14ac:dyDescent="0.25">
      <c r="A1214" s="1" t="s">
        <v>1244</v>
      </c>
      <c r="B1214" s="1">
        <v>29</v>
      </c>
      <c r="C1214" s="1" t="str" cm="1">
        <f t="array" ref="C1214">_xlfn.IFS(OR(B1214=" ", B1214="NA",NOT(ISNUMBER(B1214))), "Unknown",B1214&lt;18,"Underage",B1214&lt;=24,"Young Adult",B1214&lt;=34,"Early Career",B1214&lt;=44,"Mid Career",B1214&lt;=54,"Mature",B1214&lt;=65,"Pre-Senior",B1214&gt;65,"Senior")</f>
        <v>Early Career</v>
      </c>
      <c r="D1214" s="1" t="s">
        <v>18</v>
      </c>
      <c r="E1214" s="1" t="s">
        <v>23</v>
      </c>
      <c r="F1214" s="1">
        <v>600000</v>
      </c>
      <c r="G1214" s="1">
        <v>97</v>
      </c>
      <c r="H1214" s="1" t="str" cm="1">
        <f t="array" ref="H1214">_xlfn.IFS( OR(G1214=" ",NOT(ISNUMBER(G1214))),"Unknown",G1214&lt;=33,"Low Spender",G1214&lt;=66,"Medium Spender",TRUE, "High Spender")</f>
        <v>High Spender</v>
      </c>
      <c r="J1214" s="1">
        <v>8300</v>
      </c>
      <c r="K1214" s="1">
        <v>42</v>
      </c>
      <c r="L1214" s="1" t="s">
        <v>35</v>
      </c>
      <c r="M1214" s="1" t="s">
        <v>21</v>
      </c>
      <c r="N1214" s="1" t="str">
        <f t="shared" si="36"/>
        <v>Higher</v>
      </c>
      <c r="O1214" s="1" t="str">
        <f t="shared" si="37"/>
        <v>Early Career | High Spender | Higher</v>
      </c>
    </row>
    <row r="1215" spans="1:15" x14ac:dyDescent="0.25">
      <c r="A1215" s="1" t="s">
        <v>1245</v>
      </c>
      <c r="B1215" s="1">
        <v>52</v>
      </c>
      <c r="C1215" s="1" t="str" cm="1">
        <f t="array" ref="C1215">_xlfn.IFS(OR(B1215=" ", B1215="NA",NOT(ISNUMBER(B1215))), "Unknown",B1215&lt;18,"Underage",B1215&lt;=24,"Young Adult",B1215&lt;=34,"Early Career",B1215&lt;=44,"Mid Career",B1215&lt;=54,"Mature",B1215&lt;=65,"Pre-Senior",B1215&gt;65,"Senior")</f>
        <v>Mature</v>
      </c>
      <c r="D1215" s="1" t="s">
        <v>18</v>
      </c>
      <c r="F1215" s="1">
        <v>1625000</v>
      </c>
      <c r="G1215" s="1">
        <v>51</v>
      </c>
      <c r="H1215" s="1" t="str" cm="1">
        <f t="array" ref="H1215">_xlfn.IFS( OR(G1215=" ",NOT(ISNUMBER(G1215))),"Unknown",G1215&lt;=33,"Low Spender",G1215&lt;=66,"Medium Spender",TRUE, "High Spender")</f>
        <v>Medium Spender</v>
      </c>
      <c r="I1215" s="1">
        <v>18</v>
      </c>
      <c r="J1215" s="1">
        <v>600</v>
      </c>
      <c r="K1215" s="1">
        <v>194</v>
      </c>
      <c r="M1215" s="1" t="s">
        <v>32</v>
      </c>
      <c r="N1215" s="1" t="str">
        <f t="shared" si="36"/>
        <v>Higher</v>
      </c>
      <c r="O1215" s="1" t="str">
        <f t="shared" si="37"/>
        <v>Mature | Medium Spender | Higher</v>
      </c>
    </row>
    <row r="1216" spans="1:15" x14ac:dyDescent="0.25">
      <c r="A1216" s="1" t="s">
        <v>1246</v>
      </c>
      <c r="B1216" s="1">
        <v>52</v>
      </c>
      <c r="C1216" s="1" t="str" cm="1">
        <f t="array" ref="C1216">_xlfn.IFS(OR(B1216=" ", B1216="NA",NOT(ISNUMBER(B1216))), "Unknown",B1216&lt;18,"Underage",B1216&lt;=24,"Young Adult",B1216&lt;=34,"Early Career",B1216&lt;=44,"Mid Career",B1216&lt;=54,"Mature",B1216&lt;=65,"Pre-Senior",B1216&gt;65,"Senior")</f>
        <v>Mature</v>
      </c>
      <c r="D1216" s="1" t="s">
        <v>18</v>
      </c>
      <c r="E1216" s="1" t="s">
        <v>58</v>
      </c>
      <c r="F1216" s="1">
        <v>950000</v>
      </c>
      <c r="G1216" s="1">
        <v>7</v>
      </c>
      <c r="H1216" s="1" t="str" cm="1">
        <f t="array" ref="H1216">_xlfn.IFS( OR(G1216=" ",NOT(ISNUMBER(G1216))),"Unknown",G1216&lt;=33,"Low Spender",G1216&lt;=66,"Medium Spender",TRUE, "High Spender")</f>
        <v>Low Spender</v>
      </c>
      <c r="I1216" s="1">
        <v>22</v>
      </c>
      <c r="J1216" s="1">
        <v>11500</v>
      </c>
      <c r="K1216" s="1">
        <v>327</v>
      </c>
      <c r="L1216" s="1" t="s">
        <v>20</v>
      </c>
      <c r="M1216" s="1" t="s">
        <v>21</v>
      </c>
      <c r="N1216" s="1" t="str">
        <f t="shared" si="36"/>
        <v>Higher</v>
      </c>
      <c r="O1216" s="1" t="str">
        <f t="shared" si="37"/>
        <v>Mature | Low Spender | Higher</v>
      </c>
    </row>
    <row r="1217" spans="1:15" x14ac:dyDescent="0.25">
      <c r="A1217" s="1" t="s">
        <v>1247</v>
      </c>
      <c r="B1217" s="1">
        <v>18</v>
      </c>
      <c r="C1217" s="1" t="str" cm="1">
        <f t="array" ref="C1217">_xlfn.IFS(OR(B1217=" ", B1217="NA",NOT(ISNUMBER(B1217))), "Unknown",B1217&lt;18,"Underage",B1217&lt;=24,"Young Adult",B1217&lt;=34,"Early Career",B1217&lt;=44,"Mid Career",B1217&lt;=54,"Mature",B1217&lt;=65,"Pre-Senior",B1217&gt;65,"Senior")</f>
        <v>Young Adult</v>
      </c>
      <c r="D1217" s="1" t="s">
        <v>29</v>
      </c>
      <c r="E1217" s="1" t="s">
        <v>23</v>
      </c>
      <c r="F1217" s="1">
        <v>225000</v>
      </c>
      <c r="G1217" s="1">
        <v>29</v>
      </c>
      <c r="H1217" s="1" t="str" cm="1">
        <f t="array" ref="H1217">_xlfn.IFS( OR(G1217=" ",NOT(ISNUMBER(G1217))),"Unknown",G1217&lt;=33,"Low Spender",G1217&lt;=66,"Medium Spender",TRUE, "High Spender")</f>
        <v>Low Spender</v>
      </c>
      <c r="I1217" s="1">
        <v>61</v>
      </c>
      <c r="J1217" s="1">
        <v>7000</v>
      </c>
      <c r="K1217" s="1">
        <v>163</v>
      </c>
      <c r="L1217" s="1" t="s">
        <v>16</v>
      </c>
      <c r="N1217" s="1" t="str">
        <f t="shared" si="36"/>
        <v>Higher</v>
      </c>
      <c r="O1217" s="1" t="str">
        <f t="shared" si="37"/>
        <v>Young Adult | Low Spender | Higher</v>
      </c>
    </row>
    <row r="1218" spans="1:15" x14ac:dyDescent="0.25">
      <c r="A1218" s="1" t="s">
        <v>1248</v>
      </c>
      <c r="B1218" s="1">
        <v>57</v>
      </c>
      <c r="C1218" s="1" t="str" cm="1">
        <f t="array" ref="C1218">_xlfn.IFS(OR(B1218=" ", B1218="NA",NOT(ISNUMBER(B1218))), "Unknown",B1218&lt;18,"Underage",B1218&lt;=24,"Young Adult",B1218&lt;=34,"Early Career",B1218&lt;=44,"Mid Career",B1218&lt;=54,"Mature",B1218&lt;=65,"Pre-Senior",B1218&gt;65,"Senior")</f>
        <v>Pre-Senior</v>
      </c>
      <c r="E1218" s="1" t="s">
        <v>34</v>
      </c>
      <c r="F1218" s="1">
        <v>200000</v>
      </c>
      <c r="G1218" s="1">
        <v>43</v>
      </c>
      <c r="H1218" s="1" t="str" cm="1">
        <f t="array" ref="H1218">_xlfn.IFS( OR(G1218=" ",NOT(ISNUMBER(G1218))),"Unknown",G1218&lt;=33,"Low Spender",G1218&lt;=66,"Medium Spender",TRUE, "High Spender")</f>
        <v>Medium Spender</v>
      </c>
      <c r="I1218" s="1">
        <v>61</v>
      </c>
      <c r="J1218" s="1">
        <v>5300</v>
      </c>
      <c r="K1218" s="1">
        <v>276</v>
      </c>
      <c r="L1218" s="1" t="s">
        <v>37</v>
      </c>
      <c r="M1218" s="1" t="s">
        <v>41</v>
      </c>
      <c r="N1218" s="1" t="str">
        <f t="shared" ref="N1218:N1281" si="38">IF(OR(UPPER(TRIM(D1218))="Male",UPPER(TRIM(D1218))="Female"),"Higher","Lower")</f>
        <v>Lower</v>
      </c>
      <c r="O1218" s="1" t="str">
        <f t="shared" ref="O1218:O1281" si="39">_xlfn.TEXTJOIN(" | ", TRUE, C1218, H1218, N1218)</f>
        <v>Pre-Senior | Medium Spender | Lower</v>
      </c>
    </row>
    <row r="1219" spans="1:15" x14ac:dyDescent="0.25">
      <c r="A1219" s="1" t="s">
        <v>1249</v>
      </c>
      <c r="B1219" s="1">
        <v>39</v>
      </c>
      <c r="C1219" s="1" t="str" cm="1">
        <f t="array" ref="C1219">_xlfn.IFS(OR(B1219=" ", B1219="NA",NOT(ISNUMBER(B1219))), "Unknown",B1219&lt;18,"Underage",B1219&lt;=24,"Young Adult",B1219&lt;=34,"Early Career",B1219&lt;=44,"Mid Career",B1219&lt;=54,"Mature",B1219&lt;=65,"Pre-Senior",B1219&gt;65,"Senior")</f>
        <v>Mid Career</v>
      </c>
      <c r="D1219" s="1" t="s">
        <v>12</v>
      </c>
      <c r="F1219" s="1">
        <v>1425000</v>
      </c>
      <c r="G1219" s="1">
        <v>69</v>
      </c>
      <c r="H1219" s="1" t="str" cm="1">
        <f t="array" ref="H1219">_xlfn.IFS( OR(G1219=" ",NOT(ISNUMBER(G1219))),"Unknown",G1219&lt;=33,"Low Spender",G1219&lt;=66,"Medium Spender",TRUE, "High Spender")</f>
        <v>High Spender</v>
      </c>
      <c r="I1219" s="1">
        <v>53</v>
      </c>
      <c r="J1219" s="1">
        <v>9100</v>
      </c>
      <c r="K1219" s="1">
        <v>364</v>
      </c>
      <c r="M1219" s="1" t="s">
        <v>32</v>
      </c>
      <c r="N1219" s="1" t="str">
        <f t="shared" si="38"/>
        <v>Lower</v>
      </c>
      <c r="O1219" s="1" t="str">
        <f t="shared" si="39"/>
        <v>Mid Career | High Spender | Lower</v>
      </c>
    </row>
    <row r="1220" spans="1:15" x14ac:dyDescent="0.25">
      <c r="A1220" s="1" t="s">
        <v>1250</v>
      </c>
      <c r="B1220" s="1">
        <v>46</v>
      </c>
      <c r="C1220" s="1" t="str" cm="1">
        <f t="array" ref="C1220">_xlfn.IFS(OR(B1220=" ", B1220="NA",NOT(ISNUMBER(B1220))), "Unknown",B1220&lt;18,"Underage",B1220&lt;=24,"Young Adult",B1220&lt;=34,"Early Career",B1220&lt;=44,"Mid Career",B1220&lt;=54,"Mature",B1220&lt;=65,"Pre-Senior",B1220&gt;65,"Senior")</f>
        <v>Mature</v>
      </c>
      <c r="D1220" s="1" t="s">
        <v>18</v>
      </c>
      <c r="F1220" s="1">
        <v>825000</v>
      </c>
      <c r="G1220" s="1">
        <v>94</v>
      </c>
      <c r="H1220" s="1" t="str" cm="1">
        <f t="array" ref="H1220">_xlfn.IFS( OR(G1220=" ",NOT(ISNUMBER(G1220))),"Unknown",G1220&lt;=33,"Low Spender",G1220&lt;=66,"Medium Spender",TRUE, "High Spender")</f>
        <v>High Spender</v>
      </c>
      <c r="I1220" s="1">
        <v>26</v>
      </c>
      <c r="J1220" s="1">
        <v>3500</v>
      </c>
      <c r="K1220" s="1">
        <v>130</v>
      </c>
      <c r="M1220" s="1" t="s">
        <v>30</v>
      </c>
      <c r="N1220" s="1" t="str">
        <f t="shared" si="38"/>
        <v>Higher</v>
      </c>
      <c r="O1220" s="1" t="str">
        <f t="shared" si="39"/>
        <v>Mature | High Spender | Higher</v>
      </c>
    </row>
    <row r="1221" spans="1:15" x14ac:dyDescent="0.25">
      <c r="A1221" s="1" t="s">
        <v>1251</v>
      </c>
      <c r="B1221" s="1">
        <v>25</v>
      </c>
      <c r="C1221" s="1" t="str" cm="1">
        <f t="array" ref="C1221">_xlfn.IFS(OR(B1221=" ", B1221="NA",NOT(ISNUMBER(B1221))), "Unknown",B1221&lt;18,"Underage",B1221&lt;=24,"Young Adult",B1221&lt;=34,"Early Career",B1221&lt;=44,"Mid Career",B1221&lt;=54,"Mature",B1221&lt;=65,"Pre-Senior",B1221&gt;65,"Senior")</f>
        <v>Early Career</v>
      </c>
      <c r="D1221" s="1" t="s">
        <v>18</v>
      </c>
      <c r="F1221" s="1">
        <v>1875000</v>
      </c>
      <c r="G1221" s="1">
        <v>58</v>
      </c>
      <c r="H1221" s="1" t="str" cm="1">
        <f t="array" ref="H1221">_xlfn.IFS( OR(G1221=" ",NOT(ISNUMBER(G1221))),"Unknown",G1221&lt;=33,"Low Spender",G1221&lt;=66,"Medium Spender",TRUE, "High Spender")</f>
        <v>Medium Spender</v>
      </c>
      <c r="I1221" s="1">
        <v>40</v>
      </c>
      <c r="J1221" s="1">
        <v>8000</v>
      </c>
      <c r="K1221" s="1">
        <v>263</v>
      </c>
      <c r="L1221" s="1" t="s">
        <v>20</v>
      </c>
      <c r="M1221" s="1" t="s">
        <v>32</v>
      </c>
      <c r="N1221" s="1" t="str">
        <f t="shared" si="38"/>
        <v>Higher</v>
      </c>
      <c r="O1221" s="1" t="str">
        <f t="shared" si="39"/>
        <v>Early Career | Medium Spender | Higher</v>
      </c>
    </row>
    <row r="1222" spans="1:15" x14ac:dyDescent="0.25">
      <c r="A1222" s="1" t="s">
        <v>1252</v>
      </c>
      <c r="B1222" s="1">
        <v>28</v>
      </c>
      <c r="C1222" s="1" t="str" cm="1">
        <f t="array" ref="C1222">_xlfn.IFS(OR(B1222=" ", B1222="NA",NOT(ISNUMBER(B1222))), "Unknown",B1222&lt;18,"Underage",B1222&lt;=24,"Young Adult",B1222&lt;=34,"Early Career",B1222&lt;=44,"Mid Career",B1222&lt;=54,"Mature",B1222&lt;=65,"Pre-Senior",B1222&gt;65,"Senior")</f>
        <v>Early Career</v>
      </c>
      <c r="D1222" s="1" t="s">
        <v>29</v>
      </c>
      <c r="E1222" s="1" t="s">
        <v>19</v>
      </c>
      <c r="F1222" s="1">
        <v>1875000</v>
      </c>
      <c r="G1222" s="1">
        <v>8</v>
      </c>
      <c r="H1222" s="1" t="str" cm="1">
        <f t="array" ref="H1222">_xlfn.IFS( OR(G1222=" ",NOT(ISNUMBER(G1222))),"Unknown",G1222&lt;=33,"Low Spender",G1222&lt;=66,"Medium Spender",TRUE, "High Spender")</f>
        <v>Low Spender</v>
      </c>
      <c r="I1222" s="1">
        <v>8</v>
      </c>
      <c r="J1222" s="1">
        <v>2600</v>
      </c>
      <c r="K1222" s="1">
        <v>177</v>
      </c>
      <c r="M1222" s="1" t="s">
        <v>32</v>
      </c>
      <c r="N1222" s="1" t="str">
        <f t="shared" si="38"/>
        <v>Higher</v>
      </c>
      <c r="O1222" s="1" t="str">
        <f t="shared" si="39"/>
        <v>Early Career | Low Spender | Higher</v>
      </c>
    </row>
    <row r="1223" spans="1:15" x14ac:dyDescent="0.25">
      <c r="A1223" s="1" t="s">
        <v>1253</v>
      </c>
      <c r="B1223" s="1">
        <v>58</v>
      </c>
      <c r="C1223" s="1" t="str" cm="1">
        <f t="array" ref="C1223">_xlfn.IFS(OR(B1223=" ", B1223="NA",NOT(ISNUMBER(B1223))), "Unknown",B1223&lt;18,"Underage",B1223&lt;=24,"Young Adult",B1223&lt;=34,"Early Career",B1223&lt;=44,"Mid Career",B1223&lt;=54,"Mature",B1223&lt;=65,"Pre-Senior",B1223&gt;65,"Senior")</f>
        <v>Pre-Senior</v>
      </c>
      <c r="E1223" s="1" t="s">
        <v>19</v>
      </c>
      <c r="F1223" s="1">
        <v>1500000</v>
      </c>
      <c r="G1223" s="1">
        <v>42</v>
      </c>
      <c r="H1223" s="1" t="str" cm="1">
        <f t="array" ref="H1223">_xlfn.IFS( OR(G1223=" ",NOT(ISNUMBER(G1223))),"Unknown",G1223&lt;=33,"Low Spender",G1223&lt;=66,"Medium Spender",TRUE, "High Spender")</f>
        <v>Medium Spender</v>
      </c>
      <c r="I1223" s="1">
        <v>21</v>
      </c>
      <c r="J1223" s="1">
        <v>7700</v>
      </c>
      <c r="K1223" s="1">
        <v>265</v>
      </c>
      <c r="N1223" s="1" t="str">
        <f t="shared" si="38"/>
        <v>Lower</v>
      </c>
      <c r="O1223" s="1" t="str">
        <f t="shared" si="39"/>
        <v>Pre-Senior | Medium Spender | Lower</v>
      </c>
    </row>
    <row r="1224" spans="1:15" x14ac:dyDescent="0.25">
      <c r="A1224" s="1" t="s">
        <v>1254</v>
      </c>
      <c r="B1224" s="1">
        <v>54</v>
      </c>
      <c r="C1224" s="1" t="str" cm="1">
        <f t="array" ref="C1224">_xlfn.IFS(OR(B1224=" ", B1224="NA",NOT(ISNUMBER(B1224))), "Unknown",B1224&lt;18,"Underage",B1224&lt;=24,"Young Adult",B1224&lt;=34,"Early Career",B1224&lt;=44,"Mid Career",B1224&lt;=54,"Mature",B1224&lt;=65,"Pre-Senior",B1224&gt;65,"Senior")</f>
        <v>Mature</v>
      </c>
      <c r="D1224" s="1" t="s">
        <v>18</v>
      </c>
      <c r="E1224" s="1" t="s">
        <v>49</v>
      </c>
      <c r="F1224" s="1">
        <v>1550000</v>
      </c>
      <c r="G1224" s="1">
        <v>76</v>
      </c>
      <c r="H1224" s="1" t="str" cm="1">
        <f t="array" ref="H1224">_xlfn.IFS( OR(G1224=" ",NOT(ISNUMBER(G1224))),"Unknown",G1224&lt;=33,"Low Spender",G1224&lt;=66,"Medium Spender",TRUE, "High Spender")</f>
        <v>High Spender</v>
      </c>
      <c r="I1224" s="1">
        <v>43</v>
      </c>
      <c r="J1224" s="1">
        <v>2700</v>
      </c>
      <c r="K1224" s="1">
        <v>27</v>
      </c>
      <c r="M1224" s="1" t="s">
        <v>21</v>
      </c>
      <c r="N1224" s="1" t="str">
        <f t="shared" si="38"/>
        <v>Higher</v>
      </c>
      <c r="O1224" s="1" t="str">
        <f t="shared" si="39"/>
        <v>Mature | High Spender | Higher</v>
      </c>
    </row>
    <row r="1225" spans="1:15" x14ac:dyDescent="0.25">
      <c r="A1225" s="1" t="s">
        <v>1255</v>
      </c>
      <c r="B1225" s="1">
        <v>31</v>
      </c>
      <c r="C1225" s="1" t="str" cm="1">
        <f t="array" ref="C1225">_xlfn.IFS(OR(B1225=" ", B1225="NA",NOT(ISNUMBER(B1225))), "Unknown",B1225&lt;18,"Underage",B1225&lt;=24,"Young Adult",B1225&lt;=34,"Early Career",B1225&lt;=44,"Mid Career",B1225&lt;=54,"Mature",B1225&lt;=65,"Pre-Senior",B1225&gt;65,"Senior")</f>
        <v>Early Career</v>
      </c>
      <c r="E1225" s="1" t="s">
        <v>49</v>
      </c>
      <c r="F1225" s="1">
        <v>525000</v>
      </c>
      <c r="G1225" s="1">
        <v>42</v>
      </c>
      <c r="H1225" s="1" t="str" cm="1">
        <f t="array" ref="H1225">_xlfn.IFS( OR(G1225=" ",NOT(ISNUMBER(G1225))),"Unknown",G1225&lt;=33,"Low Spender",G1225&lt;=66,"Medium Spender",TRUE, "High Spender")</f>
        <v>Medium Spender</v>
      </c>
      <c r="I1225" s="1">
        <v>21</v>
      </c>
      <c r="J1225" s="1">
        <v>3000</v>
      </c>
      <c r="K1225" s="1">
        <v>85</v>
      </c>
      <c r="L1225" s="1" t="s">
        <v>16</v>
      </c>
      <c r="M1225" s="1" t="s">
        <v>21</v>
      </c>
      <c r="N1225" s="1" t="str">
        <f t="shared" si="38"/>
        <v>Lower</v>
      </c>
      <c r="O1225" s="1" t="str">
        <f t="shared" si="39"/>
        <v>Early Career | Medium Spender | Lower</v>
      </c>
    </row>
    <row r="1226" spans="1:15" x14ac:dyDescent="0.25">
      <c r="A1226" s="1" t="s">
        <v>1256</v>
      </c>
      <c r="B1226" s="1">
        <v>47</v>
      </c>
      <c r="C1226" s="1" t="str" cm="1">
        <f t="array" ref="C1226">_xlfn.IFS(OR(B1226=" ", B1226="NA",NOT(ISNUMBER(B1226))), "Unknown",B1226&lt;18,"Underage",B1226&lt;=24,"Young Adult",B1226&lt;=34,"Early Career",B1226&lt;=44,"Mid Career",B1226&lt;=54,"Mature",B1226&lt;=65,"Pre-Senior",B1226&gt;65,"Senior")</f>
        <v>Mature</v>
      </c>
      <c r="D1226" s="1" t="s">
        <v>29</v>
      </c>
      <c r="E1226" s="1" t="s">
        <v>19</v>
      </c>
      <c r="F1226" s="1">
        <v>725000</v>
      </c>
      <c r="G1226" s="1">
        <v>13</v>
      </c>
      <c r="H1226" s="1" t="str" cm="1">
        <f t="array" ref="H1226">_xlfn.IFS( OR(G1226=" ",NOT(ISNUMBER(G1226))),"Unknown",G1226&lt;=33,"Low Spender",G1226&lt;=66,"Medium Spender",TRUE, "High Spender")</f>
        <v>Low Spender</v>
      </c>
      <c r="I1226" s="1">
        <v>3</v>
      </c>
      <c r="J1226" s="1">
        <v>900</v>
      </c>
      <c r="K1226" s="1">
        <v>196</v>
      </c>
      <c r="L1226" s="1" t="s">
        <v>16</v>
      </c>
      <c r="M1226" s="1" t="s">
        <v>30</v>
      </c>
      <c r="N1226" s="1" t="str">
        <f t="shared" si="38"/>
        <v>Higher</v>
      </c>
      <c r="O1226" s="1" t="str">
        <f t="shared" si="39"/>
        <v>Mature | Low Spender | Higher</v>
      </c>
    </row>
    <row r="1227" spans="1:15" x14ac:dyDescent="0.25">
      <c r="A1227" s="1" t="s">
        <v>1257</v>
      </c>
      <c r="B1227" s="1">
        <v>52</v>
      </c>
      <c r="C1227" s="1" t="str" cm="1">
        <f t="array" ref="C1227">_xlfn.IFS(OR(B1227=" ", B1227="NA",NOT(ISNUMBER(B1227))), "Unknown",B1227&lt;18,"Underage",B1227&lt;=24,"Young Adult",B1227&lt;=34,"Early Career",B1227&lt;=44,"Mid Career",B1227&lt;=54,"Mature",B1227&lt;=65,"Pre-Senior",B1227&gt;65,"Senior")</f>
        <v>Mature</v>
      </c>
      <c r="D1227" s="1" t="s">
        <v>29</v>
      </c>
      <c r="E1227" s="1" t="s">
        <v>23</v>
      </c>
      <c r="F1227" s="1">
        <v>1850000</v>
      </c>
      <c r="G1227" s="1">
        <v>26</v>
      </c>
      <c r="H1227" s="1" t="str" cm="1">
        <f t="array" ref="H1227">_xlfn.IFS( OR(G1227=" ",NOT(ISNUMBER(G1227))),"Unknown",G1227&lt;=33,"Low Spender",G1227&lt;=66,"Medium Spender",TRUE, "High Spender")</f>
        <v>Low Spender</v>
      </c>
      <c r="I1227" s="1">
        <v>31</v>
      </c>
      <c r="J1227" s="1">
        <v>11500</v>
      </c>
      <c r="K1227" s="1">
        <v>316</v>
      </c>
      <c r="N1227" s="1" t="str">
        <f t="shared" si="38"/>
        <v>Higher</v>
      </c>
      <c r="O1227" s="1" t="str">
        <f t="shared" si="39"/>
        <v>Mature | Low Spender | Higher</v>
      </c>
    </row>
    <row r="1228" spans="1:15" x14ac:dyDescent="0.25">
      <c r="A1228" s="1" t="s">
        <v>1258</v>
      </c>
      <c r="B1228" s="1">
        <v>38</v>
      </c>
      <c r="C1228" s="1" t="str" cm="1">
        <f t="array" ref="C1228">_xlfn.IFS(OR(B1228=" ", B1228="NA",NOT(ISNUMBER(B1228))), "Unknown",B1228&lt;18,"Underage",B1228&lt;=24,"Young Adult",B1228&lt;=34,"Early Career",B1228&lt;=44,"Mid Career",B1228&lt;=54,"Mature",B1228&lt;=65,"Pre-Senior",B1228&gt;65,"Senior")</f>
        <v>Mid Career</v>
      </c>
      <c r="D1228" s="1" t="s">
        <v>29</v>
      </c>
      <c r="E1228" s="1" t="s">
        <v>27</v>
      </c>
      <c r="F1228" s="1">
        <v>1150000</v>
      </c>
      <c r="G1228" s="1">
        <v>18</v>
      </c>
      <c r="H1228" s="1" t="str" cm="1">
        <f t="array" ref="H1228">_xlfn.IFS( OR(G1228=" ",NOT(ISNUMBER(G1228))),"Unknown",G1228&lt;=33,"Low Spender",G1228&lt;=66,"Medium Spender",TRUE, "High Spender")</f>
        <v>Low Spender</v>
      </c>
      <c r="I1228" s="1">
        <v>27</v>
      </c>
      <c r="J1228" s="1">
        <v>3800</v>
      </c>
      <c r="K1228" s="1">
        <v>243</v>
      </c>
      <c r="L1228" s="1" t="s">
        <v>20</v>
      </c>
      <c r="M1228" s="1" t="s">
        <v>32</v>
      </c>
      <c r="N1228" s="1" t="str">
        <f t="shared" si="38"/>
        <v>Higher</v>
      </c>
      <c r="O1228" s="1" t="str">
        <f t="shared" si="39"/>
        <v>Mid Career | Low Spender | Higher</v>
      </c>
    </row>
    <row r="1229" spans="1:15" x14ac:dyDescent="0.25">
      <c r="A1229" s="1" t="s">
        <v>1259</v>
      </c>
      <c r="B1229" s="1">
        <v>54</v>
      </c>
      <c r="C1229" s="1" t="str" cm="1">
        <f t="array" ref="C1229">_xlfn.IFS(OR(B1229=" ", B1229="NA",NOT(ISNUMBER(B1229))), "Unknown",B1229&lt;18,"Underage",B1229&lt;=24,"Young Adult",B1229&lt;=34,"Early Career",B1229&lt;=44,"Mid Career",B1229&lt;=54,"Mature",B1229&lt;=65,"Pre-Senior",B1229&gt;65,"Senior")</f>
        <v>Mature</v>
      </c>
      <c r="D1229" s="1" t="s">
        <v>18</v>
      </c>
      <c r="F1229" s="1" t="s">
        <v>25</v>
      </c>
      <c r="G1229" s="1">
        <v>42</v>
      </c>
      <c r="H1229" s="1" t="str" cm="1">
        <f t="array" ref="H1229">_xlfn.IFS( OR(G1229=" ",NOT(ISNUMBER(G1229))),"Unknown",G1229&lt;=33,"Low Spender",G1229&lt;=66,"Medium Spender",TRUE, "High Spender")</f>
        <v>Medium Spender</v>
      </c>
      <c r="I1229" s="1">
        <v>27</v>
      </c>
      <c r="J1229" s="1">
        <v>1200</v>
      </c>
      <c r="K1229" s="1">
        <v>342</v>
      </c>
      <c r="L1229" s="1" t="s">
        <v>20</v>
      </c>
      <c r="N1229" s="1" t="str">
        <f t="shared" si="38"/>
        <v>Higher</v>
      </c>
      <c r="O1229" s="1" t="str">
        <f t="shared" si="39"/>
        <v>Mature | Medium Spender | Higher</v>
      </c>
    </row>
    <row r="1230" spans="1:15" x14ac:dyDescent="0.25">
      <c r="A1230" s="1" t="s">
        <v>1260</v>
      </c>
      <c r="B1230" s="1">
        <v>22</v>
      </c>
      <c r="C1230" s="1" t="str" cm="1">
        <f t="array" ref="C1230">_xlfn.IFS(OR(B1230=" ", B1230="NA",NOT(ISNUMBER(B1230))), "Unknown",B1230&lt;18,"Underage",B1230&lt;=24,"Young Adult",B1230&lt;=34,"Early Career",B1230&lt;=44,"Mid Career",B1230&lt;=54,"Mature",B1230&lt;=65,"Pre-Senior",B1230&gt;65,"Senior")</f>
        <v>Young Adult</v>
      </c>
      <c r="D1230" s="1" t="s">
        <v>18</v>
      </c>
      <c r="E1230" s="1" t="s">
        <v>34</v>
      </c>
      <c r="F1230" s="1">
        <v>1300000</v>
      </c>
      <c r="G1230" s="1">
        <v>51</v>
      </c>
      <c r="H1230" s="1" t="str" cm="1">
        <f t="array" ref="H1230">_xlfn.IFS( OR(G1230=" ",NOT(ISNUMBER(G1230))),"Unknown",G1230&lt;=33,"Low Spender",G1230&lt;=66,"Medium Spender",TRUE, "High Spender")</f>
        <v>Medium Spender</v>
      </c>
      <c r="I1230" s="1">
        <v>73</v>
      </c>
      <c r="J1230" s="1">
        <v>11500</v>
      </c>
      <c r="K1230" s="1">
        <v>177</v>
      </c>
      <c r="L1230" s="1" t="s">
        <v>20</v>
      </c>
      <c r="M1230" s="1" t="s">
        <v>21</v>
      </c>
      <c r="N1230" s="1" t="str">
        <f t="shared" si="38"/>
        <v>Higher</v>
      </c>
      <c r="O1230" s="1" t="str">
        <f t="shared" si="39"/>
        <v>Young Adult | Medium Spender | Higher</v>
      </c>
    </row>
    <row r="1231" spans="1:15" x14ac:dyDescent="0.25">
      <c r="A1231" s="1" t="s">
        <v>1261</v>
      </c>
      <c r="B1231" s="1">
        <v>36</v>
      </c>
      <c r="C1231" s="1" t="str" cm="1">
        <f t="array" ref="C1231">_xlfn.IFS(OR(B1231=" ", B1231="NA",NOT(ISNUMBER(B1231))), "Unknown",B1231&lt;18,"Underage",B1231&lt;=24,"Young Adult",B1231&lt;=34,"Early Career",B1231&lt;=44,"Mid Career",B1231&lt;=54,"Mature",B1231&lt;=65,"Pre-Senior",B1231&gt;65,"Senior")</f>
        <v>Mid Career</v>
      </c>
      <c r="G1231" s="1">
        <v>84</v>
      </c>
      <c r="H1231" s="1" t="str" cm="1">
        <f t="array" ref="H1231">_xlfn.IFS( OR(G1231=" ",NOT(ISNUMBER(G1231))),"Unknown",G1231&lt;=33,"Low Spender",G1231&lt;=66,"Medium Spender",TRUE, "High Spender")</f>
        <v>High Spender</v>
      </c>
      <c r="I1231" s="1">
        <v>57</v>
      </c>
      <c r="J1231" s="1">
        <v>3800</v>
      </c>
      <c r="K1231" s="1">
        <v>130</v>
      </c>
      <c r="M1231" s="1" t="s">
        <v>21</v>
      </c>
      <c r="N1231" s="1" t="str">
        <f t="shared" si="38"/>
        <v>Lower</v>
      </c>
      <c r="O1231" s="1" t="str">
        <f t="shared" si="39"/>
        <v>Mid Career | High Spender | Lower</v>
      </c>
    </row>
    <row r="1232" spans="1:15" x14ac:dyDescent="0.25">
      <c r="A1232" s="1" t="s">
        <v>1262</v>
      </c>
      <c r="B1232" s="1">
        <v>31</v>
      </c>
      <c r="C1232" s="1" t="str" cm="1">
        <f t="array" ref="C1232">_xlfn.IFS(OR(B1232=" ", B1232="NA",NOT(ISNUMBER(B1232))), "Unknown",B1232&lt;18,"Underage",B1232&lt;=24,"Young Adult",B1232&lt;=34,"Early Career",B1232&lt;=44,"Mid Career",B1232&lt;=54,"Mature",B1232&lt;=65,"Pre-Senior",B1232&gt;65,"Senior")</f>
        <v>Early Career</v>
      </c>
      <c r="D1232" s="1" t="s">
        <v>18</v>
      </c>
      <c r="E1232" s="1" t="s">
        <v>13</v>
      </c>
      <c r="F1232" s="1">
        <v>1850000</v>
      </c>
      <c r="G1232" s="1">
        <v>16</v>
      </c>
      <c r="H1232" s="1" t="str" cm="1">
        <f t="array" ref="H1232">_xlfn.IFS( OR(G1232=" ",NOT(ISNUMBER(G1232))),"Unknown",G1232&lt;=33,"Low Spender",G1232&lt;=66,"Medium Spender",TRUE, "High Spender")</f>
        <v>Low Spender</v>
      </c>
      <c r="I1232" s="1">
        <v>33</v>
      </c>
      <c r="J1232" s="1">
        <v>9700</v>
      </c>
      <c r="K1232" s="1">
        <v>145</v>
      </c>
      <c r="L1232" s="1" t="s">
        <v>37</v>
      </c>
      <c r="M1232" s="1" t="s">
        <v>41</v>
      </c>
      <c r="N1232" s="1" t="str">
        <f t="shared" si="38"/>
        <v>Higher</v>
      </c>
      <c r="O1232" s="1" t="str">
        <f t="shared" si="39"/>
        <v>Early Career | Low Spender | Higher</v>
      </c>
    </row>
    <row r="1233" spans="1:15" x14ac:dyDescent="0.25">
      <c r="A1233" s="1" t="s">
        <v>1263</v>
      </c>
      <c r="B1233" s="1">
        <v>43</v>
      </c>
      <c r="C1233" s="1" t="str" cm="1">
        <f t="array" ref="C1233">_xlfn.IFS(OR(B1233=" ", B1233="NA",NOT(ISNUMBER(B1233))), "Unknown",B1233&lt;18,"Underage",B1233&lt;=24,"Young Adult",B1233&lt;=34,"Early Career",B1233&lt;=44,"Mid Career",B1233&lt;=54,"Mature",B1233&lt;=65,"Pre-Senior",B1233&gt;65,"Senior")</f>
        <v>Mid Career</v>
      </c>
      <c r="D1233" s="1" t="s">
        <v>29</v>
      </c>
      <c r="E1233" s="1" t="s">
        <v>58</v>
      </c>
      <c r="F1233" s="1">
        <v>900000</v>
      </c>
      <c r="H1233" s="1" t="str" cm="1">
        <f t="array" ref="H1233">_xlfn.IFS( OR(G1233=" ",NOT(ISNUMBER(G1233))),"Unknown",G1233&lt;=33,"Low Spender",G1233&lt;=66,"Medium Spender",TRUE, "High Spender")</f>
        <v>Unknown</v>
      </c>
      <c r="I1233" s="1">
        <v>44</v>
      </c>
      <c r="J1233" s="1">
        <v>8500</v>
      </c>
      <c r="K1233" s="1">
        <v>83</v>
      </c>
      <c r="L1233" s="1" t="s">
        <v>37</v>
      </c>
      <c r="M1233" s="1" t="s">
        <v>32</v>
      </c>
      <c r="N1233" s="1" t="str">
        <f t="shared" si="38"/>
        <v>Higher</v>
      </c>
      <c r="O1233" s="1" t="str">
        <f t="shared" si="39"/>
        <v>Mid Career | Unknown | Higher</v>
      </c>
    </row>
    <row r="1234" spans="1:15" x14ac:dyDescent="0.25">
      <c r="A1234" s="1" t="s">
        <v>1264</v>
      </c>
      <c r="B1234" s="1">
        <v>21</v>
      </c>
      <c r="C1234" s="1" t="str" cm="1">
        <f t="array" ref="C1234">_xlfn.IFS(OR(B1234=" ", B1234="NA",NOT(ISNUMBER(B1234))), "Unknown",B1234&lt;18,"Underage",B1234&lt;=24,"Young Adult",B1234&lt;=34,"Early Career",B1234&lt;=44,"Mid Career",B1234&lt;=54,"Mature",B1234&lt;=65,"Pre-Senior",B1234&gt;65,"Senior")</f>
        <v>Young Adult</v>
      </c>
      <c r="D1234" s="1" t="s">
        <v>18</v>
      </c>
      <c r="F1234" s="1">
        <v>875000</v>
      </c>
      <c r="G1234" s="1">
        <v>3</v>
      </c>
      <c r="H1234" s="1" t="str" cm="1">
        <f t="array" ref="H1234">_xlfn.IFS( OR(G1234=" ",NOT(ISNUMBER(G1234))),"Unknown",G1234&lt;=33,"Low Spender",G1234&lt;=66,"Medium Spender",TRUE, "High Spender")</f>
        <v>Low Spender</v>
      </c>
      <c r="I1234" s="1">
        <v>43</v>
      </c>
      <c r="J1234" s="1">
        <v>2000</v>
      </c>
      <c r="K1234" s="1">
        <v>360</v>
      </c>
      <c r="L1234" s="1" t="s">
        <v>20</v>
      </c>
      <c r="N1234" s="1" t="str">
        <f t="shared" si="38"/>
        <v>Higher</v>
      </c>
      <c r="O1234" s="1" t="str">
        <f t="shared" si="39"/>
        <v>Young Adult | Low Spender | Higher</v>
      </c>
    </row>
    <row r="1235" spans="1:15" x14ac:dyDescent="0.25">
      <c r="A1235" s="1" t="s">
        <v>1265</v>
      </c>
      <c r="B1235" s="1">
        <v>42</v>
      </c>
      <c r="C1235" s="1" t="str" cm="1">
        <f t="array" ref="C1235">_xlfn.IFS(OR(B1235=" ", B1235="NA",NOT(ISNUMBER(B1235))), "Unknown",B1235&lt;18,"Underage",B1235&lt;=24,"Young Adult",B1235&lt;=34,"Early Career",B1235&lt;=44,"Mid Career",B1235&lt;=54,"Mature",B1235&lt;=65,"Pre-Senior",B1235&gt;65,"Senior")</f>
        <v>Mid Career</v>
      </c>
      <c r="D1235" s="1" t="s">
        <v>29</v>
      </c>
      <c r="E1235" s="1" t="s">
        <v>27</v>
      </c>
      <c r="F1235" s="1">
        <v>575000</v>
      </c>
      <c r="G1235" s="1">
        <v>91</v>
      </c>
      <c r="H1235" s="1" t="str" cm="1">
        <f t="array" ref="H1235">_xlfn.IFS( OR(G1235=" ",NOT(ISNUMBER(G1235))),"Unknown",G1235&lt;=33,"Low Spender",G1235&lt;=66,"Medium Spender",TRUE, "High Spender")</f>
        <v>High Spender</v>
      </c>
      <c r="I1235" s="1">
        <v>31</v>
      </c>
      <c r="J1235" s="1">
        <v>11500</v>
      </c>
      <c r="K1235" s="1">
        <v>88</v>
      </c>
      <c r="M1235" s="1" t="s">
        <v>21</v>
      </c>
      <c r="N1235" s="1" t="str">
        <f t="shared" si="38"/>
        <v>Higher</v>
      </c>
      <c r="O1235" s="1" t="str">
        <f t="shared" si="39"/>
        <v>Mid Career | High Spender | Higher</v>
      </c>
    </row>
    <row r="1236" spans="1:15" x14ac:dyDescent="0.25">
      <c r="A1236" s="1" t="s">
        <v>1266</v>
      </c>
      <c r="B1236" s="1">
        <v>62</v>
      </c>
      <c r="C1236" s="1" t="str" cm="1">
        <f t="array" ref="C1236">_xlfn.IFS(OR(B1236=" ", B1236="NA",NOT(ISNUMBER(B1236))), "Unknown",B1236&lt;18,"Underage",B1236&lt;=24,"Young Adult",B1236&lt;=34,"Early Career",B1236&lt;=44,"Mid Career",B1236&lt;=54,"Mature",B1236&lt;=65,"Pre-Senior",B1236&gt;65,"Senior")</f>
        <v>Pre-Senior</v>
      </c>
      <c r="D1236" s="1" t="s">
        <v>18</v>
      </c>
      <c r="E1236" s="1" t="s">
        <v>34</v>
      </c>
      <c r="F1236" s="1">
        <v>1225000</v>
      </c>
      <c r="G1236" s="1">
        <v>79</v>
      </c>
      <c r="H1236" s="1" t="str" cm="1">
        <f t="array" ref="H1236">_xlfn.IFS( OR(G1236=" ",NOT(ISNUMBER(G1236))),"Unknown",G1236&lt;=33,"Low Spender",G1236&lt;=66,"Medium Spender",TRUE, "High Spender")</f>
        <v>High Spender</v>
      </c>
      <c r="I1236" s="1">
        <v>65</v>
      </c>
      <c r="J1236" s="1">
        <v>800</v>
      </c>
      <c r="K1236" s="1">
        <v>20</v>
      </c>
      <c r="L1236" s="1" t="s">
        <v>16</v>
      </c>
      <c r="N1236" s="1" t="str">
        <f t="shared" si="38"/>
        <v>Higher</v>
      </c>
      <c r="O1236" s="1" t="str">
        <f t="shared" si="39"/>
        <v>Pre-Senior | High Spender | Higher</v>
      </c>
    </row>
    <row r="1237" spans="1:15" x14ac:dyDescent="0.25">
      <c r="A1237" s="1" t="s">
        <v>1267</v>
      </c>
      <c r="B1237" s="1">
        <v>59</v>
      </c>
      <c r="C1237" s="1" t="str" cm="1">
        <f t="array" ref="C1237">_xlfn.IFS(OR(B1237=" ", B1237="NA",NOT(ISNUMBER(B1237))), "Unknown",B1237&lt;18,"Underage",B1237&lt;=24,"Young Adult",B1237&lt;=34,"Early Career",B1237&lt;=44,"Mid Career",B1237&lt;=54,"Mature",B1237&lt;=65,"Pre-Senior",B1237&gt;65,"Senior")</f>
        <v>Pre-Senior</v>
      </c>
      <c r="D1237" s="1" t="s">
        <v>29</v>
      </c>
      <c r="E1237" s="1" t="s">
        <v>13</v>
      </c>
      <c r="F1237" s="1">
        <v>800000</v>
      </c>
      <c r="G1237" s="1">
        <v>98</v>
      </c>
      <c r="H1237" s="1" t="str" cm="1">
        <f t="array" ref="H1237">_xlfn.IFS( OR(G1237=" ",NOT(ISNUMBER(G1237))),"Unknown",G1237&lt;=33,"Low Spender",G1237&lt;=66,"Medium Spender",TRUE, "High Spender")</f>
        <v>High Spender</v>
      </c>
      <c r="I1237" s="1">
        <v>76</v>
      </c>
      <c r="J1237" s="1">
        <v>9400</v>
      </c>
      <c r="K1237" s="1">
        <v>230</v>
      </c>
      <c r="L1237" s="1" t="s">
        <v>35</v>
      </c>
      <c r="M1237" s="1" t="s">
        <v>32</v>
      </c>
      <c r="N1237" s="1" t="str">
        <f t="shared" si="38"/>
        <v>Higher</v>
      </c>
      <c r="O1237" s="1" t="str">
        <f t="shared" si="39"/>
        <v>Pre-Senior | High Spender | Higher</v>
      </c>
    </row>
    <row r="1238" spans="1:15" x14ac:dyDescent="0.25">
      <c r="A1238" s="1" t="s">
        <v>1268</v>
      </c>
      <c r="B1238" s="1">
        <v>42</v>
      </c>
      <c r="C1238" s="1" t="str" cm="1">
        <f t="array" ref="C1238">_xlfn.IFS(OR(B1238=" ", B1238="NA",NOT(ISNUMBER(B1238))), "Unknown",B1238&lt;18,"Underage",B1238&lt;=24,"Young Adult",B1238&lt;=34,"Early Career",B1238&lt;=44,"Mid Career",B1238&lt;=54,"Mature",B1238&lt;=65,"Pre-Senior",B1238&gt;65,"Senior")</f>
        <v>Mid Career</v>
      </c>
      <c r="D1238" s="1" t="s">
        <v>12</v>
      </c>
      <c r="E1238" s="1" t="s">
        <v>49</v>
      </c>
      <c r="F1238" s="1">
        <v>775000</v>
      </c>
      <c r="G1238" s="1">
        <v>45</v>
      </c>
      <c r="H1238" s="1" t="str" cm="1">
        <f t="array" ref="H1238">_xlfn.IFS( OR(G1238=" ",NOT(ISNUMBER(G1238))),"Unknown",G1238&lt;=33,"Low Spender",G1238&lt;=66,"Medium Spender",TRUE, "High Spender")</f>
        <v>Medium Spender</v>
      </c>
      <c r="I1238" s="1">
        <v>17</v>
      </c>
      <c r="J1238" s="1">
        <v>900</v>
      </c>
      <c r="K1238" s="1">
        <v>126</v>
      </c>
      <c r="L1238" s="1" t="s">
        <v>16</v>
      </c>
      <c r="M1238" s="1" t="s">
        <v>32</v>
      </c>
      <c r="N1238" s="1" t="str">
        <f t="shared" si="38"/>
        <v>Lower</v>
      </c>
      <c r="O1238" s="1" t="str">
        <f t="shared" si="39"/>
        <v>Mid Career | Medium Spender | Lower</v>
      </c>
    </row>
    <row r="1239" spans="1:15" x14ac:dyDescent="0.25">
      <c r="A1239" s="1" t="s">
        <v>1269</v>
      </c>
      <c r="B1239" s="1">
        <v>35</v>
      </c>
      <c r="C1239" s="1" t="str" cm="1">
        <f t="array" ref="C1239">_xlfn.IFS(OR(B1239=" ", B1239="NA",NOT(ISNUMBER(B1239))), "Unknown",B1239&lt;18,"Underage",B1239&lt;=24,"Young Adult",B1239&lt;=34,"Early Career",B1239&lt;=44,"Mid Career",B1239&lt;=54,"Mature",B1239&lt;=65,"Pre-Senior",B1239&gt;65,"Senior")</f>
        <v>Mid Career</v>
      </c>
      <c r="D1239" s="1" t="s">
        <v>29</v>
      </c>
      <c r="E1239" s="1" t="s">
        <v>34</v>
      </c>
      <c r="F1239" s="1">
        <v>1625000</v>
      </c>
      <c r="G1239" s="1">
        <v>22</v>
      </c>
      <c r="H1239" s="1" t="str" cm="1">
        <f t="array" ref="H1239">_xlfn.IFS( OR(G1239=" ",NOT(ISNUMBER(G1239))),"Unknown",G1239&lt;=33,"Low Spender",G1239&lt;=66,"Medium Spender",TRUE, "High Spender")</f>
        <v>Low Spender</v>
      </c>
      <c r="I1239" s="1">
        <v>15</v>
      </c>
      <c r="J1239" s="1">
        <v>10400</v>
      </c>
      <c r="K1239" s="1">
        <v>354</v>
      </c>
      <c r="L1239" s="1" t="s">
        <v>16</v>
      </c>
      <c r="M1239" s="1" t="s">
        <v>21</v>
      </c>
      <c r="N1239" s="1" t="str">
        <f t="shared" si="38"/>
        <v>Higher</v>
      </c>
      <c r="O1239" s="1" t="str">
        <f t="shared" si="39"/>
        <v>Mid Career | Low Spender | Higher</v>
      </c>
    </row>
    <row r="1240" spans="1:15" x14ac:dyDescent="0.25">
      <c r="A1240" s="1" t="s">
        <v>1270</v>
      </c>
      <c r="B1240" s="1">
        <v>57</v>
      </c>
      <c r="C1240" s="1" t="str" cm="1">
        <f t="array" ref="C1240">_xlfn.IFS(OR(B1240=" ", B1240="NA",NOT(ISNUMBER(B1240))), "Unknown",B1240&lt;18,"Underage",B1240&lt;=24,"Young Adult",B1240&lt;=34,"Early Career",B1240&lt;=44,"Mid Career",B1240&lt;=54,"Mature",B1240&lt;=65,"Pre-Senior",B1240&gt;65,"Senior")</f>
        <v>Pre-Senior</v>
      </c>
      <c r="D1240" s="1" t="s">
        <v>29</v>
      </c>
      <c r="E1240" s="1" t="s">
        <v>19</v>
      </c>
      <c r="F1240" s="1">
        <v>575000</v>
      </c>
      <c r="G1240" s="1">
        <v>23</v>
      </c>
      <c r="H1240" s="1" t="str" cm="1">
        <f t="array" ref="H1240">_xlfn.IFS( OR(G1240=" ",NOT(ISNUMBER(G1240))),"Unknown",G1240&lt;=33,"Low Spender",G1240&lt;=66,"Medium Spender",TRUE, "High Spender")</f>
        <v>Low Spender</v>
      </c>
      <c r="I1240" s="1">
        <v>34</v>
      </c>
      <c r="J1240" s="1">
        <v>1400</v>
      </c>
      <c r="K1240" s="1">
        <v>51</v>
      </c>
      <c r="L1240" s="1" t="s">
        <v>35</v>
      </c>
      <c r="M1240" s="1" t="s">
        <v>30</v>
      </c>
      <c r="N1240" s="1" t="str">
        <f t="shared" si="38"/>
        <v>Higher</v>
      </c>
      <c r="O1240" s="1" t="str">
        <f t="shared" si="39"/>
        <v>Pre-Senior | Low Spender | Higher</v>
      </c>
    </row>
    <row r="1241" spans="1:15" x14ac:dyDescent="0.25">
      <c r="A1241" s="1" t="s">
        <v>1271</v>
      </c>
      <c r="B1241" s="1">
        <v>25</v>
      </c>
      <c r="C1241" s="1" t="str" cm="1">
        <f t="array" ref="C1241">_xlfn.IFS(OR(B1241=" ", B1241="NA",NOT(ISNUMBER(B1241))), "Unknown",B1241&lt;18,"Underage",B1241&lt;=24,"Young Adult",B1241&lt;=34,"Early Career",B1241&lt;=44,"Mid Career",B1241&lt;=54,"Mature",B1241&lt;=65,"Pre-Senior",B1241&gt;65,"Senior")</f>
        <v>Early Career</v>
      </c>
      <c r="D1241" s="1" t="s">
        <v>12</v>
      </c>
      <c r="F1241" s="1">
        <v>1525000</v>
      </c>
      <c r="G1241" s="1">
        <v>59</v>
      </c>
      <c r="H1241" s="1" t="str" cm="1">
        <f t="array" ref="H1241">_xlfn.IFS( OR(G1241=" ",NOT(ISNUMBER(G1241))),"Unknown",G1241&lt;=33,"Low Spender",G1241&lt;=66,"Medium Spender",TRUE, "High Spender")</f>
        <v>Medium Spender</v>
      </c>
      <c r="J1241" s="1">
        <v>4300</v>
      </c>
      <c r="K1241" s="1">
        <v>88</v>
      </c>
      <c r="L1241" s="1" t="s">
        <v>20</v>
      </c>
      <c r="N1241" s="1" t="str">
        <f t="shared" si="38"/>
        <v>Lower</v>
      </c>
      <c r="O1241" s="1" t="str">
        <f t="shared" si="39"/>
        <v>Early Career | Medium Spender | Lower</v>
      </c>
    </row>
    <row r="1242" spans="1:15" x14ac:dyDescent="0.25">
      <c r="A1242" s="1" t="s">
        <v>1272</v>
      </c>
      <c r="B1242" s="1">
        <v>56</v>
      </c>
      <c r="C1242" s="1" t="str" cm="1">
        <f t="array" ref="C1242">_xlfn.IFS(OR(B1242=" ", B1242="NA",NOT(ISNUMBER(B1242))), "Unknown",B1242&lt;18,"Underage",B1242&lt;=24,"Young Adult",B1242&lt;=34,"Early Career",B1242&lt;=44,"Mid Career",B1242&lt;=54,"Mature",B1242&lt;=65,"Pre-Senior",B1242&gt;65,"Senior")</f>
        <v>Pre-Senior</v>
      </c>
      <c r="D1242" s="1" t="s">
        <v>12</v>
      </c>
      <c r="E1242" s="1" t="s">
        <v>34</v>
      </c>
      <c r="F1242" s="1">
        <v>900000</v>
      </c>
      <c r="G1242" s="1">
        <v>62</v>
      </c>
      <c r="H1242" s="1" t="str" cm="1">
        <f t="array" ref="H1242">_xlfn.IFS( OR(G1242=" ",NOT(ISNUMBER(G1242))),"Unknown",G1242&lt;=33,"Low Spender",G1242&lt;=66,"Medium Spender",TRUE, "High Spender")</f>
        <v>Medium Spender</v>
      </c>
      <c r="I1242" s="1">
        <v>4</v>
      </c>
      <c r="J1242" s="1">
        <v>11600</v>
      </c>
      <c r="K1242" s="1">
        <v>170</v>
      </c>
      <c r="L1242" s="1" t="s">
        <v>16</v>
      </c>
      <c r="N1242" s="1" t="str">
        <f t="shared" si="38"/>
        <v>Lower</v>
      </c>
      <c r="O1242" s="1" t="str">
        <f t="shared" si="39"/>
        <v>Pre-Senior | Medium Spender | Lower</v>
      </c>
    </row>
    <row r="1243" spans="1:15" x14ac:dyDescent="0.25">
      <c r="A1243" s="1" t="s">
        <v>1273</v>
      </c>
      <c r="B1243" s="1">
        <v>57</v>
      </c>
      <c r="C1243" s="1" t="str" cm="1">
        <f t="array" ref="C1243">_xlfn.IFS(OR(B1243=" ", B1243="NA",NOT(ISNUMBER(B1243))), "Unknown",B1243&lt;18,"Underage",B1243&lt;=24,"Young Adult",B1243&lt;=34,"Early Career",B1243&lt;=44,"Mid Career",B1243&lt;=54,"Mature",B1243&lt;=65,"Pre-Senior",B1243&gt;65,"Senior")</f>
        <v>Pre-Senior</v>
      </c>
      <c r="D1243" s="1" t="s">
        <v>18</v>
      </c>
      <c r="E1243" s="1" t="s">
        <v>58</v>
      </c>
      <c r="F1243" s="1">
        <v>1600000</v>
      </c>
      <c r="G1243" s="1">
        <v>68</v>
      </c>
      <c r="H1243" s="1" t="str" cm="1">
        <f t="array" ref="H1243">_xlfn.IFS( OR(G1243=" ",NOT(ISNUMBER(G1243))),"Unknown",G1243&lt;=33,"Low Spender",G1243&lt;=66,"Medium Spender",TRUE, "High Spender")</f>
        <v>High Spender</v>
      </c>
      <c r="I1243" s="1">
        <v>72</v>
      </c>
      <c r="J1243" s="1">
        <v>6500</v>
      </c>
      <c r="K1243" s="1">
        <v>63</v>
      </c>
      <c r="L1243" s="1" t="s">
        <v>35</v>
      </c>
      <c r="M1243" s="1" t="s">
        <v>41</v>
      </c>
      <c r="N1243" s="1" t="str">
        <f t="shared" si="38"/>
        <v>Higher</v>
      </c>
      <c r="O1243" s="1" t="str">
        <f t="shared" si="39"/>
        <v>Pre-Senior | High Spender | Higher</v>
      </c>
    </row>
    <row r="1244" spans="1:15" x14ac:dyDescent="0.25">
      <c r="A1244" s="1" t="s">
        <v>1274</v>
      </c>
      <c r="B1244" s="1">
        <v>31</v>
      </c>
      <c r="C1244" s="1" t="str" cm="1">
        <f t="array" ref="C1244">_xlfn.IFS(OR(B1244=" ", B1244="NA",NOT(ISNUMBER(B1244))), "Unknown",B1244&lt;18,"Underage",B1244&lt;=24,"Young Adult",B1244&lt;=34,"Early Career",B1244&lt;=44,"Mid Career",B1244&lt;=54,"Mature",B1244&lt;=65,"Pre-Senior",B1244&gt;65,"Senior")</f>
        <v>Early Career</v>
      </c>
      <c r="E1244" s="1" t="s">
        <v>15</v>
      </c>
      <c r="F1244" s="1">
        <v>175000</v>
      </c>
      <c r="G1244" s="1">
        <v>54</v>
      </c>
      <c r="H1244" s="1" t="str" cm="1">
        <f t="array" ref="H1244">_xlfn.IFS( OR(G1244=" ",NOT(ISNUMBER(G1244))),"Unknown",G1244&lt;=33,"Low Spender",G1244&lt;=66,"Medium Spender",TRUE, "High Spender")</f>
        <v>Medium Spender</v>
      </c>
      <c r="I1244" s="1">
        <v>79</v>
      </c>
      <c r="J1244" s="1">
        <v>10000</v>
      </c>
      <c r="K1244" s="1">
        <v>89</v>
      </c>
      <c r="M1244" s="1" t="s">
        <v>32</v>
      </c>
      <c r="N1244" s="1" t="str">
        <f t="shared" si="38"/>
        <v>Lower</v>
      </c>
      <c r="O1244" s="1" t="str">
        <f t="shared" si="39"/>
        <v>Early Career | Medium Spender | Lower</v>
      </c>
    </row>
    <row r="1245" spans="1:15" x14ac:dyDescent="0.25">
      <c r="A1245" s="1" t="s">
        <v>1275</v>
      </c>
      <c r="B1245" s="1">
        <v>49</v>
      </c>
      <c r="C1245" s="1" t="str" cm="1">
        <f t="array" ref="C1245">_xlfn.IFS(OR(B1245=" ", B1245="NA",NOT(ISNUMBER(B1245))), "Unknown",B1245&lt;18,"Underage",B1245&lt;=24,"Young Adult",B1245&lt;=34,"Early Career",B1245&lt;=44,"Mid Career",B1245&lt;=54,"Mature",B1245&lt;=65,"Pre-Senior",B1245&gt;65,"Senior")</f>
        <v>Mature</v>
      </c>
      <c r="E1245" s="1" t="s">
        <v>49</v>
      </c>
      <c r="F1245" s="1">
        <v>1100000</v>
      </c>
      <c r="G1245" s="1">
        <v>57</v>
      </c>
      <c r="H1245" s="1" t="str" cm="1">
        <f t="array" ref="H1245">_xlfn.IFS( OR(G1245=" ",NOT(ISNUMBER(G1245))),"Unknown",G1245&lt;=33,"Low Spender",G1245&lt;=66,"Medium Spender",TRUE, "High Spender")</f>
        <v>Medium Spender</v>
      </c>
      <c r="I1245" s="1">
        <v>28</v>
      </c>
      <c r="J1245" s="1">
        <v>2700</v>
      </c>
      <c r="K1245" s="1">
        <v>189</v>
      </c>
      <c r="M1245" s="1" t="s">
        <v>32</v>
      </c>
      <c r="N1245" s="1" t="str">
        <f t="shared" si="38"/>
        <v>Lower</v>
      </c>
      <c r="O1245" s="1" t="str">
        <f t="shared" si="39"/>
        <v>Mature | Medium Spender | Lower</v>
      </c>
    </row>
    <row r="1246" spans="1:15" x14ac:dyDescent="0.25">
      <c r="A1246" s="1" t="s">
        <v>1276</v>
      </c>
      <c r="B1246" s="1">
        <v>68</v>
      </c>
      <c r="C1246" s="1" t="str" cm="1">
        <f t="array" ref="C1246">_xlfn.IFS(OR(B1246=" ", B1246="NA",NOT(ISNUMBER(B1246))), "Unknown",B1246&lt;18,"Underage",B1246&lt;=24,"Young Adult",B1246&lt;=34,"Early Career",B1246&lt;=44,"Mid Career",B1246&lt;=54,"Mature",B1246&lt;=65,"Pre-Senior",B1246&gt;65,"Senior")</f>
        <v>Senior</v>
      </c>
      <c r="D1246" s="1" t="s">
        <v>18</v>
      </c>
      <c r="F1246" s="1">
        <v>1650000</v>
      </c>
      <c r="G1246" s="1">
        <v>23</v>
      </c>
      <c r="H1246" s="1" t="str" cm="1">
        <f t="array" ref="H1246">_xlfn.IFS( OR(G1246=" ",NOT(ISNUMBER(G1246))),"Unknown",G1246&lt;=33,"Low Spender",G1246&lt;=66,"Medium Spender",TRUE, "High Spender")</f>
        <v>Low Spender</v>
      </c>
      <c r="I1246" s="1">
        <v>73</v>
      </c>
      <c r="J1246" s="1">
        <v>8300</v>
      </c>
      <c r="K1246" s="1">
        <v>190</v>
      </c>
      <c r="M1246" s="1" t="s">
        <v>21</v>
      </c>
      <c r="N1246" s="1" t="str">
        <f t="shared" si="38"/>
        <v>Higher</v>
      </c>
      <c r="O1246" s="1" t="str">
        <f t="shared" si="39"/>
        <v>Senior | Low Spender | Higher</v>
      </c>
    </row>
    <row r="1247" spans="1:15" x14ac:dyDescent="0.25">
      <c r="A1247" s="1" t="s">
        <v>1277</v>
      </c>
      <c r="B1247" s="1">
        <v>55</v>
      </c>
      <c r="C1247" s="1" t="str" cm="1">
        <f t="array" ref="C1247">_xlfn.IFS(OR(B1247=" ", B1247="NA",NOT(ISNUMBER(B1247))), "Unknown",B1247&lt;18,"Underage",B1247&lt;=24,"Young Adult",B1247&lt;=34,"Early Career",B1247&lt;=44,"Mid Career",B1247&lt;=54,"Mature",B1247&lt;=65,"Pre-Senior",B1247&gt;65,"Senior")</f>
        <v>Pre-Senior</v>
      </c>
      <c r="D1247" s="1" t="s">
        <v>29</v>
      </c>
      <c r="F1247" s="1">
        <v>1700000</v>
      </c>
      <c r="G1247" s="1">
        <v>60</v>
      </c>
      <c r="H1247" s="1" t="str" cm="1">
        <f t="array" ref="H1247">_xlfn.IFS( OR(G1247=" ",NOT(ISNUMBER(G1247))),"Unknown",G1247&lt;=33,"Low Spender",G1247&lt;=66,"Medium Spender",TRUE, "High Spender")</f>
        <v>Medium Spender</v>
      </c>
      <c r="I1247" s="1">
        <v>2</v>
      </c>
      <c r="J1247" s="1">
        <v>5500</v>
      </c>
      <c r="K1247" s="1">
        <v>89</v>
      </c>
      <c r="M1247" s="1" t="s">
        <v>21</v>
      </c>
      <c r="N1247" s="1" t="str">
        <f t="shared" si="38"/>
        <v>Higher</v>
      </c>
      <c r="O1247" s="1" t="str">
        <f t="shared" si="39"/>
        <v>Pre-Senior | Medium Spender | Higher</v>
      </c>
    </row>
    <row r="1248" spans="1:15" x14ac:dyDescent="0.25">
      <c r="A1248" s="1" t="s">
        <v>1278</v>
      </c>
      <c r="B1248" s="1">
        <v>50</v>
      </c>
      <c r="C1248" s="1" t="str" cm="1">
        <f t="array" ref="C1248">_xlfn.IFS(OR(B1248=" ", B1248="NA",NOT(ISNUMBER(B1248))), "Unknown",B1248&lt;18,"Underage",B1248&lt;=24,"Young Adult",B1248&lt;=34,"Early Career",B1248&lt;=44,"Mid Career",B1248&lt;=54,"Mature",B1248&lt;=65,"Pre-Senior",B1248&gt;65,"Senior")</f>
        <v>Mature</v>
      </c>
      <c r="D1248" s="1" t="s">
        <v>29</v>
      </c>
      <c r="E1248" s="1" t="s">
        <v>34</v>
      </c>
      <c r="F1248" s="1">
        <v>575000</v>
      </c>
      <c r="G1248" s="1">
        <v>73</v>
      </c>
      <c r="H1248" s="1" t="str" cm="1">
        <f t="array" ref="H1248">_xlfn.IFS( OR(G1248=" ",NOT(ISNUMBER(G1248))),"Unknown",G1248&lt;=33,"Low Spender",G1248&lt;=66,"Medium Spender",TRUE, "High Spender")</f>
        <v>High Spender</v>
      </c>
      <c r="I1248" s="1">
        <v>17</v>
      </c>
      <c r="J1248" s="1">
        <v>3500</v>
      </c>
      <c r="K1248" s="1">
        <v>348</v>
      </c>
      <c r="L1248" s="1" t="s">
        <v>20</v>
      </c>
      <c r="M1248" s="1" t="s">
        <v>21</v>
      </c>
      <c r="N1248" s="1" t="str">
        <f t="shared" si="38"/>
        <v>Higher</v>
      </c>
      <c r="O1248" s="1" t="str">
        <f t="shared" si="39"/>
        <v>Mature | High Spender | Higher</v>
      </c>
    </row>
    <row r="1249" spans="1:15" x14ac:dyDescent="0.25">
      <c r="A1249" s="1" t="s">
        <v>1279</v>
      </c>
      <c r="B1249" s="1">
        <v>40</v>
      </c>
      <c r="C1249" s="1" t="str" cm="1">
        <f t="array" ref="C1249">_xlfn.IFS(OR(B1249=" ", B1249="NA",NOT(ISNUMBER(B1249))), "Unknown",B1249&lt;18,"Underage",B1249&lt;=24,"Young Adult",B1249&lt;=34,"Early Career",B1249&lt;=44,"Mid Career",B1249&lt;=54,"Mature",B1249&lt;=65,"Pre-Senior",B1249&gt;65,"Senior")</f>
        <v>Mid Career</v>
      </c>
      <c r="D1249" s="1" t="s">
        <v>29</v>
      </c>
      <c r="E1249" s="1" t="s">
        <v>15</v>
      </c>
      <c r="F1249" s="1">
        <v>550000</v>
      </c>
      <c r="G1249" s="1">
        <v>88</v>
      </c>
      <c r="H1249" s="1" t="str" cm="1">
        <f t="array" ref="H1249">_xlfn.IFS( OR(G1249=" ",NOT(ISNUMBER(G1249))),"Unknown",G1249&lt;=33,"Low Spender",G1249&lt;=66,"Medium Spender",TRUE, "High Spender")</f>
        <v>High Spender</v>
      </c>
      <c r="I1249" s="1">
        <v>58</v>
      </c>
      <c r="J1249" s="1">
        <v>8900</v>
      </c>
      <c r="K1249" s="1">
        <v>332</v>
      </c>
      <c r="L1249" s="1" t="s">
        <v>16</v>
      </c>
      <c r="M1249" s="1" t="s">
        <v>41</v>
      </c>
      <c r="N1249" s="1" t="str">
        <f t="shared" si="38"/>
        <v>Higher</v>
      </c>
      <c r="O1249" s="1" t="str">
        <f t="shared" si="39"/>
        <v>Mid Career | High Spender | Higher</v>
      </c>
    </row>
    <row r="1250" spans="1:15" x14ac:dyDescent="0.25">
      <c r="A1250" s="1" t="s">
        <v>1280</v>
      </c>
      <c r="B1250" s="1">
        <v>32</v>
      </c>
      <c r="C1250" s="1" t="str" cm="1">
        <f t="array" ref="C1250">_xlfn.IFS(OR(B1250=" ", B1250="NA",NOT(ISNUMBER(B1250))), "Unknown",B1250&lt;18,"Underage",B1250&lt;=24,"Young Adult",B1250&lt;=34,"Early Career",B1250&lt;=44,"Mid Career",B1250&lt;=54,"Mature",B1250&lt;=65,"Pre-Senior",B1250&gt;65,"Senior")</f>
        <v>Early Career</v>
      </c>
      <c r="D1250" s="1" t="s">
        <v>29</v>
      </c>
      <c r="F1250" s="1">
        <v>1100000</v>
      </c>
      <c r="G1250" s="1">
        <v>85</v>
      </c>
      <c r="H1250" s="1" t="str" cm="1">
        <f t="array" ref="H1250">_xlfn.IFS( OR(G1250=" ",NOT(ISNUMBER(G1250))),"Unknown",G1250&lt;=33,"Low Spender",G1250&lt;=66,"Medium Spender",TRUE, "High Spender")</f>
        <v>High Spender</v>
      </c>
      <c r="I1250" s="1">
        <v>74</v>
      </c>
      <c r="J1250" s="1">
        <v>7500</v>
      </c>
      <c r="K1250" s="1">
        <v>26</v>
      </c>
      <c r="L1250" s="1" t="s">
        <v>16</v>
      </c>
      <c r="M1250" s="1" t="s">
        <v>30</v>
      </c>
      <c r="N1250" s="1" t="str">
        <f t="shared" si="38"/>
        <v>Higher</v>
      </c>
      <c r="O1250" s="1" t="str">
        <f t="shared" si="39"/>
        <v>Early Career | High Spender | Higher</v>
      </c>
    </row>
    <row r="1251" spans="1:15" x14ac:dyDescent="0.25">
      <c r="A1251" s="1" t="s">
        <v>1281</v>
      </c>
      <c r="B1251" s="1">
        <v>50</v>
      </c>
      <c r="C1251" s="1" t="str" cm="1">
        <f t="array" ref="C1251">_xlfn.IFS(OR(B1251=" ", B1251="NA",NOT(ISNUMBER(B1251))), "Unknown",B1251&lt;18,"Underage",B1251&lt;=24,"Young Adult",B1251&lt;=34,"Early Career",B1251&lt;=44,"Mid Career",B1251&lt;=54,"Mature",B1251&lt;=65,"Pre-Senior",B1251&gt;65,"Senior")</f>
        <v>Mature</v>
      </c>
      <c r="E1251" s="1" t="s">
        <v>13</v>
      </c>
      <c r="F1251" s="1">
        <v>1900000</v>
      </c>
      <c r="G1251" s="1">
        <v>55</v>
      </c>
      <c r="H1251" s="1" t="str" cm="1">
        <f t="array" ref="H1251">_xlfn.IFS( OR(G1251=" ",NOT(ISNUMBER(G1251))),"Unknown",G1251&lt;=33,"Low Spender",G1251&lt;=66,"Medium Spender",TRUE, "High Spender")</f>
        <v>Medium Spender</v>
      </c>
      <c r="I1251" s="1">
        <v>9</v>
      </c>
      <c r="J1251" s="1">
        <v>800</v>
      </c>
      <c r="K1251" s="1">
        <v>176</v>
      </c>
      <c r="L1251" s="1" t="s">
        <v>37</v>
      </c>
      <c r="M1251" s="1" t="s">
        <v>21</v>
      </c>
      <c r="N1251" s="1" t="str">
        <f t="shared" si="38"/>
        <v>Lower</v>
      </c>
      <c r="O1251" s="1" t="str">
        <f t="shared" si="39"/>
        <v>Mature | Medium Spender | Lower</v>
      </c>
    </row>
    <row r="1252" spans="1:15" x14ac:dyDescent="0.25">
      <c r="A1252" s="1" t="s">
        <v>1282</v>
      </c>
      <c r="B1252" s="1">
        <v>42</v>
      </c>
      <c r="C1252" s="1" t="str" cm="1">
        <f t="array" ref="C1252">_xlfn.IFS(OR(B1252=" ", B1252="NA",NOT(ISNUMBER(B1252))), "Unknown",B1252&lt;18,"Underage",B1252&lt;=24,"Young Adult",B1252&lt;=34,"Early Career",B1252&lt;=44,"Mid Career",B1252&lt;=54,"Mature",B1252&lt;=65,"Pre-Senior",B1252&gt;65,"Senior")</f>
        <v>Mid Career</v>
      </c>
      <c r="D1252" s="1" t="s">
        <v>18</v>
      </c>
      <c r="E1252" s="1" t="s">
        <v>27</v>
      </c>
      <c r="F1252" s="1">
        <v>1475000</v>
      </c>
      <c r="G1252" s="1">
        <v>80</v>
      </c>
      <c r="H1252" s="1" t="str" cm="1">
        <f t="array" ref="H1252">_xlfn.IFS( OR(G1252=" ",NOT(ISNUMBER(G1252))),"Unknown",G1252&lt;=33,"Low Spender",G1252&lt;=66,"Medium Spender",TRUE, "High Spender")</f>
        <v>High Spender</v>
      </c>
      <c r="I1252" s="1">
        <v>31</v>
      </c>
      <c r="J1252" s="1">
        <v>6400</v>
      </c>
      <c r="K1252" s="1">
        <v>364</v>
      </c>
      <c r="M1252" s="1" t="s">
        <v>21</v>
      </c>
      <c r="N1252" s="1" t="str">
        <f t="shared" si="38"/>
        <v>Higher</v>
      </c>
      <c r="O1252" s="1" t="str">
        <f t="shared" si="39"/>
        <v>Mid Career | High Spender | Higher</v>
      </c>
    </row>
    <row r="1253" spans="1:15" x14ac:dyDescent="0.25">
      <c r="A1253" s="1" t="s">
        <v>1283</v>
      </c>
      <c r="B1253" s="1">
        <v>34</v>
      </c>
      <c r="C1253" s="1" t="str" cm="1">
        <f t="array" ref="C1253">_xlfn.IFS(OR(B1253=" ", B1253="NA",NOT(ISNUMBER(B1253))), "Unknown",B1253&lt;18,"Underage",B1253&lt;=24,"Young Adult",B1253&lt;=34,"Early Career",B1253&lt;=44,"Mid Career",B1253&lt;=54,"Mature",B1253&lt;=65,"Pre-Senior",B1253&gt;65,"Senior")</f>
        <v>Early Career</v>
      </c>
      <c r="G1253" s="1">
        <v>63</v>
      </c>
      <c r="H1253" s="1" t="str" cm="1">
        <f t="array" ref="H1253">_xlfn.IFS( OR(G1253=" ",NOT(ISNUMBER(G1253))),"Unknown",G1253&lt;=33,"Low Spender",G1253&lt;=66,"Medium Spender",TRUE, "High Spender")</f>
        <v>Medium Spender</v>
      </c>
      <c r="I1253" s="1">
        <v>66</v>
      </c>
      <c r="J1253" s="1">
        <v>6800</v>
      </c>
      <c r="K1253" s="1">
        <v>264</v>
      </c>
      <c r="L1253" s="1" t="s">
        <v>20</v>
      </c>
      <c r="N1253" s="1" t="str">
        <f t="shared" si="38"/>
        <v>Lower</v>
      </c>
      <c r="O1253" s="1" t="str">
        <f t="shared" si="39"/>
        <v>Early Career | Medium Spender | Lower</v>
      </c>
    </row>
    <row r="1254" spans="1:15" x14ac:dyDescent="0.25">
      <c r="A1254" s="1" t="s">
        <v>1284</v>
      </c>
      <c r="B1254" s="1">
        <v>50</v>
      </c>
      <c r="C1254" s="1" t="str" cm="1">
        <f t="array" ref="C1254">_xlfn.IFS(OR(B1254=" ", B1254="NA",NOT(ISNUMBER(B1254))), "Unknown",B1254&lt;18,"Underage",B1254&lt;=24,"Young Adult",B1254&lt;=34,"Early Career",B1254&lt;=44,"Mid Career",B1254&lt;=54,"Mature",B1254&lt;=65,"Pre-Senior",B1254&gt;65,"Senior")</f>
        <v>Mature</v>
      </c>
      <c r="E1254" s="1" t="s">
        <v>13</v>
      </c>
      <c r="F1254" s="1">
        <v>1000000</v>
      </c>
      <c r="G1254" s="1">
        <v>56</v>
      </c>
      <c r="H1254" s="1" t="str" cm="1">
        <f t="array" ref="H1254">_xlfn.IFS( OR(G1254=" ",NOT(ISNUMBER(G1254))),"Unknown",G1254&lt;=33,"Low Spender",G1254&lt;=66,"Medium Spender",TRUE, "High Spender")</f>
        <v>Medium Spender</v>
      </c>
      <c r="I1254" s="1">
        <v>62</v>
      </c>
      <c r="J1254" s="1">
        <v>10400</v>
      </c>
      <c r="K1254" s="1">
        <v>42</v>
      </c>
      <c r="L1254" s="1" t="s">
        <v>35</v>
      </c>
      <c r="M1254" s="1" t="s">
        <v>21</v>
      </c>
      <c r="N1254" s="1" t="str">
        <f t="shared" si="38"/>
        <v>Lower</v>
      </c>
      <c r="O1254" s="1" t="str">
        <f t="shared" si="39"/>
        <v>Mature | Medium Spender | Lower</v>
      </c>
    </row>
    <row r="1255" spans="1:15" x14ac:dyDescent="0.25">
      <c r="A1255" s="1" t="s">
        <v>1285</v>
      </c>
      <c r="B1255" s="1">
        <v>64</v>
      </c>
      <c r="C1255" s="1" t="str" cm="1">
        <f t="array" ref="C1255">_xlfn.IFS(OR(B1255=" ", B1255="NA",NOT(ISNUMBER(B1255))), "Unknown",B1255&lt;18,"Underage",B1255&lt;=24,"Young Adult",B1255&lt;=34,"Early Career",B1255&lt;=44,"Mid Career",B1255&lt;=54,"Mature",B1255&lt;=65,"Pre-Senior",B1255&gt;65,"Senior")</f>
        <v>Pre-Senior</v>
      </c>
      <c r="D1255" s="1" t="s">
        <v>18</v>
      </c>
      <c r="E1255" s="1" t="s">
        <v>27</v>
      </c>
      <c r="F1255" s="1">
        <v>400000</v>
      </c>
      <c r="G1255" s="1">
        <v>55</v>
      </c>
      <c r="H1255" s="1" t="str" cm="1">
        <f t="array" ref="H1255">_xlfn.IFS( OR(G1255=" ",NOT(ISNUMBER(G1255))),"Unknown",G1255&lt;=33,"Low Spender",G1255&lt;=66,"Medium Spender",TRUE, "High Spender")</f>
        <v>Medium Spender</v>
      </c>
      <c r="I1255" s="1">
        <v>19</v>
      </c>
      <c r="J1255" s="1">
        <v>1100</v>
      </c>
      <c r="K1255" s="1">
        <v>119</v>
      </c>
      <c r="L1255" s="1" t="s">
        <v>20</v>
      </c>
      <c r="M1255" s="1" t="s">
        <v>41</v>
      </c>
      <c r="N1255" s="1" t="str">
        <f t="shared" si="38"/>
        <v>Higher</v>
      </c>
      <c r="O1255" s="1" t="str">
        <f t="shared" si="39"/>
        <v>Pre-Senior | Medium Spender | Higher</v>
      </c>
    </row>
    <row r="1256" spans="1:15" x14ac:dyDescent="0.25">
      <c r="A1256" s="1" t="s">
        <v>1286</v>
      </c>
      <c r="B1256" s="1" t="s">
        <v>73</v>
      </c>
      <c r="C1256" s="1" t="str" cm="1">
        <f t="array" ref="C1256">_xlfn.IFS(OR(B1256=" ", B1256="NA",NOT(ISNUMBER(B1256))), "Unknown",B1256&lt;18,"Underage",B1256&lt;=24,"Young Adult",B1256&lt;=34,"Early Career",B1256&lt;=44,"Mid Career",B1256&lt;=54,"Mature",B1256&lt;=65,"Pre-Senior",B1256&gt;65,"Senior")</f>
        <v>Unknown</v>
      </c>
      <c r="D1256" s="1" t="s">
        <v>29</v>
      </c>
      <c r="E1256" s="1" t="s">
        <v>15</v>
      </c>
      <c r="F1256" s="1">
        <v>1650000</v>
      </c>
      <c r="G1256" s="1">
        <v>25</v>
      </c>
      <c r="H1256" s="1" t="str" cm="1">
        <f t="array" ref="H1256">_xlfn.IFS( OR(G1256=" ",NOT(ISNUMBER(G1256))),"Unknown",G1256&lt;=33,"Low Spender",G1256&lt;=66,"Medium Spender",TRUE, "High Spender")</f>
        <v>Low Spender</v>
      </c>
      <c r="J1256" s="1">
        <v>6900</v>
      </c>
      <c r="K1256" s="1">
        <v>169</v>
      </c>
      <c r="L1256" s="1" t="s">
        <v>16</v>
      </c>
      <c r="N1256" s="1" t="str">
        <f t="shared" si="38"/>
        <v>Higher</v>
      </c>
      <c r="O1256" s="1" t="str">
        <f t="shared" si="39"/>
        <v>Unknown | Low Spender | Higher</v>
      </c>
    </row>
    <row r="1257" spans="1:15" x14ac:dyDescent="0.25">
      <c r="A1257" s="1" t="s">
        <v>1287</v>
      </c>
      <c r="B1257" s="1">
        <v>19</v>
      </c>
      <c r="C1257" s="1" t="str" cm="1">
        <f t="array" ref="C1257">_xlfn.IFS(OR(B1257=" ", B1257="NA",NOT(ISNUMBER(B1257))), "Unknown",B1257&lt;18,"Underage",B1257&lt;=24,"Young Adult",B1257&lt;=34,"Early Career",B1257&lt;=44,"Mid Career",B1257&lt;=54,"Mature",B1257&lt;=65,"Pre-Senior",B1257&gt;65,"Senior")</f>
        <v>Young Adult</v>
      </c>
      <c r="E1257" s="1" t="s">
        <v>27</v>
      </c>
      <c r="F1257" s="1">
        <v>1225000</v>
      </c>
      <c r="G1257" s="1">
        <v>26</v>
      </c>
      <c r="H1257" s="1" t="str" cm="1">
        <f t="array" ref="H1257">_xlfn.IFS( OR(G1257=" ",NOT(ISNUMBER(G1257))),"Unknown",G1257&lt;=33,"Low Spender",G1257&lt;=66,"Medium Spender",TRUE, "High Spender")</f>
        <v>Low Spender</v>
      </c>
      <c r="I1257" s="1">
        <v>74</v>
      </c>
      <c r="J1257" s="1">
        <v>1800</v>
      </c>
      <c r="K1257" s="1">
        <v>108</v>
      </c>
      <c r="M1257" s="1" t="s">
        <v>30</v>
      </c>
      <c r="N1257" s="1" t="str">
        <f t="shared" si="38"/>
        <v>Lower</v>
      </c>
      <c r="O1257" s="1" t="str">
        <f t="shared" si="39"/>
        <v>Young Adult | Low Spender | Lower</v>
      </c>
    </row>
    <row r="1258" spans="1:15" x14ac:dyDescent="0.25">
      <c r="A1258" s="1" t="s">
        <v>1288</v>
      </c>
      <c r="B1258" s="1">
        <v>31</v>
      </c>
      <c r="C1258" s="1" t="str" cm="1">
        <f t="array" ref="C1258">_xlfn.IFS(OR(B1258=" ", B1258="NA",NOT(ISNUMBER(B1258))), "Unknown",B1258&lt;18,"Underage",B1258&lt;=24,"Young Adult",B1258&lt;=34,"Early Career",B1258&lt;=44,"Mid Career",B1258&lt;=54,"Mature",B1258&lt;=65,"Pre-Senior",B1258&gt;65,"Senior")</f>
        <v>Early Career</v>
      </c>
      <c r="F1258" s="1">
        <v>1825000</v>
      </c>
      <c r="G1258" s="1">
        <v>49</v>
      </c>
      <c r="H1258" s="1" t="str" cm="1">
        <f t="array" ref="H1258">_xlfn.IFS( OR(G1258=" ",NOT(ISNUMBER(G1258))),"Unknown",G1258&lt;=33,"Low Spender",G1258&lt;=66,"Medium Spender",TRUE, "High Spender")</f>
        <v>Medium Spender</v>
      </c>
      <c r="I1258" s="1">
        <v>55</v>
      </c>
      <c r="J1258" s="1">
        <v>9100</v>
      </c>
      <c r="K1258" s="1">
        <v>147</v>
      </c>
      <c r="L1258" s="1" t="s">
        <v>37</v>
      </c>
      <c r="N1258" s="1" t="str">
        <f t="shared" si="38"/>
        <v>Lower</v>
      </c>
      <c r="O1258" s="1" t="str">
        <f t="shared" si="39"/>
        <v>Early Career | Medium Spender | Lower</v>
      </c>
    </row>
    <row r="1259" spans="1:15" x14ac:dyDescent="0.25">
      <c r="A1259" s="1" t="s">
        <v>1289</v>
      </c>
      <c r="C1259" s="1" t="str" cm="1">
        <f t="array" ref="C1259">_xlfn.IFS(OR(B1259=" ", B1259="NA",NOT(ISNUMBER(B1259))), "Unknown",B1259&lt;18,"Underage",B1259&lt;=24,"Young Adult",B1259&lt;=34,"Early Career",B1259&lt;=44,"Mid Career",B1259&lt;=54,"Mature",B1259&lt;=65,"Pre-Senior",B1259&gt;65,"Senior")</f>
        <v>Unknown</v>
      </c>
      <c r="D1259" s="1" t="s">
        <v>29</v>
      </c>
      <c r="E1259" s="1" t="s">
        <v>58</v>
      </c>
      <c r="F1259" s="1">
        <v>750000</v>
      </c>
      <c r="G1259" s="1">
        <v>63</v>
      </c>
      <c r="H1259" s="1" t="str" cm="1">
        <f t="array" ref="H1259">_xlfn.IFS( OR(G1259=" ",NOT(ISNUMBER(G1259))),"Unknown",G1259&lt;=33,"Low Spender",G1259&lt;=66,"Medium Spender",TRUE, "High Spender")</f>
        <v>Medium Spender</v>
      </c>
      <c r="I1259" s="1">
        <v>28</v>
      </c>
      <c r="J1259" s="1">
        <v>9000</v>
      </c>
      <c r="K1259" s="1">
        <v>176</v>
      </c>
      <c r="N1259" s="1" t="str">
        <f t="shared" si="38"/>
        <v>Higher</v>
      </c>
      <c r="O1259" s="1" t="str">
        <f t="shared" si="39"/>
        <v>Unknown | Medium Spender | Higher</v>
      </c>
    </row>
    <row r="1260" spans="1:15" x14ac:dyDescent="0.25">
      <c r="A1260" s="1" t="s">
        <v>1290</v>
      </c>
      <c r="B1260" s="1">
        <v>57</v>
      </c>
      <c r="C1260" s="1" t="str" cm="1">
        <f t="array" ref="C1260">_xlfn.IFS(OR(B1260=" ", B1260="NA",NOT(ISNUMBER(B1260))), "Unknown",B1260&lt;18,"Underage",B1260&lt;=24,"Young Adult",B1260&lt;=34,"Early Career",B1260&lt;=44,"Mid Career",B1260&lt;=54,"Mature",B1260&lt;=65,"Pre-Senior",B1260&gt;65,"Senior")</f>
        <v>Pre-Senior</v>
      </c>
      <c r="E1260" s="1" t="s">
        <v>34</v>
      </c>
      <c r="F1260" s="1">
        <v>1325000</v>
      </c>
      <c r="G1260" s="1">
        <v>45</v>
      </c>
      <c r="H1260" s="1" t="str" cm="1">
        <f t="array" ref="H1260">_xlfn.IFS( OR(G1260=" ",NOT(ISNUMBER(G1260))),"Unknown",G1260&lt;=33,"Low Spender",G1260&lt;=66,"Medium Spender",TRUE, "High Spender")</f>
        <v>Medium Spender</v>
      </c>
      <c r="I1260" s="1">
        <v>50</v>
      </c>
      <c r="J1260" s="1">
        <v>11300</v>
      </c>
      <c r="K1260" s="1">
        <v>189</v>
      </c>
      <c r="L1260" s="1" t="s">
        <v>20</v>
      </c>
      <c r="M1260" s="1" t="s">
        <v>32</v>
      </c>
      <c r="N1260" s="1" t="str">
        <f t="shared" si="38"/>
        <v>Lower</v>
      </c>
      <c r="O1260" s="1" t="str">
        <f t="shared" si="39"/>
        <v>Pre-Senior | Medium Spender | Lower</v>
      </c>
    </row>
    <row r="1261" spans="1:15" x14ac:dyDescent="0.25">
      <c r="A1261" s="1" t="s">
        <v>1291</v>
      </c>
      <c r="B1261" s="1">
        <v>57</v>
      </c>
      <c r="C1261" s="1" t="str" cm="1">
        <f t="array" ref="C1261">_xlfn.IFS(OR(B1261=" ", B1261="NA",NOT(ISNUMBER(B1261))), "Unknown",B1261&lt;18,"Underage",B1261&lt;=24,"Young Adult",B1261&lt;=34,"Early Career",B1261&lt;=44,"Mid Career",B1261&lt;=54,"Mature",B1261&lt;=65,"Pre-Senior",B1261&gt;65,"Senior")</f>
        <v>Pre-Senior</v>
      </c>
      <c r="D1261" s="1" t="s">
        <v>18</v>
      </c>
      <c r="E1261" s="1" t="s">
        <v>13</v>
      </c>
      <c r="F1261" s="1">
        <v>925000</v>
      </c>
      <c r="G1261" s="1">
        <v>73</v>
      </c>
      <c r="H1261" s="1" t="str" cm="1">
        <f t="array" ref="H1261">_xlfn.IFS( OR(G1261=" ",NOT(ISNUMBER(G1261))),"Unknown",G1261&lt;=33,"Low Spender",G1261&lt;=66,"Medium Spender",TRUE, "High Spender")</f>
        <v>High Spender</v>
      </c>
      <c r="I1261" s="1">
        <v>65</v>
      </c>
      <c r="J1261" s="1">
        <v>9500</v>
      </c>
      <c r="K1261" s="1">
        <v>160</v>
      </c>
      <c r="L1261" s="1" t="s">
        <v>37</v>
      </c>
      <c r="M1261" s="1" t="s">
        <v>32</v>
      </c>
      <c r="N1261" s="1" t="str">
        <f t="shared" si="38"/>
        <v>Higher</v>
      </c>
      <c r="O1261" s="1" t="str">
        <f t="shared" si="39"/>
        <v>Pre-Senior | High Spender | Higher</v>
      </c>
    </row>
    <row r="1262" spans="1:15" x14ac:dyDescent="0.25">
      <c r="A1262" s="1" t="s">
        <v>1292</v>
      </c>
      <c r="B1262" s="1">
        <v>68</v>
      </c>
      <c r="C1262" s="1" t="str" cm="1">
        <f t="array" ref="C1262">_xlfn.IFS(OR(B1262=" ", B1262="NA",NOT(ISNUMBER(B1262))), "Unknown",B1262&lt;18,"Underage",B1262&lt;=24,"Young Adult",B1262&lt;=34,"Early Career",B1262&lt;=44,"Mid Career",B1262&lt;=54,"Mature",B1262&lt;=65,"Pre-Senior",B1262&gt;65,"Senior")</f>
        <v>Senior</v>
      </c>
      <c r="D1262" s="1" t="s">
        <v>18</v>
      </c>
      <c r="E1262" s="1" t="s">
        <v>58</v>
      </c>
      <c r="F1262" s="1">
        <v>225000</v>
      </c>
      <c r="G1262" s="1">
        <v>79</v>
      </c>
      <c r="H1262" s="1" t="str" cm="1">
        <f t="array" ref="H1262">_xlfn.IFS( OR(G1262=" ",NOT(ISNUMBER(G1262))),"Unknown",G1262&lt;=33,"Low Spender",G1262&lt;=66,"Medium Spender",TRUE, "High Spender")</f>
        <v>High Spender</v>
      </c>
      <c r="I1262" s="1">
        <v>3</v>
      </c>
      <c r="J1262" s="1">
        <v>11000</v>
      </c>
      <c r="K1262" s="1">
        <v>302</v>
      </c>
      <c r="L1262" s="1" t="s">
        <v>16</v>
      </c>
      <c r="M1262" s="1" t="s">
        <v>21</v>
      </c>
      <c r="N1262" s="1" t="str">
        <f t="shared" si="38"/>
        <v>Higher</v>
      </c>
      <c r="O1262" s="1" t="str">
        <f t="shared" si="39"/>
        <v>Senior | High Spender | Higher</v>
      </c>
    </row>
    <row r="1263" spans="1:15" x14ac:dyDescent="0.25">
      <c r="A1263" s="1" t="s">
        <v>1293</v>
      </c>
      <c r="B1263" s="1">
        <v>56</v>
      </c>
      <c r="C1263" s="1" t="str" cm="1">
        <f t="array" ref="C1263">_xlfn.IFS(OR(B1263=" ", B1263="NA",NOT(ISNUMBER(B1263))), "Unknown",B1263&lt;18,"Underage",B1263&lt;=24,"Young Adult",B1263&lt;=34,"Early Career",B1263&lt;=44,"Mid Career",B1263&lt;=54,"Mature",B1263&lt;=65,"Pre-Senior",B1263&gt;65,"Senior")</f>
        <v>Pre-Senior</v>
      </c>
      <c r="D1263" s="1" t="s">
        <v>29</v>
      </c>
      <c r="E1263" s="1" t="s">
        <v>13</v>
      </c>
      <c r="F1263" s="1">
        <v>1075000</v>
      </c>
      <c r="G1263" s="1">
        <v>39</v>
      </c>
      <c r="H1263" s="1" t="str" cm="1">
        <f t="array" ref="H1263">_xlfn.IFS( OR(G1263=" ",NOT(ISNUMBER(G1263))),"Unknown",G1263&lt;=33,"Low Spender",G1263&lt;=66,"Medium Spender",TRUE, "High Spender")</f>
        <v>Medium Spender</v>
      </c>
      <c r="I1263" s="1">
        <v>79</v>
      </c>
      <c r="J1263" s="1">
        <v>5700</v>
      </c>
      <c r="K1263" s="1">
        <v>348</v>
      </c>
      <c r="L1263" s="1" t="s">
        <v>35</v>
      </c>
      <c r="N1263" s="1" t="str">
        <f t="shared" si="38"/>
        <v>Higher</v>
      </c>
      <c r="O1263" s="1" t="str">
        <f t="shared" si="39"/>
        <v>Pre-Senior | Medium Spender | Higher</v>
      </c>
    </row>
    <row r="1264" spans="1:15" x14ac:dyDescent="0.25">
      <c r="A1264" s="1" t="s">
        <v>1294</v>
      </c>
      <c r="B1264" s="1">
        <v>68</v>
      </c>
      <c r="C1264" s="1" t="str" cm="1">
        <f t="array" ref="C1264">_xlfn.IFS(OR(B1264=" ", B1264="NA",NOT(ISNUMBER(B1264))), "Unknown",B1264&lt;18,"Underage",B1264&lt;=24,"Young Adult",B1264&lt;=34,"Early Career",B1264&lt;=44,"Mid Career",B1264&lt;=54,"Mature",B1264&lt;=65,"Pre-Senior",B1264&gt;65,"Senior")</f>
        <v>Senior</v>
      </c>
      <c r="D1264" s="1" t="s">
        <v>18</v>
      </c>
      <c r="E1264" s="1" t="s">
        <v>34</v>
      </c>
      <c r="F1264" s="1">
        <v>1700000</v>
      </c>
      <c r="G1264" s="1">
        <v>97</v>
      </c>
      <c r="H1264" s="1" t="str" cm="1">
        <f t="array" ref="H1264">_xlfn.IFS( OR(G1264=" ",NOT(ISNUMBER(G1264))),"Unknown",G1264&lt;=33,"Low Spender",G1264&lt;=66,"Medium Spender",TRUE, "High Spender")</f>
        <v>High Spender</v>
      </c>
      <c r="I1264" s="1">
        <v>52</v>
      </c>
      <c r="J1264" s="1">
        <v>4200</v>
      </c>
      <c r="K1264" s="1">
        <v>74</v>
      </c>
      <c r="L1264" s="1" t="s">
        <v>20</v>
      </c>
      <c r="N1264" s="1" t="str">
        <f t="shared" si="38"/>
        <v>Higher</v>
      </c>
      <c r="O1264" s="1" t="str">
        <f t="shared" si="39"/>
        <v>Senior | High Spender | Higher</v>
      </c>
    </row>
    <row r="1265" spans="1:15" x14ac:dyDescent="0.25">
      <c r="A1265" s="1" t="s">
        <v>1295</v>
      </c>
      <c r="B1265" s="1">
        <v>23</v>
      </c>
      <c r="C1265" s="1" t="str" cm="1">
        <f t="array" ref="C1265">_xlfn.IFS(OR(B1265=" ", B1265="NA",NOT(ISNUMBER(B1265))), "Unknown",B1265&lt;18,"Underage",B1265&lt;=24,"Young Adult",B1265&lt;=34,"Early Career",B1265&lt;=44,"Mid Career",B1265&lt;=54,"Mature",B1265&lt;=65,"Pre-Senior",B1265&gt;65,"Senior")</f>
        <v>Young Adult</v>
      </c>
      <c r="D1265" s="1" t="s">
        <v>12</v>
      </c>
      <c r="E1265" s="1" t="s">
        <v>23</v>
      </c>
      <c r="F1265" s="1">
        <v>1300000</v>
      </c>
      <c r="G1265" s="1">
        <v>65</v>
      </c>
      <c r="H1265" s="1" t="str" cm="1">
        <f t="array" ref="H1265">_xlfn.IFS( OR(G1265=" ",NOT(ISNUMBER(G1265))),"Unknown",G1265&lt;=33,"Low Spender",G1265&lt;=66,"Medium Spender",TRUE, "High Spender")</f>
        <v>Medium Spender</v>
      </c>
      <c r="I1265" s="1">
        <v>10</v>
      </c>
      <c r="J1265" s="1">
        <v>2800</v>
      </c>
      <c r="K1265" s="1">
        <v>352</v>
      </c>
      <c r="M1265" s="1" t="s">
        <v>41</v>
      </c>
      <c r="N1265" s="1" t="str">
        <f t="shared" si="38"/>
        <v>Lower</v>
      </c>
      <c r="O1265" s="1" t="str">
        <f t="shared" si="39"/>
        <v>Young Adult | Medium Spender | Lower</v>
      </c>
    </row>
    <row r="1266" spans="1:15" x14ac:dyDescent="0.25">
      <c r="A1266" s="1" t="s">
        <v>1296</v>
      </c>
      <c r="B1266" s="1">
        <v>23</v>
      </c>
      <c r="C1266" s="1" t="str" cm="1">
        <f t="array" ref="C1266">_xlfn.IFS(OR(B1266=" ", B1266="NA",NOT(ISNUMBER(B1266))), "Unknown",B1266&lt;18,"Underage",B1266&lt;=24,"Young Adult",B1266&lt;=34,"Early Career",B1266&lt;=44,"Mid Career",B1266&lt;=54,"Mature",B1266&lt;=65,"Pre-Senior",B1266&gt;65,"Senior")</f>
        <v>Young Adult</v>
      </c>
      <c r="D1266" s="1" t="s">
        <v>18</v>
      </c>
      <c r="E1266" s="1" t="s">
        <v>27</v>
      </c>
      <c r="F1266" s="1">
        <v>150000</v>
      </c>
      <c r="G1266" s="1">
        <v>69</v>
      </c>
      <c r="H1266" s="1" t="str" cm="1">
        <f t="array" ref="H1266">_xlfn.IFS( OR(G1266=" ",NOT(ISNUMBER(G1266))),"Unknown",G1266&lt;=33,"Low Spender",G1266&lt;=66,"Medium Spender",TRUE, "High Spender")</f>
        <v>High Spender</v>
      </c>
      <c r="I1266" s="1">
        <v>21</v>
      </c>
      <c r="J1266" s="1">
        <v>4000</v>
      </c>
      <c r="K1266" s="1">
        <v>18</v>
      </c>
      <c r="L1266" s="1" t="s">
        <v>16</v>
      </c>
      <c r="M1266" s="1" t="s">
        <v>30</v>
      </c>
      <c r="N1266" s="1" t="str">
        <f t="shared" si="38"/>
        <v>Higher</v>
      </c>
      <c r="O1266" s="1" t="str">
        <f t="shared" si="39"/>
        <v>Young Adult | High Spender | Higher</v>
      </c>
    </row>
    <row r="1267" spans="1:15" x14ac:dyDescent="0.25">
      <c r="A1267" s="1" t="s">
        <v>1297</v>
      </c>
      <c r="B1267" s="1">
        <v>20</v>
      </c>
      <c r="C1267" s="1" t="str" cm="1">
        <f t="array" ref="C1267">_xlfn.IFS(OR(B1267=" ", B1267="NA",NOT(ISNUMBER(B1267))), "Unknown",B1267&lt;18,"Underage",B1267&lt;=24,"Young Adult",B1267&lt;=34,"Early Career",B1267&lt;=44,"Mid Career",B1267&lt;=54,"Mature",B1267&lt;=65,"Pre-Senior",B1267&gt;65,"Senior")</f>
        <v>Young Adult</v>
      </c>
      <c r="D1267" s="1" t="s">
        <v>18</v>
      </c>
      <c r="E1267" s="1" t="s">
        <v>15</v>
      </c>
      <c r="F1267" s="1">
        <v>200000</v>
      </c>
      <c r="G1267" s="1">
        <v>56</v>
      </c>
      <c r="H1267" s="1" t="str" cm="1">
        <f t="array" ref="H1267">_xlfn.IFS( OR(G1267=" ",NOT(ISNUMBER(G1267))),"Unknown",G1267&lt;=33,"Low Spender",G1267&lt;=66,"Medium Spender",TRUE, "High Spender")</f>
        <v>Medium Spender</v>
      </c>
      <c r="I1267" s="1">
        <v>37</v>
      </c>
      <c r="J1267" s="1">
        <v>3700</v>
      </c>
      <c r="K1267" s="1">
        <v>140</v>
      </c>
      <c r="N1267" s="1" t="str">
        <f t="shared" si="38"/>
        <v>Higher</v>
      </c>
      <c r="O1267" s="1" t="str">
        <f t="shared" si="39"/>
        <v>Young Adult | Medium Spender | Higher</v>
      </c>
    </row>
    <row r="1268" spans="1:15" x14ac:dyDescent="0.25">
      <c r="A1268" s="1" t="s">
        <v>1298</v>
      </c>
      <c r="B1268" s="1">
        <v>24</v>
      </c>
      <c r="C1268" s="1" t="str" cm="1">
        <f t="array" ref="C1268">_xlfn.IFS(OR(B1268=" ", B1268="NA",NOT(ISNUMBER(B1268))), "Unknown",B1268&lt;18,"Underage",B1268&lt;=24,"Young Adult",B1268&lt;=34,"Early Career",B1268&lt;=44,"Mid Career",B1268&lt;=54,"Mature",B1268&lt;=65,"Pre-Senior",B1268&gt;65,"Senior")</f>
        <v>Young Adult</v>
      </c>
      <c r="D1268" s="1" t="s">
        <v>29</v>
      </c>
      <c r="E1268" s="1" t="s">
        <v>23</v>
      </c>
      <c r="F1268" s="1">
        <v>1675000</v>
      </c>
      <c r="G1268" s="1">
        <v>9</v>
      </c>
      <c r="H1268" s="1" t="str" cm="1">
        <f t="array" ref="H1268">_xlfn.IFS( OR(G1268=" ",NOT(ISNUMBER(G1268))),"Unknown",G1268&lt;=33,"Low Spender",G1268&lt;=66,"Medium Spender",TRUE, "High Spender")</f>
        <v>Low Spender</v>
      </c>
      <c r="I1268" s="1">
        <v>15</v>
      </c>
      <c r="J1268" s="1">
        <v>8900</v>
      </c>
      <c r="K1268" s="1">
        <v>115</v>
      </c>
      <c r="L1268" s="1" t="s">
        <v>20</v>
      </c>
      <c r="N1268" s="1" t="str">
        <f t="shared" si="38"/>
        <v>Higher</v>
      </c>
      <c r="O1268" s="1" t="str">
        <f t="shared" si="39"/>
        <v>Young Adult | Low Spender | Higher</v>
      </c>
    </row>
    <row r="1269" spans="1:15" x14ac:dyDescent="0.25">
      <c r="A1269" s="1" t="s">
        <v>1299</v>
      </c>
      <c r="B1269" s="1">
        <v>68</v>
      </c>
      <c r="C1269" s="1" t="str" cm="1">
        <f t="array" ref="C1269">_xlfn.IFS(OR(B1269=" ", B1269="NA",NOT(ISNUMBER(B1269))), "Unknown",B1269&lt;18,"Underage",B1269&lt;=24,"Young Adult",B1269&lt;=34,"Early Career",B1269&lt;=44,"Mid Career",B1269&lt;=54,"Mature",B1269&lt;=65,"Pre-Senior",B1269&gt;65,"Senior")</f>
        <v>Senior</v>
      </c>
      <c r="D1269" s="1" t="s">
        <v>29</v>
      </c>
      <c r="E1269" s="1" t="s">
        <v>23</v>
      </c>
      <c r="F1269" s="1">
        <v>1725000</v>
      </c>
      <c r="G1269" s="1">
        <v>70</v>
      </c>
      <c r="H1269" s="1" t="str" cm="1">
        <f t="array" ref="H1269">_xlfn.IFS( OR(G1269=" ",NOT(ISNUMBER(G1269))),"Unknown",G1269&lt;=33,"Low Spender",G1269&lt;=66,"Medium Spender",TRUE, "High Spender")</f>
        <v>High Spender</v>
      </c>
      <c r="I1269" s="1">
        <v>78</v>
      </c>
      <c r="J1269" s="1">
        <v>7000</v>
      </c>
      <c r="K1269" s="1">
        <v>328</v>
      </c>
      <c r="L1269" s="1" t="s">
        <v>37</v>
      </c>
      <c r="N1269" s="1" t="str">
        <f t="shared" si="38"/>
        <v>Higher</v>
      </c>
      <c r="O1269" s="1" t="str">
        <f t="shared" si="39"/>
        <v>Senior | High Spender | Higher</v>
      </c>
    </row>
    <row r="1270" spans="1:15" x14ac:dyDescent="0.25">
      <c r="A1270" s="1" t="s">
        <v>1300</v>
      </c>
      <c r="B1270" s="1">
        <v>25</v>
      </c>
      <c r="C1270" s="1" t="str" cm="1">
        <f t="array" ref="C1270">_xlfn.IFS(OR(B1270=" ", B1270="NA",NOT(ISNUMBER(B1270))), "Unknown",B1270&lt;18,"Underage",B1270&lt;=24,"Young Adult",B1270&lt;=34,"Early Career",B1270&lt;=44,"Mid Career",B1270&lt;=54,"Mature",B1270&lt;=65,"Pre-Senior",B1270&gt;65,"Senior")</f>
        <v>Early Career</v>
      </c>
      <c r="F1270" s="1">
        <v>550000</v>
      </c>
      <c r="G1270" s="1">
        <v>28</v>
      </c>
      <c r="H1270" s="1" t="str" cm="1">
        <f t="array" ref="H1270">_xlfn.IFS( OR(G1270=" ",NOT(ISNUMBER(G1270))),"Unknown",G1270&lt;=33,"Low Spender",G1270&lt;=66,"Medium Spender",TRUE, "High Spender")</f>
        <v>Low Spender</v>
      </c>
      <c r="I1270" s="1">
        <v>79</v>
      </c>
      <c r="J1270" s="1">
        <v>6100</v>
      </c>
      <c r="K1270" s="1">
        <v>225</v>
      </c>
      <c r="L1270" s="1" t="s">
        <v>20</v>
      </c>
      <c r="N1270" s="1" t="str">
        <f t="shared" si="38"/>
        <v>Lower</v>
      </c>
      <c r="O1270" s="1" t="str">
        <f t="shared" si="39"/>
        <v>Early Career | Low Spender | Lower</v>
      </c>
    </row>
    <row r="1271" spans="1:15" x14ac:dyDescent="0.25">
      <c r="A1271" s="1" t="s">
        <v>1301</v>
      </c>
      <c r="B1271" s="1">
        <v>59</v>
      </c>
      <c r="C1271" s="1" t="str" cm="1">
        <f t="array" ref="C1271">_xlfn.IFS(OR(B1271=" ", B1271="NA",NOT(ISNUMBER(B1271))), "Unknown",B1271&lt;18,"Underage",B1271&lt;=24,"Young Adult",B1271&lt;=34,"Early Career",B1271&lt;=44,"Mid Career",B1271&lt;=54,"Mature",B1271&lt;=65,"Pre-Senior",B1271&gt;65,"Senior")</f>
        <v>Pre-Senior</v>
      </c>
      <c r="D1271" s="1" t="s">
        <v>29</v>
      </c>
      <c r="E1271" s="1" t="s">
        <v>19</v>
      </c>
      <c r="F1271" s="1">
        <v>1675000</v>
      </c>
      <c r="G1271" s="1">
        <v>45</v>
      </c>
      <c r="H1271" s="1" t="str" cm="1">
        <f t="array" ref="H1271">_xlfn.IFS( OR(G1271=" ",NOT(ISNUMBER(G1271))),"Unknown",G1271&lt;=33,"Low Spender",G1271&lt;=66,"Medium Spender",TRUE, "High Spender")</f>
        <v>Medium Spender</v>
      </c>
      <c r="I1271" s="1">
        <v>74</v>
      </c>
      <c r="J1271" s="1">
        <v>10800</v>
      </c>
      <c r="K1271" s="1">
        <v>46</v>
      </c>
      <c r="L1271" s="1" t="s">
        <v>16</v>
      </c>
      <c r="M1271" s="1" t="s">
        <v>30</v>
      </c>
      <c r="N1271" s="1" t="str">
        <f t="shared" si="38"/>
        <v>Higher</v>
      </c>
      <c r="O1271" s="1" t="str">
        <f t="shared" si="39"/>
        <v>Pre-Senior | Medium Spender | Higher</v>
      </c>
    </row>
    <row r="1272" spans="1:15" x14ac:dyDescent="0.25">
      <c r="A1272" s="1" t="s">
        <v>1302</v>
      </c>
      <c r="B1272" s="1">
        <v>69</v>
      </c>
      <c r="C1272" s="1" t="str" cm="1">
        <f t="array" ref="C1272">_xlfn.IFS(OR(B1272=" ", B1272="NA",NOT(ISNUMBER(B1272))), "Unknown",B1272&lt;18,"Underage",B1272&lt;=24,"Young Adult",B1272&lt;=34,"Early Career",B1272&lt;=44,"Mid Career",B1272&lt;=54,"Mature",B1272&lt;=65,"Pre-Senior",B1272&gt;65,"Senior")</f>
        <v>Senior</v>
      </c>
      <c r="D1272" s="1" t="s">
        <v>18</v>
      </c>
      <c r="F1272" s="1">
        <v>1000000</v>
      </c>
      <c r="G1272" s="1">
        <v>26</v>
      </c>
      <c r="H1272" s="1" t="str" cm="1">
        <f t="array" ref="H1272">_xlfn.IFS( OR(G1272=" ",NOT(ISNUMBER(G1272))),"Unknown",G1272&lt;=33,"Low Spender",G1272&lt;=66,"Medium Spender",TRUE, "High Spender")</f>
        <v>Low Spender</v>
      </c>
      <c r="I1272" s="1">
        <v>9</v>
      </c>
      <c r="J1272" s="1">
        <v>1600</v>
      </c>
      <c r="K1272" s="1">
        <v>38</v>
      </c>
      <c r="L1272" s="1" t="s">
        <v>16</v>
      </c>
      <c r="N1272" s="1" t="str">
        <f t="shared" si="38"/>
        <v>Higher</v>
      </c>
      <c r="O1272" s="1" t="str">
        <f t="shared" si="39"/>
        <v>Senior | Low Spender | Higher</v>
      </c>
    </row>
    <row r="1273" spans="1:15" x14ac:dyDescent="0.25">
      <c r="A1273" s="1" t="s">
        <v>1303</v>
      </c>
      <c r="B1273" s="1">
        <v>32</v>
      </c>
      <c r="C1273" s="1" t="str" cm="1">
        <f t="array" ref="C1273">_xlfn.IFS(OR(B1273=" ", B1273="NA",NOT(ISNUMBER(B1273))), "Unknown",B1273&lt;18,"Underage",B1273&lt;=24,"Young Adult",B1273&lt;=34,"Early Career",B1273&lt;=44,"Mid Career",B1273&lt;=54,"Mature",B1273&lt;=65,"Pre-Senior",B1273&gt;65,"Senior")</f>
        <v>Early Career</v>
      </c>
      <c r="E1273" s="1" t="s">
        <v>58</v>
      </c>
      <c r="F1273" s="1">
        <v>450000</v>
      </c>
      <c r="G1273" s="1">
        <v>28</v>
      </c>
      <c r="H1273" s="1" t="str" cm="1">
        <f t="array" ref="H1273">_xlfn.IFS( OR(G1273=" ",NOT(ISNUMBER(G1273))),"Unknown",G1273&lt;=33,"Low Spender",G1273&lt;=66,"Medium Spender",TRUE, "High Spender")</f>
        <v>Low Spender</v>
      </c>
      <c r="I1273" s="1">
        <v>44</v>
      </c>
      <c r="J1273" s="1">
        <v>11900</v>
      </c>
      <c r="K1273" s="1">
        <v>206</v>
      </c>
      <c r="L1273" s="1" t="s">
        <v>37</v>
      </c>
      <c r="N1273" s="1" t="str">
        <f t="shared" si="38"/>
        <v>Lower</v>
      </c>
      <c r="O1273" s="1" t="str">
        <f t="shared" si="39"/>
        <v>Early Career | Low Spender | Lower</v>
      </c>
    </row>
    <row r="1274" spans="1:15" x14ac:dyDescent="0.25">
      <c r="A1274" s="1" t="s">
        <v>1304</v>
      </c>
      <c r="B1274" s="1">
        <v>64</v>
      </c>
      <c r="C1274" s="1" t="str" cm="1">
        <f t="array" ref="C1274">_xlfn.IFS(OR(B1274=" ", B1274="NA",NOT(ISNUMBER(B1274))), "Unknown",B1274&lt;18,"Underage",B1274&lt;=24,"Young Adult",B1274&lt;=34,"Early Career",B1274&lt;=44,"Mid Career",B1274&lt;=54,"Mature",B1274&lt;=65,"Pre-Senior",B1274&gt;65,"Senior")</f>
        <v>Pre-Senior</v>
      </c>
      <c r="D1274" s="1" t="s">
        <v>29</v>
      </c>
      <c r="E1274" s="1" t="s">
        <v>58</v>
      </c>
      <c r="F1274" s="1">
        <v>1000000</v>
      </c>
      <c r="G1274" s="1">
        <v>40</v>
      </c>
      <c r="H1274" s="1" t="str" cm="1">
        <f t="array" ref="H1274">_xlfn.IFS( OR(G1274=" ",NOT(ISNUMBER(G1274))),"Unknown",G1274&lt;=33,"Low Spender",G1274&lt;=66,"Medium Spender",TRUE, "High Spender")</f>
        <v>Medium Spender</v>
      </c>
      <c r="I1274" s="1">
        <v>39</v>
      </c>
      <c r="J1274" s="1">
        <v>4900</v>
      </c>
      <c r="K1274" s="1">
        <v>9</v>
      </c>
      <c r="M1274" s="1" t="s">
        <v>30</v>
      </c>
      <c r="N1274" s="1" t="str">
        <f t="shared" si="38"/>
        <v>Higher</v>
      </c>
      <c r="O1274" s="1" t="str">
        <f t="shared" si="39"/>
        <v>Pre-Senior | Medium Spender | Higher</v>
      </c>
    </row>
    <row r="1275" spans="1:15" x14ac:dyDescent="0.25">
      <c r="A1275" s="1" t="s">
        <v>1305</v>
      </c>
      <c r="B1275" s="1">
        <v>46</v>
      </c>
      <c r="C1275" s="1" t="str" cm="1">
        <f t="array" ref="C1275">_xlfn.IFS(OR(B1275=" ", B1275="NA",NOT(ISNUMBER(B1275))), "Unknown",B1275&lt;18,"Underage",B1275&lt;=24,"Young Adult",B1275&lt;=34,"Early Career",B1275&lt;=44,"Mid Career",B1275&lt;=54,"Mature",B1275&lt;=65,"Pre-Senior",B1275&gt;65,"Senior")</f>
        <v>Mature</v>
      </c>
      <c r="D1275" s="1" t="s">
        <v>18</v>
      </c>
      <c r="E1275" s="1" t="s">
        <v>58</v>
      </c>
      <c r="F1275" s="1">
        <v>1200000</v>
      </c>
      <c r="G1275" s="1">
        <v>15</v>
      </c>
      <c r="H1275" s="1" t="str" cm="1">
        <f t="array" ref="H1275">_xlfn.IFS( OR(G1275=" ",NOT(ISNUMBER(G1275))),"Unknown",G1275&lt;=33,"Low Spender",G1275&lt;=66,"Medium Spender",TRUE, "High Spender")</f>
        <v>Low Spender</v>
      </c>
      <c r="I1275" s="1">
        <v>5</v>
      </c>
      <c r="J1275" s="1">
        <v>10500</v>
      </c>
      <c r="K1275" s="1">
        <v>253</v>
      </c>
      <c r="L1275" s="1" t="s">
        <v>16</v>
      </c>
      <c r="M1275" s="1" t="s">
        <v>41</v>
      </c>
      <c r="N1275" s="1" t="str">
        <f t="shared" si="38"/>
        <v>Higher</v>
      </c>
      <c r="O1275" s="1" t="str">
        <f t="shared" si="39"/>
        <v>Mature | Low Spender | Higher</v>
      </c>
    </row>
    <row r="1276" spans="1:15" x14ac:dyDescent="0.25">
      <c r="A1276" s="1" t="s">
        <v>1306</v>
      </c>
      <c r="B1276" s="1">
        <v>50</v>
      </c>
      <c r="C1276" s="1" t="str" cm="1">
        <f t="array" ref="C1276">_xlfn.IFS(OR(B1276=" ", B1276="NA",NOT(ISNUMBER(B1276))), "Unknown",B1276&lt;18,"Underage",B1276&lt;=24,"Young Adult",B1276&lt;=34,"Early Career",B1276&lt;=44,"Mid Career",B1276&lt;=54,"Mature",B1276&lt;=65,"Pre-Senior",B1276&gt;65,"Senior")</f>
        <v>Mature</v>
      </c>
      <c r="E1276" s="1" t="s">
        <v>58</v>
      </c>
      <c r="F1276" s="1">
        <v>175000</v>
      </c>
      <c r="G1276" s="1">
        <v>6</v>
      </c>
      <c r="H1276" s="1" t="str" cm="1">
        <f t="array" ref="H1276">_xlfn.IFS( OR(G1276=" ",NOT(ISNUMBER(G1276))),"Unknown",G1276&lt;=33,"Low Spender",G1276&lt;=66,"Medium Spender",TRUE, "High Spender")</f>
        <v>Low Spender</v>
      </c>
      <c r="I1276" s="1">
        <v>25</v>
      </c>
      <c r="J1276" s="1">
        <v>7300</v>
      </c>
      <c r="K1276" s="1">
        <v>108</v>
      </c>
      <c r="L1276" s="1" t="s">
        <v>20</v>
      </c>
      <c r="N1276" s="1" t="str">
        <f t="shared" si="38"/>
        <v>Lower</v>
      </c>
      <c r="O1276" s="1" t="str">
        <f t="shared" si="39"/>
        <v>Mature | Low Spender | Lower</v>
      </c>
    </row>
    <row r="1277" spans="1:15" x14ac:dyDescent="0.25">
      <c r="A1277" s="1" t="s">
        <v>1307</v>
      </c>
      <c r="B1277" s="1">
        <v>69</v>
      </c>
      <c r="C1277" s="1" t="str" cm="1">
        <f t="array" ref="C1277">_xlfn.IFS(OR(B1277=" ", B1277="NA",NOT(ISNUMBER(B1277))), "Unknown",B1277&lt;18,"Underage",B1277&lt;=24,"Young Adult",B1277&lt;=34,"Early Career",B1277&lt;=44,"Mid Career",B1277&lt;=54,"Mature",B1277&lt;=65,"Pre-Senior",B1277&gt;65,"Senior")</f>
        <v>Senior</v>
      </c>
      <c r="D1277" s="1" t="s">
        <v>12</v>
      </c>
      <c r="F1277" s="1">
        <v>1525000</v>
      </c>
      <c r="G1277" s="1">
        <v>27</v>
      </c>
      <c r="H1277" s="1" t="str" cm="1">
        <f t="array" ref="H1277">_xlfn.IFS( OR(G1277=" ",NOT(ISNUMBER(G1277))),"Unknown",G1277&lt;=33,"Low Spender",G1277&lt;=66,"Medium Spender",TRUE, "High Spender")</f>
        <v>Low Spender</v>
      </c>
      <c r="I1277" s="1">
        <v>56</v>
      </c>
      <c r="J1277" s="1">
        <v>7400</v>
      </c>
      <c r="K1277" s="1">
        <v>98</v>
      </c>
      <c r="M1277" s="1" t="s">
        <v>30</v>
      </c>
      <c r="N1277" s="1" t="str">
        <f t="shared" si="38"/>
        <v>Lower</v>
      </c>
      <c r="O1277" s="1" t="str">
        <f t="shared" si="39"/>
        <v>Senior | Low Spender | Lower</v>
      </c>
    </row>
    <row r="1278" spans="1:15" x14ac:dyDescent="0.25">
      <c r="A1278" s="1" t="s">
        <v>1308</v>
      </c>
      <c r="B1278" s="1">
        <v>47</v>
      </c>
      <c r="C1278" s="1" t="str" cm="1">
        <f t="array" ref="C1278">_xlfn.IFS(OR(B1278=" ", B1278="NA",NOT(ISNUMBER(B1278))), "Unknown",B1278&lt;18,"Underage",B1278&lt;=24,"Young Adult",B1278&lt;=34,"Early Career",B1278&lt;=44,"Mid Career",B1278&lt;=54,"Mature",B1278&lt;=65,"Pre-Senior",B1278&gt;65,"Senior")</f>
        <v>Mature</v>
      </c>
      <c r="D1278" s="1" t="s">
        <v>18</v>
      </c>
      <c r="E1278" s="1" t="s">
        <v>23</v>
      </c>
      <c r="F1278" s="1" t="s">
        <v>25</v>
      </c>
      <c r="G1278" s="1">
        <v>38</v>
      </c>
      <c r="H1278" s="1" t="str" cm="1">
        <f t="array" ref="H1278">_xlfn.IFS( OR(G1278=" ",NOT(ISNUMBER(G1278))),"Unknown",G1278&lt;=33,"Low Spender",G1278&lt;=66,"Medium Spender",TRUE, "High Spender")</f>
        <v>Medium Spender</v>
      </c>
      <c r="I1278" s="1">
        <v>64</v>
      </c>
      <c r="J1278" s="1">
        <v>4400</v>
      </c>
      <c r="K1278" s="1">
        <v>275</v>
      </c>
      <c r="L1278" s="1" t="s">
        <v>37</v>
      </c>
      <c r="M1278" s="1" t="s">
        <v>21</v>
      </c>
      <c r="N1278" s="1" t="str">
        <f t="shared" si="38"/>
        <v>Higher</v>
      </c>
      <c r="O1278" s="1" t="str">
        <f t="shared" si="39"/>
        <v>Mature | Medium Spender | Higher</v>
      </c>
    </row>
    <row r="1279" spans="1:15" x14ac:dyDescent="0.25">
      <c r="A1279" s="1" t="s">
        <v>1309</v>
      </c>
      <c r="B1279" s="1">
        <v>56</v>
      </c>
      <c r="C1279" s="1" t="str" cm="1">
        <f t="array" ref="C1279">_xlfn.IFS(OR(B1279=" ", B1279="NA",NOT(ISNUMBER(B1279))), "Unknown",B1279&lt;18,"Underage",B1279&lt;=24,"Young Adult",B1279&lt;=34,"Early Career",B1279&lt;=44,"Mid Career",B1279&lt;=54,"Mature",B1279&lt;=65,"Pre-Senior",B1279&gt;65,"Senior")</f>
        <v>Pre-Senior</v>
      </c>
      <c r="D1279" s="1" t="s">
        <v>12</v>
      </c>
      <c r="F1279" s="1">
        <v>1400000</v>
      </c>
      <c r="G1279" s="1">
        <v>68</v>
      </c>
      <c r="H1279" s="1" t="str" cm="1">
        <f t="array" ref="H1279">_xlfn.IFS( OR(G1279=" ",NOT(ISNUMBER(G1279))),"Unknown",G1279&lt;=33,"Low Spender",G1279&lt;=66,"Medium Spender",TRUE, "High Spender")</f>
        <v>High Spender</v>
      </c>
      <c r="I1279" s="1">
        <v>72</v>
      </c>
      <c r="J1279" s="1">
        <v>5300</v>
      </c>
      <c r="K1279" s="1">
        <v>71</v>
      </c>
      <c r="L1279" s="1" t="s">
        <v>16</v>
      </c>
      <c r="M1279" s="1" t="s">
        <v>21</v>
      </c>
      <c r="N1279" s="1" t="str">
        <f t="shared" si="38"/>
        <v>Lower</v>
      </c>
      <c r="O1279" s="1" t="str">
        <f t="shared" si="39"/>
        <v>Pre-Senior | High Spender | Lower</v>
      </c>
    </row>
    <row r="1280" spans="1:15" x14ac:dyDescent="0.25">
      <c r="A1280" s="1" t="s">
        <v>1310</v>
      </c>
      <c r="B1280" s="1">
        <v>44</v>
      </c>
      <c r="C1280" s="1" t="str" cm="1">
        <f t="array" ref="C1280">_xlfn.IFS(OR(B1280=" ", B1280="NA",NOT(ISNUMBER(B1280))), "Unknown",B1280&lt;18,"Underage",B1280&lt;=24,"Young Adult",B1280&lt;=34,"Early Career",B1280&lt;=44,"Mid Career",B1280&lt;=54,"Mature",B1280&lt;=65,"Pre-Senior",B1280&gt;65,"Senior")</f>
        <v>Mid Career</v>
      </c>
      <c r="E1280" s="1" t="s">
        <v>58</v>
      </c>
      <c r="F1280" s="1">
        <v>1475000</v>
      </c>
      <c r="G1280" s="1">
        <v>75</v>
      </c>
      <c r="H1280" s="1" t="str" cm="1">
        <f t="array" ref="H1280">_xlfn.IFS( OR(G1280=" ",NOT(ISNUMBER(G1280))),"Unknown",G1280&lt;=33,"Low Spender",G1280&lt;=66,"Medium Spender",TRUE, "High Spender")</f>
        <v>High Spender</v>
      </c>
      <c r="I1280" s="1">
        <v>52</v>
      </c>
      <c r="J1280" s="1">
        <v>2100</v>
      </c>
      <c r="K1280" s="1">
        <v>39</v>
      </c>
      <c r="L1280" s="1" t="s">
        <v>16</v>
      </c>
      <c r="M1280" s="1" t="s">
        <v>21</v>
      </c>
      <c r="N1280" s="1" t="str">
        <f t="shared" si="38"/>
        <v>Lower</v>
      </c>
      <c r="O1280" s="1" t="str">
        <f t="shared" si="39"/>
        <v>Mid Career | High Spender | Lower</v>
      </c>
    </row>
    <row r="1281" spans="1:15" x14ac:dyDescent="0.25">
      <c r="A1281" s="1" t="s">
        <v>1311</v>
      </c>
      <c r="B1281" s="1">
        <v>53</v>
      </c>
      <c r="C1281" s="1" t="str" cm="1">
        <f t="array" ref="C1281">_xlfn.IFS(OR(B1281=" ", B1281="NA",NOT(ISNUMBER(B1281))), "Unknown",B1281&lt;18,"Underage",B1281&lt;=24,"Young Adult",B1281&lt;=34,"Early Career",B1281&lt;=44,"Mid Career",B1281&lt;=54,"Mature",B1281&lt;=65,"Pre-Senior",B1281&gt;65,"Senior")</f>
        <v>Mature</v>
      </c>
      <c r="D1281" s="1" t="s">
        <v>12</v>
      </c>
      <c r="E1281" s="1" t="s">
        <v>19</v>
      </c>
      <c r="F1281" s="1">
        <v>525000</v>
      </c>
      <c r="G1281" s="1">
        <v>85</v>
      </c>
      <c r="H1281" s="1" t="str" cm="1">
        <f t="array" ref="H1281">_xlfn.IFS( OR(G1281=" ",NOT(ISNUMBER(G1281))),"Unknown",G1281&lt;=33,"Low Spender",G1281&lt;=66,"Medium Spender",TRUE, "High Spender")</f>
        <v>High Spender</v>
      </c>
      <c r="I1281" s="1">
        <v>76</v>
      </c>
      <c r="J1281" s="1">
        <v>6800</v>
      </c>
      <c r="K1281" s="1">
        <v>298</v>
      </c>
      <c r="L1281" s="1" t="s">
        <v>20</v>
      </c>
      <c r="M1281" s="1" t="s">
        <v>21</v>
      </c>
      <c r="N1281" s="1" t="str">
        <f t="shared" si="38"/>
        <v>Lower</v>
      </c>
      <c r="O1281" s="1" t="str">
        <f t="shared" si="39"/>
        <v>Mature | High Spender | Lower</v>
      </c>
    </row>
    <row r="1282" spans="1:15" x14ac:dyDescent="0.25">
      <c r="A1282" s="1" t="s">
        <v>1312</v>
      </c>
      <c r="B1282" s="1">
        <v>46</v>
      </c>
      <c r="C1282" s="1" t="str" cm="1">
        <f t="array" ref="C1282">_xlfn.IFS(OR(B1282=" ", B1282="NA",NOT(ISNUMBER(B1282))), "Unknown",B1282&lt;18,"Underage",B1282&lt;=24,"Young Adult",B1282&lt;=34,"Early Career",B1282&lt;=44,"Mid Career",B1282&lt;=54,"Mature",B1282&lt;=65,"Pre-Senior",B1282&gt;65,"Senior")</f>
        <v>Mature</v>
      </c>
      <c r="E1282" s="1" t="s">
        <v>49</v>
      </c>
      <c r="F1282" s="1">
        <v>575000</v>
      </c>
      <c r="G1282" s="1">
        <v>64</v>
      </c>
      <c r="H1282" s="1" t="str" cm="1">
        <f t="array" ref="H1282">_xlfn.IFS( OR(G1282=" ",NOT(ISNUMBER(G1282))),"Unknown",G1282&lt;=33,"Low Spender",G1282&lt;=66,"Medium Spender",TRUE, "High Spender")</f>
        <v>Medium Spender</v>
      </c>
      <c r="I1282" s="1">
        <v>9</v>
      </c>
      <c r="J1282" s="1">
        <v>4900</v>
      </c>
      <c r="K1282" s="1">
        <v>90</v>
      </c>
      <c r="L1282" s="1" t="s">
        <v>16</v>
      </c>
      <c r="M1282" s="1" t="s">
        <v>32</v>
      </c>
      <c r="N1282" s="1" t="str">
        <f t="shared" ref="N1282:N1345" si="40">IF(OR(UPPER(TRIM(D1282))="Male",UPPER(TRIM(D1282))="Female"),"Higher","Lower")</f>
        <v>Lower</v>
      </c>
      <c r="O1282" s="1" t="str">
        <f t="shared" ref="O1282:O1345" si="41">_xlfn.TEXTJOIN(" | ", TRUE, C1282, H1282, N1282)</f>
        <v>Mature | Medium Spender | Lower</v>
      </c>
    </row>
    <row r="1283" spans="1:15" x14ac:dyDescent="0.25">
      <c r="A1283" s="1" t="s">
        <v>1313</v>
      </c>
      <c r="B1283" s="1">
        <v>55</v>
      </c>
      <c r="C1283" s="1" t="str" cm="1">
        <f t="array" ref="C1283">_xlfn.IFS(OR(B1283=" ", B1283="NA",NOT(ISNUMBER(B1283))), "Unknown",B1283&lt;18,"Underage",B1283&lt;=24,"Young Adult",B1283&lt;=34,"Early Career",B1283&lt;=44,"Mid Career",B1283&lt;=54,"Mature",B1283&lt;=65,"Pre-Senior",B1283&gt;65,"Senior")</f>
        <v>Pre-Senior</v>
      </c>
      <c r="E1283" s="1" t="s">
        <v>34</v>
      </c>
      <c r="F1283" s="1">
        <v>300000</v>
      </c>
      <c r="G1283" s="1">
        <v>30</v>
      </c>
      <c r="H1283" s="1" t="str" cm="1">
        <f t="array" ref="H1283">_xlfn.IFS( OR(G1283=" ",NOT(ISNUMBER(G1283))),"Unknown",G1283&lt;=33,"Low Spender",G1283&lt;=66,"Medium Spender",TRUE, "High Spender")</f>
        <v>Low Spender</v>
      </c>
      <c r="I1283" s="1">
        <v>10</v>
      </c>
      <c r="J1283" s="1">
        <v>6700</v>
      </c>
      <c r="K1283" s="1">
        <v>219</v>
      </c>
      <c r="L1283" s="1" t="s">
        <v>20</v>
      </c>
      <c r="M1283" s="1" t="s">
        <v>41</v>
      </c>
      <c r="N1283" s="1" t="str">
        <f t="shared" si="40"/>
        <v>Lower</v>
      </c>
      <c r="O1283" s="1" t="str">
        <f t="shared" si="41"/>
        <v>Pre-Senior | Low Spender | Lower</v>
      </c>
    </row>
    <row r="1284" spans="1:15" x14ac:dyDescent="0.25">
      <c r="A1284" s="1" t="s">
        <v>1314</v>
      </c>
      <c r="B1284" s="1">
        <v>50</v>
      </c>
      <c r="C1284" s="1" t="str" cm="1">
        <f t="array" ref="C1284">_xlfn.IFS(OR(B1284=" ", B1284="NA",NOT(ISNUMBER(B1284))), "Unknown",B1284&lt;18,"Underage",B1284&lt;=24,"Young Adult",B1284&lt;=34,"Early Career",B1284&lt;=44,"Mid Career",B1284&lt;=54,"Mature",B1284&lt;=65,"Pre-Senior",B1284&gt;65,"Senior")</f>
        <v>Mature</v>
      </c>
      <c r="E1284" s="1" t="s">
        <v>58</v>
      </c>
      <c r="F1284" s="1">
        <v>1250000</v>
      </c>
      <c r="G1284" s="1">
        <v>82</v>
      </c>
      <c r="H1284" s="1" t="str" cm="1">
        <f t="array" ref="H1284">_xlfn.IFS( OR(G1284=" ",NOT(ISNUMBER(G1284))),"Unknown",G1284&lt;=33,"Low Spender",G1284&lt;=66,"Medium Spender",TRUE, "High Spender")</f>
        <v>High Spender</v>
      </c>
      <c r="I1284" s="1">
        <v>10</v>
      </c>
      <c r="J1284" s="1">
        <v>4400</v>
      </c>
      <c r="K1284" s="1">
        <v>107</v>
      </c>
      <c r="M1284" s="1" t="s">
        <v>32</v>
      </c>
      <c r="N1284" s="1" t="str">
        <f t="shared" si="40"/>
        <v>Lower</v>
      </c>
      <c r="O1284" s="1" t="str">
        <f t="shared" si="41"/>
        <v>Mature | High Spender | Lower</v>
      </c>
    </row>
    <row r="1285" spans="1:15" x14ac:dyDescent="0.25">
      <c r="A1285" s="1" t="s">
        <v>1315</v>
      </c>
      <c r="B1285" s="1">
        <v>54</v>
      </c>
      <c r="C1285" s="1" t="str" cm="1">
        <f t="array" ref="C1285">_xlfn.IFS(OR(B1285=" ", B1285="NA",NOT(ISNUMBER(B1285))), "Unknown",B1285&lt;18,"Underage",B1285&lt;=24,"Young Adult",B1285&lt;=34,"Early Career",B1285&lt;=44,"Mid Career",B1285&lt;=54,"Mature",B1285&lt;=65,"Pre-Senior",B1285&gt;65,"Senior")</f>
        <v>Mature</v>
      </c>
      <c r="E1285" s="1" t="s">
        <v>15</v>
      </c>
      <c r="F1285" s="1">
        <v>1025000</v>
      </c>
      <c r="G1285" s="1">
        <v>99</v>
      </c>
      <c r="H1285" s="1" t="str" cm="1">
        <f t="array" ref="H1285">_xlfn.IFS( OR(G1285=" ",NOT(ISNUMBER(G1285))),"Unknown",G1285&lt;=33,"Low Spender",G1285&lt;=66,"Medium Spender",TRUE, "High Spender")</f>
        <v>High Spender</v>
      </c>
      <c r="I1285" s="1">
        <v>73</v>
      </c>
      <c r="J1285" s="1">
        <v>4000</v>
      </c>
      <c r="K1285" s="1">
        <v>96</v>
      </c>
      <c r="N1285" s="1" t="str">
        <f t="shared" si="40"/>
        <v>Lower</v>
      </c>
      <c r="O1285" s="1" t="str">
        <f t="shared" si="41"/>
        <v>Mature | High Spender | Lower</v>
      </c>
    </row>
    <row r="1286" spans="1:15" x14ac:dyDescent="0.25">
      <c r="A1286" s="1" t="s">
        <v>1316</v>
      </c>
      <c r="B1286" s="1">
        <v>44</v>
      </c>
      <c r="C1286" s="1" t="str" cm="1">
        <f t="array" ref="C1286">_xlfn.IFS(OR(B1286=" ", B1286="NA",NOT(ISNUMBER(B1286))), "Unknown",B1286&lt;18,"Underage",B1286&lt;=24,"Young Adult",B1286&lt;=34,"Early Career",B1286&lt;=44,"Mid Career",B1286&lt;=54,"Mature",B1286&lt;=65,"Pre-Senior",B1286&gt;65,"Senior")</f>
        <v>Mid Career</v>
      </c>
      <c r="E1286" s="1" t="s">
        <v>49</v>
      </c>
      <c r="F1286" s="1">
        <v>1150000</v>
      </c>
      <c r="G1286" s="1">
        <v>3</v>
      </c>
      <c r="H1286" s="1" t="str" cm="1">
        <f t="array" ref="H1286">_xlfn.IFS( OR(G1286=" ",NOT(ISNUMBER(G1286))),"Unknown",G1286&lt;=33,"Low Spender",G1286&lt;=66,"Medium Spender",TRUE, "High Spender")</f>
        <v>Low Spender</v>
      </c>
      <c r="I1286" s="1">
        <v>62</v>
      </c>
      <c r="K1286" s="1">
        <v>32</v>
      </c>
      <c r="L1286" s="1" t="s">
        <v>20</v>
      </c>
      <c r="N1286" s="1" t="str">
        <f t="shared" si="40"/>
        <v>Lower</v>
      </c>
      <c r="O1286" s="1" t="str">
        <f t="shared" si="41"/>
        <v>Mid Career | Low Spender | Lower</v>
      </c>
    </row>
    <row r="1287" spans="1:15" x14ac:dyDescent="0.25">
      <c r="A1287" s="1" t="s">
        <v>1317</v>
      </c>
      <c r="B1287" s="1" t="s">
        <v>73</v>
      </c>
      <c r="C1287" s="1" t="str" cm="1">
        <f t="array" ref="C1287">_xlfn.IFS(OR(B1287=" ", B1287="NA",NOT(ISNUMBER(B1287))), "Unknown",B1287&lt;18,"Underage",B1287&lt;=24,"Young Adult",B1287&lt;=34,"Early Career",B1287&lt;=44,"Mid Career",B1287&lt;=54,"Mature",B1287&lt;=65,"Pre-Senior",B1287&gt;65,"Senior")</f>
        <v>Unknown</v>
      </c>
      <c r="D1287" s="1" t="s">
        <v>18</v>
      </c>
      <c r="F1287" s="1">
        <v>1175000</v>
      </c>
      <c r="G1287" s="1">
        <v>62</v>
      </c>
      <c r="H1287" s="1" t="str" cm="1">
        <f t="array" ref="H1287">_xlfn.IFS( OR(G1287=" ",NOT(ISNUMBER(G1287))),"Unknown",G1287&lt;=33,"Low Spender",G1287&lt;=66,"Medium Spender",TRUE, "High Spender")</f>
        <v>Medium Spender</v>
      </c>
      <c r="I1287" s="1">
        <v>60</v>
      </c>
      <c r="J1287" s="1">
        <v>1500</v>
      </c>
      <c r="K1287" s="1">
        <v>126</v>
      </c>
      <c r="L1287" s="1" t="s">
        <v>35</v>
      </c>
      <c r="M1287" s="1" t="s">
        <v>30</v>
      </c>
      <c r="N1287" s="1" t="str">
        <f t="shared" si="40"/>
        <v>Higher</v>
      </c>
      <c r="O1287" s="1" t="str">
        <f t="shared" si="41"/>
        <v>Unknown | Medium Spender | Higher</v>
      </c>
    </row>
    <row r="1288" spans="1:15" x14ac:dyDescent="0.25">
      <c r="A1288" s="1" t="s">
        <v>1318</v>
      </c>
      <c r="B1288" s="1">
        <v>50</v>
      </c>
      <c r="C1288" s="1" t="str" cm="1">
        <f t="array" ref="C1288">_xlfn.IFS(OR(B1288=" ", B1288="NA",NOT(ISNUMBER(B1288))), "Unknown",B1288&lt;18,"Underage",B1288&lt;=24,"Young Adult",B1288&lt;=34,"Early Career",B1288&lt;=44,"Mid Career",B1288&lt;=54,"Mature",B1288&lt;=65,"Pre-Senior",B1288&gt;65,"Senior")</f>
        <v>Mature</v>
      </c>
      <c r="E1288" s="1" t="s">
        <v>15</v>
      </c>
      <c r="F1288" s="1">
        <v>300000</v>
      </c>
      <c r="G1288" s="1">
        <v>12</v>
      </c>
      <c r="H1288" s="1" t="str" cm="1">
        <f t="array" ref="H1288">_xlfn.IFS( OR(G1288=" ",NOT(ISNUMBER(G1288))),"Unknown",G1288&lt;=33,"Low Spender",G1288&lt;=66,"Medium Spender",TRUE, "High Spender")</f>
        <v>Low Spender</v>
      </c>
      <c r="I1288" s="1">
        <v>19</v>
      </c>
      <c r="J1288" s="1">
        <v>10800</v>
      </c>
      <c r="K1288" s="1">
        <v>147</v>
      </c>
      <c r="L1288" s="1" t="s">
        <v>16</v>
      </c>
      <c r="M1288" s="1" t="s">
        <v>21</v>
      </c>
      <c r="N1288" s="1" t="str">
        <f t="shared" si="40"/>
        <v>Lower</v>
      </c>
      <c r="O1288" s="1" t="str">
        <f t="shared" si="41"/>
        <v>Mature | Low Spender | Lower</v>
      </c>
    </row>
    <row r="1289" spans="1:15" x14ac:dyDescent="0.25">
      <c r="A1289" s="1" t="s">
        <v>1319</v>
      </c>
      <c r="B1289" s="1">
        <v>21</v>
      </c>
      <c r="C1289" s="1" t="str" cm="1">
        <f t="array" ref="C1289">_xlfn.IFS(OR(B1289=" ", B1289="NA",NOT(ISNUMBER(B1289))), "Unknown",B1289&lt;18,"Underage",B1289&lt;=24,"Young Adult",B1289&lt;=34,"Early Career",B1289&lt;=44,"Mid Career",B1289&lt;=54,"Mature",B1289&lt;=65,"Pre-Senior",B1289&gt;65,"Senior")</f>
        <v>Young Adult</v>
      </c>
      <c r="D1289" s="1" t="s">
        <v>18</v>
      </c>
      <c r="E1289" s="1" t="s">
        <v>15</v>
      </c>
      <c r="F1289" s="1">
        <v>500000</v>
      </c>
      <c r="G1289" s="1">
        <v>91</v>
      </c>
      <c r="H1289" s="1" t="str" cm="1">
        <f t="array" ref="H1289">_xlfn.IFS( OR(G1289=" ",NOT(ISNUMBER(G1289))),"Unknown",G1289&lt;=33,"Low Spender",G1289&lt;=66,"Medium Spender",TRUE, "High Spender")</f>
        <v>High Spender</v>
      </c>
      <c r="I1289" s="1">
        <v>38</v>
      </c>
      <c r="J1289" s="1">
        <v>4600</v>
      </c>
      <c r="K1289" s="1">
        <v>280</v>
      </c>
      <c r="M1289" s="1" t="s">
        <v>30</v>
      </c>
      <c r="N1289" s="1" t="str">
        <f t="shared" si="40"/>
        <v>Higher</v>
      </c>
      <c r="O1289" s="1" t="str">
        <f t="shared" si="41"/>
        <v>Young Adult | High Spender | Higher</v>
      </c>
    </row>
    <row r="1290" spans="1:15" x14ac:dyDescent="0.25">
      <c r="A1290" s="1" t="s">
        <v>1320</v>
      </c>
      <c r="B1290" s="1">
        <v>39</v>
      </c>
      <c r="C1290" s="1" t="str" cm="1">
        <f t="array" ref="C1290">_xlfn.IFS(OR(B1290=" ", B1290="NA",NOT(ISNUMBER(B1290))), "Unknown",B1290&lt;18,"Underage",B1290&lt;=24,"Young Adult",B1290&lt;=34,"Early Career",B1290&lt;=44,"Mid Career",B1290&lt;=54,"Mature",B1290&lt;=65,"Pre-Senior",B1290&gt;65,"Senior")</f>
        <v>Mid Career</v>
      </c>
      <c r="E1290" s="1" t="s">
        <v>13</v>
      </c>
      <c r="F1290" s="1">
        <v>1625000</v>
      </c>
      <c r="G1290" s="1">
        <v>30</v>
      </c>
      <c r="H1290" s="1" t="str" cm="1">
        <f t="array" ref="H1290">_xlfn.IFS( OR(G1290=" ",NOT(ISNUMBER(G1290))),"Unknown",G1290&lt;=33,"Low Spender",G1290&lt;=66,"Medium Spender",TRUE, "High Spender")</f>
        <v>Low Spender</v>
      </c>
      <c r="I1290" s="1">
        <v>6</v>
      </c>
      <c r="J1290" s="1">
        <v>2600</v>
      </c>
      <c r="K1290" s="1">
        <v>24</v>
      </c>
      <c r="N1290" s="1" t="str">
        <f t="shared" si="40"/>
        <v>Lower</v>
      </c>
      <c r="O1290" s="1" t="str">
        <f t="shared" si="41"/>
        <v>Mid Career | Low Spender | Lower</v>
      </c>
    </row>
    <row r="1291" spans="1:15" x14ac:dyDescent="0.25">
      <c r="A1291" s="1" t="s">
        <v>1321</v>
      </c>
      <c r="B1291" s="1">
        <v>19</v>
      </c>
      <c r="C1291" s="1" t="str" cm="1">
        <f t="array" ref="C1291">_xlfn.IFS(OR(B1291=" ", B1291="NA",NOT(ISNUMBER(B1291))), "Unknown",B1291&lt;18,"Underage",B1291&lt;=24,"Young Adult",B1291&lt;=34,"Early Career",B1291&lt;=44,"Mid Career",B1291&lt;=54,"Mature",B1291&lt;=65,"Pre-Senior",B1291&gt;65,"Senior")</f>
        <v>Young Adult</v>
      </c>
      <c r="D1291" s="1" t="s">
        <v>12</v>
      </c>
      <c r="E1291" s="1" t="s">
        <v>15</v>
      </c>
      <c r="F1291" s="1">
        <v>1125000</v>
      </c>
      <c r="G1291" s="1">
        <v>85</v>
      </c>
      <c r="H1291" s="1" t="str" cm="1">
        <f t="array" ref="H1291">_xlfn.IFS( OR(G1291=" ",NOT(ISNUMBER(G1291))),"Unknown",G1291&lt;=33,"Low Spender",G1291&lt;=66,"Medium Spender",TRUE, "High Spender")</f>
        <v>High Spender</v>
      </c>
      <c r="I1291" s="1">
        <v>15</v>
      </c>
      <c r="J1291" s="1">
        <v>9800</v>
      </c>
      <c r="K1291" s="1">
        <v>209</v>
      </c>
      <c r="L1291" s="1" t="s">
        <v>37</v>
      </c>
      <c r="M1291" s="1" t="s">
        <v>21</v>
      </c>
      <c r="N1291" s="1" t="str">
        <f t="shared" si="40"/>
        <v>Lower</v>
      </c>
      <c r="O1291" s="1" t="str">
        <f t="shared" si="41"/>
        <v>Young Adult | High Spender | Lower</v>
      </c>
    </row>
    <row r="1292" spans="1:15" x14ac:dyDescent="0.25">
      <c r="A1292" s="1" t="s">
        <v>1322</v>
      </c>
      <c r="B1292" s="1">
        <v>27</v>
      </c>
      <c r="C1292" s="1" t="str" cm="1">
        <f t="array" ref="C1292">_xlfn.IFS(OR(B1292=" ", B1292="NA",NOT(ISNUMBER(B1292))), "Unknown",B1292&lt;18,"Underage",B1292&lt;=24,"Young Adult",B1292&lt;=34,"Early Career",B1292&lt;=44,"Mid Career",B1292&lt;=54,"Mature",B1292&lt;=65,"Pre-Senior",B1292&gt;65,"Senior")</f>
        <v>Early Career</v>
      </c>
      <c r="E1292" s="1" t="s">
        <v>58</v>
      </c>
      <c r="F1292" s="1">
        <v>1050000</v>
      </c>
      <c r="G1292" s="1">
        <v>38</v>
      </c>
      <c r="H1292" s="1" t="str" cm="1">
        <f t="array" ref="H1292">_xlfn.IFS( OR(G1292=" ",NOT(ISNUMBER(G1292))),"Unknown",G1292&lt;=33,"Low Spender",G1292&lt;=66,"Medium Spender",TRUE, "High Spender")</f>
        <v>Medium Spender</v>
      </c>
      <c r="I1292" s="1">
        <v>47</v>
      </c>
      <c r="J1292" s="1">
        <v>3200</v>
      </c>
      <c r="K1292" s="1">
        <v>120</v>
      </c>
      <c r="L1292" s="1" t="s">
        <v>35</v>
      </c>
      <c r="N1292" s="1" t="str">
        <f t="shared" si="40"/>
        <v>Lower</v>
      </c>
      <c r="O1292" s="1" t="str">
        <f t="shared" si="41"/>
        <v>Early Career | Medium Spender | Lower</v>
      </c>
    </row>
    <row r="1293" spans="1:15" x14ac:dyDescent="0.25">
      <c r="A1293" s="1" t="s">
        <v>1323</v>
      </c>
      <c r="B1293" s="1">
        <v>22</v>
      </c>
      <c r="C1293" s="1" t="str" cm="1">
        <f t="array" ref="C1293">_xlfn.IFS(OR(B1293=" ", B1293="NA",NOT(ISNUMBER(B1293))), "Unknown",B1293&lt;18,"Underage",B1293&lt;=24,"Young Adult",B1293&lt;=34,"Early Career",B1293&lt;=44,"Mid Career",B1293&lt;=54,"Mature",B1293&lt;=65,"Pre-Senior",B1293&gt;65,"Senior")</f>
        <v>Young Adult</v>
      </c>
      <c r="E1293" s="1" t="s">
        <v>13</v>
      </c>
      <c r="F1293" s="1">
        <v>1775000</v>
      </c>
      <c r="G1293" s="1">
        <v>85</v>
      </c>
      <c r="H1293" s="1" t="str" cm="1">
        <f t="array" ref="H1293">_xlfn.IFS( OR(G1293=" ",NOT(ISNUMBER(G1293))),"Unknown",G1293&lt;=33,"Low Spender",G1293&lt;=66,"Medium Spender",TRUE, "High Spender")</f>
        <v>High Spender</v>
      </c>
      <c r="I1293" s="1">
        <v>45</v>
      </c>
      <c r="J1293" s="1">
        <v>7200</v>
      </c>
      <c r="K1293" s="1">
        <v>274</v>
      </c>
      <c r="L1293" s="1" t="s">
        <v>37</v>
      </c>
      <c r="M1293" s="1" t="s">
        <v>41</v>
      </c>
      <c r="N1293" s="1" t="str">
        <f t="shared" si="40"/>
        <v>Lower</v>
      </c>
      <c r="O1293" s="1" t="str">
        <f t="shared" si="41"/>
        <v>Young Adult | High Spender | Lower</v>
      </c>
    </row>
    <row r="1294" spans="1:15" x14ac:dyDescent="0.25">
      <c r="A1294" s="1" t="s">
        <v>1324</v>
      </c>
      <c r="B1294" s="1">
        <v>27</v>
      </c>
      <c r="C1294" s="1" t="str" cm="1">
        <f t="array" ref="C1294">_xlfn.IFS(OR(B1294=" ", B1294="NA",NOT(ISNUMBER(B1294))), "Unknown",B1294&lt;18,"Underage",B1294&lt;=24,"Young Adult",B1294&lt;=34,"Early Career",B1294&lt;=44,"Mid Career",B1294&lt;=54,"Mature",B1294&lt;=65,"Pre-Senior",B1294&gt;65,"Senior")</f>
        <v>Early Career</v>
      </c>
      <c r="D1294" s="1" t="s">
        <v>29</v>
      </c>
      <c r="F1294" s="1">
        <v>1500000</v>
      </c>
      <c r="G1294" s="1">
        <v>60</v>
      </c>
      <c r="H1294" s="1" t="str" cm="1">
        <f t="array" ref="H1294">_xlfn.IFS( OR(G1294=" ",NOT(ISNUMBER(G1294))),"Unknown",G1294&lt;=33,"Low Spender",G1294&lt;=66,"Medium Spender",TRUE, "High Spender")</f>
        <v>Medium Spender</v>
      </c>
      <c r="I1294" s="1">
        <v>5</v>
      </c>
      <c r="J1294" s="1">
        <v>4000</v>
      </c>
      <c r="K1294" s="1">
        <v>140</v>
      </c>
      <c r="L1294" s="1" t="s">
        <v>35</v>
      </c>
      <c r="N1294" s="1" t="str">
        <f t="shared" si="40"/>
        <v>Higher</v>
      </c>
      <c r="O1294" s="1" t="str">
        <f t="shared" si="41"/>
        <v>Early Career | Medium Spender | Higher</v>
      </c>
    </row>
    <row r="1295" spans="1:15" x14ac:dyDescent="0.25">
      <c r="A1295" s="1" t="s">
        <v>1325</v>
      </c>
      <c r="B1295" s="1">
        <v>50</v>
      </c>
      <c r="C1295" s="1" t="str" cm="1">
        <f t="array" ref="C1295">_xlfn.IFS(OR(B1295=" ", B1295="NA",NOT(ISNUMBER(B1295))), "Unknown",B1295&lt;18,"Underage",B1295&lt;=24,"Young Adult",B1295&lt;=34,"Early Career",B1295&lt;=44,"Mid Career",B1295&lt;=54,"Mature",B1295&lt;=65,"Pre-Senior",B1295&gt;65,"Senior")</f>
        <v>Mature</v>
      </c>
      <c r="E1295" s="1" t="s">
        <v>23</v>
      </c>
      <c r="F1295" s="1" t="s">
        <v>25</v>
      </c>
      <c r="G1295" s="1">
        <v>38</v>
      </c>
      <c r="H1295" s="1" t="str" cm="1">
        <f t="array" ref="H1295">_xlfn.IFS( OR(G1295=" ",NOT(ISNUMBER(G1295))),"Unknown",G1295&lt;=33,"Low Spender",G1295&lt;=66,"Medium Spender",TRUE, "High Spender")</f>
        <v>Medium Spender</v>
      </c>
      <c r="I1295" s="1">
        <v>78</v>
      </c>
      <c r="J1295" s="1">
        <v>9900</v>
      </c>
      <c r="K1295" s="1">
        <v>297</v>
      </c>
      <c r="N1295" s="1" t="str">
        <f t="shared" si="40"/>
        <v>Lower</v>
      </c>
      <c r="O1295" s="1" t="str">
        <f t="shared" si="41"/>
        <v>Mature | Medium Spender | Lower</v>
      </c>
    </row>
    <row r="1296" spans="1:15" x14ac:dyDescent="0.25">
      <c r="A1296" s="1" t="s">
        <v>1326</v>
      </c>
      <c r="C1296" s="1" t="str" cm="1">
        <f t="array" ref="C1296">_xlfn.IFS(OR(B1296=" ", B1296="NA",NOT(ISNUMBER(B1296))), "Unknown",B1296&lt;18,"Underage",B1296&lt;=24,"Young Adult",B1296&lt;=34,"Early Career",B1296&lt;=44,"Mid Career",B1296&lt;=54,"Mature",B1296&lt;=65,"Pre-Senior",B1296&gt;65,"Senior")</f>
        <v>Unknown</v>
      </c>
      <c r="E1296" s="1" t="s">
        <v>15</v>
      </c>
      <c r="F1296" s="1">
        <v>1525000</v>
      </c>
      <c r="G1296" s="1">
        <v>15</v>
      </c>
      <c r="H1296" s="1" t="str" cm="1">
        <f t="array" ref="H1296">_xlfn.IFS( OR(G1296=" ",NOT(ISNUMBER(G1296))),"Unknown",G1296&lt;=33,"Low Spender",G1296&lt;=66,"Medium Spender",TRUE, "High Spender")</f>
        <v>Low Spender</v>
      </c>
      <c r="I1296" s="1">
        <v>53</v>
      </c>
      <c r="J1296" s="1">
        <v>11000</v>
      </c>
      <c r="K1296" s="1">
        <v>343</v>
      </c>
      <c r="M1296" s="1" t="s">
        <v>30</v>
      </c>
      <c r="N1296" s="1" t="str">
        <f t="shared" si="40"/>
        <v>Lower</v>
      </c>
      <c r="O1296" s="1" t="str">
        <f t="shared" si="41"/>
        <v>Unknown | Low Spender | Lower</v>
      </c>
    </row>
    <row r="1297" spans="1:15" x14ac:dyDescent="0.25">
      <c r="A1297" s="1" t="s">
        <v>1327</v>
      </c>
      <c r="B1297" s="1">
        <v>55</v>
      </c>
      <c r="C1297" s="1" t="str" cm="1">
        <f t="array" ref="C1297">_xlfn.IFS(OR(B1297=" ", B1297="NA",NOT(ISNUMBER(B1297))), "Unknown",B1297&lt;18,"Underage",B1297&lt;=24,"Young Adult",B1297&lt;=34,"Early Career",B1297&lt;=44,"Mid Career",B1297&lt;=54,"Mature",B1297&lt;=65,"Pre-Senior",B1297&gt;65,"Senior")</f>
        <v>Pre-Senior</v>
      </c>
      <c r="D1297" s="1" t="s">
        <v>12</v>
      </c>
      <c r="E1297" s="1" t="s">
        <v>19</v>
      </c>
      <c r="F1297" s="1">
        <v>1225000</v>
      </c>
      <c r="G1297" s="1">
        <v>18</v>
      </c>
      <c r="H1297" s="1" t="str" cm="1">
        <f t="array" ref="H1297">_xlfn.IFS( OR(G1297=" ",NOT(ISNUMBER(G1297))),"Unknown",G1297&lt;=33,"Low Spender",G1297&lt;=66,"Medium Spender",TRUE, "High Spender")</f>
        <v>Low Spender</v>
      </c>
      <c r="I1297" s="1">
        <v>66</v>
      </c>
      <c r="K1297" s="1">
        <v>82</v>
      </c>
      <c r="N1297" s="1" t="str">
        <f t="shared" si="40"/>
        <v>Lower</v>
      </c>
      <c r="O1297" s="1" t="str">
        <f t="shared" si="41"/>
        <v>Pre-Senior | Low Spender | Lower</v>
      </c>
    </row>
    <row r="1298" spans="1:15" x14ac:dyDescent="0.25">
      <c r="A1298" s="1" t="s">
        <v>1328</v>
      </c>
      <c r="B1298" s="1">
        <v>30</v>
      </c>
      <c r="C1298" s="1" t="str" cm="1">
        <f t="array" ref="C1298">_xlfn.IFS(OR(B1298=" ", B1298="NA",NOT(ISNUMBER(B1298))), "Unknown",B1298&lt;18,"Underage",B1298&lt;=24,"Young Adult",B1298&lt;=34,"Early Career",B1298&lt;=44,"Mid Career",B1298&lt;=54,"Mature",B1298&lt;=65,"Pre-Senior",B1298&gt;65,"Senior")</f>
        <v>Early Career</v>
      </c>
      <c r="D1298" s="1" t="s">
        <v>18</v>
      </c>
      <c r="E1298" s="1" t="s">
        <v>34</v>
      </c>
      <c r="F1298" s="1">
        <v>1550000</v>
      </c>
      <c r="G1298" s="1">
        <v>52</v>
      </c>
      <c r="H1298" s="1" t="str" cm="1">
        <f t="array" ref="H1298">_xlfn.IFS( OR(G1298=" ",NOT(ISNUMBER(G1298))),"Unknown",G1298&lt;=33,"Low Spender",G1298&lt;=66,"Medium Spender",TRUE, "High Spender")</f>
        <v>Medium Spender</v>
      </c>
      <c r="I1298" s="1">
        <v>62</v>
      </c>
      <c r="J1298" s="1">
        <v>2500</v>
      </c>
      <c r="K1298" s="1">
        <v>208</v>
      </c>
      <c r="M1298" s="1" t="s">
        <v>30</v>
      </c>
      <c r="N1298" s="1" t="str">
        <f t="shared" si="40"/>
        <v>Higher</v>
      </c>
      <c r="O1298" s="1" t="str">
        <f t="shared" si="41"/>
        <v>Early Career | Medium Spender | Higher</v>
      </c>
    </row>
    <row r="1299" spans="1:15" x14ac:dyDescent="0.25">
      <c r="A1299" s="1" t="s">
        <v>1329</v>
      </c>
      <c r="B1299" s="1">
        <v>48</v>
      </c>
      <c r="C1299" s="1" t="str" cm="1">
        <f t="array" ref="C1299">_xlfn.IFS(OR(B1299=" ", B1299="NA",NOT(ISNUMBER(B1299))), "Unknown",B1299&lt;18,"Underage",B1299&lt;=24,"Young Adult",B1299&lt;=34,"Early Career",B1299&lt;=44,"Mid Career",B1299&lt;=54,"Mature",B1299&lt;=65,"Pre-Senior",B1299&gt;65,"Senior")</f>
        <v>Mature</v>
      </c>
      <c r="D1299" s="1" t="s">
        <v>12</v>
      </c>
      <c r="E1299" s="1" t="s">
        <v>15</v>
      </c>
      <c r="F1299" s="1">
        <v>275000</v>
      </c>
      <c r="G1299" s="1">
        <v>29</v>
      </c>
      <c r="H1299" s="1" t="str" cm="1">
        <f t="array" ref="H1299">_xlfn.IFS( OR(G1299=" ",NOT(ISNUMBER(G1299))),"Unknown",G1299&lt;=33,"Low Spender",G1299&lt;=66,"Medium Spender",TRUE, "High Spender")</f>
        <v>Low Spender</v>
      </c>
      <c r="I1299" s="1">
        <v>23</v>
      </c>
      <c r="J1299" s="1">
        <v>7600</v>
      </c>
      <c r="K1299" s="1">
        <v>33</v>
      </c>
      <c r="L1299" s="1" t="s">
        <v>35</v>
      </c>
      <c r="N1299" s="1" t="str">
        <f t="shared" si="40"/>
        <v>Lower</v>
      </c>
      <c r="O1299" s="1" t="str">
        <f t="shared" si="41"/>
        <v>Mature | Low Spender | Lower</v>
      </c>
    </row>
    <row r="1300" spans="1:15" x14ac:dyDescent="0.25">
      <c r="A1300" s="1" t="s">
        <v>1330</v>
      </c>
      <c r="B1300" s="1">
        <v>64</v>
      </c>
      <c r="C1300" s="1" t="str" cm="1">
        <f t="array" ref="C1300">_xlfn.IFS(OR(B1300=" ", B1300="NA",NOT(ISNUMBER(B1300))), "Unknown",B1300&lt;18,"Underage",B1300&lt;=24,"Young Adult",B1300&lt;=34,"Early Career",B1300&lt;=44,"Mid Career",B1300&lt;=54,"Mature",B1300&lt;=65,"Pre-Senior",B1300&gt;65,"Senior")</f>
        <v>Pre-Senior</v>
      </c>
      <c r="D1300" s="1" t="s">
        <v>29</v>
      </c>
      <c r="F1300" s="1">
        <v>925000</v>
      </c>
      <c r="H1300" s="1" t="str" cm="1">
        <f t="array" ref="H1300">_xlfn.IFS( OR(G1300=" ",NOT(ISNUMBER(G1300))),"Unknown",G1300&lt;=33,"Low Spender",G1300&lt;=66,"Medium Spender",TRUE, "High Spender")</f>
        <v>Unknown</v>
      </c>
      <c r="I1300" s="1">
        <v>44</v>
      </c>
      <c r="J1300" s="1">
        <v>5900</v>
      </c>
      <c r="K1300" s="1">
        <v>24</v>
      </c>
      <c r="L1300" s="1" t="s">
        <v>20</v>
      </c>
      <c r="M1300" s="1" t="s">
        <v>32</v>
      </c>
      <c r="N1300" s="1" t="str">
        <f t="shared" si="40"/>
        <v>Higher</v>
      </c>
      <c r="O1300" s="1" t="str">
        <f t="shared" si="41"/>
        <v>Pre-Senior | Unknown | Higher</v>
      </c>
    </row>
    <row r="1301" spans="1:15" x14ac:dyDescent="0.25">
      <c r="A1301" s="1" t="s">
        <v>1331</v>
      </c>
      <c r="B1301" s="1">
        <v>53</v>
      </c>
      <c r="C1301" s="1" t="str" cm="1">
        <f t="array" ref="C1301">_xlfn.IFS(OR(B1301=" ", B1301="NA",NOT(ISNUMBER(B1301))), "Unknown",B1301&lt;18,"Underage",B1301&lt;=24,"Young Adult",B1301&lt;=34,"Early Career",B1301&lt;=44,"Mid Career",B1301&lt;=54,"Mature",B1301&lt;=65,"Pre-Senior",B1301&gt;65,"Senior")</f>
        <v>Mature</v>
      </c>
      <c r="D1301" s="1" t="s">
        <v>18</v>
      </c>
      <c r="E1301" s="1" t="s">
        <v>27</v>
      </c>
      <c r="F1301" s="1">
        <v>1975000</v>
      </c>
      <c r="G1301" s="1">
        <v>60</v>
      </c>
      <c r="H1301" s="1" t="str" cm="1">
        <f t="array" ref="H1301">_xlfn.IFS( OR(G1301=" ",NOT(ISNUMBER(G1301))),"Unknown",G1301&lt;=33,"Low Spender",G1301&lt;=66,"Medium Spender",TRUE, "High Spender")</f>
        <v>Medium Spender</v>
      </c>
      <c r="I1301" s="1">
        <v>52</v>
      </c>
      <c r="J1301" s="1">
        <v>11200</v>
      </c>
      <c r="K1301" s="1">
        <v>61</v>
      </c>
      <c r="M1301" s="1" t="s">
        <v>41</v>
      </c>
      <c r="N1301" s="1" t="str">
        <f t="shared" si="40"/>
        <v>Higher</v>
      </c>
      <c r="O1301" s="1" t="str">
        <f t="shared" si="41"/>
        <v>Mature | Medium Spender | Higher</v>
      </c>
    </row>
    <row r="1302" spans="1:15" x14ac:dyDescent="0.25">
      <c r="A1302" s="1" t="s">
        <v>1332</v>
      </c>
      <c r="B1302" s="1">
        <v>62</v>
      </c>
      <c r="C1302" s="1" t="str" cm="1">
        <f t="array" ref="C1302">_xlfn.IFS(OR(B1302=" ", B1302="NA",NOT(ISNUMBER(B1302))), "Unknown",B1302&lt;18,"Underage",B1302&lt;=24,"Young Adult",B1302&lt;=34,"Early Career",B1302&lt;=44,"Mid Career",B1302&lt;=54,"Mature",B1302&lt;=65,"Pre-Senior",B1302&gt;65,"Senior")</f>
        <v>Pre-Senior</v>
      </c>
      <c r="D1302" s="1" t="s">
        <v>29</v>
      </c>
      <c r="F1302" s="1">
        <v>575000</v>
      </c>
      <c r="G1302" s="1">
        <v>21</v>
      </c>
      <c r="H1302" s="1" t="str" cm="1">
        <f t="array" ref="H1302">_xlfn.IFS( OR(G1302=" ",NOT(ISNUMBER(G1302))),"Unknown",G1302&lt;=33,"Low Spender",G1302&lt;=66,"Medium Spender",TRUE, "High Spender")</f>
        <v>Low Spender</v>
      </c>
      <c r="I1302" s="1">
        <v>46</v>
      </c>
      <c r="J1302" s="1">
        <v>8100</v>
      </c>
      <c r="K1302" s="1">
        <v>311</v>
      </c>
      <c r="L1302" s="1" t="s">
        <v>37</v>
      </c>
      <c r="N1302" s="1" t="str">
        <f t="shared" si="40"/>
        <v>Higher</v>
      </c>
      <c r="O1302" s="1" t="str">
        <f t="shared" si="41"/>
        <v>Pre-Senior | Low Spender | Higher</v>
      </c>
    </row>
    <row r="1303" spans="1:15" x14ac:dyDescent="0.25">
      <c r="A1303" s="1" t="s">
        <v>1333</v>
      </c>
      <c r="B1303" s="1">
        <v>41</v>
      </c>
      <c r="C1303" s="1" t="str" cm="1">
        <f t="array" ref="C1303">_xlfn.IFS(OR(B1303=" ", B1303="NA",NOT(ISNUMBER(B1303))), "Unknown",B1303&lt;18,"Underage",B1303&lt;=24,"Young Adult",B1303&lt;=34,"Early Career",B1303&lt;=44,"Mid Career",B1303&lt;=54,"Mature",B1303&lt;=65,"Pre-Senior",B1303&gt;65,"Senior")</f>
        <v>Mid Career</v>
      </c>
      <c r="D1303" s="1" t="s">
        <v>29</v>
      </c>
      <c r="F1303" s="1">
        <v>1825000</v>
      </c>
      <c r="G1303" s="1">
        <v>17</v>
      </c>
      <c r="H1303" s="1" t="str" cm="1">
        <f t="array" ref="H1303">_xlfn.IFS( OR(G1303=" ",NOT(ISNUMBER(G1303))),"Unknown",G1303&lt;=33,"Low Spender",G1303&lt;=66,"Medium Spender",TRUE, "High Spender")</f>
        <v>Low Spender</v>
      </c>
      <c r="I1303" s="1">
        <v>19</v>
      </c>
      <c r="J1303" s="1">
        <v>2500</v>
      </c>
      <c r="K1303" s="1">
        <v>189</v>
      </c>
      <c r="L1303" s="1" t="s">
        <v>20</v>
      </c>
      <c r="N1303" s="1" t="str">
        <f t="shared" si="40"/>
        <v>Higher</v>
      </c>
      <c r="O1303" s="1" t="str">
        <f t="shared" si="41"/>
        <v>Mid Career | Low Spender | Higher</v>
      </c>
    </row>
    <row r="1304" spans="1:15" x14ac:dyDescent="0.25">
      <c r="A1304" s="1" t="s">
        <v>1334</v>
      </c>
      <c r="B1304" s="1">
        <v>69</v>
      </c>
      <c r="C1304" s="1" t="str" cm="1">
        <f t="array" ref="C1304">_xlfn.IFS(OR(B1304=" ", B1304="NA",NOT(ISNUMBER(B1304))), "Unknown",B1304&lt;18,"Underage",B1304&lt;=24,"Young Adult",B1304&lt;=34,"Early Career",B1304&lt;=44,"Mid Career",B1304&lt;=54,"Mature",B1304&lt;=65,"Pre-Senior",B1304&gt;65,"Senior")</f>
        <v>Senior</v>
      </c>
      <c r="D1304" s="1" t="s">
        <v>29</v>
      </c>
      <c r="F1304" s="1">
        <v>1950000</v>
      </c>
      <c r="G1304" s="1">
        <v>18</v>
      </c>
      <c r="H1304" s="1" t="str" cm="1">
        <f t="array" ref="H1304">_xlfn.IFS( OR(G1304=" ",NOT(ISNUMBER(G1304))),"Unknown",G1304&lt;=33,"Low Spender",G1304&lt;=66,"Medium Spender",TRUE, "High Spender")</f>
        <v>Low Spender</v>
      </c>
      <c r="I1304" s="1">
        <v>47</v>
      </c>
      <c r="J1304" s="1">
        <v>3800</v>
      </c>
      <c r="K1304" s="1">
        <v>84</v>
      </c>
      <c r="L1304" s="1" t="s">
        <v>20</v>
      </c>
      <c r="N1304" s="1" t="str">
        <f t="shared" si="40"/>
        <v>Higher</v>
      </c>
      <c r="O1304" s="1" t="str">
        <f t="shared" si="41"/>
        <v>Senior | Low Spender | Higher</v>
      </c>
    </row>
    <row r="1305" spans="1:15" x14ac:dyDescent="0.25">
      <c r="A1305" s="1" t="s">
        <v>1335</v>
      </c>
      <c r="B1305" s="1">
        <v>32</v>
      </c>
      <c r="C1305" s="1" t="str" cm="1">
        <f t="array" ref="C1305">_xlfn.IFS(OR(B1305=" ", B1305="NA",NOT(ISNUMBER(B1305))), "Unknown",B1305&lt;18,"Underage",B1305&lt;=24,"Young Adult",B1305&lt;=34,"Early Career",B1305&lt;=44,"Mid Career",B1305&lt;=54,"Mature",B1305&lt;=65,"Pre-Senior",B1305&gt;65,"Senior")</f>
        <v>Early Career</v>
      </c>
      <c r="D1305" s="1" t="s">
        <v>12</v>
      </c>
      <c r="E1305" s="1" t="s">
        <v>27</v>
      </c>
      <c r="F1305" s="1">
        <v>300000</v>
      </c>
      <c r="G1305" s="1">
        <v>57</v>
      </c>
      <c r="H1305" s="1" t="str" cm="1">
        <f t="array" ref="H1305">_xlfn.IFS( OR(G1305=" ",NOT(ISNUMBER(G1305))),"Unknown",G1305&lt;=33,"Low Spender",G1305&lt;=66,"Medium Spender",TRUE, "High Spender")</f>
        <v>Medium Spender</v>
      </c>
      <c r="I1305" s="1">
        <v>52</v>
      </c>
      <c r="J1305" s="1">
        <v>5900</v>
      </c>
      <c r="K1305" s="1">
        <v>225</v>
      </c>
      <c r="L1305" s="1" t="s">
        <v>16</v>
      </c>
      <c r="N1305" s="1" t="str">
        <f t="shared" si="40"/>
        <v>Lower</v>
      </c>
      <c r="O1305" s="1" t="str">
        <f t="shared" si="41"/>
        <v>Early Career | Medium Spender | Lower</v>
      </c>
    </row>
    <row r="1306" spans="1:15" x14ac:dyDescent="0.25">
      <c r="A1306" s="1" t="s">
        <v>1336</v>
      </c>
      <c r="B1306" s="1">
        <v>46</v>
      </c>
      <c r="C1306" s="1" t="str" cm="1">
        <f t="array" ref="C1306">_xlfn.IFS(OR(B1306=" ", B1306="NA",NOT(ISNUMBER(B1306))), "Unknown",B1306&lt;18,"Underage",B1306&lt;=24,"Young Adult",B1306&lt;=34,"Early Career",B1306&lt;=44,"Mid Career",B1306&lt;=54,"Mature",B1306&lt;=65,"Pre-Senior",B1306&gt;65,"Senior")</f>
        <v>Mature</v>
      </c>
      <c r="D1306" s="1" t="s">
        <v>18</v>
      </c>
      <c r="F1306" s="1">
        <v>325000</v>
      </c>
      <c r="G1306" s="1">
        <v>37</v>
      </c>
      <c r="H1306" s="1" t="str" cm="1">
        <f t="array" ref="H1306">_xlfn.IFS( OR(G1306=" ",NOT(ISNUMBER(G1306))),"Unknown",G1306&lt;=33,"Low Spender",G1306&lt;=66,"Medium Spender",TRUE, "High Spender")</f>
        <v>Medium Spender</v>
      </c>
      <c r="I1306" s="1">
        <v>24</v>
      </c>
      <c r="J1306" s="1">
        <v>300</v>
      </c>
      <c r="K1306" s="1">
        <v>168</v>
      </c>
      <c r="L1306" s="1" t="s">
        <v>37</v>
      </c>
      <c r="M1306" s="1" t="s">
        <v>30</v>
      </c>
      <c r="N1306" s="1" t="str">
        <f t="shared" si="40"/>
        <v>Higher</v>
      </c>
      <c r="O1306" s="1" t="str">
        <f t="shared" si="41"/>
        <v>Mature | Medium Spender | Higher</v>
      </c>
    </row>
    <row r="1307" spans="1:15" x14ac:dyDescent="0.25">
      <c r="A1307" s="1" t="s">
        <v>1337</v>
      </c>
      <c r="B1307" s="1">
        <v>25</v>
      </c>
      <c r="C1307" s="1" t="str" cm="1">
        <f t="array" ref="C1307">_xlfn.IFS(OR(B1307=" ", B1307="NA",NOT(ISNUMBER(B1307))), "Unknown",B1307&lt;18,"Underage",B1307&lt;=24,"Young Adult",B1307&lt;=34,"Early Career",B1307&lt;=44,"Mid Career",B1307&lt;=54,"Mature",B1307&lt;=65,"Pre-Senior",B1307&gt;65,"Senior")</f>
        <v>Early Career</v>
      </c>
      <c r="D1307" s="1" t="s">
        <v>29</v>
      </c>
      <c r="F1307" s="1">
        <v>1725000</v>
      </c>
      <c r="G1307" s="1">
        <v>60</v>
      </c>
      <c r="H1307" s="1" t="str" cm="1">
        <f t="array" ref="H1307">_xlfn.IFS( OR(G1307=" ",NOT(ISNUMBER(G1307))),"Unknown",G1307&lt;=33,"Low Spender",G1307&lt;=66,"Medium Spender",TRUE, "High Spender")</f>
        <v>Medium Spender</v>
      </c>
      <c r="I1307" s="1">
        <v>17</v>
      </c>
      <c r="J1307" s="1">
        <v>7400</v>
      </c>
      <c r="K1307" s="1">
        <v>186</v>
      </c>
      <c r="L1307" s="1" t="s">
        <v>35</v>
      </c>
      <c r="M1307" s="1" t="s">
        <v>21</v>
      </c>
      <c r="N1307" s="1" t="str">
        <f t="shared" si="40"/>
        <v>Higher</v>
      </c>
      <c r="O1307" s="1" t="str">
        <f t="shared" si="41"/>
        <v>Early Career | Medium Spender | Higher</v>
      </c>
    </row>
    <row r="1308" spans="1:15" x14ac:dyDescent="0.25">
      <c r="A1308" s="1" t="s">
        <v>1338</v>
      </c>
      <c r="B1308" s="1">
        <v>22</v>
      </c>
      <c r="C1308" s="1" t="str" cm="1">
        <f t="array" ref="C1308">_xlfn.IFS(OR(B1308=" ", B1308="NA",NOT(ISNUMBER(B1308))), "Unknown",B1308&lt;18,"Underage",B1308&lt;=24,"Young Adult",B1308&lt;=34,"Early Career",B1308&lt;=44,"Mid Career",B1308&lt;=54,"Mature",B1308&lt;=65,"Pre-Senior",B1308&gt;65,"Senior")</f>
        <v>Young Adult</v>
      </c>
      <c r="F1308" s="1">
        <v>300000</v>
      </c>
      <c r="G1308" s="1">
        <v>38</v>
      </c>
      <c r="H1308" s="1" t="str" cm="1">
        <f t="array" ref="H1308">_xlfn.IFS( OR(G1308=" ",NOT(ISNUMBER(G1308))),"Unknown",G1308&lt;=33,"Low Spender",G1308&lt;=66,"Medium Spender",TRUE, "High Spender")</f>
        <v>Medium Spender</v>
      </c>
      <c r="I1308" s="1">
        <v>46</v>
      </c>
      <c r="J1308" s="1">
        <v>500</v>
      </c>
      <c r="K1308" s="1">
        <v>72</v>
      </c>
      <c r="L1308" s="1" t="s">
        <v>16</v>
      </c>
      <c r="M1308" s="1" t="s">
        <v>21</v>
      </c>
      <c r="N1308" s="1" t="str">
        <f t="shared" si="40"/>
        <v>Lower</v>
      </c>
      <c r="O1308" s="1" t="str">
        <f t="shared" si="41"/>
        <v>Young Adult | Medium Spender | Lower</v>
      </c>
    </row>
    <row r="1309" spans="1:15" x14ac:dyDescent="0.25">
      <c r="A1309" s="1" t="s">
        <v>1339</v>
      </c>
      <c r="B1309" s="1">
        <v>46</v>
      </c>
      <c r="C1309" s="1" t="str" cm="1">
        <f t="array" ref="C1309">_xlfn.IFS(OR(B1309=" ", B1309="NA",NOT(ISNUMBER(B1309))), "Unknown",B1309&lt;18,"Underage",B1309&lt;=24,"Young Adult",B1309&lt;=34,"Early Career",B1309&lt;=44,"Mid Career",B1309&lt;=54,"Mature",B1309&lt;=65,"Pre-Senior",B1309&gt;65,"Senior")</f>
        <v>Mature</v>
      </c>
      <c r="D1309" s="1" t="s">
        <v>18</v>
      </c>
      <c r="F1309" s="1">
        <v>1150000</v>
      </c>
      <c r="G1309" s="1">
        <v>12</v>
      </c>
      <c r="H1309" s="1" t="str" cm="1">
        <f t="array" ref="H1309">_xlfn.IFS( OR(G1309=" ",NOT(ISNUMBER(G1309))),"Unknown",G1309&lt;=33,"Low Spender",G1309&lt;=66,"Medium Spender",TRUE, "High Spender")</f>
        <v>Low Spender</v>
      </c>
      <c r="I1309" s="1">
        <v>64</v>
      </c>
      <c r="J1309" s="1">
        <v>1600</v>
      </c>
      <c r="K1309" s="1">
        <v>74</v>
      </c>
      <c r="L1309" s="1" t="s">
        <v>16</v>
      </c>
      <c r="M1309" s="1" t="s">
        <v>21</v>
      </c>
      <c r="N1309" s="1" t="str">
        <f t="shared" si="40"/>
        <v>Higher</v>
      </c>
      <c r="O1309" s="1" t="str">
        <f t="shared" si="41"/>
        <v>Mature | Low Spender | Higher</v>
      </c>
    </row>
    <row r="1310" spans="1:15" x14ac:dyDescent="0.25">
      <c r="A1310" s="1" t="s">
        <v>1340</v>
      </c>
      <c r="B1310" s="1">
        <v>64</v>
      </c>
      <c r="C1310" s="1" t="str" cm="1">
        <f t="array" ref="C1310">_xlfn.IFS(OR(B1310=" ", B1310="NA",NOT(ISNUMBER(B1310))), "Unknown",B1310&lt;18,"Underage",B1310&lt;=24,"Young Adult",B1310&lt;=34,"Early Career",B1310&lt;=44,"Mid Career",B1310&lt;=54,"Mature",B1310&lt;=65,"Pre-Senior",B1310&gt;65,"Senior")</f>
        <v>Pre-Senior</v>
      </c>
      <c r="D1310" s="1" t="s">
        <v>18</v>
      </c>
      <c r="E1310" s="1" t="s">
        <v>23</v>
      </c>
      <c r="F1310" s="1">
        <v>1125000</v>
      </c>
      <c r="G1310" s="1">
        <v>75</v>
      </c>
      <c r="H1310" s="1" t="str" cm="1">
        <f t="array" ref="H1310">_xlfn.IFS( OR(G1310=" ",NOT(ISNUMBER(G1310))),"Unknown",G1310&lt;=33,"Low Spender",G1310&lt;=66,"Medium Spender",TRUE, "High Spender")</f>
        <v>High Spender</v>
      </c>
      <c r="I1310" s="1">
        <v>28</v>
      </c>
      <c r="J1310" s="1">
        <v>8300</v>
      </c>
      <c r="K1310" s="1">
        <v>341</v>
      </c>
      <c r="M1310" s="1" t="s">
        <v>30</v>
      </c>
      <c r="N1310" s="1" t="str">
        <f t="shared" si="40"/>
        <v>Higher</v>
      </c>
      <c r="O1310" s="1" t="str">
        <f t="shared" si="41"/>
        <v>Pre-Senior | High Spender | Higher</v>
      </c>
    </row>
    <row r="1311" spans="1:15" x14ac:dyDescent="0.25">
      <c r="A1311" s="1" t="s">
        <v>1341</v>
      </c>
      <c r="B1311" s="1">
        <v>21</v>
      </c>
      <c r="C1311" s="1" t="str" cm="1">
        <f t="array" ref="C1311">_xlfn.IFS(OR(B1311=" ", B1311="NA",NOT(ISNUMBER(B1311))), "Unknown",B1311&lt;18,"Underage",B1311&lt;=24,"Young Adult",B1311&lt;=34,"Early Career",B1311&lt;=44,"Mid Career",B1311&lt;=54,"Mature",B1311&lt;=65,"Pre-Senior",B1311&gt;65,"Senior")</f>
        <v>Young Adult</v>
      </c>
      <c r="E1311" s="1" t="s">
        <v>34</v>
      </c>
      <c r="F1311" s="1">
        <v>200000</v>
      </c>
      <c r="G1311" s="1">
        <v>84</v>
      </c>
      <c r="H1311" s="1" t="str" cm="1">
        <f t="array" ref="H1311">_xlfn.IFS( OR(G1311=" ",NOT(ISNUMBER(G1311))),"Unknown",G1311&lt;=33,"Low Spender",G1311&lt;=66,"Medium Spender",TRUE, "High Spender")</f>
        <v>High Spender</v>
      </c>
      <c r="I1311" s="1">
        <v>50</v>
      </c>
      <c r="J1311" s="1">
        <v>3600</v>
      </c>
      <c r="K1311" s="1">
        <v>153</v>
      </c>
      <c r="L1311" s="1" t="s">
        <v>35</v>
      </c>
      <c r="M1311" s="1" t="s">
        <v>21</v>
      </c>
      <c r="N1311" s="1" t="str">
        <f t="shared" si="40"/>
        <v>Lower</v>
      </c>
      <c r="O1311" s="1" t="str">
        <f t="shared" si="41"/>
        <v>Young Adult | High Spender | Lower</v>
      </c>
    </row>
    <row r="1312" spans="1:15" x14ac:dyDescent="0.25">
      <c r="A1312" s="1" t="s">
        <v>1342</v>
      </c>
      <c r="B1312" s="1">
        <v>29</v>
      </c>
      <c r="C1312" s="1" t="str" cm="1">
        <f t="array" ref="C1312">_xlfn.IFS(OR(B1312=" ", B1312="NA",NOT(ISNUMBER(B1312))), "Unknown",B1312&lt;18,"Underage",B1312&lt;=24,"Young Adult",B1312&lt;=34,"Early Career",B1312&lt;=44,"Mid Career",B1312&lt;=54,"Mature",B1312&lt;=65,"Pre-Senior",B1312&gt;65,"Senior")</f>
        <v>Early Career</v>
      </c>
      <c r="D1312" s="1" t="s">
        <v>29</v>
      </c>
      <c r="F1312" s="1">
        <v>550000</v>
      </c>
      <c r="G1312" s="1">
        <v>73</v>
      </c>
      <c r="H1312" s="1" t="str" cm="1">
        <f t="array" ref="H1312">_xlfn.IFS( OR(G1312=" ",NOT(ISNUMBER(G1312))),"Unknown",G1312&lt;=33,"Low Spender",G1312&lt;=66,"Medium Spender",TRUE, "High Spender")</f>
        <v>High Spender</v>
      </c>
      <c r="I1312" s="1">
        <v>64</v>
      </c>
      <c r="J1312" s="1">
        <v>11300</v>
      </c>
      <c r="K1312" s="1">
        <v>96</v>
      </c>
      <c r="L1312" s="1" t="s">
        <v>20</v>
      </c>
      <c r="N1312" s="1" t="str">
        <f t="shared" si="40"/>
        <v>Higher</v>
      </c>
      <c r="O1312" s="1" t="str">
        <f t="shared" si="41"/>
        <v>Early Career | High Spender | Higher</v>
      </c>
    </row>
    <row r="1313" spans="1:15" x14ac:dyDescent="0.25">
      <c r="A1313" s="1" t="s">
        <v>1343</v>
      </c>
      <c r="B1313" s="1">
        <v>62</v>
      </c>
      <c r="C1313" s="1" t="str" cm="1">
        <f t="array" ref="C1313">_xlfn.IFS(OR(B1313=" ", B1313="NA",NOT(ISNUMBER(B1313))), "Unknown",B1313&lt;18,"Underage",B1313&lt;=24,"Young Adult",B1313&lt;=34,"Early Career",B1313&lt;=44,"Mid Career",B1313&lt;=54,"Mature",B1313&lt;=65,"Pre-Senior",B1313&gt;65,"Senior")</f>
        <v>Pre-Senior</v>
      </c>
      <c r="D1313" s="1" t="s">
        <v>18</v>
      </c>
      <c r="E1313" s="1" t="s">
        <v>27</v>
      </c>
      <c r="F1313" s="1">
        <v>1775000</v>
      </c>
      <c r="G1313" s="1">
        <v>1</v>
      </c>
      <c r="H1313" s="1" t="str" cm="1">
        <f t="array" ref="H1313">_xlfn.IFS( OR(G1313=" ",NOT(ISNUMBER(G1313))),"Unknown",G1313&lt;=33,"Low Spender",G1313&lt;=66,"Medium Spender",TRUE, "High Spender")</f>
        <v>Low Spender</v>
      </c>
      <c r="I1313" s="1">
        <v>28</v>
      </c>
      <c r="J1313" s="1">
        <v>7200</v>
      </c>
      <c r="K1313" s="1">
        <v>53</v>
      </c>
      <c r="M1313" s="1" t="s">
        <v>32</v>
      </c>
      <c r="N1313" s="1" t="str">
        <f t="shared" si="40"/>
        <v>Higher</v>
      </c>
      <c r="O1313" s="1" t="str">
        <f t="shared" si="41"/>
        <v>Pre-Senior | Low Spender | Higher</v>
      </c>
    </row>
    <row r="1314" spans="1:15" x14ac:dyDescent="0.25">
      <c r="A1314" s="1" t="s">
        <v>1344</v>
      </c>
      <c r="B1314" s="1">
        <v>19</v>
      </c>
      <c r="C1314" s="1" t="str" cm="1">
        <f t="array" ref="C1314">_xlfn.IFS(OR(B1314=" ", B1314="NA",NOT(ISNUMBER(B1314))), "Unknown",B1314&lt;18,"Underage",B1314&lt;=24,"Young Adult",B1314&lt;=34,"Early Career",B1314&lt;=44,"Mid Career",B1314&lt;=54,"Mature",B1314&lt;=65,"Pre-Senior",B1314&gt;65,"Senior")</f>
        <v>Young Adult</v>
      </c>
      <c r="D1314" s="1" t="s">
        <v>29</v>
      </c>
      <c r="E1314" s="1" t="s">
        <v>15</v>
      </c>
      <c r="F1314" s="1">
        <v>1425000</v>
      </c>
      <c r="G1314" s="1">
        <v>58</v>
      </c>
      <c r="H1314" s="1" t="str" cm="1">
        <f t="array" ref="H1314">_xlfn.IFS( OR(G1314=" ",NOT(ISNUMBER(G1314))),"Unknown",G1314&lt;=33,"Low Spender",G1314&lt;=66,"Medium Spender",TRUE, "High Spender")</f>
        <v>Medium Spender</v>
      </c>
      <c r="I1314" s="1">
        <v>56</v>
      </c>
      <c r="J1314" s="1">
        <v>7100</v>
      </c>
      <c r="K1314" s="1">
        <v>174</v>
      </c>
      <c r="L1314" s="1" t="s">
        <v>20</v>
      </c>
      <c r="M1314" s="1" t="s">
        <v>32</v>
      </c>
      <c r="N1314" s="1" t="str">
        <f t="shared" si="40"/>
        <v>Higher</v>
      </c>
      <c r="O1314" s="1" t="str">
        <f t="shared" si="41"/>
        <v>Young Adult | Medium Spender | Higher</v>
      </c>
    </row>
    <row r="1315" spans="1:15" x14ac:dyDescent="0.25">
      <c r="A1315" s="1" t="s">
        <v>1345</v>
      </c>
      <c r="B1315" s="1">
        <v>44</v>
      </c>
      <c r="C1315" s="1" t="str" cm="1">
        <f t="array" ref="C1315">_xlfn.IFS(OR(B1315=" ", B1315="NA",NOT(ISNUMBER(B1315))), "Unknown",B1315&lt;18,"Underage",B1315&lt;=24,"Young Adult",B1315&lt;=34,"Early Career",B1315&lt;=44,"Mid Career",B1315&lt;=54,"Mature",B1315&lt;=65,"Pre-Senior",B1315&gt;65,"Senior")</f>
        <v>Mid Career</v>
      </c>
      <c r="D1315" s="1" t="s">
        <v>18</v>
      </c>
      <c r="E1315" s="1" t="s">
        <v>23</v>
      </c>
      <c r="F1315" s="1">
        <v>675000</v>
      </c>
      <c r="G1315" s="1">
        <v>3</v>
      </c>
      <c r="H1315" s="1" t="str" cm="1">
        <f t="array" ref="H1315">_xlfn.IFS( OR(G1315=" ",NOT(ISNUMBER(G1315))),"Unknown",G1315&lt;=33,"Low Spender",G1315&lt;=66,"Medium Spender",TRUE, "High Spender")</f>
        <v>Low Spender</v>
      </c>
      <c r="I1315" s="1">
        <v>59</v>
      </c>
      <c r="J1315" s="1">
        <v>11200</v>
      </c>
      <c r="K1315" s="1">
        <v>110</v>
      </c>
      <c r="L1315" s="1" t="s">
        <v>20</v>
      </c>
      <c r="M1315" s="1" t="s">
        <v>32</v>
      </c>
      <c r="N1315" s="1" t="str">
        <f t="shared" si="40"/>
        <v>Higher</v>
      </c>
      <c r="O1315" s="1" t="str">
        <f t="shared" si="41"/>
        <v>Mid Career | Low Spender | Higher</v>
      </c>
    </row>
    <row r="1316" spans="1:15" x14ac:dyDescent="0.25">
      <c r="A1316" s="1" t="s">
        <v>1346</v>
      </c>
      <c r="B1316" s="1">
        <v>48</v>
      </c>
      <c r="C1316" s="1" t="str" cm="1">
        <f t="array" ref="C1316">_xlfn.IFS(OR(B1316=" ", B1316="NA",NOT(ISNUMBER(B1316))), "Unknown",B1316&lt;18,"Underage",B1316&lt;=24,"Young Adult",B1316&lt;=34,"Early Career",B1316&lt;=44,"Mid Career",B1316&lt;=54,"Mature",B1316&lt;=65,"Pre-Senior",B1316&gt;65,"Senior")</f>
        <v>Mature</v>
      </c>
      <c r="D1316" s="1" t="s">
        <v>29</v>
      </c>
      <c r="E1316" s="1" t="s">
        <v>23</v>
      </c>
      <c r="F1316" s="1">
        <v>225000</v>
      </c>
      <c r="G1316" s="1">
        <v>63</v>
      </c>
      <c r="H1316" s="1" t="str" cm="1">
        <f t="array" ref="H1316">_xlfn.IFS( OR(G1316=" ",NOT(ISNUMBER(G1316))),"Unknown",G1316&lt;=33,"Low Spender",G1316&lt;=66,"Medium Spender",TRUE, "High Spender")</f>
        <v>Medium Spender</v>
      </c>
      <c r="I1316" s="1">
        <v>5</v>
      </c>
      <c r="J1316" s="1">
        <v>5300</v>
      </c>
      <c r="K1316" s="1">
        <v>316</v>
      </c>
      <c r="M1316" s="1" t="s">
        <v>21</v>
      </c>
      <c r="N1316" s="1" t="str">
        <f t="shared" si="40"/>
        <v>Higher</v>
      </c>
      <c r="O1316" s="1" t="str">
        <f t="shared" si="41"/>
        <v>Mature | Medium Spender | Higher</v>
      </c>
    </row>
    <row r="1317" spans="1:15" x14ac:dyDescent="0.25">
      <c r="A1317" s="1" t="s">
        <v>1347</v>
      </c>
      <c r="B1317" s="1">
        <v>68</v>
      </c>
      <c r="C1317" s="1" t="str" cm="1">
        <f t="array" ref="C1317">_xlfn.IFS(OR(B1317=" ", B1317="NA",NOT(ISNUMBER(B1317))), "Unknown",B1317&lt;18,"Underage",B1317&lt;=24,"Young Adult",B1317&lt;=34,"Early Career",B1317&lt;=44,"Mid Career",B1317&lt;=54,"Mature",B1317&lt;=65,"Pre-Senior",B1317&gt;65,"Senior")</f>
        <v>Senior</v>
      </c>
      <c r="D1317" s="1" t="s">
        <v>18</v>
      </c>
      <c r="E1317" s="1" t="s">
        <v>15</v>
      </c>
      <c r="F1317" s="1">
        <v>275000</v>
      </c>
      <c r="G1317" s="1">
        <v>21</v>
      </c>
      <c r="H1317" s="1" t="str" cm="1">
        <f t="array" ref="H1317">_xlfn.IFS( OR(G1317=" ",NOT(ISNUMBER(G1317))),"Unknown",G1317&lt;=33,"Low Spender",G1317&lt;=66,"Medium Spender",TRUE, "High Spender")</f>
        <v>Low Spender</v>
      </c>
      <c r="I1317" s="1">
        <v>54</v>
      </c>
      <c r="J1317" s="1">
        <v>10700</v>
      </c>
      <c r="K1317" s="1">
        <v>51</v>
      </c>
      <c r="L1317" s="1" t="s">
        <v>20</v>
      </c>
      <c r="M1317" s="1" t="s">
        <v>32</v>
      </c>
      <c r="N1317" s="1" t="str">
        <f t="shared" si="40"/>
        <v>Higher</v>
      </c>
      <c r="O1317" s="1" t="str">
        <f t="shared" si="41"/>
        <v>Senior | Low Spender | Higher</v>
      </c>
    </row>
    <row r="1318" spans="1:15" x14ac:dyDescent="0.25">
      <c r="A1318" s="1" t="s">
        <v>1348</v>
      </c>
      <c r="B1318" s="1">
        <v>68</v>
      </c>
      <c r="C1318" s="1" t="str" cm="1">
        <f t="array" ref="C1318">_xlfn.IFS(OR(B1318=" ", B1318="NA",NOT(ISNUMBER(B1318))), "Unknown",B1318&lt;18,"Underage",B1318&lt;=24,"Young Adult",B1318&lt;=34,"Early Career",B1318&lt;=44,"Mid Career",B1318&lt;=54,"Mature",B1318&lt;=65,"Pre-Senior",B1318&gt;65,"Senior")</f>
        <v>Senior</v>
      </c>
      <c r="E1318" s="1" t="s">
        <v>19</v>
      </c>
      <c r="F1318" s="1">
        <v>1075000</v>
      </c>
      <c r="G1318" s="1">
        <v>23</v>
      </c>
      <c r="H1318" s="1" t="str" cm="1">
        <f t="array" ref="H1318">_xlfn.IFS( OR(G1318=" ",NOT(ISNUMBER(G1318))),"Unknown",G1318&lt;=33,"Low Spender",G1318&lt;=66,"Medium Spender",TRUE, "High Spender")</f>
        <v>Low Spender</v>
      </c>
      <c r="I1318" s="1">
        <v>44</v>
      </c>
      <c r="J1318" s="1">
        <v>10600</v>
      </c>
      <c r="K1318" s="1">
        <v>253</v>
      </c>
      <c r="L1318" s="1" t="s">
        <v>37</v>
      </c>
      <c r="N1318" s="1" t="str">
        <f t="shared" si="40"/>
        <v>Lower</v>
      </c>
      <c r="O1318" s="1" t="str">
        <f t="shared" si="41"/>
        <v>Senior | Low Spender | Lower</v>
      </c>
    </row>
    <row r="1319" spans="1:15" x14ac:dyDescent="0.25">
      <c r="A1319" s="1" t="s">
        <v>1349</v>
      </c>
      <c r="B1319" s="1">
        <v>53</v>
      </c>
      <c r="C1319" s="1" t="str" cm="1">
        <f t="array" ref="C1319">_xlfn.IFS(OR(B1319=" ", B1319="NA",NOT(ISNUMBER(B1319))), "Unknown",B1319&lt;18,"Underage",B1319&lt;=24,"Young Adult",B1319&lt;=34,"Early Career",B1319&lt;=44,"Mid Career",B1319&lt;=54,"Mature",B1319&lt;=65,"Pre-Senior",B1319&gt;65,"Senior")</f>
        <v>Mature</v>
      </c>
      <c r="D1319" s="1" t="s">
        <v>29</v>
      </c>
      <c r="E1319" s="1" t="s">
        <v>13</v>
      </c>
      <c r="F1319" s="1">
        <v>775000</v>
      </c>
      <c r="G1319" s="1">
        <v>9</v>
      </c>
      <c r="H1319" s="1" t="str" cm="1">
        <f t="array" ref="H1319">_xlfn.IFS( OR(G1319=" ",NOT(ISNUMBER(G1319))),"Unknown",G1319&lt;=33,"Low Spender",G1319&lt;=66,"Medium Spender",TRUE, "High Spender")</f>
        <v>Low Spender</v>
      </c>
      <c r="I1319" s="1">
        <v>42</v>
      </c>
      <c r="J1319" s="1">
        <v>3100</v>
      </c>
      <c r="K1319" s="1">
        <v>73</v>
      </c>
      <c r="L1319" s="1" t="s">
        <v>20</v>
      </c>
      <c r="M1319" s="1" t="s">
        <v>21</v>
      </c>
      <c r="N1319" s="1" t="str">
        <f t="shared" si="40"/>
        <v>Higher</v>
      </c>
      <c r="O1319" s="1" t="str">
        <f t="shared" si="41"/>
        <v>Mature | Low Spender | Higher</v>
      </c>
    </row>
    <row r="1320" spans="1:15" x14ac:dyDescent="0.25">
      <c r="A1320" s="1" t="s">
        <v>1350</v>
      </c>
      <c r="B1320" s="1">
        <v>53</v>
      </c>
      <c r="C1320" s="1" t="str" cm="1">
        <f t="array" ref="C1320">_xlfn.IFS(OR(B1320=" ", B1320="NA",NOT(ISNUMBER(B1320))), "Unknown",B1320&lt;18,"Underage",B1320&lt;=24,"Young Adult",B1320&lt;=34,"Early Career",B1320&lt;=44,"Mid Career",B1320&lt;=54,"Mature",B1320&lt;=65,"Pre-Senior",B1320&gt;65,"Senior")</f>
        <v>Mature</v>
      </c>
      <c r="D1320" s="1" t="s">
        <v>18</v>
      </c>
      <c r="E1320" s="1" t="s">
        <v>34</v>
      </c>
      <c r="F1320" s="1">
        <v>400000</v>
      </c>
      <c r="G1320" s="1">
        <v>83</v>
      </c>
      <c r="H1320" s="1" t="str" cm="1">
        <f t="array" ref="H1320">_xlfn.IFS( OR(G1320=" ",NOT(ISNUMBER(G1320))),"Unknown",G1320&lt;=33,"Low Spender",G1320&lt;=66,"Medium Spender",TRUE, "High Spender")</f>
        <v>High Spender</v>
      </c>
      <c r="I1320" s="1">
        <v>72</v>
      </c>
      <c r="J1320" s="1">
        <v>10100</v>
      </c>
      <c r="K1320" s="1">
        <v>212</v>
      </c>
      <c r="L1320" s="1" t="s">
        <v>20</v>
      </c>
      <c r="N1320" s="1" t="str">
        <f t="shared" si="40"/>
        <v>Higher</v>
      </c>
      <c r="O1320" s="1" t="str">
        <f t="shared" si="41"/>
        <v>Mature | High Spender | Higher</v>
      </c>
    </row>
    <row r="1321" spans="1:15" x14ac:dyDescent="0.25">
      <c r="A1321" s="1" t="s">
        <v>1351</v>
      </c>
      <c r="B1321" s="1">
        <v>43</v>
      </c>
      <c r="C1321" s="1" t="str" cm="1">
        <f t="array" ref="C1321">_xlfn.IFS(OR(B1321=" ", B1321="NA",NOT(ISNUMBER(B1321))), "Unknown",B1321&lt;18,"Underage",B1321&lt;=24,"Young Adult",B1321&lt;=34,"Early Career",B1321&lt;=44,"Mid Career",B1321&lt;=54,"Mature",B1321&lt;=65,"Pre-Senior",B1321&gt;65,"Senior")</f>
        <v>Mid Career</v>
      </c>
      <c r="D1321" s="1" t="s">
        <v>29</v>
      </c>
      <c r="E1321" s="1" t="s">
        <v>34</v>
      </c>
      <c r="F1321" s="1">
        <v>550000</v>
      </c>
      <c r="G1321" s="1">
        <v>55</v>
      </c>
      <c r="H1321" s="1" t="str" cm="1">
        <f t="array" ref="H1321">_xlfn.IFS( OR(G1321=" ",NOT(ISNUMBER(G1321))),"Unknown",G1321&lt;=33,"Low Spender",G1321&lt;=66,"Medium Spender",TRUE, "High Spender")</f>
        <v>Medium Spender</v>
      </c>
      <c r="I1321" s="1">
        <v>57</v>
      </c>
      <c r="J1321" s="1">
        <v>8400</v>
      </c>
      <c r="K1321" s="1">
        <v>212</v>
      </c>
      <c r="L1321" s="1" t="s">
        <v>37</v>
      </c>
      <c r="N1321" s="1" t="str">
        <f t="shared" si="40"/>
        <v>Higher</v>
      </c>
      <c r="O1321" s="1" t="str">
        <f t="shared" si="41"/>
        <v>Mid Career | Medium Spender | Higher</v>
      </c>
    </row>
    <row r="1322" spans="1:15" x14ac:dyDescent="0.25">
      <c r="A1322" s="1" t="s">
        <v>1352</v>
      </c>
      <c r="B1322" s="1">
        <v>60</v>
      </c>
      <c r="C1322" s="1" t="str" cm="1">
        <f t="array" ref="C1322">_xlfn.IFS(OR(B1322=" ", B1322="NA",NOT(ISNUMBER(B1322))), "Unknown",B1322&lt;18,"Underage",B1322&lt;=24,"Young Adult",B1322&lt;=34,"Early Career",B1322&lt;=44,"Mid Career",B1322&lt;=54,"Mature",B1322&lt;=65,"Pre-Senior",B1322&gt;65,"Senior")</f>
        <v>Pre-Senior</v>
      </c>
      <c r="D1322" s="1" t="s">
        <v>12</v>
      </c>
      <c r="E1322" s="1" t="s">
        <v>19</v>
      </c>
      <c r="F1322" s="1">
        <v>900000</v>
      </c>
      <c r="G1322" s="1">
        <v>19</v>
      </c>
      <c r="H1322" s="1" t="str" cm="1">
        <f t="array" ref="H1322">_xlfn.IFS( OR(G1322=" ",NOT(ISNUMBER(G1322))),"Unknown",G1322&lt;=33,"Low Spender",G1322&lt;=66,"Medium Spender",TRUE, "High Spender")</f>
        <v>Low Spender</v>
      </c>
      <c r="I1322" s="1">
        <v>47</v>
      </c>
      <c r="J1322" s="1">
        <v>10600</v>
      </c>
      <c r="K1322" s="1">
        <v>251</v>
      </c>
      <c r="N1322" s="1" t="str">
        <f t="shared" si="40"/>
        <v>Lower</v>
      </c>
      <c r="O1322" s="1" t="str">
        <f t="shared" si="41"/>
        <v>Pre-Senior | Low Spender | Lower</v>
      </c>
    </row>
    <row r="1323" spans="1:15" x14ac:dyDescent="0.25">
      <c r="A1323" s="1" t="s">
        <v>1353</v>
      </c>
      <c r="B1323" s="1">
        <v>44</v>
      </c>
      <c r="C1323" s="1" t="str" cm="1">
        <f t="array" ref="C1323">_xlfn.IFS(OR(B1323=" ", B1323="NA",NOT(ISNUMBER(B1323))), "Unknown",B1323&lt;18,"Underage",B1323&lt;=24,"Young Adult",B1323&lt;=34,"Early Career",B1323&lt;=44,"Mid Career",B1323&lt;=54,"Mature",B1323&lt;=65,"Pre-Senior",B1323&gt;65,"Senior")</f>
        <v>Mid Career</v>
      </c>
      <c r="D1323" s="1" t="s">
        <v>29</v>
      </c>
      <c r="E1323" s="1" t="s">
        <v>13</v>
      </c>
      <c r="F1323" s="1" t="s">
        <v>25</v>
      </c>
      <c r="G1323" s="1">
        <v>62</v>
      </c>
      <c r="H1323" s="1" t="str" cm="1">
        <f t="array" ref="H1323">_xlfn.IFS( OR(G1323=" ",NOT(ISNUMBER(G1323))),"Unknown",G1323&lt;=33,"Low Spender",G1323&lt;=66,"Medium Spender",TRUE, "High Spender")</f>
        <v>Medium Spender</v>
      </c>
      <c r="I1323" s="1">
        <v>76</v>
      </c>
      <c r="J1323" s="1">
        <v>5000</v>
      </c>
      <c r="K1323" s="1">
        <v>168</v>
      </c>
      <c r="L1323" s="1" t="s">
        <v>16</v>
      </c>
      <c r="N1323" s="1" t="str">
        <f t="shared" si="40"/>
        <v>Higher</v>
      </c>
      <c r="O1323" s="1" t="str">
        <f t="shared" si="41"/>
        <v>Mid Career | Medium Spender | Higher</v>
      </c>
    </row>
    <row r="1324" spans="1:15" x14ac:dyDescent="0.25">
      <c r="A1324" s="1" t="s">
        <v>1354</v>
      </c>
      <c r="B1324" s="1">
        <v>22</v>
      </c>
      <c r="C1324" s="1" t="str" cm="1">
        <f t="array" ref="C1324">_xlfn.IFS(OR(B1324=" ", B1324="NA",NOT(ISNUMBER(B1324))), "Unknown",B1324&lt;18,"Underage",B1324&lt;=24,"Young Adult",B1324&lt;=34,"Early Career",B1324&lt;=44,"Mid Career",B1324&lt;=54,"Mature",B1324&lt;=65,"Pre-Senior",B1324&gt;65,"Senior")</f>
        <v>Young Adult</v>
      </c>
      <c r="D1324" s="1" t="s">
        <v>18</v>
      </c>
      <c r="E1324" s="1" t="s">
        <v>34</v>
      </c>
      <c r="F1324" s="1">
        <v>1000000</v>
      </c>
      <c r="G1324" s="1">
        <v>87</v>
      </c>
      <c r="H1324" s="1" t="str" cm="1">
        <f t="array" ref="H1324">_xlfn.IFS( OR(G1324=" ",NOT(ISNUMBER(G1324))),"Unknown",G1324&lt;=33,"Low Spender",G1324&lt;=66,"Medium Spender",TRUE, "High Spender")</f>
        <v>High Spender</v>
      </c>
      <c r="I1324" s="1">
        <v>25</v>
      </c>
      <c r="J1324" s="1">
        <v>9600</v>
      </c>
      <c r="K1324" s="1">
        <v>263</v>
      </c>
      <c r="L1324" s="1" t="s">
        <v>35</v>
      </c>
      <c r="M1324" s="1" t="s">
        <v>30</v>
      </c>
      <c r="N1324" s="1" t="str">
        <f t="shared" si="40"/>
        <v>Higher</v>
      </c>
      <c r="O1324" s="1" t="str">
        <f t="shared" si="41"/>
        <v>Young Adult | High Spender | Higher</v>
      </c>
    </row>
    <row r="1325" spans="1:15" x14ac:dyDescent="0.25">
      <c r="A1325" s="1" t="s">
        <v>1355</v>
      </c>
      <c r="B1325" s="1">
        <v>37</v>
      </c>
      <c r="C1325" s="1" t="str" cm="1">
        <f t="array" ref="C1325">_xlfn.IFS(OR(B1325=" ", B1325="NA",NOT(ISNUMBER(B1325))), "Unknown",B1325&lt;18,"Underage",B1325&lt;=24,"Young Adult",B1325&lt;=34,"Early Career",B1325&lt;=44,"Mid Career",B1325&lt;=54,"Mature",B1325&lt;=65,"Pre-Senior",B1325&gt;65,"Senior")</f>
        <v>Mid Career</v>
      </c>
      <c r="D1325" s="1" t="s">
        <v>29</v>
      </c>
      <c r="E1325" s="1" t="s">
        <v>27</v>
      </c>
      <c r="F1325" s="1">
        <v>525000</v>
      </c>
      <c r="G1325" s="1">
        <v>91</v>
      </c>
      <c r="H1325" s="1" t="str" cm="1">
        <f t="array" ref="H1325">_xlfn.IFS( OR(G1325=" ",NOT(ISNUMBER(G1325))),"Unknown",G1325&lt;=33,"Low Spender",G1325&lt;=66,"Medium Spender",TRUE, "High Spender")</f>
        <v>High Spender</v>
      </c>
      <c r="I1325" s="1">
        <v>44</v>
      </c>
      <c r="J1325" s="1">
        <v>8100</v>
      </c>
      <c r="K1325" s="1">
        <v>331</v>
      </c>
      <c r="M1325" s="1" t="s">
        <v>30</v>
      </c>
      <c r="N1325" s="1" t="str">
        <f t="shared" si="40"/>
        <v>Higher</v>
      </c>
      <c r="O1325" s="1" t="str">
        <f t="shared" si="41"/>
        <v>Mid Career | High Spender | Higher</v>
      </c>
    </row>
    <row r="1326" spans="1:15" x14ac:dyDescent="0.25">
      <c r="A1326" s="1" t="s">
        <v>1356</v>
      </c>
      <c r="B1326" s="1">
        <v>28</v>
      </c>
      <c r="C1326" s="1" t="str" cm="1">
        <f t="array" ref="C1326">_xlfn.IFS(OR(B1326=" ", B1326="NA",NOT(ISNUMBER(B1326))), "Unknown",B1326&lt;18,"Underage",B1326&lt;=24,"Young Adult",B1326&lt;=34,"Early Career",B1326&lt;=44,"Mid Career",B1326&lt;=54,"Mature",B1326&lt;=65,"Pre-Senior",B1326&gt;65,"Senior")</f>
        <v>Early Career</v>
      </c>
      <c r="E1326" s="1" t="s">
        <v>49</v>
      </c>
      <c r="F1326" s="1">
        <v>575000</v>
      </c>
      <c r="G1326" s="1">
        <v>91</v>
      </c>
      <c r="H1326" s="1" t="str" cm="1">
        <f t="array" ref="H1326">_xlfn.IFS( OR(G1326=" ",NOT(ISNUMBER(G1326))),"Unknown",G1326&lt;=33,"Low Spender",G1326&lt;=66,"Medium Spender",TRUE, "High Spender")</f>
        <v>High Spender</v>
      </c>
      <c r="I1326" s="1">
        <v>15</v>
      </c>
      <c r="J1326" s="1">
        <v>11900</v>
      </c>
      <c r="K1326" s="1">
        <v>230</v>
      </c>
      <c r="L1326" s="1" t="s">
        <v>20</v>
      </c>
      <c r="N1326" s="1" t="str">
        <f t="shared" si="40"/>
        <v>Lower</v>
      </c>
      <c r="O1326" s="1" t="str">
        <f t="shared" si="41"/>
        <v>Early Career | High Spender | Lower</v>
      </c>
    </row>
    <row r="1327" spans="1:15" x14ac:dyDescent="0.25">
      <c r="A1327" s="1" t="s">
        <v>1357</v>
      </c>
      <c r="B1327" s="1">
        <v>27</v>
      </c>
      <c r="C1327" s="1" t="str" cm="1">
        <f t="array" ref="C1327">_xlfn.IFS(OR(B1327=" ", B1327="NA",NOT(ISNUMBER(B1327))), "Unknown",B1327&lt;18,"Underage",B1327&lt;=24,"Young Adult",B1327&lt;=34,"Early Career",B1327&lt;=44,"Mid Career",B1327&lt;=54,"Mature",B1327&lt;=65,"Pre-Senior",B1327&gt;65,"Senior")</f>
        <v>Early Career</v>
      </c>
      <c r="E1327" s="1" t="s">
        <v>49</v>
      </c>
      <c r="F1327" s="1">
        <v>1675000</v>
      </c>
      <c r="G1327" s="1">
        <v>39</v>
      </c>
      <c r="H1327" s="1" t="str" cm="1">
        <f t="array" ref="H1327">_xlfn.IFS( OR(G1327=" ",NOT(ISNUMBER(G1327))),"Unknown",G1327&lt;=33,"Low Spender",G1327&lt;=66,"Medium Spender",TRUE, "High Spender")</f>
        <v>Medium Spender</v>
      </c>
      <c r="I1327" s="1">
        <v>51</v>
      </c>
      <c r="J1327" s="1">
        <v>8100</v>
      </c>
      <c r="K1327" s="1">
        <v>239</v>
      </c>
      <c r="L1327" s="1" t="s">
        <v>16</v>
      </c>
      <c r="M1327" s="1" t="s">
        <v>41</v>
      </c>
      <c r="N1327" s="1" t="str">
        <f t="shared" si="40"/>
        <v>Lower</v>
      </c>
      <c r="O1327" s="1" t="str">
        <f t="shared" si="41"/>
        <v>Early Career | Medium Spender | Lower</v>
      </c>
    </row>
    <row r="1328" spans="1:15" x14ac:dyDescent="0.25">
      <c r="A1328" s="1" t="s">
        <v>1358</v>
      </c>
      <c r="B1328" s="1">
        <v>57</v>
      </c>
      <c r="C1328" s="1" t="str" cm="1">
        <f t="array" ref="C1328">_xlfn.IFS(OR(B1328=" ", B1328="NA",NOT(ISNUMBER(B1328))), "Unknown",B1328&lt;18,"Underage",B1328&lt;=24,"Young Adult",B1328&lt;=34,"Early Career",B1328&lt;=44,"Mid Career",B1328&lt;=54,"Mature",B1328&lt;=65,"Pre-Senior",B1328&gt;65,"Senior")</f>
        <v>Pre-Senior</v>
      </c>
      <c r="E1328" s="1" t="s">
        <v>34</v>
      </c>
      <c r="F1328" s="1">
        <v>800000</v>
      </c>
      <c r="G1328" s="1">
        <v>100</v>
      </c>
      <c r="H1328" s="1" t="str" cm="1">
        <f t="array" ref="H1328">_xlfn.IFS( OR(G1328=" ",NOT(ISNUMBER(G1328))),"Unknown",G1328&lt;=33,"Low Spender",G1328&lt;=66,"Medium Spender",TRUE, "High Spender")</f>
        <v>High Spender</v>
      </c>
      <c r="I1328" s="1">
        <v>53</v>
      </c>
      <c r="J1328" s="1">
        <v>1800</v>
      </c>
      <c r="K1328" s="1">
        <v>275</v>
      </c>
      <c r="L1328" s="1" t="s">
        <v>35</v>
      </c>
      <c r="N1328" s="1" t="str">
        <f t="shared" si="40"/>
        <v>Lower</v>
      </c>
      <c r="O1328" s="1" t="str">
        <f t="shared" si="41"/>
        <v>Pre-Senior | High Spender | Lower</v>
      </c>
    </row>
    <row r="1329" spans="1:15" x14ac:dyDescent="0.25">
      <c r="A1329" s="1" t="s">
        <v>1359</v>
      </c>
      <c r="B1329" s="1">
        <v>55</v>
      </c>
      <c r="C1329" s="1" t="str" cm="1">
        <f t="array" ref="C1329">_xlfn.IFS(OR(B1329=" ", B1329="NA",NOT(ISNUMBER(B1329))), "Unknown",B1329&lt;18,"Underage",B1329&lt;=24,"Young Adult",B1329&lt;=34,"Early Career",B1329&lt;=44,"Mid Career",B1329&lt;=54,"Mature",B1329&lt;=65,"Pre-Senior",B1329&gt;65,"Senior")</f>
        <v>Pre-Senior</v>
      </c>
      <c r="E1329" s="1" t="s">
        <v>58</v>
      </c>
      <c r="F1329" s="1">
        <v>1000000</v>
      </c>
      <c r="G1329" s="1">
        <v>76</v>
      </c>
      <c r="H1329" s="1" t="str" cm="1">
        <f t="array" ref="H1329">_xlfn.IFS( OR(G1329=" ",NOT(ISNUMBER(G1329))),"Unknown",G1329&lt;=33,"Low Spender",G1329&lt;=66,"Medium Spender",TRUE, "High Spender")</f>
        <v>High Spender</v>
      </c>
      <c r="I1329" s="1">
        <v>34</v>
      </c>
      <c r="J1329" s="1">
        <v>5900</v>
      </c>
      <c r="K1329" s="1">
        <v>143</v>
      </c>
      <c r="L1329" s="1" t="s">
        <v>35</v>
      </c>
      <c r="M1329" s="1" t="s">
        <v>21</v>
      </c>
      <c r="N1329" s="1" t="str">
        <f t="shared" si="40"/>
        <v>Lower</v>
      </c>
      <c r="O1329" s="1" t="str">
        <f t="shared" si="41"/>
        <v>Pre-Senior | High Spender | Lower</v>
      </c>
    </row>
    <row r="1330" spans="1:15" x14ac:dyDescent="0.25">
      <c r="A1330" s="1" t="s">
        <v>1360</v>
      </c>
      <c r="B1330" s="1">
        <v>23</v>
      </c>
      <c r="C1330" s="1" t="str" cm="1">
        <f t="array" ref="C1330">_xlfn.IFS(OR(B1330=" ", B1330="NA",NOT(ISNUMBER(B1330))), "Unknown",B1330&lt;18,"Underage",B1330&lt;=24,"Young Adult",B1330&lt;=34,"Early Career",B1330&lt;=44,"Mid Career",B1330&lt;=54,"Mature",B1330&lt;=65,"Pre-Senior",B1330&gt;65,"Senior")</f>
        <v>Young Adult</v>
      </c>
      <c r="D1330" s="1" t="s">
        <v>18</v>
      </c>
      <c r="E1330" s="1" t="s">
        <v>34</v>
      </c>
      <c r="F1330" s="1">
        <v>1250000</v>
      </c>
      <c r="G1330" s="1">
        <v>27</v>
      </c>
      <c r="H1330" s="1" t="str" cm="1">
        <f t="array" ref="H1330">_xlfn.IFS( OR(G1330=" ",NOT(ISNUMBER(G1330))),"Unknown",G1330&lt;=33,"Low Spender",G1330&lt;=66,"Medium Spender",TRUE, "High Spender")</f>
        <v>Low Spender</v>
      </c>
      <c r="I1330" s="1">
        <v>77</v>
      </c>
      <c r="J1330" s="1">
        <v>9900</v>
      </c>
      <c r="K1330" s="1">
        <v>70</v>
      </c>
      <c r="L1330" s="1" t="s">
        <v>35</v>
      </c>
      <c r="M1330" s="1" t="s">
        <v>41</v>
      </c>
      <c r="N1330" s="1" t="str">
        <f t="shared" si="40"/>
        <v>Higher</v>
      </c>
      <c r="O1330" s="1" t="str">
        <f t="shared" si="41"/>
        <v>Young Adult | Low Spender | Higher</v>
      </c>
    </row>
    <row r="1331" spans="1:15" x14ac:dyDescent="0.25">
      <c r="A1331" s="1" t="s">
        <v>1361</v>
      </c>
      <c r="B1331" s="1">
        <v>25</v>
      </c>
      <c r="C1331" s="1" t="str" cm="1">
        <f t="array" ref="C1331">_xlfn.IFS(OR(B1331=" ", B1331="NA",NOT(ISNUMBER(B1331))), "Unknown",B1331&lt;18,"Underage",B1331&lt;=24,"Young Adult",B1331&lt;=34,"Early Career",B1331&lt;=44,"Mid Career",B1331&lt;=54,"Mature",B1331&lt;=65,"Pre-Senior",B1331&gt;65,"Senior")</f>
        <v>Early Career</v>
      </c>
      <c r="D1331" s="1" t="s">
        <v>18</v>
      </c>
      <c r="E1331" s="1" t="s">
        <v>15</v>
      </c>
      <c r="F1331" s="1">
        <v>1000000</v>
      </c>
      <c r="G1331" s="1">
        <v>46</v>
      </c>
      <c r="H1331" s="1" t="str" cm="1">
        <f t="array" ref="H1331">_xlfn.IFS( OR(G1331=" ",NOT(ISNUMBER(G1331))),"Unknown",G1331&lt;=33,"Low Spender",G1331&lt;=66,"Medium Spender",TRUE, "High Spender")</f>
        <v>Medium Spender</v>
      </c>
      <c r="I1331" s="1">
        <v>8</v>
      </c>
      <c r="J1331" s="1">
        <v>1200</v>
      </c>
      <c r="K1331" s="1">
        <v>312</v>
      </c>
      <c r="L1331" s="1" t="s">
        <v>37</v>
      </c>
      <c r="N1331" s="1" t="str">
        <f t="shared" si="40"/>
        <v>Higher</v>
      </c>
      <c r="O1331" s="1" t="str">
        <f t="shared" si="41"/>
        <v>Early Career | Medium Spender | Higher</v>
      </c>
    </row>
    <row r="1332" spans="1:15" x14ac:dyDescent="0.25">
      <c r="A1332" s="1" t="s">
        <v>1362</v>
      </c>
      <c r="B1332" s="1">
        <v>40</v>
      </c>
      <c r="C1332" s="1" t="str" cm="1">
        <f t="array" ref="C1332">_xlfn.IFS(OR(B1332=" ", B1332="NA",NOT(ISNUMBER(B1332))), "Unknown",B1332&lt;18,"Underage",B1332&lt;=24,"Young Adult",B1332&lt;=34,"Early Career",B1332&lt;=44,"Mid Career",B1332&lt;=54,"Mature",B1332&lt;=65,"Pre-Senior",B1332&gt;65,"Senior")</f>
        <v>Mid Career</v>
      </c>
      <c r="E1332" s="1" t="s">
        <v>15</v>
      </c>
      <c r="F1332" s="1">
        <v>825000</v>
      </c>
      <c r="G1332" s="1">
        <v>34</v>
      </c>
      <c r="H1332" s="1" t="str" cm="1">
        <f t="array" ref="H1332">_xlfn.IFS( OR(G1332=" ",NOT(ISNUMBER(G1332))),"Unknown",G1332&lt;=33,"Low Spender",G1332&lt;=66,"Medium Spender",TRUE, "High Spender")</f>
        <v>Medium Spender</v>
      </c>
      <c r="I1332" s="1">
        <v>77</v>
      </c>
      <c r="J1332" s="1">
        <v>2100</v>
      </c>
      <c r="K1332" s="1">
        <v>174</v>
      </c>
      <c r="L1332" s="1" t="s">
        <v>37</v>
      </c>
      <c r="M1332" s="1" t="s">
        <v>21</v>
      </c>
      <c r="N1332" s="1" t="str">
        <f t="shared" si="40"/>
        <v>Lower</v>
      </c>
      <c r="O1332" s="1" t="str">
        <f t="shared" si="41"/>
        <v>Mid Career | Medium Spender | Lower</v>
      </c>
    </row>
    <row r="1333" spans="1:15" x14ac:dyDescent="0.25">
      <c r="A1333" s="1" t="s">
        <v>1363</v>
      </c>
      <c r="B1333" s="1">
        <v>64</v>
      </c>
      <c r="C1333" s="1" t="str" cm="1">
        <f t="array" ref="C1333">_xlfn.IFS(OR(B1333=" ", B1333="NA",NOT(ISNUMBER(B1333))), "Unknown",B1333&lt;18,"Underage",B1333&lt;=24,"Young Adult",B1333&lt;=34,"Early Career",B1333&lt;=44,"Mid Career",B1333&lt;=54,"Mature",B1333&lt;=65,"Pre-Senior",B1333&gt;65,"Senior")</f>
        <v>Pre-Senior</v>
      </c>
      <c r="D1333" s="1" t="s">
        <v>18</v>
      </c>
      <c r="E1333" s="1" t="s">
        <v>13</v>
      </c>
      <c r="F1333" s="1">
        <v>350000</v>
      </c>
      <c r="G1333" s="1">
        <v>33</v>
      </c>
      <c r="H1333" s="1" t="str" cm="1">
        <f t="array" ref="H1333">_xlfn.IFS( OR(G1333=" ",NOT(ISNUMBER(G1333))),"Unknown",G1333&lt;=33,"Low Spender",G1333&lt;=66,"Medium Spender",TRUE, "High Spender")</f>
        <v>Low Spender</v>
      </c>
      <c r="I1333" s="1">
        <v>70</v>
      </c>
      <c r="J1333" s="1">
        <v>10300</v>
      </c>
      <c r="K1333" s="1">
        <v>336</v>
      </c>
      <c r="L1333" s="1" t="s">
        <v>16</v>
      </c>
      <c r="N1333" s="1" t="str">
        <f t="shared" si="40"/>
        <v>Higher</v>
      </c>
      <c r="O1333" s="1" t="str">
        <f t="shared" si="41"/>
        <v>Pre-Senior | Low Spender | Higher</v>
      </c>
    </row>
    <row r="1334" spans="1:15" x14ac:dyDescent="0.25">
      <c r="A1334" s="1" t="s">
        <v>1364</v>
      </c>
      <c r="B1334" s="1">
        <v>43</v>
      </c>
      <c r="C1334" s="1" t="str" cm="1">
        <f t="array" ref="C1334">_xlfn.IFS(OR(B1334=" ", B1334="NA",NOT(ISNUMBER(B1334))), "Unknown",B1334&lt;18,"Underage",B1334&lt;=24,"Young Adult",B1334&lt;=34,"Early Career",B1334&lt;=44,"Mid Career",B1334&lt;=54,"Mature",B1334&lt;=65,"Pre-Senior",B1334&gt;65,"Senior")</f>
        <v>Mid Career</v>
      </c>
      <c r="D1334" s="1" t="s">
        <v>18</v>
      </c>
      <c r="G1334" s="1">
        <v>92</v>
      </c>
      <c r="H1334" s="1" t="str" cm="1">
        <f t="array" ref="H1334">_xlfn.IFS( OR(G1334=" ",NOT(ISNUMBER(G1334))),"Unknown",G1334&lt;=33,"Low Spender",G1334&lt;=66,"Medium Spender",TRUE, "High Spender")</f>
        <v>High Spender</v>
      </c>
      <c r="I1334" s="1">
        <v>21</v>
      </c>
      <c r="J1334" s="1">
        <v>11600</v>
      </c>
      <c r="K1334" s="1">
        <v>109</v>
      </c>
      <c r="L1334" s="1" t="s">
        <v>20</v>
      </c>
      <c r="N1334" s="1" t="str">
        <f t="shared" si="40"/>
        <v>Higher</v>
      </c>
      <c r="O1334" s="1" t="str">
        <f t="shared" si="41"/>
        <v>Mid Career | High Spender | Higher</v>
      </c>
    </row>
    <row r="1335" spans="1:15" x14ac:dyDescent="0.25">
      <c r="A1335" s="1" t="s">
        <v>1365</v>
      </c>
      <c r="B1335" s="1">
        <v>63</v>
      </c>
      <c r="C1335" s="1" t="str" cm="1">
        <f t="array" ref="C1335">_xlfn.IFS(OR(B1335=" ", B1335="NA",NOT(ISNUMBER(B1335))), "Unknown",B1335&lt;18,"Underage",B1335&lt;=24,"Young Adult",B1335&lt;=34,"Early Career",B1335&lt;=44,"Mid Career",B1335&lt;=54,"Mature",B1335&lt;=65,"Pre-Senior",B1335&gt;65,"Senior")</f>
        <v>Pre-Senior</v>
      </c>
      <c r="D1335" s="1" t="s">
        <v>29</v>
      </c>
      <c r="E1335" s="1" t="s">
        <v>23</v>
      </c>
      <c r="F1335" s="1">
        <v>500000</v>
      </c>
      <c r="G1335" s="1">
        <v>95</v>
      </c>
      <c r="H1335" s="1" t="str" cm="1">
        <f t="array" ref="H1335">_xlfn.IFS( OR(G1335=" ",NOT(ISNUMBER(G1335))),"Unknown",G1335&lt;=33,"Low Spender",G1335&lt;=66,"Medium Spender",TRUE, "High Spender")</f>
        <v>High Spender</v>
      </c>
      <c r="I1335" s="1">
        <v>7</v>
      </c>
      <c r="J1335" s="1">
        <v>6900</v>
      </c>
      <c r="K1335" s="1">
        <v>203</v>
      </c>
      <c r="L1335" s="1" t="s">
        <v>16</v>
      </c>
      <c r="M1335" s="1" t="s">
        <v>21</v>
      </c>
      <c r="N1335" s="1" t="str">
        <f t="shared" si="40"/>
        <v>Higher</v>
      </c>
      <c r="O1335" s="1" t="str">
        <f t="shared" si="41"/>
        <v>Pre-Senior | High Spender | Higher</v>
      </c>
    </row>
    <row r="1336" spans="1:15" x14ac:dyDescent="0.25">
      <c r="A1336" s="1" t="s">
        <v>1366</v>
      </c>
      <c r="B1336" s="1">
        <v>60</v>
      </c>
      <c r="C1336" s="1" t="str" cm="1">
        <f t="array" ref="C1336">_xlfn.IFS(OR(B1336=" ", B1336="NA",NOT(ISNUMBER(B1336))), "Unknown",B1336&lt;18,"Underage",B1336&lt;=24,"Young Adult",B1336&lt;=34,"Early Career",B1336&lt;=44,"Mid Career",B1336&lt;=54,"Mature",B1336&lt;=65,"Pre-Senior",B1336&gt;65,"Senior")</f>
        <v>Pre-Senior</v>
      </c>
      <c r="D1336" s="1" t="s">
        <v>12</v>
      </c>
      <c r="E1336" s="1" t="s">
        <v>27</v>
      </c>
      <c r="F1336" s="1">
        <v>650000</v>
      </c>
      <c r="G1336" s="1">
        <v>96</v>
      </c>
      <c r="H1336" s="1" t="str" cm="1">
        <f t="array" ref="H1336">_xlfn.IFS( OR(G1336=" ",NOT(ISNUMBER(G1336))),"Unknown",G1336&lt;=33,"Low Spender",G1336&lt;=66,"Medium Spender",TRUE, "High Spender")</f>
        <v>High Spender</v>
      </c>
      <c r="I1336" s="1">
        <v>79</v>
      </c>
      <c r="J1336" s="1">
        <v>3800</v>
      </c>
      <c r="K1336" s="1">
        <v>185</v>
      </c>
      <c r="L1336" s="1" t="s">
        <v>20</v>
      </c>
      <c r="N1336" s="1" t="str">
        <f t="shared" si="40"/>
        <v>Lower</v>
      </c>
      <c r="O1336" s="1" t="str">
        <f t="shared" si="41"/>
        <v>Pre-Senior | High Spender | Lower</v>
      </c>
    </row>
    <row r="1337" spans="1:15" x14ac:dyDescent="0.25">
      <c r="A1337" s="1" t="s">
        <v>1367</v>
      </c>
      <c r="B1337" s="1">
        <v>29</v>
      </c>
      <c r="C1337" s="1" t="str" cm="1">
        <f t="array" ref="C1337">_xlfn.IFS(OR(B1337=" ", B1337="NA",NOT(ISNUMBER(B1337))), "Unknown",B1337&lt;18,"Underage",B1337&lt;=24,"Young Adult",B1337&lt;=34,"Early Career",B1337&lt;=44,"Mid Career",B1337&lt;=54,"Mature",B1337&lt;=65,"Pre-Senior",B1337&gt;65,"Senior")</f>
        <v>Early Career</v>
      </c>
      <c r="D1337" s="1" t="s">
        <v>29</v>
      </c>
      <c r="E1337" s="1" t="s">
        <v>19</v>
      </c>
      <c r="F1337" s="1">
        <v>1425000</v>
      </c>
      <c r="G1337" s="1">
        <v>50</v>
      </c>
      <c r="H1337" s="1" t="str" cm="1">
        <f t="array" ref="H1337">_xlfn.IFS( OR(G1337=" ",NOT(ISNUMBER(G1337))),"Unknown",G1337&lt;=33,"Low Spender",G1337&lt;=66,"Medium Spender",TRUE, "High Spender")</f>
        <v>Medium Spender</v>
      </c>
      <c r="I1337" s="1">
        <v>56</v>
      </c>
      <c r="J1337" s="1">
        <v>600</v>
      </c>
      <c r="K1337" s="1">
        <v>291</v>
      </c>
      <c r="N1337" s="1" t="str">
        <f t="shared" si="40"/>
        <v>Higher</v>
      </c>
      <c r="O1337" s="1" t="str">
        <f t="shared" si="41"/>
        <v>Early Career | Medium Spender | Higher</v>
      </c>
    </row>
    <row r="1338" spans="1:15" x14ac:dyDescent="0.25">
      <c r="A1338" s="1" t="s">
        <v>1368</v>
      </c>
      <c r="B1338" s="1">
        <v>43</v>
      </c>
      <c r="C1338" s="1" t="str" cm="1">
        <f t="array" ref="C1338">_xlfn.IFS(OR(B1338=" ", B1338="NA",NOT(ISNUMBER(B1338))), "Unknown",B1338&lt;18,"Underage",B1338&lt;=24,"Young Adult",B1338&lt;=34,"Early Career",B1338&lt;=44,"Mid Career",B1338&lt;=54,"Mature",B1338&lt;=65,"Pre-Senior",B1338&gt;65,"Senior")</f>
        <v>Mid Career</v>
      </c>
      <c r="D1338" s="1" t="s">
        <v>12</v>
      </c>
      <c r="E1338" s="1" t="s">
        <v>34</v>
      </c>
      <c r="F1338" s="1">
        <v>1000000</v>
      </c>
      <c r="G1338" s="1">
        <v>20</v>
      </c>
      <c r="H1338" s="1" t="str" cm="1">
        <f t="array" ref="H1338">_xlfn.IFS( OR(G1338=" ",NOT(ISNUMBER(G1338))),"Unknown",G1338&lt;=33,"Low Spender",G1338&lt;=66,"Medium Spender",TRUE, "High Spender")</f>
        <v>Low Spender</v>
      </c>
      <c r="I1338" s="1">
        <v>49</v>
      </c>
      <c r="J1338" s="1">
        <v>7700</v>
      </c>
      <c r="K1338" s="1">
        <v>328</v>
      </c>
      <c r="L1338" s="1" t="s">
        <v>35</v>
      </c>
      <c r="N1338" s="1" t="str">
        <f t="shared" si="40"/>
        <v>Lower</v>
      </c>
      <c r="O1338" s="1" t="str">
        <f t="shared" si="41"/>
        <v>Mid Career | Low Spender | Lower</v>
      </c>
    </row>
    <row r="1339" spans="1:15" x14ac:dyDescent="0.25">
      <c r="A1339" s="1" t="s">
        <v>1369</v>
      </c>
      <c r="B1339" s="1">
        <v>30</v>
      </c>
      <c r="C1339" s="1" t="str" cm="1">
        <f t="array" ref="C1339">_xlfn.IFS(OR(B1339=" ", B1339="NA",NOT(ISNUMBER(B1339))), "Unknown",B1339&lt;18,"Underage",B1339&lt;=24,"Young Adult",B1339&lt;=34,"Early Career",B1339&lt;=44,"Mid Career",B1339&lt;=54,"Mature",B1339&lt;=65,"Pre-Senior",B1339&gt;65,"Senior")</f>
        <v>Early Career</v>
      </c>
      <c r="D1339" s="1" t="s">
        <v>18</v>
      </c>
      <c r="F1339" s="1">
        <v>1400000</v>
      </c>
      <c r="G1339" s="1">
        <v>40</v>
      </c>
      <c r="H1339" s="1" t="str" cm="1">
        <f t="array" ref="H1339">_xlfn.IFS( OR(G1339=" ",NOT(ISNUMBER(G1339))),"Unknown",G1339&lt;=33,"Low Spender",G1339&lt;=66,"Medium Spender",TRUE, "High Spender")</f>
        <v>Medium Spender</v>
      </c>
      <c r="I1339" s="1">
        <v>42</v>
      </c>
      <c r="J1339" s="1">
        <v>10700</v>
      </c>
      <c r="K1339" s="1">
        <v>92</v>
      </c>
      <c r="L1339" s="1" t="s">
        <v>35</v>
      </c>
      <c r="M1339" s="1" t="s">
        <v>30</v>
      </c>
      <c r="N1339" s="1" t="str">
        <f t="shared" si="40"/>
        <v>Higher</v>
      </c>
      <c r="O1339" s="1" t="str">
        <f t="shared" si="41"/>
        <v>Early Career | Medium Spender | Higher</v>
      </c>
    </row>
    <row r="1340" spans="1:15" x14ac:dyDescent="0.25">
      <c r="A1340" s="1" t="s">
        <v>1370</v>
      </c>
      <c r="B1340" s="1">
        <v>57</v>
      </c>
      <c r="C1340" s="1" t="str" cm="1">
        <f t="array" ref="C1340">_xlfn.IFS(OR(B1340=" ", B1340="NA",NOT(ISNUMBER(B1340))), "Unknown",B1340&lt;18,"Underage",B1340&lt;=24,"Young Adult",B1340&lt;=34,"Early Career",B1340&lt;=44,"Mid Career",B1340&lt;=54,"Mature",B1340&lt;=65,"Pre-Senior",B1340&gt;65,"Senior")</f>
        <v>Pre-Senior</v>
      </c>
      <c r="D1340" s="1" t="s">
        <v>29</v>
      </c>
      <c r="F1340" s="1">
        <v>1500000</v>
      </c>
      <c r="G1340" s="1">
        <v>99</v>
      </c>
      <c r="H1340" s="1" t="str" cm="1">
        <f t="array" ref="H1340">_xlfn.IFS( OR(G1340=" ",NOT(ISNUMBER(G1340))),"Unknown",G1340&lt;=33,"Low Spender",G1340&lt;=66,"Medium Spender",TRUE, "High Spender")</f>
        <v>High Spender</v>
      </c>
      <c r="I1340" s="1">
        <v>23</v>
      </c>
      <c r="J1340" s="1">
        <v>3500</v>
      </c>
      <c r="K1340" s="1">
        <v>259</v>
      </c>
      <c r="L1340" s="1" t="s">
        <v>37</v>
      </c>
      <c r="M1340" s="1" t="s">
        <v>32</v>
      </c>
      <c r="N1340" s="1" t="str">
        <f t="shared" si="40"/>
        <v>Higher</v>
      </c>
      <c r="O1340" s="1" t="str">
        <f t="shared" si="41"/>
        <v>Pre-Senior | High Spender | Higher</v>
      </c>
    </row>
    <row r="1341" spans="1:15" x14ac:dyDescent="0.25">
      <c r="A1341" s="1" t="s">
        <v>1371</v>
      </c>
      <c r="B1341" s="1">
        <v>35</v>
      </c>
      <c r="C1341" s="1" t="str" cm="1">
        <f t="array" ref="C1341">_xlfn.IFS(OR(B1341=" ", B1341="NA",NOT(ISNUMBER(B1341))), "Unknown",B1341&lt;18,"Underage",B1341&lt;=24,"Young Adult",B1341&lt;=34,"Early Career",B1341&lt;=44,"Mid Career",B1341&lt;=54,"Mature",B1341&lt;=65,"Pre-Senior",B1341&gt;65,"Senior")</f>
        <v>Mid Career</v>
      </c>
      <c r="D1341" s="1" t="s">
        <v>29</v>
      </c>
      <c r="E1341" s="1" t="s">
        <v>27</v>
      </c>
      <c r="F1341" s="1" t="s">
        <v>25</v>
      </c>
      <c r="G1341" s="1">
        <v>95</v>
      </c>
      <c r="H1341" s="1" t="str" cm="1">
        <f t="array" ref="H1341">_xlfn.IFS( OR(G1341=" ",NOT(ISNUMBER(G1341))),"Unknown",G1341&lt;=33,"Low Spender",G1341&lt;=66,"Medium Spender",TRUE, "High Spender")</f>
        <v>High Spender</v>
      </c>
      <c r="I1341" s="1">
        <v>52</v>
      </c>
      <c r="J1341" s="1">
        <v>3000</v>
      </c>
      <c r="K1341" s="1">
        <v>322</v>
      </c>
      <c r="N1341" s="1" t="str">
        <f t="shared" si="40"/>
        <v>Higher</v>
      </c>
      <c r="O1341" s="1" t="str">
        <f t="shared" si="41"/>
        <v>Mid Career | High Spender | Higher</v>
      </c>
    </row>
    <row r="1342" spans="1:15" x14ac:dyDescent="0.25">
      <c r="A1342" s="1" t="s">
        <v>1372</v>
      </c>
      <c r="B1342" s="1">
        <v>42</v>
      </c>
      <c r="C1342" s="1" t="str" cm="1">
        <f t="array" ref="C1342">_xlfn.IFS(OR(B1342=" ", B1342="NA",NOT(ISNUMBER(B1342))), "Unknown",B1342&lt;18,"Underage",B1342&lt;=24,"Young Adult",B1342&lt;=34,"Early Career",B1342&lt;=44,"Mid Career",B1342&lt;=54,"Mature",B1342&lt;=65,"Pre-Senior",B1342&gt;65,"Senior")</f>
        <v>Mid Career</v>
      </c>
      <c r="D1342" s="1" t="s">
        <v>29</v>
      </c>
      <c r="E1342" s="1" t="s">
        <v>19</v>
      </c>
      <c r="F1342" s="1">
        <v>1225000</v>
      </c>
      <c r="G1342" s="1">
        <v>58</v>
      </c>
      <c r="H1342" s="1" t="str" cm="1">
        <f t="array" ref="H1342">_xlfn.IFS( OR(G1342=" ",NOT(ISNUMBER(G1342))),"Unknown",G1342&lt;=33,"Low Spender",G1342&lt;=66,"Medium Spender",TRUE, "High Spender")</f>
        <v>Medium Spender</v>
      </c>
      <c r="I1342" s="1">
        <v>79</v>
      </c>
      <c r="J1342" s="1">
        <v>9800</v>
      </c>
      <c r="K1342" s="1">
        <v>206</v>
      </c>
      <c r="M1342" s="1" t="s">
        <v>21</v>
      </c>
      <c r="N1342" s="1" t="str">
        <f t="shared" si="40"/>
        <v>Higher</v>
      </c>
      <c r="O1342" s="1" t="str">
        <f t="shared" si="41"/>
        <v>Mid Career | Medium Spender | Higher</v>
      </c>
    </row>
    <row r="1343" spans="1:15" x14ac:dyDescent="0.25">
      <c r="A1343" s="1" t="s">
        <v>1373</v>
      </c>
      <c r="B1343" s="1">
        <v>50</v>
      </c>
      <c r="C1343" s="1" t="str" cm="1">
        <f t="array" ref="C1343">_xlfn.IFS(OR(B1343=" ", B1343="NA",NOT(ISNUMBER(B1343))), "Unknown",B1343&lt;18,"Underage",B1343&lt;=24,"Young Adult",B1343&lt;=34,"Early Career",B1343&lt;=44,"Mid Career",B1343&lt;=54,"Mature",B1343&lt;=65,"Pre-Senior",B1343&gt;65,"Senior")</f>
        <v>Mature</v>
      </c>
      <c r="D1343" s="1" t="s">
        <v>12</v>
      </c>
      <c r="E1343" s="1" t="s">
        <v>15</v>
      </c>
      <c r="F1343" s="1">
        <v>1750000</v>
      </c>
      <c r="G1343" s="1">
        <v>31</v>
      </c>
      <c r="H1343" s="1" t="str" cm="1">
        <f t="array" ref="H1343">_xlfn.IFS( OR(G1343=" ",NOT(ISNUMBER(G1343))),"Unknown",G1343&lt;=33,"Low Spender",G1343&lt;=66,"Medium Spender",TRUE, "High Spender")</f>
        <v>Low Spender</v>
      </c>
      <c r="I1343" s="1">
        <v>53</v>
      </c>
      <c r="J1343" s="1">
        <v>8200</v>
      </c>
      <c r="K1343" s="1">
        <v>52</v>
      </c>
      <c r="N1343" s="1" t="str">
        <f t="shared" si="40"/>
        <v>Lower</v>
      </c>
      <c r="O1343" s="1" t="str">
        <f t="shared" si="41"/>
        <v>Mature | Low Spender | Lower</v>
      </c>
    </row>
    <row r="1344" spans="1:15" x14ac:dyDescent="0.25">
      <c r="A1344" s="1" t="s">
        <v>1374</v>
      </c>
      <c r="B1344" s="1">
        <v>64</v>
      </c>
      <c r="C1344" s="1" t="str" cm="1">
        <f t="array" ref="C1344">_xlfn.IFS(OR(B1344=" ", B1344="NA",NOT(ISNUMBER(B1344))), "Unknown",B1344&lt;18,"Underage",B1344&lt;=24,"Young Adult",B1344&lt;=34,"Early Career",B1344&lt;=44,"Mid Career",B1344&lt;=54,"Mature",B1344&lt;=65,"Pre-Senior",B1344&gt;65,"Senior")</f>
        <v>Pre-Senior</v>
      </c>
      <c r="D1344" s="1" t="s">
        <v>18</v>
      </c>
      <c r="F1344" s="1">
        <v>750000</v>
      </c>
      <c r="G1344" s="1">
        <v>38</v>
      </c>
      <c r="H1344" s="1" t="str" cm="1">
        <f t="array" ref="H1344">_xlfn.IFS( OR(G1344=" ",NOT(ISNUMBER(G1344))),"Unknown",G1344&lt;=33,"Low Spender",G1344&lt;=66,"Medium Spender",TRUE, "High Spender")</f>
        <v>Medium Spender</v>
      </c>
      <c r="I1344" s="1">
        <v>16</v>
      </c>
      <c r="J1344" s="1">
        <v>1100</v>
      </c>
      <c r="K1344" s="1">
        <v>349</v>
      </c>
      <c r="L1344" s="1" t="s">
        <v>20</v>
      </c>
      <c r="N1344" s="1" t="str">
        <f t="shared" si="40"/>
        <v>Higher</v>
      </c>
      <c r="O1344" s="1" t="str">
        <f t="shared" si="41"/>
        <v>Pre-Senior | Medium Spender | Higher</v>
      </c>
    </row>
    <row r="1345" spans="1:15" x14ac:dyDescent="0.25">
      <c r="A1345" s="1" t="s">
        <v>1375</v>
      </c>
      <c r="B1345" s="1">
        <v>57</v>
      </c>
      <c r="C1345" s="1" t="str" cm="1">
        <f t="array" ref="C1345">_xlfn.IFS(OR(B1345=" ", B1345="NA",NOT(ISNUMBER(B1345))), "Unknown",B1345&lt;18,"Underage",B1345&lt;=24,"Young Adult",B1345&lt;=34,"Early Career",B1345&lt;=44,"Mid Career",B1345&lt;=54,"Mature",B1345&lt;=65,"Pre-Senior",B1345&gt;65,"Senior")</f>
        <v>Pre-Senior</v>
      </c>
      <c r="D1345" s="1" t="s">
        <v>18</v>
      </c>
      <c r="E1345" s="1" t="s">
        <v>27</v>
      </c>
      <c r="F1345" s="1">
        <v>1300000</v>
      </c>
      <c r="G1345" s="1">
        <v>86</v>
      </c>
      <c r="H1345" s="1" t="str" cm="1">
        <f t="array" ref="H1345">_xlfn.IFS( OR(G1345=" ",NOT(ISNUMBER(G1345))),"Unknown",G1345&lt;=33,"Low Spender",G1345&lt;=66,"Medium Spender",TRUE, "High Spender")</f>
        <v>High Spender</v>
      </c>
      <c r="I1345" s="1">
        <v>37</v>
      </c>
      <c r="J1345" s="1">
        <v>7700</v>
      </c>
      <c r="K1345" s="1">
        <v>181</v>
      </c>
      <c r="M1345" s="1" t="s">
        <v>30</v>
      </c>
      <c r="N1345" s="1" t="str">
        <f t="shared" si="40"/>
        <v>Higher</v>
      </c>
      <c r="O1345" s="1" t="str">
        <f t="shared" si="41"/>
        <v>Pre-Senior | High Spender | Higher</v>
      </c>
    </row>
    <row r="1346" spans="1:15" x14ac:dyDescent="0.25">
      <c r="A1346" s="1" t="s">
        <v>1376</v>
      </c>
      <c r="B1346" s="1">
        <v>60</v>
      </c>
      <c r="C1346" s="1" t="str" cm="1">
        <f t="array" ref="C1346">_xlfn.IFS(OR(B1346=" ", B1346="NA",NOT(ISNUMBER(B1346))), "Unknown",B1346&lt;18,"Underage",B1346&lt;=24,"Young Adult",B1346&lt;=34,"Early Career",B1346&lt;=44,"Mid Career",B1346&lt;=54,"Mature",B1346&lt;=65,"Pre-Senior",B1346&gt;65,"Senior")</f>
        <v>Pre-Senior</v>
      </c>
      <c r="F1346" s="1">
        <v>1525000</v>
      </c>
      <c r="G1346" s="1">
        <v>45</v>
      </c>
      <c r="H1346" s="1" t="str" cm="1">
        <f t="array" ref="H1346">_xlfn.IFS( OR(G1346=" ",NOT(ISNUMBER(G1346))),"Unknown",G1346&lt;=33,"Low Spender",G1346&lt;=66,"Medium Spender",TRUE, "High Spender")</f>
        <v>Medium Spender</v>
      </c>
      <c r="I1346" s="1">
        <v>18</v>
      </c>
      <c r="J1346" s="1">
        <v>800</v>
      </c>
      <c r="K1346" s="1">
        <v>303</v>
      </c>
      <c r="L1346" s="1" t="s">
        <v>37</v>
      </c>
      <c r="M1346" s="1" t="s">
        <v>30</v>
      </c>
      <c r="N1346" s="1" t="str">
        <f t="shared" ref="N1346:N1409" si="42">IF(OR(UPPER(TRIM(D1346))="Male",UPPER(TRIM(D1346))="Female"),"Higher","Lower")</f>
        <v>Lower</v>
      </c>
      <c r="O1346" s="1" t="str">
        <f t="shared" ref="O1346:O1409" si="43">_xlfn.TEXTJOIN(" | ", TRUE, C1346, H1346, N1346)</f>
        <v>Pre-Senior | Medium Spender | Lower</v>
      </c>
    </row>
    <row r="1347" spans="1:15" x14ac:dyDescent="0.25">
      <c r="A1347" s="1" t="s">
        <v>1377</v>
      </c>
      <c r="B1347" s="1">
        <v>29</v>
      </c>
      <c r="C1347" s="1" t="str" cm="1">
        <f t="array" ref="C1347">_xlfn.IFS(OR(B1347=" ", B1347="NA",NOT(ISNUMBER(B1347))), "Unknown",B1347&lt;18,"Underage",B1347&lt;=24,"Young Adult",B1347&lt;=34,"Early Career",B1347&lt;=44,"Mid Career",B1347&lt;=54,"Mature",B1347&lt;=65,"Pre-Senior",B1347&gt;65,"Senior")</f>
        <v>Early Career</v>
      </c>
      <c r="D1347" s="1" t="s">
        <v>12</v>
      </c>
      <c r="E1347" s="1" t="s">
        <v>49</v>
      </c>
      <c r="F1347" s="1">
        <v>1075000</v>
      </c>
      <c r="G1347" s="1">
        <v>41</v>
      </c>
      <c r="H1347" s="1" t="str" cm="1">
        <f t="array" ref="H1347">_xlfn.IFS( OR(G1347=" ",NOT(ISNUMBER(G1347))),"Unknown",G1347&lt;=33,"Low Spender",G1347&lt;=66,"Medium Spender",TRUE, "High Spender")</f>
        <v>Medium Spender</v>
      </c>
      <c r="I1347" s="1">
        <v>20</v>
      </c>
      <c r="J1347" s="1">
        <v>5100</v>
      </c>
      <c r="K1347" s="1">
        <v>3</v>
      </c>
      <c r="L1347" s="1" t="s">
        <v>20</v>
      </c>
      <c r="N1347" s="1" t="str">
        <f t="shared" si="42"/>
        <v>Lower</v>
      </c>
      <c r="O1347" s="1" t="str">
        <f t="shared" si="43"/>
        <v>Early Career | Medium Spender | Lower</v>
      </c>
    </row>
    <row r="1348" spans="1:15" x14ac:dyDescent="0.25">
      <c r="A1348" s="1" t="s">
        <v>1378</v>
      </c>
      <c r="B1348" s="1">
        <v>61</v>
      </c>
      <c r="C1348" s="1" t="str" cm="1">
        <f t="array" ref="C1348">_xlfn.IFS(OR(B1348=" ", B1348="NA",NOT(ISNUMBER(B1348))), "Unknown",B1348&lt;18,"Underage",B1348&lt;=24,"Young Adult",B1348&lt;=34,"Early Career",B1348&lt;=44,"Mid Career",B1348&lt;=54,"Mature",B1348&lt;=65,"Pre-Senior",B1348&gt;65,"Senior")</f>
        <v>Pre-Senior</v>
      </c>
      <c r="D1348" s="1" t="s">
        <v>18</v>
      </c>
      <c r="E1348" s="1" t="s">
        <v>34</v>
      </c>
      <c r="F1348" s="1">
        <v>400000</v>
      </c>
      <c r="G1348" s="1">
        <v>9</v>
      </c>
      <c r="H1348" s="1" t="str" cm="1">
        <f t="array" ref="H1348">_xlfn.IFS( OR(G1348=" ",NOT(ISNUMBER(G1348))),"Unknown",G1348&lt;=33,"Low Spender",G1348&lt;=66,"Medium Spender",TRUE, "High Spender")</f>
        <v>Low Spender</v>
      </c>
      <c r="I1348" s="1">
        <v>46</v>
      </c>
      <c r="J1348" s="1">
        <v>9300</v>
      </c>
      <c r="K1348" s="1">
        <v>84</v>
      </c>
      <c r="L1348" s="1" t="s">
        <v>16</v>
      </c>
      <c r="N1348" s="1" t="str">
        <f t="shared" si="42"/>
        <v>Higher</v>
      </c>
      <c r="O1348" s="1" t="str">
        <f t="shared" si="43"/>
        <v>Pre-Senior | Low Spender | Higher</v>
      </c>
    </row>
    <row r="1349" spans="1:15" x14ac:dyDescent="0.25">
      <c r="A1349" s="1" t="s">
        <v>1379</v>
      </c>
      <c r="B1349" s="1">
        <v>53</v>
      </c>
      <c r="C1349" s="1" t="str" cm="1">
        <f t="array" ref="C1349">_xlfn.IFS(OR(B1349=" ", B1349="NA",NOT(ISNUMBER(B1349))), "Unknown",B1349&lt;18,"Underage",B1349&lt;=24,"Young Adult",B1349&lt;=34,"Early Career",B1349&lt;=44,"Mid Career",B1349&lt;=54,"Mature",B1349&lt;=65,"Pre-Senior",B1349&gt;65,"Senior")</f>
        <v>Mature</v>
      </c>
      <c r="E1349" s="1" t="s">
        <v>13</v>
      </c>
      <c r="F1349" s="1">
        <v>1800000</v>
      </c>
      <c r="G1349" s="1">
        <v>9</v>
      </c>
      <c r="H1349" s="1" t="str" cm="1">
        <f t="array" ref="H1349">_xlfn.IFS( OR(G1349=" ",NOT(ISNUMBER(G1349))),"Unknown",G1349&lt;=33,"Low Spender",G1349&lt;=66,"Medium Spender",TRUE, "High Spender")</f>
        <v>Low Spender</v>
      </c>
      <c r="I1349" s="1">
        <v>2</v>
      </c>
      <c r="J1349" s="1">
        <v>7800</v>
      </c>
      <c r="K1349" s="1">
        <v>214</v>
      </c>
      <c r="L1349" s="1" t="s">
        <v>20</v>
      </c>
      <c r="M1349" s="1" t="s">
        <v>41</v>
      </c>
      <c r="N1349" s="1" t="str">
        <f t="shared" si="42"/>
        <v>Lower</v>
      </c>
      <c r="O1349" s="1" t="str">
        <f t="shared" si="43"/>
        <v>Mature | Low Spender | Lower</v>
      </c>
    </row>
    <row r="1350" spans="1:15" x14ac:dyDescent="0.25">
      <c r="A1350" s="1" t="s">
        <v>1380</v>
      </c>
      <c r="B1350" s="1">
        <v>65</v>
      </c>
      <c r="C1350" s="1" t="str" cm="1">
        <f t="array" ref="C1350">_xlfn.IFS(OR(B1350=" ", B1350="NA",NOT(ISNUMBER(B1350))), "Unknown",B1350&lt;18,"Underage",B1350&lt;=24,"Young Adult",B1350&lt;=34,"Early Career",B1350&lt;=44,"Mid Career",B1350&lt;=54,"Mature",B1350&lt;=65,"Pre-Senior",B1350&gt;65,"Senior")</f>
        <v>Pre-Senior</v>
      </c>
      <c r="D1350" s="1" t="s">
        <v>18</v>
      </c>
      <c r="E1350" s="1" t="s">
        <v>49</v>
      </c>
      <c r="F1350" s="1">
        <v>500000</v>
      </c>
      <c r="G1350" s="1">
        <v>63</v>
      </c>
      <c r="H1350" s="1" t="str" cm="1">
        <f t="array" ref="H1350">_xlfn.IFS( OR(G1350=" ",NOT(ISNUMBER(G1350))),"Unknown",G1350&lt;=33,"Low Spender",G1350&lt;=66,"Medium Spender",TRUE, "High Spender")</f>
        <v>Medium Spender</v>
      </c>
      <c r="I1350" s="1">
        <v>63</v>
      </c>
      <c r="J1350" s="1">
        <v>2400</v>
      </c>
      <c r="K1350" s="1">
        <v>34</v>
      </c>
      <c r="L1350" s="1" t="s">
        <v>16</v>
      </c>
      <c r="N1350" s="1" t="str">
        <f t="shared" si="42"/>
        <v>Higher</v>
      </c>
      <c r="O1350" s="1" t="str">
        <f t="shared" si="43"/>
        <v>Pre-Senior | Medium Spender | Higher</v>
      </c>
    </row>
    <row r="1351" spans="1:15" x14ac:dyDescent="0.25">
      <c r="A1351" s="1" t="s">
        <v>1381</v>
      </c>
      <c r="B1351" s="1">
        <v>21</v>
      </c>
      <c r="C1351" s="1" t="str" cm="1">
        <f t="array" ref="C1351">_xlfn.IFS(OR(B1351=" ", B1351="NA",NOT(ISNUMBER(B1351))), "Unknown",B1351&lt;18,"Underage",B1351&lt;=24,"Young Adult",B1351&lt;=34,"Early Career",B1351&lt;=44,"Mid Career",B1351&lt;=54,"Mature",B1351&lt;=65,"Pre-Senior",B1351&gt;65,"Senior")</f>
        <v>Young Adult</v>
      </c>
      <c r="F1351" s="1">
        <v>150000</v>
      </c>
      <c r="G1351" s="1">
        <v>79</v>
      </c>
      <c r="H1351" s="1" t="str" cm="1">
        <f t="array" ref="H1351">_xlfn.IFS( OR(G1351=" ",NOT(ISNUMBER(G1351))),"Unknown",G1351&lt;=33,"Low Spender",G1351&lt;=66,"Medium Spender",TRUE, "High Spender")</f>
        <v>High Spender</v>
      </c>
      <c r="I1351" s="1">
        <v>3</v>
      </c>
      <c r="J1351" s="1">
        <v>10600</v>
      </c>
      <c r="K1351" s="1">
        <v>50</v>
      </c>
      <c r="M1351" s="1" t="s">
        <v>32</v>
      </c>
      <c r="N1351" s="1" t="str">
        <f t="shared" si="42"/>
        <v>Lower</v>
      </c>
      <c r="O1351" s="1" t="str">
        <f t="shared" si="43"/>
        <v>Young Adult | High Spender | Lower</v>
      </c>
    </row>
    <row r="1352" spans="1:15" x14ac:dyDescent="0.25">
      <c r="A1352" s="1" t="s">
        <v>1382</v>
      </c>
      <c r="B1352" s="1">
        <v>22</v>
      </c>
      <c r="C1352" s="1" t="str" cm="1">
        <f t="array" ref="C1352">_xlfn.IFS(OR(B1352=" ", B1352="NA",NOT(ISNUMBER(B1352))), "Unknown",B1352&lt;18,"Underage",B1352&lt;=24,"Young Adult",B1352&lt;=34,"Early Career",B1352&lt;=44,"Mid Career",B1352&lt;=54,"Mature",B1352&lt;=65,"Pre-Senior",B1352&gt;65,"Senior")</f>
        <v>Young Adult</v>
      </c>
      <c r="E1352" s="1" t="s">
        <v>23</v>
      </c>
      <c r="F1352" s="1">
        <v>300000</v>
      </c>
      <c r="G1352" s="1">
        <v>77</v>
      </c>
      <c r="H1352" s="1" t="str" cm="1">
        <f t="array" ref="H1352">_xlfn.IFS( OR(G1352=" ",NOT(ISNUMBER(G1352))),"Unknown",G1352&lt;=33,"Low Spender",G1352&lt;=66,"Medium Spender",TRUE, "High Spender")</f>
        <v>High Spender</v>
      </c>
      <c r="I1352" s="1">
        <v>46</v>
      </c>
      <c r="J1352" s="1">
        <v>5000</v>
      </c>
      <c r="K1352" s="1">
        <v>289</v>
      </c>
      <c r="L1352" s="1" t="s">
        <v>20</v>
      </c>
      <c r="M1352" s="1" t="s">
        <v>21</v>
      </c>
      <c r="N1352" s="1" t="str">
        <f t="shared" si="42"/>
        <v>Lower</v>
      </c>
      <c r="O1352" s="1" t="str">
        <f t="shared" si="43"/>
        <v>Young Adult | High Spender | Lower</v>
      </c>
    </row>
    <row r="1353" spans="1:15" x14ac:dyDescent="0.25">
      <c r="A1353" s="1" t="s">
        <v>1383</v>
      </c>
      <c r="B1353" s="1">
        <v>54</v>
      </c>
      <c r="C1353" s="1" t="str" cm="1">
        <f t="array" ref="C1353">_xlfn.IFS(OR(B1353=" ", B1353="NA",NOT(ISNUMBER(B1353))), "Unknown",B1353&lt;18,"Underage",B1353&lt;=24,"Young Adult",B1353&lt;=34,"Early Career",B1353&lt;=44,"Mid Career",B1353&lt;=54,"Mature",B1353&lt;=65,"Pre-Senior",B1353&gt;65,"Senior")</f>
        <v>Mature</v>
      </c>
      <c r="D1353" s="1" t="s">
        <v>29</v>
      </c>
      <c r="E1353" s="1" t="s">
        <v>58</v>
      </c>
      <c r="F1353" s="1">
        <v>150000</v>
      </c>
      <c r="G1353" s="1">
        <v>22</v>
      </c>
      <c r="H1353" s="1" t="str" cm="1">
        <f t="array" ref="H1353">_xlfn.IFS( OR(G1353=" ",NOT(ISNUMBER(G1353))),"Unknown",G1353&lt;=33,"Low Spender",G1353&lt;=66,"Medium Spender",TRUE, "High Spender")</f>
        <v>Low Spender</v>
      </c>
      <c r="I1353" s="1">
        <v>49</v>
      </c>
      <c r="J1353" s="1">
        <v>10300</v>
      </c>
      <c r="K1353" s="1">
        <v>329</v>
      </c>
      <c r="L1353" s="1" t="s">
        <v>35</v>
      </c>
      <c r="M1353" s="1" t="s">
        <v>21</v>
      </c>
      <c r="N1353" s="1" t="str">
        <f t="shared" si="42"/>
        <v>Higher</v>
      </c>
      <c r="O1353" s="1" t="str">
        <f t="shared" si="43"/>
        <v>Mature | Low Spender | Higher</v>
      </c>
    </row>
    <row r="1354" spans="1:15" x14ac:dyDescent="0.25">
      <c r="A1354" s="1" t="s">
        <v>1384</v>
      </c>
      <c r="B1354" s="1">
        <v>25</v>
      </c>
      <c r="C1354" s="1" t="str" cm="1">
        <f t="array" ref="C1354">_xlfn.IFS(OR(B1354=" ", B1354="NA",NOT(ISNUMBER(B1354))), "Unknown",B1354&lt;18,"Underage",B1354&lt;=24,"Young Adult",B1354&lt;=34,"Early Career",B1354&lt;=44,"Mid Career",B1354&lt;=54,"Mature",B1354&lt;=65,"Pre-Senior",B1354&gt;65,"Senior")</f>
        <v>Early Career</v>
      </c>
      <c r="D1354" s="1" t="s">
        <v>29</v>
      </c>
      <c r="E1354" s="1" t="s">
        <v>19</v>
      </c>
      <c r="F1354" s="1">
        <v>1350000</v>
      </c>
      <c r="G1354" s="1">
        <v>16</v>
      </c>
      <c r="H1354" s="1" t="str" cm="1">
        <f t="array" ref="H1354">_xlfn.IFS( OR(G1354=" ",NOT(ISNUMBER(G1354))),"Unknown",G1354&lt;=33,"Low Spender",G1354&lt;=66,"Medium Spender",TRUE, "High Spender")</f>
        <v>Low Spender</v>
      </c>
      <c r="I1354" s="1">
        <v>1</v>
      </c>
      <c r="J1354" s="1">
        <v>2300</v>
      </c>
      <c r="K1354" s="1">
        <v>259</v>
      </c>
      <c r="M1354" s="1" t="s">
        <v>21</v>
      </c>
      <c r="N1354" s="1" t="str">
        <f t="shared" si="42"/>
        <v>Higher</v>
      </c>
      <c r="O1354" s="1" t="str">
        <f t="shared" si="43"/>
        <v>Early Career | Low Spender | Higher</v>
      </c>
    </row>
    <row r="1355" spans="1:15" x14ac:dyDescent="0.25">
      <c r="A1355" s="1" t="s">
        <v>1385</v>
      </c>
      <c r="B1355" s="1">
        <v>59</v>
      </c>
      <c r="C1355" s="1" t="str" cm="1">
        <f t="array" ref="C1355">_xlfn.IFS(OR(B1355=" ", B1355="NA",NOT(ISNUMBER(B1355))), "Unknown",B1355&lt;18,"Underage",B1355&lt;=24,"Young Adult",B1355&lt;=34,"Early Career",B1355&lt;=44,"Mid Career",B1355&lt;=54,"Mature",B1355&lt;=65,"Pre-Senior",B1355&gt;65,"Senior")</f>
        <v>Pre-Senior</v>
      </c>
      <c r="E1355" s="1" t="s">
        <v>15</v>
      </c>
      <c r="F1355" s="1">
        <v>1950000</v>
      </c>
      <c r="G1355" s="1">
        <v>32</v>
      </c>
      <c r="H1355" s="1" t="str" cm="1">
        <f t="array" ref="H1355">_xlfn.IFS( OR(G1355=" ",NOT(ISNUMBER(G1355))),"Unknown",G1355&lt;=33,"Low Spender",G1355&lt;=66,"Medium Spender",TRUE, "High Spender")</f>
        <v>Low Spender</v>
      </c>
      <c r="I1355" s="1">
        <v>22</v>
      </c>
      <c r="J1355" s="1">
        <v>3500</v>
      </c>
      <c r="K1355" s="1">
        <v>258</v>
      </c>
      <c r="L1355" s="1" t="s">
        <v>16</v>
      </c>
      <c r="M1355" s="1" t="s">
        <v>21</v>
      </c>
      <c r="N1355" s="1" t="str">
        <f t="shared" si="42"/>
        <v>Lower</v>
      </c>
      <c r="O1355" s="1" t="str">
        <f t="shared" si="43"/>
        <v>Pre-Senior | Low Spender | Lower</v>
      </c>
    </row>
    <row r="1356" spans="1:15" x14ac:dyDescent="0.25">
      <c r="A1356" s="1" t="s">
        <v>1386</v>
      </c>
      <c r="B1356" s="1">
        <v>66</v>
      </c>
      <c r="C1356" s="1" t="str" cm="1">
        <f t="array" ref="C1356">_xlfn.IFS(OR(B1356=" ", B1356="NA",NOT(ISNUMBER(B1356))), "Unknown",B1356&lt;18,"Underage",B1356&lt;=24,"Young Adult",B1356&lt;=34,"Early Career",B1356&lt;=44,"Mid Career",B1356&lt;=54,"Mature",B1356&lt;=65,"Pre-Senior",B1356&gt;65,"Senior")</f>
        <v>Senior</v>
      </c>
      <c r="D1356" s="1" t="s">
        <v>29</v>
      </c>
      <c r="E1356" s="1" t="s">
        <v>34</v>
      </c>
      <c r="F1356" s="1">
        <v>850000</v>
      </c>
      <c r="G1356" s="1">
        <v>66</v>
      </c>
      <c r="H1356" s="1" t="str" cm="1">
        <f t="array" ref="H1356">_xlfn.IFS( OR(G1356=" ",NOT(ISNUMBER(G1356))),"Unknown",G1356&lt;=33,"Low Spender",G1356&lt;=66,"Medium Spender",TRUE, "High Spender")</f>
        <v>Medium Spender</v>
      </c>
      <c r="I1356" s="1">
        <v>14</v>
      </c>
      <c r="J1356" s="1">
        <v>8300</v>
      </c>
      <c r="K1356" s="1">
        <v>272</v>
      </c>
      <c r="L1356" s="1" t="s">
        <v>37</v>
      </c>
      <c r="M1356" s="1" t="s">
        <v>30</v>
      </c>
      <c r="N1356" s="1" t="str">
        <f t="shared" si="42"/>
        <v>Higher</v>
      </c>
      <c r="O1356" s="1" t="str">
        <f t="shared" si="43"/>
        <v>Senior | Medium Spender | Higher</v>
      </c>
    </row>
    <row r="1357" spans="1:15" x14ac:dyDescent="0.25">
      <c r="A1357" s="1" t="s">
        <v>1387</v>
      </c>
      <c r="B1357" s="1">
        <v>45</v>
      </c>
      <c r="C1357" s="1" t="str" cm="1">
        <f t="array" ref="C1357">_xlfn.IFS(OR(B1357=" ", B1357="NA",NOT(ISNUMBER(B1357))), "Unknown",B1357&lt;18,"Underage",B1357&lt;=24,"Young Adult",B1357&lt;=34,"Early Career",B1357&lt;=44,"Mid Career",B1357&lt;=54,"Mature",B1357&lt;=65,"Pre-Senior",B1357&gt;65,"Senior")</f>
        <v>Mature</v>
      </c>
      <c r="D1357" s="1" t="s">
        <v>29</v>
      </c>
      <c r="E1357" s="1" t="s">
        <v>13</v>
      </c>
      <c r="F1357" s="1">
        <v>775000</v>
      </c>
      <c r="G1357" s="1">
        <v>90</v>
      </c>
      <c r="H1357" s="1" t="str" cm="1">
        <f t="array" ref="H1357">_xlfn.IFS( OR(G1357=" ",NOT(ISNUMBER(G1357))),"Unknown",G1357&lt;=33,"Low Spender",G1357&lt;=66,"Medium Spender",TRUE, "High Spender")</f>
        <v>High Spender</v>
      </c>
      <c r="I1357" s="1">
        <v>45</v>
      </c>
      <c r="J1357" s="1">
        <v>5800</v>
      </c>
      <c r="K1357" s="1">
        <v>182</v>
      </c>
      <c r="M1357" s="1" t="s">
        <v>32</v>
      </c>
      <c r="N1357" s="1" t="str">
        <f t="shared" si="42"/>
        <v>Higher</v>
      </c>
      <c r="O1357" s="1" t="str">
        <f t="shared" si="43"/>
        <v>Mature | High Spender | Higher</v>
      </c>
    </row>
    <row r="1358" spans="1:15" x14ac:dyDescent="0.25">
      <c r="A1358" s="1" t="s">
        <v>1388</v>
      </c>
      <c r="B1358" s="1">
        <v>48</v>
      </c>
      <c r="C1358" s="1" t="str" cm="1">
        <f t="array" ref="C1358">_xlfn.IFS(OR(B1358=" ", B1358="NA",NOT(ISNUMBER(B1358))), "Unknown",B1358&lt;18,"Underage",B1358&lt;=24,"Young Adult",B1358&lt;=34,"Early Career",B1358&lt;=44,"Mid Career",B1358&lt;=54,"Mature",B1358&lt;=65,"Pre-Senior",B1358&gt;65,"Senior")</f>
        <v>Mature</v>
      </c>
      <c r="D1358" s="1" t="s">
        <v>18</v>
      </c>
      <c r="F1358" s="1">
        <v>1250000</v>
      </c>
      <c r="G1358" s="1">
        <v>14</v>
      </c>
      <c r="H1358" s="1" t="str" cm="1">
        <f t="array" ref="H1358">_xlfn.IFS( OR(G1358=" ",NOT(ISNUMBER(G1358))),"Unknown",G1358&lt;=33,"Low Spender",G1358&lt;=66,"Medium Spender",TRUE, "High Spender")</f>
        <v>Low Spender</v>
      </c>
      <c r="I1358" s="1">
        <v>6</v>
      </c>
      <c r="J1358" s="1">
        <v>3100</v>
      </c>
      <c r="K1358" s="1">
        <v>33</v>
      </c>
      <c r="N1358" s="1" t="str">
        <f t="shared" si="42"/>
        <v>Higher</v>
      </c>
      <c r="O1358" s="1" t="str">
        <f t="shared" si="43"/>
        <v>Mature | Low Spender | Higher</v>
      </c>
    </row>
    <row r="1359" spans="1:15" x14ac:dyDescent="0.25">
      <c r="A1359" s="1" t="s">
        <v>1389</v>
      </c>
      <c r="B1359" s="1">
        <v>26</v>
      </c>
      <c r="C1359" s="1" t="str" cm="1">
        <f t="array" ref="C1359">_xlfn.IFS(OR(B1359=" ", B1359="NA",NOT(ISNUMBER(B1359))), "Unknown",B1359&lt;18,"Underage",B1359&lt;=24,"Young Adult",B1359&lt;=34,"Early Career",B1359&lt;=44,"Mid Career",B1359&lt;=54,"Mature",B1359&lt;=65,"Pre-Senior",B1359&gt;65,"Senior")</f>
        <v>Early Career</v>
      </c>
      <c r="D1359" s="1" t="s">
        <v>18</v>
      </c>
      <c r="E1359" s="1" t="s">
        <v>15</v>
      </c>
      <c r="F1359" s="1">
        <v>1900000</v>
      </c>
      <c r="G1359" s="1">
        <v>38</v>
      </c>
      <c r="H1359" s="1" t="str" cm="1">
        <f t="array" ref="H1359">_xlfn.IFS( OR(G1359=" ",NOT(ISNUMBER(G1359))),"Unknown",G1359&lt;=33,"Low Spender",G1359&lt;=66,"Medium Spender",TRUE, "High Spender")</f>
        <v>Medium Spender</v>
      </c>
      <c r="I1359" s="1">
        <v>65</v>
      </c>
      <c r="J1359" s="1">
        <v>5500</v>
      </c>
      <c r="K1359" s="1">
        <v>265</v>
      </c>
      <c r="N1359" s="1" t="str">
        <f t="shared" si="42"/>
        <v>Higher</v>
      </c>
      <c r="O1359" s="1" t="str">
        <f t="shared" si="43"/>
        <v>Early Career | Medium Spender | Higher</v>
      </c>
    </row>
    <row r="1360" spans="1:15" x14ac:dyDescent="0.25">
      <c r="A1360" s="1" t="s">
        <v>1390</v>
      </c>
      <c r="C1360" s="1" t="str" cm="1">
        <f t="array" ref="C1360">_xlfn.IFS(OR(B1360=" ", B1360="NA",NOT(ISNUMBER(B1360))), "Unknown",B1360&lt;18,"Underage",B1360&lt;=24,"Young Adult",B1360&lt;=34,"Early Career",B1360&lt;=44,"Mid Career",B1360&lt;=54,"Mature",B1360&lt;=65,"Pre-Senior",B1360&gt;65,"Senior")</f>
        <v>Unknown</v>
      </c>
      <c r="E1360" s="1" t="s">
        <v>34</v>
      </c>
      <c r="F1360" s="1">
        <v>425000</v>
      </c>
      <c r="G1360" s="1">
        <v>98</v>
      </c>
      <c r="H1360" s="1" t="str" cm="1">
        <f t="array" ref="H1360">_xlfn.IFS( OR(G1360=" ",NOT(ISNUMBER(G1360))),"Unknown",G1360&lt;=33,"Low Spender",G1360&lt;=66,"Medium Spender",TRUE, "High Spender")</f>
        <v>High Spender</v>
      </c>
      <c r="I1360" s="1">
        <v>21</v>
      </c>
      <c r="J1360" s="1">
        <v>4200</v>
      </c>
      <c r="K1360" s="1">
        <v>313</v>
      </c>
      <c r="L1360" s="1" t="s">
        <v>16</v>
      </c>
      <c r="M1360" s="1" t="s">
        <v>41</v>
      </c>
      <c r="N1360" s="1" t="str">
        <f t="shared" si="42"/>
        <v>Lower</v>
      </c>
      <c r="O1360" s="1" t="str">
        <f t="shared" si="43"/>
        <v>Unknown | High Spender | Lower</v>
      </c>
    </row>
    <row r="1361" spans="1:15" x14ac:dyDescent="0.25">
      <c r="A1361" s="1" t="s">
        <v>1391</v>
      </c>
      <c r="B1361" s="1">
        <v>68</v>
      </c>
      <c r="C1361" s="1" t="str" cm="1">
        <f t="array" ref="C1361">_xlfn.IFS(OR(B1361=" ", B1361="NA",NOT(ISNUMBER(B1361))), "Unknown",B1361&lt;18,"Underage",B1361&lt;=24,"Young Adult",B1361&lt;=34,"Early Career",B1361&lt;=44,"Mid Career",B1361&lt;=54,"Mature",B1361&lt;=65,"Pre-Senior",B1361&gt;65,"Senior")</f>
        <v>Senior</v>
      </c>
      <c r="D1361" s="1" t="s">
        <v>12</v>
      </c>
      <c r="F1361" s="1">
        <v>925000</v>
      </c>
      <c r="G1361" s="1">
        <v>8</v>
      </c>
      <c r="H1361" s="1" t="str" cm="1">
        <f t="array" ref="H1361">_xlfn.IFS( OR(G1361=" ",NOT(ISNUMBER(G1361))),"Unknown",G1361&lt;=33,"Low Spender",G1361&lt;=66,"Medium Spender",TRUE, "High Spender")</f>
        <v>Low Spender</v>
      </c>
      <c r="I1361" s="1">
        <v>4</v>
      </c>
      <c r="J1361" s="1">
        <v>7600</v>
      </c>
      <c r="K1361" s="1">
        <v>40</v>
      </c>
      <c r="L1361" s="1" t="s">
        <v>16</v>
      </c>
      <c r="N1361" s="1" t="str">
        <f t="shared" si="42"/>
        <v>Lower</v>
      </c>
      <c r="O1361" s="1" t="str">
        <f t="shared" si="43"/>
        <v>Senior | Low Spender | Lower</v>
      </c>
    </row>
    <row r="1362" spans="1:15" x14ac:dyDescent="0.25">
      <c r="A1362" s="1" t="s">
        <v>1392</v>
      </c>
      <c r="B1362" s="1">
        <v>46</v>
      </c>
      <c r="C1362" s="1" t="str" cm="1">
        <f t="array" ref="C1362">_xlfn.IFS(OR(B1362=" ", B1362="NA",NOT(ISNUMBER(B1362))), "Unknown",B1362&lt;18,"Underage",B1362&lt;=24,"Young Adult",B1362&lt;=34,"Early Career",B1362&lt;=44,"Mid Career",B1362&lt;=54,"Mature",B1362&lt;=65,"Pre-Senior",B1362&gt;65,"Senior")</f>
        <v>Mature</v>
      </c>
      <c r="E1362" s="1" t="s">
        <v>13</v>
      </c>
      <c r="F1362" s="1">
        <v>625000</v>
      </c>
      <c r="G1362" s="1">
        <v>100</v>
      </c>
      <c r="H1362" s="1" t="str" cm="1">
        <f t="array" ref="H1362">_xlfn.IFS( OR(G1362=" ",NOT(ISNUMBER(G1362))),"Unknown",G1362&lt;=33,"Low Spender",G1362&lt;=66,"Medium Spender",TRUE, "High Spender")</f>
        <v>High Spender</v>
      </c>
      <c r="I1362" s="1">
        <v>3</v>
      </c>
      <c r="J1362" s="1">
        <v>2000</v>
      </c>
      <c r="K1362" s="1">
        <v>308</v>
      </c>
      <c r="L1362" s="1" t="s">
        <v>20</v>
      </c>
      <c r="M1362" s="1" t="s">
        <v>32</v>
      </c>
      <c r="N1362" s="1" t="str">
        <f t="shared" si="42"/>
        <v>Lower</v>
      </c>
      <c r="O1362" s="1" t="str">
        <f t="shared" si="43"/>
        <v>Mature | High Spender | Lower</v>
      </c>
    </row>
    <row r="1363" spans="1:15" x14ac:dyDescent="0.25">
      <c r="A1363" s="1" t="s">
        <v>1393</v>
      </c>
      <c r="B1363" s="1">
        <v>31</v>
      </c>
      <c r="C1363" s="1" t="str" cm="1">
        <f t="array" ref="C1363">_xlfn.IFS(OR(B1363=" ", B1363="NA",NOT(ISNUMBER(B1363))), "Unknown",B1363&lt;18,"Underage",B1363&lt;=24,"Young Adult",B1363&lt;=34,"Early Career",B1363&lt;=44,"Mid Career",B1363&lt;=54,"Mature",B1363&lt;=65,"Pre-Senior",B1363&gt;65,"Senior")</f>
        <v>Early Career</v>
      </c>
      <c r="D1363" s="1" t="s">
        <v>18</v>
      </c>
      <c r="F1363" s="1">
        <v>1400000</v>
      </c>
      <c r="G1363" s="1">
        <v>21</v>
      </c>
      <c r="H1363" s="1" t="str" cm="1">
        <f t="array" ref="H1363">_xlfn.IFS( OR(G1363=" ",NOT(ISNUMBER(G1363))),"Unknown",G1363&lt;=33,"Low Spender",G1363&lt;=66,"Medium Spender",TRUE, "High Spender")</f>
        <v>Low Spender</v>
      </c>
      <c r="I1363" s="1">
        <v>30</v>
      </c>
      <c r="J1363" s="1">
        <v>4900</v>
      </c>
      <c r="K1363" s="1">
        <v>210</v>
      </c>
      <c r="L1363" s="1" t="s">
        <v>35</v>
      </c>
      <c r="N1363" s="1" t="str">
        <f t="shared" si="42"/>
        <v>Higher</v>
      </c>
      <c r="O1363" s="1" t="str">
        <f t="shared" si="43"/>
        <v>Early Career | Low Spender | Higher</v>
      </c>
    </row>
    <row r="1364" spans="1:15" x14ac:dyDescent="0.25">
      <c r="A1364" s="1" t="s">
        <v>1394</v>
      </c>
      <c r="B1364" s="1">
        <v>57</v>
      </c>
      <c r="C1364" s="1" t="str" cm="1">
        <f t="array" ref="C1364">_xlfn.IFS(OR(B1364=" ", B1364="NA",NOT(ISNUMBER(B1364))), "Unknown",B1364&lt;18,"Underage",B1364&lt;=24,"Young Adult",B1364&lt;=34,"Early Career",B1364&lt;=44,"Mid Career",B1364&lt;=54,"Mature",B1364&lt;=65,"Pre-Senior",B1364&gt;65,"Senior")</f>
        <v>Pre-Senior</v>
      </c>
      <c r="D1364" s="1" t="s">
        <v>29</v>
      </c>
      <c r="E1364" s="1" t="s">
        <v>58</v>
      </c>
      <c r="F1364" s="1">
        <v>1025000</v>
      </c>
      <c r="G1364" s="1">
        <v>56</v>
      </c>
      <c r="H1364" s="1" t="str" cm="1">
        <f t="array" ref="H1364">_xlfn.IFS( OR(G1364=" ",NOT(ISNUMBER(G1364))),"Unknown",G1364&lt;=33,"Low Spender",G1364&lt;=66,"Medium Spender",TRUE, "High Spender")</f>
        <v>Medium Spender</v>
      </c>
      <c r="I1364" s="1">
        <v>31</v>
      </c>
      <c r="J1364" s="1">
        <v>11800</v>
      </c>
      <c r="K1364" s="1">
        <v>272</v>
      </c>
      <c r="M1364" s="1" t="s">
        <v>30</v>
      </c>
      <c r="N1364" s="1" t="str">
        <f t="shared" si="42"/>
        <v>Higher</v>
      </c>
      <c r="O1364" s="1" t="str">
        <f t="shared" si="43"/>
        <v>Pre-Senior | Medium Spender | Higher</v>
      </c>
    </row>
    <row r="1365" spans="1:15" x14ac:dyDescent="0.25">
      <c r="A1365" s="1" t="s">
        <v>1395</v>
      </c>
      <c r="B1365" s="1">
        <v>58</v>
      </c>
      <c r="C1365" s="1" t="str" cm="1">
        <f t="array" ref="C1365">_xlfn.IFS(OR(B1365=" ", B1365="NA",NOT(ISNUMBER(B1365))), "Unknown",B1365&lt;18,"Underage",B1365&lt;=24,"Young Adult",B1365&lt;=34,"Early Career",B1365&lt;=44,"Mid Career",B1365&lt;=54,"Mature",B1365&lt;=65,"Pre-Senior",B1365&gt;65,"Senior")</f>
        <v>Pre-Senior</v>
      </c>
      <c r="D1365" s="1" t="s">
        <v>12</v>
      </c>
      <c r="E1365" s="1" t="s">
        <v>49</v>
      </c>
      <c r="F1365" s="1">
        <v>1800000</v>
      </c>
      <c r="G1365" s="1">
        <v>46</v>
      </c>
      <c r="H1365" s="1" t="str" cm="1">
        <f t="array" ref="H1365">_xlfn.IFS( OR(G1365=" ",NOT(ISNUMBER(G1365))),"Unknown",G1365&lt;=33,"Low Spender",G1365&lt;=66,"Medium Spender",TRUE, "High Spender")</f>
        <v>Medium Spender</v>
      </c>
      <c r="I1365" s="1">
        <v>34</v>
      </c>
      <c r="J1365" s="1">
        <v>1500</v>
      </c>
      <c r="K1365" s="1">
        <v>136</v>
      </c>
      <c r="L1365" s="1" t="s">
        <v>20</v>
      </c>
      <c r="N1365" s="1" t="str">
        <f t="shared" si="42"/>
        <v>Lower</v>
      </c>
      <c r="O1365" s="1" t="str">
        <f t="shared" si="43"/>
        <v>Pre-Senior | Medium Spender | Lower</v>
      </c>
    </row>
    <row r="1366" spans="1:15" x14ac:dyDescent="0.25">
      <c r="A1366" s="1" t="s">
        <v>1396</v>
      </c>
      <c r="B1366" s="1">
        <v>39</v>
      </c>
      <c r="C1366" s="1" t="str" cm="1">
        <f t="array" ref="C1366">_xlfn.IFS(OR(B1366=" ", B1366="NA",NOT(ISNUMBER(B1366))), "Unknown",B1366&lt;18,"Underage",B1366&lt;=24,"Young Adult",B1366&lt;=34,"Early Career",B1366&lt;=44,"Mid Career",B1366&lt;=54,"Mature",B1366&lt;=65,"Pre-Senior",B1366&gt;65,"Senior")</f>
        <v>Mid Career</v>
      </c>
      <c r="D1366" s="1" t="s">
        <v>18</v>
      </c>
      <c r="E1366" s="1" t="s">
        <v>49</v>
      </c>
      <c r="F1366" s="1">
        <v>150000</v>
      </c>
      <c r="G1366" s="1">
        <v>43</v>
      </c>
      <c r="H1366" s="1" t="str" cm="1">
        <f t="array" ref="H1366">_xlfn.IFS( OR(G1366=" ",NOT(ISNUMBER(G1366))),"Unknown",G1366&lt;=33,"Low Spender",G1366&lt;=66,"Medium Spender",TRUE, "High Spender")</f>
        <v>Medium Spender</v>
      </c>
      <c r="I1366" s="1">
        <v>20</v>
      </c>
      <c r="J1366" s="1">
        <v>2900</v>
      </c>
      <c r="K1366" s="1">
        <v>87</v>
      </c>
      <c r="L1366" s="1" t="s">
        <v>20</v>
      </c>
      <c r="N1366" s="1" t="str">
        <f t="shared" si="42"/>
        <v>Higher</v>
      </c>
      <c r="O1366" s="1" t="str">
        <f t="shared" si="43"/>
        <v>Mid Career | Medium Spender | Higher</v>
      </c>
    </row>
    <row r="1367" spans="1:15" x14ac:dyDescent="0.25">
      <c r="A1367" s="1" t="s">
        <v>1397</v>
      </c>
      <c r="B1367" s="1">
        <v>28</v>
      </c>
      <c r="C1367" s="1" t="str" cm="1">
        <f t="array" ref="C1367">_xlfn.IFS(OR(B1367=" ", B1367="NA",NOT(ISNUMBER(B1367))), "Unknown",B1367&lt;18,"Underage",B1367&lt;=24,"Young Adult",B1367&lt;=34,"Early Career",B1367&lt;=44,"Mid Career",B1367&lt;=54,"Mature",B1367&lt;=65,"Pre-Senior",B1367&gt;65,"Senior")</f>
        <v>Early Career</v>
      </c>
      <c r="D1367" s="1" t="s">
        <v>18</v>
      </c>
      <c r="F1367" s="1">
        <v>800000</v>
      </c>
      <c r="G1367" s="1">
        <v>92</v>
      </c>
      <c r="H1367" s="1" t="str" cm="1">
        <f t="array" ref="H1367">_xlfn.IFS( OR(G1367=" ",NOT(ISNUMBER(G1367))),"Unknown",G1367&lt;=33,"Low Spender",G1367&lt;=66,"Medium Spender",TRUE, "High Spender")</f>
        <v>High Spender</v>
      </c>
      <c r="I1367" s="1">
        <v>54</v>
      </c>
      <c r="J1367" s="1">
        <v>6400</v>
      </c>
      <c r="K1367" s="1">
        <v>60</v>
      </c>
      <c r="L1367" s="1" t="s">
        <v>35</v>
      </c>
      <c r="M1367" s="1" t="s">
        <v>21</v>
      </c>
      <c r="N1367" s="1" t="str">
        <f t="shared" si="42"/>
        <v>Higher</v>
      </c>
      <c r="O1367" s="1" t="str">
        <f t="shared" si="43"/>
        <v>Early Career | High Spender | Higher</v>
      </c>
    </row>
    <row r="1368" spans="1:15" x14ac:dyDescent="0.25">
      <c r="A1368" s="1" t="s">
        <v>1398</v>
      </c>
      <c r="B1368" s="1">
        <v>40</v>
      </c>
      <c r="C1368" s="1" t="str" cm="1">
        <f t="array" ref="C1368">_xlfn.IFS(OR(B1368=" ", B1368="NA",NOT(ISNUMBER(B1368))), "Unknown",B1368&lt;18,"Underage",B1368&lt;=24,"Young Adult",B1368&lt;=34,"Early Career",B1368&lt;=44,"Mid Career",B1368&lt;=54,"Mature",B1368&lt;=65,"Pre-Senior",B1368&gt;65,"Senior")</f>
        <v>Mid Career</v>
      </c>
      <c r="D1368" s="1" t="s">
        <v>12</v>
      </c>
      <c r="E1368" s="1" t="s">
        <v>15</v>
      </c>
      <c r="F1368" s="1">
        <v>1125000</v>
      </c>
      <c r="G1368" s="1">
        <v>46</v>
      </c>
      <c r="H1368" s="1" t="str" cm="1">
        <f t="array" ref="H1368">_xlfn.IFS( OR(G1368=" ",NOT(ISNUMBER(G1368))),"Unknown",G1368&lt;=33,"Low Spender",G1368&lt;=66,"Medium Spender",TRUE, "High Spender")</f>
        <v>Medium Spender</v>
      </c>
      <c r="I1368" s="1">
        <v>25</v>
      </c>
      <c r="J1368" s="1">
        <v>7600</v>
      </c>
      <c r="K1368" s="1">
        <v>164</v>
      </c>
      <c r="L1368" s="1" t="s">
        <v>20</v>
      </c>
      <c r="M1368" s="1" t="s">
        <v>21</v>
      </c>
      <c r="N1368" s="1" t="str">
        <f t="shared" si="42"/>
        <v>Lower</v>
      </c>
      <c r="O1368" s="1" t="str">
        <f t="shared" si="43"/>
        <v>Mid Career | Medium Spender | Lower</v>
      </c>
    </row>
    <row r="1369" spans="1:15" x14ac:dyDescent="0.25">
      <c r="A1369" s="1" t="s">
        <v>1399</v>
      </c>
      <c r="B1369" s="1">
        <v>18</v>
      </c>
      <c r="C1369" s="1" t="str" cm="1">
        <f t="array" ref="C1369">_xlfn.IFS(OR(B1369=" ", B1369="NA",NOT(ISNUMBER(B1369))), "Unknown",B1369&lt;18,"Underage",B1369&lt;=24,"Young Adult",B1369&lt;=34,"Early Career",B1369&lt;=44,"Mid Career",B1369&lt;=54,"Mature",B1369&lt;=65,"Pre-Senior",B1369&gt;65,"Senior")</f>
        <v>Young Adult</v>
      </c>
      <c r="D1369" s="1" t="s">
        <v>18</v>
      </c>
      <c r="F1369" s="1">
        <v>475000</v>
      </c>
      <c r="G1369" s="1">
        <v>48</v>
      </c>
      <c r="H1369" s="1" t="str" cm="1">
        <f t="array" ref="H1369">_xlfn.IFS( OR(G1369=" ",NOT(ISNUMBER(G1369))),"Unknown",G1369&lt;=33,"Low Spender",G1369&lt;=66,"Medium Spender",TRUE, "High Spender")</f>
        <v>Medium Spender</v>
      </c>
      <c r="I1369" s="1">
        <v>15</v>
      </c>
      <c r="J1369" s="1">
        <v>9800</v>
      </c>
      <c r="K1369" s="1">
        <v>3</v>
      </c>
      <c r="L1369" s="1" t="s">
        <v>35</v>
      </c>
      <c r="N1369" s="1" t="str">
        <f t="shared" si="42"/>
        <v>Higher</v>
      </c>
      <c r="O1369" s="1" t="str">
        <f t="shared" si="43"/>
        <v>Young Adult | Medium Spender | Higher</v>
      </c>
    </row>
    <row r="1370" spans="1:15" x14ac:dyDescent="0.25">
      <c r="A1370" s="1" t="s">
        <v>1400</v>
      </c>
      <c r="B1370" s="1">
        <v>63</v>
      </c>
      <c r="C1370" s="1" t="str" cm="1">
        <f t="array" ref="C1370">_xlfn.IFS(OR(B1370=" ", B1370="NA",NOT(ISNUMBER(B1370))), "Unknown",B1370&lt;18,"Underage",B1370&lt;=24,"Young Adult",B1370&lt;=34,"Early Career",B1370&lt;=44,"Mid Career",B1370&lt;=54,"Mature",B1370&lt;=65,"Pre-Senior",B1370&gt;65,"Senior")</f>
        <v>Pre-Senior</v>
      </c>
      <c r="D1370" s="1" t="s">
        <v>18</v>
      </c>
      <c r="F1370" s="1">
        <v>1850000</v>
      </c>
      <c r="G1370" s="1">
        <v>70</v>
      </c>
      <c r="H1370" s="1" t="str" cm="1">
        <f t="array" ref="H1370">_xlfn.IFS( OR(G1370=" ",NOT(ISNUMBER(G1370))),"Unknown",G1370&lt;=33,"Low Spender",G1370&lt;=66,"Medium Spender",TRUE, "High Spender")</f>
        <v>High Spender</v>
      </c>
      <c r="I1370" s="1">
        <v>38</v>
      </c>
      <c r="J1370" s="1">
        <v>10700</v>
      </c>
      <c r="K1370" s="1">
        <v>15</v>
      </c>
      <c r="L1370" s="1" t="s">
        <v>37</v>
      </c>
      <c r="M1370" s="1" t="s">
        <v>21</v>
      </c>
      <c r="N1370" s="1" t="str">
        <f t="shared" si="42"/>
        <v>Higher</v>
      </c>
      <c r="O1370" s="1" t="str">
        <f t="shared" si="43"/>
        <v>Pre-Senior | High Spender | Higher</v>
      </c>
    </row>
    <row r="1371" spans="1:15" x14ac:dyDescent="0.25">
      <c r="A1371" s="1" t="s">
        <v>1401</v>
      </c>
      <c r="B1371" s="1">
        <v>54</v>
      </c>
      <c r="C1371" s="1" t="str" cm="1">
        <f t="array" ref="C1371">_xlfn.IFS(OR(B1371=" ", B1371="NA",NOT(ISNUMBER(B1371))), "Unknown",B1371&lt;18,"Underage",B1371&lt;=24,"Young Adult",B1371&lt;=34,"Early Career",B1371&lt;=44,"Mid Career",B1371&lt;=54,"Mature",B1371&lt;=65,"Pre-Senior",B1371&gt;65,"Senior")</f>
        <v>Mature</v>
      </c>
      <c r="D1371" s="1" t="s">
        <v>18</v>
      </c>
      <c r="E1371" s="1" t="s">
        <v>34</v>
      </c>
      <c r="F1371" s="1">
        <v>275000</v>
      </c>
      <c r="G1371" s="1">
        <v>84</v>
      </c>
      <c r="H1371" s="1" t="str" cm="1">
        <f t="array" ref="H1371">_xlfn.IFS( OR(G1371=" ",NOT(ISNUMBER(G1371))),"Unknown",G1371&lt;=33,"Low Spender",G1371&lt;=66,"Medium Spender",TRUE, "High Spender")</f>
        <v>High Spender</v>
      </c>
      <c r="I1371" s="1">
        <v>23</v>
      </c>
      <c r="J1371" s="1">
        <v>4700</v>
      </c>
      <c r="K1371" s="1">
        <v>102</v>
      </c>
      <c r="L1371" s="1" t="s">
        <v>35</v>
      </c>
      <c r="M1371" s="1" t="s">
        <v>21</v>
      </c>
      <c r="N1371" s="1" t="str">
        <f t="shared" si="42"/>
        <v>Higher</v>
      </c>
      <c r="O1371" s="1" t="str">
        <f t="shared" si="43"/>
        <v>Mature | High Spender | Higher</v>
      </c>
    </row>
    <row r="1372" spans="1:15" x14ac:dyDescent="0.25">
      <c r="A1372" s="1" t="s">
        <v>1402</v>
      </c>
      <c r="B1372" s="1">
        <v>38</v>
      </c>
      <c r="C1372" s="1" t="str" cm="1">
        <f t="array" ref="C1372">_xlfn.IFS(OR(B1372=" ", B1372="NA",NOT(ISNUMBER(B1372))), "Unknown",B1372&lt;18,"Underage",B1372&lt;=24,"Young Adult",B1372&lt;=34,"Early Career",B1372&lt;=44,"Mid Career",B1372&lt;=54,"Mature",B1372&lt;=65,"Pre-Senior",B1372&gt;65,"Senior")</f>
        <v>Mid Career</v>
      </c>
      <c r="E1372" s="1" t="s">
        <v>34</v>
      </c>
      <c r="F1372" s="1">
        <v>950000</v>
      </c>
      <c r="G1372" s="1">
        <v>31</v>
      </c>
      <c r="H1372" s="1" t="str" cm="1">
        <f t="array" ref="H1372">_xlfn.IFS( OR(G1372=" ",NOT(ISNUMBER(G1372))),"Unknown",G1372&lt;=33,"Low Spender",G1372&lt;=66,"Medium Spender",TRUE, "High Spender")</f>
        <v>Low Spender</v>
      </c>
      <c r="I1372" s="1">
        <v>52</v>
      </c>
      <c r="J1372" s="1">
        <v>500</v>
      </c>
      <c r="K1372" s="1">
        <v>255</v>
      </c>
      <c r="M1372" s="1" t="s">
        <v>30</v>
      </c>
      <c r="N1372" s="1" t="str">
        <f t="shared" si="42"/>
        <v>Lower</v>
      </c>
      <c r="O1372" s="1" t="str">
        <f t="shared" si="43"/>
        <v>Mid Career | Low Spender | Lower</v>
      </c>
    </row>
    <row r="1373" spans="1:15" x14ac:dyDescent="0.25">
      <c r="A1373" s="1" t="s">
        <v>1403</v>
      </c>
      <c r="B1373" s="1">
        <v>43</v>
      </c>
      <c r="C1373" s="1" t="str" cm="1">
        <f t="array" ref="C1373">_xlfn.IFS(OR(B1373=" ", B1373="NA",NOT(ISNUMBER(B1373))), "Unknown",B1373&lt;18,"Underage",B1373&lt;=24,"Young Adult",B1373&lt;=34,"Early Career",B1373&lt;=44,"Mid Career",B1373&lt;=54,"Mature",B1373&lt;=65,"Pre-Senior",B1373&gt;65,"Senior")</f>
        <v>Mid Career</v>
      </c>
      <c r="D1373" s="1" t="s">
        <v>29</v>
      </c>
      <c r="E1373" s="1" t="s">
        <v>13</v>
      </c>
      <c r="F1373" s="1">
        <v>1500000</v>
      </c>
      <c r="G1373" s="1">
        <v>33</v>
      </c>
      <c r="H1373" s="1" t="str" cm="1">
        <f t="array" ref="H1373">_xlfn.IFS( OR(G1373=" ",NOT(ISNUMBER(G1373))),"Unknown",G1373&lt;=33,"Low Spender",G1373&lt;=66,"Medium Spender",TRUE, "High Spender")</f>
        <v>Low Spender</v>
      </c>
      <c r="I1373" s="1">
        <v>66</v>
      </c>
      <c r="J1373" s="1">
        <v>2400</v>
      </c>
      <c r="K1373" s="1">
        <v>225</v>
      </c>
      <c r="L1373" s="1" t="s">
        <v>35</v>
      </c>
      <c r="M1373" s="1" t="s">
        <v>30</v>
      </c>
      <c r="N1373" s="1" t="str">
        <f t="shared" si="42"/>
        <v>Higher</v>
      </c>
      <c r="O1373" s="1" t="str">
        <f t="shared" si="43"/>
        <v>Mid Career | Low Spender | Higher</v>
      </c>
    </row>
    <row r="1374" spans="1:15" x14ac:dyDescent="0.25">
      <c r="A1374" s="1" t="s">
        <v>1404</v>
      </c>
      <c r="B1374" s="1">
        <v>63</v>
      </c>
      <c r="C1374" s="1" t="str" cm="1">
        <f t="array" ref="C1374">_xlfn.IFS(OR(B1374=" ", B1374="NA",NOT(ISNUMBER(B1374))), "Unknown",B1374&lt;18,"Underage",B1374&lt;=24,"Young Adult",B1374&lt;=34,"Early Career",B1374&lt;=44,"Mid Career",B1374&lt;=54,"Mature",B1374&lt;=65,"Pre-Senior",B1374&gt;65,"Senior")</f>
        <v>Pre-Senior</v>
      </c>
      <c r="D1374" s="1" t="s">
        <v>12</v>
      </c>
      <c r="E1374" s="1" t="s">
        <v>58</v>
      </c>
      <c r="F1374" s="1">
        <v>600000</v>
      </c>
      <c r="G1374" s="1">
        <v>44</v>
      </c>
      <c r="H1374" s="1" t="str" cm="1">
        <f t="array" ref="H1374">_xlfn.IFS( OR(G1374=" ",NOT(ISNUMBER(G1374))),"Unknown",G1374&lt;=33,"Low Spender",G1374&lt;=66,"Medium Spender",TRUE, "High Spender")</f>
        <v>Medium Spender</v>
      </c>
      <c r="I1374" s="1">
        <v>57</v>
      </c>
      <c r="J1374" s="1">
        <v>2900</v>
      </c>
      <c r="K1374" s="1">
        <v>210</v>
      </c>
      <c r="L1374" s="1" t="s">
        <v>35</v>
      </c>
      <c r="M1374" s="1" t="s">
        <v>30</v>
      </c>
      <c r="N1374" s="1" t="str">
        <f t="shared" si="42"/>
        <v>Lower</v>
      </c>
      <c r="O1374" s="1" t="str">
        <f t="shared" si="43"/>
        <v>Pre-Senior | Medium Spender | Lower</v>
      </c>
    </row>
    <row r="1375" spans="1:15" x14ac:dyDescent="0.25">
      <c r="A1375" s="1" t="s">
        <v>1405</v>
      </c>
      <c r="B1375" s="1">
        <v>53</v>
      </c>
      <c r="C1375" s="1" t="str" cm="1">
        <f t="array" ref="C1375">_xlfn.IFS(OR(B1375=" ", B1375="NA",NOT(ISNUMBER(B1375))), "Unknown",B1375&lt;18,"Underage",B1375&lt;=24,"Young Adult",B1375&lt;=34,"Early Career",B1375&lt;=44,"Mid Career",B1375&lt;=54,"Mature",B1375&lt;=65,"Pre-Senior",B1375&gt;65,"Senior")</f>
        <v>Mature</v>
      </c>
      <c r="D1375" s="1" t="s">
        <v>18</v>
      </c>
      <c r="E1375" s="1" t="s">
        <v>34</v>
      </c>
      <c r="F1375" s="1" t="s">
        <v>25</v>
      </c>
      <c r="G1375" s="1">
        <v>71</v>
      </c>
      <c r="H1375" s="1" t="str" cm="1">
        <f t="array" ref="H1375">_xlfn.IFS( OR(G1375=" ",NOT(ISNUMBER(G1375))),"Unknown",G1375&lt;=33,"Low Spender",G1375&lt;=66,"Medium Spender",TRUE, "High Spender")</f>
        <v>High Spender</v>
      </c>
      <c r="I1375" s="1">
        <v>57</v>
      </c>
      <c r="J1375" s="1">
        <v>5700</v>
      </c>
      <c r="K1375" s="1">
        <v>23</v>
      </c>
      <c r="N1375" s="1" t="str">
        <f t="shared" si="42"/>
        <v>Higher</v>
      </c>
      <c r="O1375" s="1" t="str">
        <f t="shared" si="43"/>
        <v>Mature | High Spender | Higher</v>
      </c>
    </row>
    <row r="1376" spans="1:15" x14ac:dyDescent="0.25">
      <c r="A1376" s="1" t="s">
        <v>1406</v>
      </c>
      <c r="C1376" s="1" t="str" cm="1">
        <f t="array" ref="C1376">_xlfn.IFS(OR(B1376=" ", B1376="NA",NOT(ISNUMBER(B1376))), "Unknown",B1376&lt;18,"Underage",B1376&lt;=24,"Young Adult",B1376&lt;=34,"Early Career",B1376&lt;=44,"Mid Career",B1376&lt;=54,"Mature",B1376&lt;=65,"Pre-Senior",B1376&gt;65,"Senior")</f>
        <v>Unknown</v>
      </c>
      <c r="D1376" s="1" t="s">
        <v>18</v>
      </c>
      <c r="E1376" s="1" t="s">
        <v>13</v>
      </c>
      <c r="F1376" s="1">
        <v>850000</v>
      </c>
      <c r="G1376" s="1">
        <v>8</v>
      </c>
      <c r="H1376" s="1" t="str" cm="1">
        <f t="array" ref="H1376">_xlfn.IFS( OR(G1376=" ",NOT(ISNUMBER(G1376))),"Unknown",G1376&lt;=33,"Low Spender",G1376&lt;=66,"Medium Spender",TRUE, "High Spender")</f>
        <v>Low Spender</v>
      </c>
      <c r="I1376" s="1">
        <v>79</v>
      </c>
      <c r="J1376" s="1">
        <v>6900</v>
      </c>
      <c r="K1376" s="1">
        <v>235</v>
      </c>
      <c r="L1376" s="1" t="s">
        <v>35</v>
      </c>
      <c r="N1376" s="1" t="str">
        <f t="shared" si="42"/>
        <v>Higher</v>
      </c>
      <c r="O1376" s="1" t="str">
        <f t="shared" si="43"/>
        <v>Unknown | Low Spender | Higher</v>
      </c>
    </row>
    <row r="1377" spans="1:15" x14ac:dyDescent="0.25">
      <c r="A1377" s="1" t="s">
        <v>1407</v>
      </c>
      <c r="B1377" s="1">
        <v>40</v>
      </c>
      <c r="C1377" s="1" t="str" cm="1">
        <f t="array" ref="C1377">_xlfn.IFS(OR(B1377=" ", B1377="NA",NOT(ISNUMBER(B1377))), "Unknown",B1377&lt;18,"Underage",B1377&lt;=24,"Young Adult",B1377&lt;=34,"Early Career",B1377&lt;=44,"Mid Career",B1377&lt;=54,"Mature",B1377&lt;=65,"Pre-Senior",B1377&gt;65,"Senior")</f>
        <v>Mid Career</v>
      </c>
      <c r="D1377" s="1" t="s">
        <v>18</v>
      </c>
      <c r="E1377" s="1" t="s">
        <v>23</v>
      </c>
      <c r="F1377" s="1">
        <v>1650000</v>
      </c>
      <c r="G1377" s="1">
        <v>73</v>
      </c>
      <c r="H1377" s="1" t="str" cm="1">
        <f t="array" ref="H1377">_xlfn.IFS( OR(G1377=" ",NOT(ISNUMBER(G1377))),"Unknown",G1377&lt;=33,"Low Spender",G1377&lt;=66,"Medium Spender",TRUE, "High Spender")</f>
        <v>High Spender</v>
      </c>
      <c r="I1377" s="1">
        <v>52</v>
      </c>
      <c r="J1377" s="1">
        <v>3500</v>
      </c>
      <c r="K1377" s="1">
        <v>131</v>
      </c>
      <c r="L1377" s="1" t="s">
        <v>16</v>
      </c>
      <c r="M1377" s="1" t="s">
        <v>21</v>
      </c>
      <c r="N1377" s="1" t="str">
        <f t="shared" si="42"/>
        <v>Higher</v>
      </c>
      <c r="O1377" s="1" t="str">
        <f t="shared" si="43"/>
        <v>Mid Career | High Spender | Higher</v>
      </c>
    </row>
    <row r="1378" spans="1:15" x14ac:dyDescent="0.25">
      <c r="A1378" s="1" t="s">
        <v>1408</v>
      </c>
      <c r="B1378" s="1">
        <v>18</v>
      </c>
      <c r="C1378" s="1" t="str" cm="1">
        <f t="array" ref="C1378">_xlfn.IFS(OR(B1378=" ", B1378="NA",NOT(ISNUMBER(B1378))), "Unknown",B1378&lt;18,"Underage",B1378&lt;=24,"Young Adult",B1378&lt;=34,"Early Career",B1378&lt;=44,"Mid Career",B1378&lt;=54,"Mature",B1378&lt;=65,"Pre-Senior",B1378&gt;65,"Senior")</f>
        <v>Young Adult</v>
      </c>
      <c r="F1378" s="1">
        <v>1875000</v>
      </c>
      <c r="G1378" s="1">
        <v>2</v>
      </c>
      <c r="H1378" s="1" t="str" cm="1">
        <f t="array" ref="H1378">_xlfn.IFS( OR(G1378=" ",NOT(ISNUMBER(G1378))),"Unknown",G1378&lt;=33,"Low Spender",G1378&lt;=66,"Medium Spender",TRUE, "High Spender")</f>
        <v>Low Spender</v>
      </c>
      <c r="I1378" s="1">
        <v>35</v>
      </c>
      <c r="J1378" s="1">
        <v>400</v>
      </c>
      <c r="K1378" s="1">
        <v>158</v>
      </c>
      <c r="L1378" s="1" t="s">
        <v>20</v>
      </c>
      <c r="M1378" s="1" t="s">
        <v>41</v>
      </c>
      <c r="N1378" s="1" t="str">
        <f t="shared" si="42"/>
        <v>Lower</v>
      </c>
      <c r="O1378" s="1" t="str">
        <f t="shared" si="43"/>
        <v>Young Adult | Low Spender | Lower</v>
      </c>
    </row>
    <row r="1379" spans="1:15" x14ac:dyDescent="0.25">
      <c r="A1379" s="1" t="s">
        <v>1409</v>
      </c>
      <c r="C1379" s="1" t="str" cm="1">
        <f t="array" ref="C1379">_xlfn.IFS(OR(B1379=" ", B1379="NA",NOT(ISNUMBER(B1379))), "Unknown",B1379&lt;18,"Underage",B1379&lt;=24,"Young Adult",B1379&lt;=34,"Early Career",B1379&lt;=44,"Mid Career",B1379&lt;=54,"Mature",B1379&lt;=65,"Pre-Senior",B1379&gt;65,"Senior")</f>
        <v>Unknown</v>
      </c>
      <c r="D1379" s="1" t="s">
        <v>29</v>
      </c>
      <c r="F1379" s="1">
        <v>725000</v>
      </c>
      <c r="G1379" s="1">
        <v>17</v>
      </c>
      <c r="H1379" s="1" t="str" cm="1">
        <f t="array" ref="H1379">_xlfn.IFS( OR(G1379=" ",NOT(ISNUMBER(G1379))),"Unknown",G1379&lt;=33,"Low Spender",G1379&lt;=66,"Medium Spender",TRUE, "High Spender")</f>
        <v>Low Spender</v>
      </c>
      <c r="I1379" s="1">
        <v>74</v>
      </c>
      <c r="J1379" s="1">
        <v>7700</v>
      </c>
      <c r="K1379" s="1">
        <v>173</v>
      </c>
      <c r="L1379" s="1" t="s">
        <v>20</v>
      </c>
      <c r="N1379" s="1" t="str">
        <f t="shared" si="42"/>
        <v>Higher</v>
      </c>
      <c r="O1379" s="1" t="str">
        <f t="shared" si="43"/>
        <v>Unknown | Low Spender | Higher</v>
      </c>
    </row>
    <row r="1380" spans="1:15" x14ac:dyDescent="0.25">
      <c r="A1380" s="1" t="s">
        <v>1410</v>
      </c>
      <c r="B1380" s="1" t="s">
        <v>73</v>
      </c>
      <c r="C1380" s="1" t="str" cm="1">
        <f t="array" ref="C1380">_xlfn.IFS(OR(B1380=" ", B1380="NA",NOT(ISNUMBER(B1380))), "Unknown",B1380&lt;18,"Underage",B1380&lt;=24,"Young Adult",B1380&lt;=34,"Early Career",B1380&lt;=44,"Mid Career",B1380&lt;=54,"Mature",B1380&lt;=65,"Pre-Senior",B1380&gt;65,"Senior")</f>
        <v>Unknown</v>
      </c>
      <c r="E1380" s="1" t="s">
        <v>15</v>
      </c>
      <c r="F1380" s="1">
        <v>700000</v>
      </c>
      <c r="G1380" s="1">
        <v>52</v>
      </c>
      <c r="H1380" s="1" t="str" cm="1">
        <f t="array" ref="H1380">_xlfn.IFS( OR(G1380=" ",NOT(ISNUMBER(G1380))),"Unknown",G1380&lt;=33,"Low Spender",G1380&lt;=66,"Medium Spender",TRUE, "High Spender")</f>
        <v>Medium Spender</v>
      </c>
      <c r="I1380" s="1">
        <v>14</v>
      </c>
      <c r="J1380" s="1">
        <v>4800</v>
      </c>
      <c r="K1380" s="1">
        <v>17</v>
      </c>
      <c r="L1380" s="1" t="s">
        <v>37</v>
      </c>
      <c r="M1380" s="1" t="s">
        <v>41</v>
      </c>
      <c r="N1380" s="1" t="str">
        <f t="shared" si="42"/>
        <v>Lower</v>
      </c>
      <c r="O1380" s="1" t="str">
        <f t="shared" si="43"/>
        <v>Unknown | Medium Spender | Lower</v>
      </c>
    </row>
    <row r="1381" spans="1:15" x14ac:dyDescent="0.25">
      <c r="A1381" s="1" t="s">
        <v>1411</v>
      </c>
      <c r="B1381" s="1">
        <v>68</v>
      </c>
      <c r="C1381" s="1" t="str" cm="1">
        <f t="array" ref="C1381">_xlfn.IFS(OR(B1381=" ", B1381="NA",NOT(ISNUMBER(B1381))), "Unknown",B1381&lt;18,"Underage",B1381&lt;=24,"Young Adult",B1381&lt;=34,"Early Career",B1381&lt;=44,"Mid Career",B1381&lt;=54,"Mature",B1381&lt;=65,"Pre-Senior",B1381&gt;65,"Senior")</f>
        <v>Senior</v>
      </c>
      <c r="D1381" s="1" t="s">
        <v>12</v>
      </c>
      <c r="E1381" s="1" t="s">
        <v>23</v>
      </c>
      <c r="F1381" s="1">
        <v>375000</v>
      </c>
      <c r="G1381" s="1">
        <v>45</v>
      </c>
      <c r="H1381" s="1" t="str" cm="1">
        <f t="array" ref="H1381">_xlfn.IFS( OR(G1381=" ",NOT(ISNUMBER(G1381))),"Unknown",G1381&lt;=33,"Low Spender",G1381&lt;=66,"Medium Spender",TRUE, "High Spender")</f>
        <v>Medium Spender</v>
      </c>
      <c r="I1381" s="1">
        <v>14</v>
      </c>
      <c r="J1381" s="1">
        <v>7600</v>
      </c>
      <c r="K1381" s="1">
        <v>314</v>
      </c>
      <c r="L1381" s="1" t="s">
        <v>37</v>
      </c>
      <c r="M1381" s="1" t="s">
        <v>21</v>
      </c>
      <c r="N1381" s="1" t="str">
        <f t="shared" si="42"/>
        <v>Lower</v>
      </c>
      <c r="O1381" s="1" t="str">
        <f t="shared" si="43"/>
        <v>Senior | Medium Spender | Lower</v>
      </c>
    </row>
    <row r="1382" spans="1:15" x14ac:dyDescent="0.25">
      <c r="A1382" s="1" t="s">
        <v>1412</v>
      </c>
      <c r="B1382" s="1">
        <v>57</v>
      </c>
      <c r="C1382" s="1" t="str" cm="1">
        <f t="array" ref="C1382">_xlfn.IFS(OR(B1382=" ", B1382="NA",NOT(ISNUMBER(B1382))), "Unknown",B1382&lt;18,"Underage",B1382&lt;=24,"Young Adult",B1382&lt;=34,"Early Career",B1382&lt;=44,"Mid Career",B1382&lt;=54,"Mature",B1382&lt;=65,"Pre-Senior",B1382&gt;65,"Senior")</f>
        <v>Pre-Senior</v>
      </c>
      <c r="D1382" s="1" t="s">
        <v>29</v>
      </c>
      <c r="E1382" s="1" t="s">
        <v>15</v>
      </c>
      <c r="F1382" s="1">
        <v>1475000</v>
      </c>
      <c r="G1382" s="1">
        <v>37</v>
      </c>
      <c r="H1382" s="1" t="str" cm="1">
        <f t="array" ref="H1382">_xlfn.IFS( OR(G1382=" ",NOT(ISNUMBER(G1382))),"Unknown",G1382&lt;=33,"Low Spender",G1382&lt;=66,"Medium Spender",TRUE, "High Spender")</f>
        <v>Medium Spender</v>
      </c>
      <c r="I1382" s="1">
        <v>33</v>
      </c>
      <c r="J1382" s="1">
        <v>10500</v>
      </c>
      <c r="M1382" s="1" t="s">
        <v>32</v>
      </c>
      <c r="N1382" s="1" t="str">
        <f t="shared" si="42"/>
        <v>Higher</v>
      </c>
      <c r="O1382" s="1" t="str">
        <f t="shared" si="43"/>
        <v>Pre-Senior | Medium Spender | Higher</v>
      </c>
    </row>
    <row r="1383" spans="1:15" x14ac:dyDescent="0.25">
      <c r="A1383" s="1" t="s">
        <v>1413</v>
      </c>
      <c r="B1383" s="1">
        <v>32</v>
      </c>
      <c r="C1383" s="1" t="str" cm="1">
        <f t="array" ref="C1383">_xlfn.IFS(OR(B1383=" ", B1383="NA",NOT(ISNUMBER(B1383))), "Unknown",B1383&lt;18,"Underage",B1383&lt;=24,"Young Adult",B1383&lt;=34,"Early Career",B1383&lt;=44,"Mid Career",B1383&lt;=54,"Mature",B1383&lt;=65,"Pre-Senior",B1383&gt;65,"Senior")</f>
        <v>Early Career</v>
      </c>
      <c r="D1383" s="1" t="s">
        <v>29</v>
      </c>
      <c r="F1383" s="1">
        <v>1150000</v>
      </c>
      <c r="G1383" s="1">
        <v>42</v>
      </c>
      <c r="H1383" s="1" t="str" cm="1">
        <f t="array" ref="H1383">_xlfn.IFS( OR(G1383=" ",NOT(ISNUMBER(G1383))),"Unknown",G1383&lt;=33,"Low Spender",G1383&lt;=66,"Medium Spender",TRUE, "High Spender")</f>
        <v>Medium Spender</v>
      </c>
      <c r="I1383" s="1">
        <v>52</v>
      </c>
      <c r="K1383" s="1">
        <v>185</v>
      </c>
      <c r="L1383" s="1" t="s">
        <v>16</v>
      </c>
      <c r="N1383" s="1" t="str">
        <f t="shared" si="42"/>
        <v>Higher</v>
      </c>
      <c r="O1383" s="1" t="str">
        <f t="shared" si="43"/>
        <v>Early Career | Medium Spender | Higher</v>
      </c>
    </row>
    <row r="1384" spans="1:15" x14ac:dyDescent="0.25">
      <c r="A1384" s="1" t="s">
        <v>1414</v>
      </c>
      <c r="B1384" s="1">
        <v>38</v>
      </c>
      <c r="C1384" s="1" t="str" cm="1">
        <f t="array" ref="C1384">_xlfn.IFS(OR(B1384=" ", B1384="NA",NOT(ISNUMBER(B1384))), "Unknown",B1384&lt;18,"Underage",B1384&lt;=24,"Young Adult",B1384&lt;=34,"Early Career",B1384&lt;=44,"Mid Career",B1384&lt;=54,"Mature",B1384&lt;=65,"Pre-Senior",B1384&gt;65,"Senior")</f>
        <v>Mid Career</v>
      </c>
      <c r="D1384" s="1" t="s">
        <v>12</v>
      </c>
      <c r="E1384" s="1" t="s">
        <v>13</v>
      </c>
      <c r="F1384" s="1">
        <v>1350000</v>
      </c>
      <c r="G1384" s="1">
        <v>44</v>
      </c>
      <c r="H1384" s="1" t="str" cm="1">
        <f t="array" ref="H1384">_xlfn.IFS( OR(G1384=" ",NOT(ISNUMBER(G1384))),"Unknown",G1384&lt;=33,"Low Spender",G1384&lt;=66,"Medium Spender",TRUE, "High Spender")</f>
        <v>Medium Spender</v>
      </c>
      <c r="I1384" s="1">
        <v>1</v>
      </c>
      <c r="J1384" s="1">
        <v>3500</v>
      </c>
      <c r="K1384" s="1">
        <v>334</v>
      </c>
      <c r="L1384" s="1" t="s">
        <v>37</v>
      </c>
      <c r="N1384" s="1" t="str">
        <f t="shared" si="42"/>
        <v>Lower</v>
      </c>
      <c r="O1384" s="1" t="str">
        <f t="shared" si="43"/>
        <v>Mid Career | Medium Spender | Lower</v>
      </c>
    </row>
    <row r="1385" spans="1:15" x14ac:dyDescent="0.25">
      <c r="A1385" s="1" t="s">
        <v>1415</v>
      </c>
      <c r="B1385" s="1">
        <v>64</v>
      </c>
      <c r="C1385" s="1" t="str" cm="1">
        <f t="array" ref="C1385">_xlfn.IFS(OR(B1385=" ", B1385="NA",NOT(ISNUMBER(B1385))), "Unknown",B1385&lt;18,"Underage",B1385&lt;=24,"Young Adult",B1385&lt;=34,"Early Career",B1385&lt;=44,"Mid Career",B1385&lt;=54,"Mature",B1385&lt;=65,"Pre-Senior",B1385&gt;65,"Senior")</f>
        <v>Pre-Senior</v>
      </c>
      <c r="D1385" s="1" t="s">
        <v>29</v>
      </c>
      <c r="E1385" s="1" t="s">
        <v>13</v>
      </c>
      <c r="F1385" s="1">
        <v>550000</v>
      </c>
      <c r="G1385" s="1">
        <v>81</v>
      </c>
      <c r="H1385" s="1" t="str" cm="1">
        <f t="array" ref="H1385">_xlfn.IFS( OR(G1385=" ",NOT(ISNUMBER(G1385))),"Unknown",G1385&lt;=33,"Low Spender",G1385&lt;=66,"Medium Spender",TRUE, "High Spender")</f>
        <v>High Spender</v>
      </c>
      <c r="I1385" s="1">
        <v>34</v>
      </c>
      <c r="J1385" s="1">
        <v>6000</v>
      </c>
      <c r="K1385" s="1">
        <v>184</v>
      </c>
      <c r="L1385" s="1" t="s">
        <v>20</v>
      </c>
      <c r="M1385" s="1" t="s">
        <v>41</v>
      </c>
      <c r="N1385" s="1" t="str">
        <f t="shared" si="42"/>
        <v>Higher</v>
      </c>
      <c r="O1385" s="1" t="str">
        <f t="shared" si="43"/>
        <v>Pre-Senior | High Spender | Higher</v>
      </c>
    </row>
    <row r="1386" spans="1:15" x14ac:dyDescent="0.25">
      <c r="A1386" s="1" t="s">
        <v>1416</v>
      </c>
      <c r="B1386" s="1">
        <v>26</v>
      </c>
      <c r="C1386" s="1" t="str" cm="1">
        <f t="array" ref="C1386">_xlfn.IFS(OR(B1386=" ", B1386="NA",NOT(ISNUMBER(B1386))), "Unknown",B1386&lt;18,"Underage",B1386&lt;=24,"Young Adult",B1386&lt;=34,"Early Career",B1386&lt;=44,"Mid Career",B1386&lt;=54,"Mature",B1386&lt;=65,"Pre-Senior",B1386&gt;65,"Senior")</f>
        <v>Early Career</v>
      </c>
      <c r="D1386" s="1" t="s">
        <v>18</v>
      </c>
      <c r="F1386" s="1">
        <v>1525000</v>
      </c>
      <c r="G1386" s="1">
        <v>38</v>
      </c>
      <c r="H1386" s="1" t="str" cm="1">
        <f t="array" ref="H1386">_xlfn.IFS( OR(G1386=" ",NOT(ISNUMBER(G1386))),"Unknown",G1386&lt;=33,"Low Spender",G1386&lt;=66,"Medium Spender",TRUE, "High Spender")</f>
        <v>Medium Spender</v>
      </c>
      <c r="I1386" s="1">
        <v>19</v>
      </c>
      <c r="J1386" s="1">
        <v>900</v>
      </c>
      <c r="K1386" s="1">
        <v>143</v>
      </c>
      <c r="L1386" s="1" t="s">
        <v>37</v>
      </c>
      <c r="N1386" s="1" t="str">
        <f t="shared" si="42"/>
        <v>Higher</v>
      </c>
      <c r="O1386" s="1" t="str">
        <f t="shared" si="43"/>
        <v>Early Career | Medium Spender | Higher</v>
      </c>
    </row>
    <row r="1387" spans="1:15" x14ac:dyDescent="0.25">
      <c r="A1387" s="1" t="s">
        <v>1417</v>
      </c>
      <c r="C1387" s="1" t="str" cm="1">
        <f t="array" ref="C1387">_xlfn.IFS(OR(B1387=" ", B1387="NA",NOT(ISNUMBER(B1387))), "Unknown",B1387&lt;18,"Underage",B1387&lt;=24,"Young Adult",B1387&lt;=34,"Early Career",B1387&lt;=44,"Mid Career",B1387&lt;=54,"Mature",B1387&lt;=65,"Pre-Senior",B1387&gt;65,"Senior")</f>
        <v>Unknown</v>
      </c>
      <c r="D1387" s="1" t="s">
        <v>12</v>
      </c>
      <c r="E1387" s="1" t="s">
        <v>27</v>
      </c>
      <c r="F1387" s="1">
        <v>1250000</v>
      </c>
      <c r="G1387" s="1">
        <v>99</v>
      </c>
      <c r="H1387" s="1" t="str" cm="1">
        <f t="array" ref="H1387">_xlfn.IFS( OR(G1387=" ",NOT(ISNUMBER(G1387))),"Unknown",G1387&lt;=33,"Low Spender",G1387&lt;=66,"Medium Spender",TRUE, "High Spender")</f>
        <v>High Spender</v>
      </c>
      <c r="I1387" s="1">
        <v>24</v>
      </c>
      <c r="J1387" s="1">
        <v>1700</v>
      </c>
      <c r="K1387" s="1">
        <v>44</v>
      </c>
      <c r="L1387" s="1" t="s">
        <v>37</v>
      </c>
      <c r="N1387" s="1" t="str">
        <f t="shared" si="42"/>
        <v>Lower</v>
      </c>
      <c r="O1387" s="1" t="str">
        <f t="shared" si="43"/>
        <v>Unknown | High Spender | Lower</v>
      </c>
    </row>
    <row r="1388" spans="1:15" x14ac:dyDescent="0.25">
      <c r="A1388" s="1" t="s">
        <v>1418</v>
      </c>
      <c r="B1388" s="1">
        <v>26</v>
      </c>
      <c r="C1388" s="1" t="str" cm="1">
        <f t="array" ref="C1388">_xlfn.IFS(OR(B1388=" ", B1388="NA",NOT(ISNUMBER(B1388))), "Unknown",B1388&lt;18,"Underage",B1388&lt;=24,"Young Adult",B1388&lt;=34,"Early Career",B1388&lt;=44,"Mid Career",B1388&lt;=54,"Mature",B1388&lt;=65,"Pre-Senior",B1388&gt;65,"Senior")</f>
        <v>Early Career</v>
      </c>
      <c r="D1388" s="1" t="s">
        <v>12</v>
      </c>
      <c r="F1388" s="1">
        <v>875000</v>
      </c>
      <c r="G1388" s="1">
        <v>94</v>
      </c>
      <c r="H1388" s="1" t="str" cm="1">
        <f t="array" ref="H1388">_xlfn.IFS( OR(G1388=" ",NOT(ISNUMBER(G1388))),"Unknown",G1388&lt;=33,"Low Spender",G1388&lt;=66,"Medium Spender",TRUE, "High Spender")</f>
        <v>High Spender</v>
      </c>
      <c r="I1388" s="1">
        <v>4</v>
      </c>
      <c r="J1388" s="1">
        <v>2800</v>
      </c>
      <c r="K1388" s="1">
        <v>12</v>
      </c>
      <c r="L1388" s="1" t="s">
        <v>35</v>
      </c>
      <c r="M1388" s="1" t="s">
        <v>30</v>
      </c>
      <c r="N1388" s="1" t="str">
        <f t="shared" si="42"/>
        <v>Lower</v>
      </c>
      <c r="O1388" s="1" t="str">
        <f t="shared" si="43"/>
        <v>Early Career | High Spender | Lower</v>
      </c>
    </row>
    <row r="1389" spans="1:15" x14ac:dyDescent="0.25">
      <c r="A1389" s="1" t="s">
        <v>1419</v>
      </c>
      <c r="B1389" s="1">
        <v>27</v>
      </c>
      <c r="C1389" s="1" t="str" cm="1">
        <f t="array" ref="C1389">_xlfn.IFS(OR(B1389=" ", B1389="NA",NOT(ISNUMBER(B1389))), "Unknown",B1389&lt;18,"Underage",B1389&lt;=24,"Young Adult",B1389&lt;=34,"Early Career",B1389&lt;=44,"Mid Career",B1389&lt;=54,"Mature",B1389&lt;=65,"Pre-Senior",B1389&gt;65,"Senior")</f>
        <v>Early Career</v>
      </c>
      <c r="D1389" s="1" t="s">
        <v>18</v>
      </c>
      <c r="E1389" s="1" t="s">
        <v>13</v>
      </c>
      <c r="F1389" s="1">
        <v>1225000</v>
      </c>
      <c r="G1389" s="1">
        <v>6</v>
      </c>
      <c r="H1389" s="1" t="str" cm="1">
        <f t="array" ref="H1389">_xlfn.IFS( OR(G1389=" ",NOT(ISNUMBER(G1389))),"Unknown",G1389&lt;=33,"Low Spender",G1389&lt;=66,"Medium Spender",TRUE, "High Spender")</f>
        <v>Low Spender</v>
      </c>
      <c r="I1389" s="1">
        <v>36</v>
      </c>
      <c r="J1389" s="1">
        <v>1300</v>
      </c>
      <c r="K1389" s="1">
        <v>8</v>
      </c>
      <c r="L1389" s="1" t="s">
        <v>37</v>
      </c>
      <c r="M1389" s="1" t="s">
        <v>32</v>
      </c>
      <c r="N1389" s="1" t="str">
        <f t="shared" si="42"/>
        <v>Higher</v>
      </c>
      <c r="O1389" s="1" t="str">
        <f t="shared" si="43"/>
        <v>Early Career | Low Spender | Higher</v>
      </c>
    </row>
    <row r="1390" spans="1:15" x14ac:dyDescent="0.25">
      <c r="A1390" s="1" t="s">
        <v>1420</v>
      </c>
      <c r="B1390" s="1">
        <v>69</v>
      </c>
      <c r="C1390" s="1" t="str" cm="1">
        <f t="array" ref="C1390">_xlfn.IFS(OR(B1390=" ", B1390="NA",NOT(ISNUMBER(B1390))), "Unknown",B1390&lt;18,"Underage",B1390&lt;=24,"Young Adult",B1390&lt;=34,"Early Career",B1390&lt;=44,"Mid Career",B1390&lt;=54,"Mature",B1390&lt;=65,"Pre-Senior",B1390&gt;65,"Senior")</f>
        <v>Senior</v>
      </c>
      <c r="D1390" s="1" t="s">
        <v>18</v>
      </c>
      <c r="E1390" s="1" t="s">
        <v>34</v>
      </c>
      <c r="F1390" s="1">
        <v>1975000</v>
      </c>
      <c r="G1390" s="1">
        <v>68</v>
      </c>
      <c r="H1390" s="1" t="str" cm="1">
        <f t="array" ref="H1390">_xlfn.IFS( OR(G1390=" ",NOT(ISNUMBER(G1390))),"Unknown",G1390&lt;=33,"Low Spender",G1390&lt;=66,"Medium Spender",TRUE, "High Spender")</f>
        <v>High Spender</v>
      </c>
      <c r="I1390" s="1">
        <v>77</v>
      </c>
      <c r="J1390" s="1">
        <v>4000</v>
      </c>
      <c r="K1390" s="1">
        <v>80</v>
      </c>
      <c r="M1390" s="1" t="s">
        <v>30</v>
      </c>
      <c r="N1390" s="1" t="str">
        <f t="shared" si="42"/>
        <v>Higher</v>
      </c>
      <c r="O1390" s="1" t="str">
        <f t="shared" si="43"/>
        <v>Senior | High Spender | Higher</v>
      </c>
    </row>
    <row r="1391" spans="1:15" x14ac:dyDescent="0.25">
      <c r="A1391" s="1" t="s">
        <v>1421</v>
      </c>
      <c r="C1391" s="1" t="str" cm="1">
        <f t="array" ref="C1391">_xlfn.IFS(OR(B1391=" ", B1391="NA",NOT(ISNUMBER(B1391))), "Unknown",B1391&lt;18,"Underage",B1391&lt;=24,"Young Adult",B1391&lt;=34,"Early Career",B1391&lt;=44,"Mid Career",B1391&lt;=54,"Mature",B1391&lt;=65,"Pre-Senior",B1391&gt;65,"Senior")</f>
        <v>Unknown</v>
      </c>
      <c r="D1391" s="1" t="s">
        <v>29</v>
      </c>
      <c r="F1391" s="1">
        <v>1500000</v>
      </c>
      <c r="G1391" s="1">
        <v>51</v>
      </c>
      <c r="H1391" s="1" t="str" cm="1">
        <f t="array" ref="H1391">_xlfn.IFS( OR(G1391=" ",NOT(ISNUMBER(G1391))),"Unknown",G1391&lt;=33,"Low Spender",G1391&lt;=66,"Medium Spender",TRUE, "High Spender")</f>
        <v>Medium Spender</v>
      </c>
      <c r="I1391" s="1">
        <v>58</v>
      </c>
      <c r="J1391" s="1">
        <v>2900</v>
      </c>
      <c r="K1391" s="1">
        <v>297</v>
      </c>
      <c r="L1391" s="1" t="s">
        <v>20</v>
      </c>
      <c r="M1391" s="1" t="s">
        <v>32</v>
      </c>
      <c r="N1391" s="1" t="str">
        <f t="shared" si="42"/>
        <v>Higher</v>
      </c>
      <c r="O1391" s="1" t="str">
        <f t="shared" si="43"/>
        <v>Unknown | Medium Spender | Higher</v>
      </c>
    </row>
    <row r="1392" spans="1:15" x14ac:dyDescent="0.25">
      <c r="A1392" s="1" t="s">
        <v>1422</v>
      </c>
      <c r="B1392" s="1">
        <v>43</v>
      </c>
      <c r="C1392" s="1" t="str" cm="1">
        <f t="array" ref="C1392">_xlfn.IFS(OR(B1392=" ", B1392="NA",NOT(ISNUMBER(B1392))), "Unknown",B1392&lt;18,"Underage",B1392&lt;=24,"Young Adult",B1392&lt;=34,"Early Career",B1392&lt;=44,"Mid Career",B1392&lt;=54,"Mature",B1392&lt;=65,"Pre-Senior",B1392&gt;65,"Senior")</f>
        <v>Mid Career</v>
      </c>
      <c r="E1392" s="1" t="s">
        <v>15</v>
      </c>
      <c r="F1392" s="1">
        <v>600000</v>
      </c>
      <c r="H1392" s="1" t="str" cm="1">
        <f t="array" ref="H1392">_xlfn.IFS( OR(G1392=" ",NOT(ISNUMBER(G1392))),"Unknown",G1392&lt;=33,"Low Spender",G1392&lt;=66,"Medium Spender",TRUE, "High Spender")</f>
        <v>Unknown</v>
      </c>
      <c r="I1392" s="1">
        <v>32</v>
      </c>
      <c r="K1392" s="1">
        <v>162</v>
      </c>
      <c r="M1392" s="1" t="s">
        <v>32</v>
      </c>
      <c r="N1392" s="1" t="str">
        <f t="shared" si="42"/>
        <v>Lower</v>
      </c>
      <c r="O1392" s="1" t="str">
        <f t="shared" si="43"/>
        <v>Mid Career | Unknown | Lower</v>
      </c>
    </row>
    <row r="1393" spans="1:15" x14ac:dyDescent="0.25">
      <c r="A1393" s="1" t="s">
        <v>1423</v>
      </c>
      <c r="B1393" s="1">
        <v>58</v>
      </c>
      <c r="C1393" s="1" t="str" cm="1">
        <f t="array" ref="C1393">_xlfn.IFS(OR(B1393=" ", B1393="NA",NOT(ISNUMBER(B1393))), "Unknown",B1393&lt;18,"Underage",B1393&lt;=24,"Young Adult",B1393&lt;=34,"Early Career",B1393&lt;=44,"Mid Career",B1393&lt;=54,"Mature",B1393&lt;=65,"Pre-Senior",B1393&gt;65,"Senior")</f>
        <v>Pre-Senior</v>
      </c>
      <c r="E1393" s="1" t="s">
        <v>23</v>
      </c>
      <c r="F1393" s="1">
        <v>850000</v>
      </c>
      <c r="G1393" s="1">
        <v>35</v>
      </c>
      <c r="H1393" s="1" t="str" cm="1">
        <f t="array" ref="H1393">_xlfn.IFS( OR(G1393=" ",NOT(ISNUMBER(G1393))),"Unknown",G1393&lt;=33,"Low Spender",G1393&lt;=66,"Medium Spender",TRUE, "High Spender")</f>
        <v>Medium Spender</v>
      </c>
      <c r="I1393" s="1">
        <v>9</v>
      </c>
      <c r="J1393" s="1">
        <v>10500</v>
      </c>
      <c r="K1393" s="1">
        <v>302</v>
      </c>
      <c r="N1393" s="1" t="str">
        <f t="shared" si="42"/>
        <v>Lower</v>
      </c>
      <c r="O1393" s="1" t="str">
        <f t="shared" si="43"/>
        <v>Pre-Senior | Medium Spender | Lower</v>
      </c>
    </row>
    <row r="1394" spans="1:15" x14ac:dyDescent="0.25">
      <c r="A1394" s="1" t="s">
        <v>1424</v>
      </c>
      <c r="B1394" s="1">
        <v>52</v>
      </c>
      <c r="C1394" s="1" t="str" cm="1">
        <f t="array" ref="C1394">_xlfn.IFS(OR(B1394=" ", B1394="NA",NOT(ISNUMBER(B1394))), "Unknown",B1394&lt;18,"Underage",B1394&lt;=24,"Young Adult",B1394&lt;=34,"Early Career",B1394&lt;=44,"Mid Career",B1394&lt;=54,"Mature",B1394&lt;=65,"Pre-Senior",B1394&gt;65,"Senior")</f>
        <v>Mature</v>
      </c>
      <c r="D1394" s="1" t="s">
        <v>29</v>
      </c>
      <c r="E1394" s="1" t="s">
        <v>15</v>
      </c>
      <c r="F1394" s="1">
        <v>175000</v>
      </c>
      <c r="G1394" s="1">
        <v>58</v>
      </c>
      <c r="H1394" s="1" t="str" cm="1">
        <f t="array" ref="H1394">_xlfn.IFS( OR(G1394=" ",NOT(ISNUMBER(G1394))),"Unknown",G1394&lt;=33,"Low Spender",G1394&lt;=66,"Medium Spender",TRUE, "High Spender")</f>
        <v>Medium Spender</v>
      </c>
      <c r="J1394" s="1">
        <v>900</v>
      </c>
      <c r="K1394" s="1">
        <v>216</v>
      </c>
      <c r="N1394" s="1" t="str">
        <f t="shared" si="42"/>
        <v>Higher</v>
      </c>
      <c r="O1394" s="1" t="str">
        <f t="shared" si="43"/>
        <v>Mature | Medium Spender | Higher</v>
      </c>
    </row>
    <row r="1395" spans="1:15" x14ac:dyDescent="0.25">
      <c r="A1395" s="1" t="s">
        <v>1425</v>
      </c>
      <c r="B1395" s="1">
        <v>69</v>
      </c>
      <c r="C1395" s="1" t="str" cm="1">
        <f t="array" ref="C1395">_xlfn.IFS(OR(B1395=" ", B1395="NA",NOT(ISNUMBER(B1395))), "Unknown",B1395&lt;18,"Underage",B1395&lt;=24,"Young Adult",B1395&lt;=34,"Early Career",B1395&lt;=44,"Mid Career",B1395&lt;=54,"Mature",B1395&lt;=65,"Pre-Senior",B1395&gt;65,"Senior")</f>
        <v>Senior</v>
      </c>
      <c r="D1395" s="1" t="s">
        <v>18</v>
      </c>
      <c r="E1395" s="1" t="s">
        <v>49</v>
      </c>
      <c r="F1395" s="1">
        <v>1025000</v>
      </c>
      <c r="G1395" s="1">
        <v>57</v>
      </c>
      <c r="H1395" s="1" t="str" cm="1">
        <f t="array" ref="H1395">_xlfn.IFS( OR(G1395=" ",NOT(ISNUMBER(G1395))),"Unknown",G1395&lt;=33,"Low Spender",G1395&lt;=66,"Medium Spender",TRUE, "High Spender")</f>
        <v>Medium Spender</v>
      </c>
      <c r="I1395" s="1">
        <v>67</v>
      </c>
      <c r="J1395" s="1">
        <v>300</v>
      </c>
      <c r="K1395" s="1">
        <v>248</v>
      </c>
      <c r="L1395" s="1" t="s">
        <v>16</v>
      </c>
      <c r="M1395" s="1" t="s">
        <v>30</v>
      </c>
      <c r="N1395" s="1" t="str">
        <f t="shared" si="42"/>
        <v>Higher</v>
      </c>
      <c r="O1395" s="1" t="str">
        <f t="shared" si="43"/>
        <v>Senior | Medium Spender | Higher</v>
      </c>
    </row>
    <row r="1396" spans="1:15" x14ac:dyDescent="0.25">
      <c r="A1396" s="1" t="s">
        <v>1426</v>
      </c>
      <c r="B1396" s="1">
        <v>42</v>
      </c>
      <c r="C1396" s="1" t="str" cm="1">
        <f t="array" ref="C1396">_xlfn.IFS(OR(B1396=" ", B1396="NA",NOT(ISNUMBER(B1396))), "Unknown",B1396&lt;18,"Underage",B1396&lt;=24,"Young Adult",B1396&lt;=34,"Early Career",B1396&lt;=44,"Mid Career",B1396&lt;=54,"Mature",B1396&lt;=65,"Pre-Senior",B1396&gt;65,"Senior")</f>
        <v>Mid Career</v>
      </c>
      <c r="D1396" s="1" t="s">
        <v>29</v>
      </c>
      <c r="E1396" s="1" t="s">
        <v>27</v>
      </c>
      <c r="F1396" s="1">
        <v>600000</v>
      </c>
      <c r="G1396" s="1">
        <v>73</v>
      </c>
      <c r="H1396" s="1" t="str" cm="1">
        <f t="array" ref="H1396">_xlfn.IFS( OR(G1396=" ",NOT(ISNUMBER(G1396))),"Unknown",G1396&lt;=33,"Low Spender",G1396&lt;=66,"Medium Spender",TRUE, "High Spender")</f>
        <v>High Spender</v>
      </c>
      <c r="I1396" s="1">
        <v>20</v>
      </c>
      <c r="J1396" s="1">
        <v>7600</v>
      </c>
      <c r="K1396" s="1">
        <v>29</v>
      </c>
      <c r="M1396" s="1" t="s">
        <v>30</v>
      </c>
      <c r="N1396" s="1" t="str">
        <f t="shared" si="42"/>
        <v>Higher</v>
      </c>
      <c r="O1396" s="1" t="str">
        <f t="shared" si="43"/>
        <v>Mid Career | High Spender | Higher</v>
      </c>
    </row>
    <row r="1397" spans="1:15" x14ac:dyDescent="0.25">
      <c r="A1397" s="1" t="s">
        <v>1427</v>
      </c>
      <c r="B1397" s="1">
        <v>43</v>
      </c>
      <c r="C1397" s="1" t="str" cm="1">
        <f t="array" ref="C1397">_xlfn.IFS(OR(B1397=" ", B1397="NA",NOT(ISNUMBER(B1397))), "Unknown",B1397&lt;18,"Underage",B1397&lt;=24,"Young Adult",B1397&lt;=34,"Early Career",B1397&lt;=44,"Mid Career",B1397&lt;=54,"Mature",B1397&lt;=65,"Pre-Senior",B1397&gt;65,"Senior")</f>
        <v>Mid Career</v>
      </c>
      <c r="D1397" s="1" t="s">
        <v>29</v>
      </c>
      <c r="E1397" s="1" t="s">
        <v>13</v>
      </c>
      <c r="F1397" s="1">
        <v>300000</v>
      </c>
      <c r="G1397" s="1">
        <v>6</v>
      </c>
      <c r="H1397" s="1" t="str" cm="1">
        <f t="array" ref="H1397">_xlfn.IFS( OR(G1397=" ",NOT(ISNUMBER(G1397))),"Unknown",G1397&lt;=33,"Low Spender",G1397&lt;=66,"Medium Spender",TRUE, "High Spender")</f>
        <v>Low Spender</v>
      </c>
      <c r="I1397" s="1">
        <v>74</v>
      </c>
      <c r="J1397" s="1">
        <v>2300</v>
      </c>
      <c r="K1397" s="1">
        <v>272</v>
      </c>
      <c r="M1397" s="1" t="s">
        <v>41</v>
      </c>
      <c r="N1397" s="1" t="str">
        <f t="shared" si="42"/>
        <v>Higher</v>
      </c>
      <c r="O1397" s="1" t="str">
        <f t="shared" si="43"/>
        <v>Mid Career | Low Spender | Higher</v>
      </c>
    </row>
    <row r="1398" spans="1:15" x14ac:dyDescent="0.25">
      <c r="A1398" s="1" t="s">
        <v>1428</v>
      </c>
      <c r="B1398" s="1">
        <v>28</v>
      </c>
      <c r="C1398" s="1" t="str" cm="1">
        <f t="array" ref="C1398">_xlfn.IFS(OR(B1398=" ", B1398="NA",NOT(ISNUMBER(B1398))), "Unknown",B1398&lt;18,"Underage",B1398&lt;=24,"Young Adult",B1398&lt;=34,"Early Career",B1398&lt;=44,"Mid Career",B1398&lt;=54,"Mature",B1398&lt;=65,"Pre-Senior",B1398&gt;65,"Senior")</f>
        <v>Early Career</v>
      </c>
      <c r="D1398" s="1" t="s">
        <v>29</v>
      </c>
      <c r="E1398" s="1" t="s">
        <v>58</v>
      </c>
      <c r="F1398" s="1">
        <v>775000</v>
      </c>
      <c r="G1398" s="1">
        <v>13</v>
      </c>
      <c r="H1398" s="1" t="str" cm="1">
        <f t="array" ref="H1398">_xlfn.IFS( OR(G1398=" ",NOT(ISNUMBER(G1398))),"Unknown",G1398&lt;=33,"Low Spender",G1398&lt;=66,"Medium Spender",TRUE, "High Spender")</f>
        <v>Low Spender</v>
      </c>
      <c r="I1398" s="1">
        <v>62</v>
      </c>
      <c r="J1398" s="1">
        <v>8100</v>
      </c>
      <c r="K1398" s="1">
        <v>133</v>
      </c>
      <c r="L1398" s="1" t="s">
        <v>35</v>
      </c>
      <c r="N1398" s="1" t="str">
        <f t="shared" si="42"/>
        <v>Higher</v>
      </c>
      <c r="O1398" s="1" t="str">
        <f t="shared" si="43"/>
        <v>Early Career | Low Spender | Higher</v>
      </c>
    </row>
    <row r="1399" spans="1:15" x14ac:dyDescent="0.25">
      <c r="A1399" s="1" t="s">
        <v>1429</v>
      </c>
      <c r="B1399" s="1">
        <v>55</v>
      </c>
      <c r="C1399" s="1" t="str" cm="1">
        <f t="array" ref="C1399">_xlfn.IFS(OR(B1399=" ", B1399="NA",NOT(ISNUMBER(B1399))), "Unknown",B1399&lt;18,"Underage",B1399&lt;=24,"Young Adult",B1399&lt;=34,"Early Career",B1399&lt;=44,"Mid Career",B1399&lt;=54,"Mature",B1399&lt;=65,"Pre-Senior",B1399&gt;65,"Senior")</f>
        <v>Pre-Senior</v>
      </c>
      <c r="D1399" s="1" t="s">
        <v>12</v>
      </c>
      <c r="E1399" s="1" t="s">
        <v>19</v>
      </c>
      <c r="F1399" s="1">
        <v>1075000</v>
      </c>
      <c r="G1399" s="1">
        <v>59</v>
      </c>
      <c r="H1399" s="1" t="str" cm="1">
        <f t="array" ref="H1399">_xlfn.IFS( OR(G1399=" ",NOT(ISNUMBER(G1399))),"Unknown",G1399&lt;=33,"Low Spender",G1399&lt;=66,"Medium Spender",TRUE, "High Spender")</f>
        <v>Medium Spender</v>
      </c>
      <c r="I1399" s="1">
        <v>58</v>
      </c>
      <c r="J1399" s="1">
        <v>3200</v>
      </c>
      <c r="K1399" s="1">
        <v>5</v>
      </c>
      <c r="M1399" s="1" t="s">
        <v>21</v>
      </c>
      <c r="N1399" s="1" t="str">
        <f t="shared" si="42"/>
        <v>Lower</v>
      </c>
      <c r="O1399" s="1" t="str">
        <f t="shared" si="43"/>
        <v>Pre-Senior | Medium Spender | Lower</v>
      </c>
    </row>
    <row r="1400" spans="1:15" x14ac:dyDescent="0.25">
      <c r="A1400" s="1" t="s">
        <v>1430</v>
      </c>
      <c r="B1400" s="1">
        <v>19</v>
      </c>
      <c r="C1400" s="1" t="str" cm="1">
        <f t="array" ref="C1400">_xlfn.IFS(OR(B1400=" ", B1400="NA",NOT(ISNUMBER(B1400))), "Unknown",B1400&lt;18,"Underage",B1400&lt;=24,"Young Adult",B1400&lt;=34,"Early Career",B1400&lt;=44,"Mid Career",B1400&lt;=54,"Mature",B1400&lt;=65,"Pre-Senior",B1400&gt;65,"Senior")</f>
        <v>Young Adult</v>
      </c>
      <c r="E1400" s="1" t="s">
        <v>27</v>
      </c>
      <c r="F1400" s="1">
        <v>200000</v>
      </c>
      <c r="G1400" s="1">
        <v>86</v>
      </c>
      <c r="H1400" s="1" t="str" cm="1">
        <f t="array" ref="H1400">_xlfn.IFS( OR(G1400=" ",NOT(ISNUMBER(G1400))),"Unknown",G1400&lt;=33,"Low Spender",G1400&lt;=66,"Medium Spender",TRUE, "High Spender")</f>
        <v>High Spender</v>
      </c>
      <c r="I1400" s="1">
        <v>22</v>
      </c>
      <c r="J1400" s="1">
        <v>9600</v>
      </c>
      <c r="K1400" s="1">
        <v>244</v>
      </c>
      <c r="L1400" s="1" t="s">
        <v>16</v>
      </c>
      <c r="M1400" s="1" t="s">
        <v>21</v>
      </c>
      <c r="N1400" s="1" t="str">
        <f t="shared" si="42"/>
        <v>Lower</v>
      </c>
      <c r="O1400" s="1" t="str">
        <f t="shared" si="43"/>
        <v>Young Adult | High Spender | Lower</v>
      </c>
    </row>
    <row r="1401" spans="1:15" x14ac:dyDescent="0.25">
      <c r="A1401" s="1" t="s">
        <v>1431</v>
      </c>
      <c r="B1401" s="1">
        <v>24</v>
      </c>
      <c r="C1401" s="1" t="str" cm="1">
        <f t="array" ref="C1401">_xlfn.IFS(OR(B1401=" ", B1401="NA",NOT(ISNUMBER(B1401))), "Unknown",B1401&lt;18,"Underage",B1401&lt;=24,"Young Adult",B1401&lt;=34,"Early Career",B1401&lt;=44,"Mid Career",B1401&lt;=54,"Mature",B1401&lt;=65,"Pre-Senior",B1401&gt;65,"Senior")</f>
        <v>Young Adult</v>
      </c>
      <c r="D1401" s="1" t="s">
        <v>29</v>
      </c>
      <c r="F1401" s="1">
        <v>1775000</v>
      </c>
      <c r="G1401" s="1">
        <v>92</v>
      </c>
      <c r="H1401" s="1" t="str" cm="1">
        <f t="array" ref="H1401">_xlfn.IFS( OR(G1401=" ",NOT(ISNUMBER(G1401))),"Unknown",G1401&lt;=33,"Low Spender",G1401&lt;=66,"Medium Spender",TRUE, "High Spender")</f>
        <v>High Spender</v>
      </c>
      <c r="I1401" s="1">
        <v>67</v>
      </c>
      <c r="J1401" s="1">
        <v>1000</v>
      </c>
      <c r="K1401" s="1">
        <v>30</v>
      </c>
      <c r="L1401" s="1" t="s">
        <v>20</v>
      </c>
      <c r="M1401" s="1" t="s">
        <v>41</v>
      </c>
      <c r="N1401" s="1" t="str">
        <f t="shared" si="42"/>
        <v>Higher</v>
      </c>
      <c r="O1401" s="1" t="str">
        <f t="shared" si="43"/>
        <v>Young Adult | High Spender | Higher</v>
      </c>
    </row>
    <row r="1402" spans="1:15" x14ac:dyDescent="0.25">
      <c r="A1402" s="1" t="s">
        <v>1432</v>
      </c>
      <c r="B1402" s="1">
        <v>35</v>
      </c>
      <c r="C1402" s="1" t="str" cm="1">
        <f t="array" ref="C1402">_xlfn.IFS(OR(B1402=" ", B1402="NA",NOT(ISNUMBER(B1402))), "Unknown",B1402&lt;18,"Underage",B1402&lt;=24,"Young Adult",B1402&lt;=34,"Early Career",B1402&lt;=44,"Mid Career",B1402&lt;=54,"Mature",B1402&lt;=65,"Pre-Senior",B1402&gt;65,"Senior")</f>
        <v>Mid Career</v>
      </c>
      <c r="D1402" s="1" t="s">
        <v>29</v>
      </c>
      <c r="E1402" s="1" t="s">
        <v>13</v>
      </c>
      <c r="F1402" s="1">
        <v>1900000</v>
      </c>
      <c r="G1402" s="1">
        <v>30</v>
      </c>
      <c r="H1402" s="1" t="str" cm="1">
        <f t="array" ref="H1402">_xlfn.IFS( OR(G1402=" ",NOT(ISNUMBER(G1402))),"Unknown",G1402&lt;=33,"Low Spender",G1402&lt;=66,"Medium Spender",TRUE, "High Spender")</f>
        <v>Low Spender</v>
      </c>
      <c r="I1402" s="1">
        <v>75</v>
      </c>
      <c r="J1402" s="1">
        <v>9000</v>
      </c>
      <c r="K1402" s="1">
        <v>117</v>
      </c>
      <c r="L1402" s="1" t="s">
        <v>20</v>
      </c>
      <c r="M1402" s="1" t="s">
        <v>32</v>
      </c>
      <c r="N1402" s="1" t="str">
        <f t="shared" si="42"/>
        <v>Higher</v>
      </c>
      <c r="O1402" s="1" t="str">
        <f t="shared" si="43"/>
        <v>Mid Career | Low Spender | Higher</v>
      </c>
    </row>
    <row r="1403" spans="1:15" x14ac:dyDescent="0.25">
      <c r="A1403" s="1" t="s">
        <v>1433</v>
      </c>
      <c r="B1403" s="1">
        <v>44</v>
      </c>
      <c r="C1403" s="1" t="str" cm="1">
        <f t="array" ref="C1403">_xlfn.IFS(OR(B1403=" ", B1403="NA",NOT(ISNUMBER(B1403))), "Unknown",B1403&lt;18,"Underage",B1403&lt;=24,"Young Adult",B1403&lt;=34,"Early Career",B1403&lt;=44,"Mid Career",B1403&lt;=54,"Mature",B1403&lt;=65,"Pre-Senior",B1403&gt;65,"Senior")</f>
        <v>Mid Career</v>
      </c>
      <c r="D1403" s="1" t="s">
        <v>18</v>
      </c>
      <c r="E1403" s="1" t="s">
        <v>23</v>
      </c>
      <c r="F1403" s="1">
        <v>1200000</v>
      </c>
      <c r="G1403" s="1">
        <v>100</v>
      </c>
      <c r="H1403" s="1" t="str" cm="1">
        <f t="array" ref="H1403">_xlfn.IFS( OR(G1403=" ",NOT(ISNUMBER(G1403))),"Unknown",G1403&lt;=33,"Low Spender",G1403&lt;=66,"Medium Spender",TRUE, "High Spender")</f>
        <v>High Spender</v>
      </c>
      <c r="I1403" s="1">
        <v>48</v>
      </c>
      <c r="J1403" s="1">
        <v>8500</v>
      </c>
      <c r="K1403" s="1">
        <v>178</v>
      </c>
      <c r="L1403" s="1" t="s">
        <v>16</v>
      </c>
      <c r="M1403" s="1" t="s">
        <v>41</v>
      </c>
      <c r="N1403" s="1" t="str">
        <f t="shared" si="42"/>
        <v>Higher</v>
      </c>
      <c r="O1403" s="1" t="str">
        <f t="shared" si="43"/>
        <v>Mid Career | High Spender | Higher</v>
      </c>
    </row>
    <row r="1404" spans="1:15" x14ac:dyDescent="0.25">
      <c r="A1404" s="1" t="s">
        <v>1434</v>
      </c>
      <c r="B1404" s="1">
        <v>51</v>
      </c>
      <c r="C1404" s="1" t="str" cm="1">
        <f t="array" ref="C1404">_xlfn.IFS(OR(B1404=" ", B1404="NA",NOT(ISNUMBER(B1404))), "Unknown",B1404&lt;18,"Underage",B1404&lt;=24,"Young Adult",B1404&lt;=34,"Early Career",B1404&lt;=44,"Mid Career",B1404&lt;=54,"Mature",B1404&lt;=65,"Pre-Senior",B1404&gt;65,"Senior")</f>
        <v>Mature</v>
      </c>
      <c r="D1404" s="1" t="s">
        <v>18</v>
      </c>
      <c r="E1404" s="1" t="s">
        <v>13</v>
      </c>
      <c r="F1404" s="1">
        <v>1675000</v>
      </c>
      <c r="G1404" s="1">
        <v>2</v>
      </c>
      <c r="H1404" s="1" t="str" cm="1">
        <f t="array" ref="H1404">_xlfn.IFS( OR(G1404=" ",NOT(ISNUMBER(G1404))),"Unknown",G1404&lt;=33,"Low Spender",G1404&lt;=66,"Medium Spender",TRUE, "High Spender")</f>
        <v>Low Spender</v>
      </c>
      <c r="I1404" s="1">
        <v>8</v>
      </c>
      <c r="J1404" s="1">
        <v>500</v>
      </c>
      <c r="K1404" s="1">
        <v>261</v>
      </c>
      <c r="M1404" s="1" t="s">
        <v>41</v>
      </c>
      <c r="N1404" s="1" t="str">
        <f t="shared" si="42"/>
        <v>Higher</v>
      </c>
      <c r="O1404" s="1" t="str">
        <f t="shared" si="43"/>
        <v>Mature | Low Spender | Higher</v>
      </c>
    </row>
    <row r="1405" spans="1:15" x14ac:dyDescent="0.25">
      <c r="A1405" s="1" t="s">
        <v>1435</v>
      </c>
      <c r="B1405" s="1">
        <v>44</v>
      </c>
      <c r="C1405" s="1" t="str" cm="1">
        <f t="array" ref="C1405">_xlfn.IFS(OR(B1405=" ", B1405="NA",NOT(ISNUMBER(B1405))), "Unknown",B1405&lt;18,"Underage",B1405&lt;=24,"Young Adult",B1405&lt;=34,"Early Career",B1405&lt;=44,"Mid Career",B1405&lt;=54,"Mature",B1405&lt;=65,"Pre-Senior",B1405&gt;65,"Senior")</f>
        <v>Mid Career</v>
      </c>
      <c r="D1405" s="1" t="s">
        <v>12</v>
      </c>
      <c r="E1405" s="1" t="s">
        <v>19</v>
      </c>
      <c r="F1405" s="1">
        <v>1900000</v>
      </c>
      <c r="G1405" s="1">
        <v>58</v>
      </c>
      <c r="H1405" s="1" t="str" cm="1">
        <f t="array" ref="H1405">_xlfn.IFS( OR(G1405=" ",NOT(ISNUMBER(G1405))),"Unknown",G1405&lt;=33,"Low Spender",G1405&lt;=66,"Medium Spender",TRUE, "High Spender")</f>
        <v>Medium Spender</v>
      </c>
      <c r="I1405" s="1">
        <v>73</v>
      </c>
      <c r="J1405" s="1">
        <v>5700</v>
      </c>
      <c r="K1405" s="1">
        <v>235</v>
      </c>
      <c r="M1405" s="1" t="s">
        <v>30</v>
      </c>
      <c r="N1405" s="1" t="str">
        <f t="shared" si="42"/>
        <v>Lower</v>
      </c>
      <c r="O1405" s="1" t="str">
        <f t="shared" si="43"/>
        <v>Mid Career | Medium Spender | Lower</v>
      </c>
    </row>
    <row r="1406" spans="1:15" x14ac:dyDescent="0.25">
      <c r="A1406" s="1" t="s">
        <v>1436</v>
      </c>
      <c r="B1406" s="1">
        <v>34</v>
      </c>
      <c r="C1406" s="1" t="str" cm="1">
        <f t="array" ref="C1406">_xlfn.IFS(OR(B1406=" ", B1406="NA",NOT(ISNUMBER(B1406))), "Unknown",B1406&lt;18,"Underage",B1406&lt;=24,"Young Adult",B1406&lt;=34,"Early Career",B1406&lt;=44,"Mid Career",B1406&lt;=54,"Mature",B1406&lt;=65,"Pre-Senior",B1406&gt;65,"Senior")</f>
        <v>Early Career</v>
      </c>
      <c r="E1406" s="1" t="s">
        <v>23</v>
      </c>
      <c r="F1406" s="1">
        <v>725000</v>
      </c>
      <c r="G1406" s="1">
        <v>36</v>
      </c>
      <c r="H1406" s="1" t="str" cm="1">
        <f t="array" ref="H1406">_xlfn.IFS( OR(G1406=" ",NOT(ISNUMBER(G1406))),"Unknown",G1406&lt;=33,"Low Spender",G1406&lt;=66,"Medium Spender",TRUE, "High Spender")</f>
        <v>Medium Spender</v>
      </c>
      <c r="I1406" s="1">
        <v>15</v>
      </c>
      <c r="J1406" s="1">
        <v>1700</v>
      </c>
      <c r="K1406" s="1">
        <v>141</v>
      </c>
      <c r="L1406" s="1" t="s">
        <v>35</v>
      </c>
      <c r="M1406" s="1" t="s">
        <v>41</v>
      </c>
      <c r="N1406" s="1" t="str">
        <f t="shared" si="42"/>
        <v>Lower</v>
      </c>
      <c r="O1406" s="1" t="str">
        <f t="shared" si="43"/>
        <v>Early Career | Medium Spender | Lower</v>
      </c>
    </row>
    <row r="1407" spans="1:15" x14ac:dyDescent="0.25">
      <c r="A1407" s="1" t="s">
        <v>1437</v>
      </c>
      <c r="B1407" s="1">
        <v>60</v>
      </c>
      <c r="C1407" s="1" t="str" cm="1">
        <f t="array" ref="C1407">_xlfn.IFS(OR(B1407=" ", B1407="NA",NOT(ISNUMBER(B1407))), "Unknown",B1407&lt;18,"Underage",B1407&lt;=24,"Young Adult",B1407&lt;=34,"Early Career",B1407&lt;=44,"Mid Career",B1407&lt;=54,"Mature",B1407&lt;=65,"Pre-Senior",B1407&gt;65,"Senior")</f>
        <v>Pre-Senior</v>
      </c>
      <c r="D1407" s="1" t="s">
        <v>29</v>
      </c>
      <c r="E1407" s="1" t="s">
        <v>15</v>
      </c>
      <c r="F1407" s="1">
        <v>1100000</v>
      </c>
      <c r="G1407" s="1">
        <v>72</v>
      </c>
      <c r="H1407" s="1" t="str" cm="1">
        <f t="array" ref="H1407">_xlfn.IFS( OR(G1407=" ",NOT(ISNUMBER(G1407))),"Unknown",G1407&lt;=33,"Low Spender",G1407&lt;=66,"Medium Spender",TRUE, "High Spender")</f>
        <v>High Spender</v>
      </c>
      <c r="I1407" s="1">
        <v>32</v>
      </c>
      <c r="J1407" s="1">
        <v>3800</v>
      </c>
      <c r="K1407" s="1">
        <v>305</v>
      </c>
      <c r="L1407" s="1" t="s">
        <v>35</v>
      </c>
      <c r="M1407" s="1" t="s">
        <v>32</v>
      </c>
      <c r="N1407" s="1" t="str">
        <f t="shared" si="42"/>
        <v>Higher</v>
      </c>
      <c r="O1407" s="1" t="str">
        <f t="shared" si="43"/>
        <v>Pre-Senior | High Spender | Higher</v>
      </c>
    </row>
    <row r="1408" spans="1:15" x14ac:dyDescent="0.25">
      <c r="A1408" s="1" t="s">
        <v>1438</v>
      </c>
      <c r="B1408" s="1">
        <v>61</v>
      </c>
      <c r="C1408" s="1" t="str" cm="1">
        <f t="array" ref="C1408">_xlfn.IFS(OR(B1408=" ", B1408="NA",NOT(ISNUMBER(B1408))), "Unknown",B1408&lt;18,"Underage",B1408&lt;=24,"Young Adult",B1408&lt;=34,"Early Career",B1408&lt;=44,"Mid Career",B1408&lt;=54,"Mature",B1408&lt;=65,"Pre-Senior",B1408&gt;65,"Senior")</f>
        <v>Pre-Senior</v>
      </c>
      <c r="D1408" s="1" t="s">
        <v>29</v>
      </c>
      <c r="E1408" s="1" t="s">
        <v>23</v>
      </c>
      <c r="F1408" s="1">
        <v>1825000</v>
      </c>
      <c r="G1408" s="1">
        <v>45</v>
      </c>
      <c r="H1408" s="1" t="str" cm="1">
        <f t="array" ref="H1408">_xlfn.IFS( OR(G1408=" ",NOT(ISNUMBER(G1408))),"Unknown",G1408&lt;=33,"Low Spender",G1408&lt;=66,"Medium Spender",TRUE, "High Spender")</f>
        <v>Medium Spender</v>
      </c>
      <c r="I1408" s="1">
        <v>53</v>
      </c>
      <c r="J1408" s="1">
        <v>800</v>
      </c>
      <c r="K1408" s="1">
        <v>345</v>
      </c>
      <c r="M1408" s="1" t="s">
        <v>21</v>
      </c>
      <c r="N1408" s="1" t="str">
        <f t="shared" si="42"/>
        <v>Higher</v>
      </c>
      <c r="O1408" s="1" t="str">
        <f t="shared" si="43"/>
        <v>Pre-Senior | Medium Spender | Higher</v>
      </c>
    </row>
    <row r="1409" spans="1:15" x14ac:dyDescent="0.25">
      <c r="A1409" s="1" t="s">
        <v>1439</v>
      </c>
      <c r="B1409" s="1">
        <v>68</v>
      </c>
      <c r="C1409" s="1" t="str" cm="1">
        <f t="array" ref="C1409">_xlfn.IFS(OR(B1409=" ", B1409="NA",NOT(ISNUMBER(B1409))), "Unknown",B1409&lt;18,"Underage",B1409&lt;=24,"Young Adult",B1409&lt;=34,"Early Career",B1409&lt;=44,"Mid Career",B1409&lt;=54,"Mature",B1409&lt;=65,"Pre-Senior",B1409&gt;65,"Senior")</f>
        <v>Senior</v>
      </c>
      <c r="D1409" s="1" t="s">
        <v>29</v>
      </c>
      <c r="E1409" s="1" t="s">
        <v>27</v>
      </c>
      <c r="F1409" s="1">
        <v>1225000</v>
      </c>
      <c r="G1409" s="1">
        <v>9</v>
      </c>
      <c r="H1409" s="1" t="str" cm="1">
        <f t="array" ref="H1409">_xlfn.IFS( OR(G1409=" ",NOT(ISNUMBER(G1409))),"Unknown",G1409&lt;=33,"Low Spender",G1409&lt;=66,"Medium Spender",TRUE, "High Spender")</f>
        <v>Low Spender</v>
      </c>
      <c r="I1409" s="1">
        <v>67</v>
      </c>
      <c r="J1409" s="1">
        <v>4400</v>
      </c>
      <c r="K1409" s="1">
        <v>50</v>
      </c>
      <c r="L1409" s="1" t="s">
        <v>20</v>
      </c>
      <c r="N1409" s="1" t="str">
        <f t="shared" si="42"/>
        <v>Higher</v>
      </c>
      <c r="O1409" s="1" t="str">
        <f t="shared" si="43"/>
        <v>Senior | Low Spender | Higher</v>
      </c>
    </row>
    <row r="1410" spans="1:15" x14ac:dyDescent="0.25">
      <c r="A1410" s="1" t="s">
        <v>1440</v>
      </c>
      <c r="C1410" s="1" t="str" cm="1">
        <f t="array" ref="C1410">_xlfn.IFS(OR(B1410=" ", B1410="NA",NOT(ISNUMBER(B1410))), "Unknown",B1410&lt;18,"Underage",B1410&lt;=24,"Young Adult",B1410&lt;=34,"Early Career",B1410&lt;=44,"Mid Career",B1410&lt;=54,"Mature",B1410&lt;=65,"Pre-Senior",B1410&gt;65,"Senior")</f>
        <v>Unknown</v>
      </c>
      <c r="E1410" s="1" t="s">
        <v>15</v>
      </c>
      <c r="F1410" s="1">
        <v>250000</v>
      </c>
      <c r="G1410" s="1">
        <v>65</v>
      </c>
      <c r="H1410" s="1" t="str" cm="1">
        <f t="array" ref="H1410">_xlfn.IFS( OR(G1410=" ",NOT(ISNUMBER(G1410))),"Unknown",G1410&lt;=33,"Low Spender",G1410&lt;=66,"Medium Spender",TRUE, "High Spender")</f>
        <v>Medium Spender</v>
      </c>
      <c r="I1410" s="1">
        <v>4</v>
      </c>
      <c r="J1410" s="1">
        <v>5200</v>
      </c>
      <c r="K1410" s="1">
        <v>270</v>
      </c>
      <c r="L1410" s="1" t="s">
        <v>35</v>
      </c>
      <c r="N1410" s="1" t="str">
        <f t="shared" ref="N1410:N1473" si="44">IF(OR(UPPER(TRIM(D1410))="Male",UPPER(TRIM(D1410))="Female"),"Higher","Lower")</f>
        <v>Lower</v>
      </c>
      <c r="O1410" s="1" t="str">
        <f t="shared" ref="O1410:O1473" si="45">_xlfn.TEXTJOIN(" | ", TRUE, C1410, H1410, N1410)</f>
        <v>Unknown | Medium Spender | Lower</v>
      </c>
    </row>
    <row r="1411" spans="1:15" x14ac:dyDescent="0.25">
      <c r="A1411" s="1" t="s">
        <v>1441</v>
      </c>
      <c r="B1411" s="1">
        <v>41</v>
      </c>
      <c r="C1411" s="1" t="str" cm="1">
        <f t="array" ref="C1411">_xlfn.IFS(OR(B1411=" ", B1411="NA",NOT(ISNUMBER(B1411))), "Unknown",B1411&lt;18,"Underage",B1411&lt;=24,"Young Adult",B1411&lt;=34,"Early Career",B1411&lt;=44,"Mid Career",B1411&lt;=54,"Mature",B1411&lt;=65,"Pre-Senior",B1411&gt;65,"Senior")</f>
        <v>Mid Career</v>
      </c>
      <c r="D1411" s="1" t="s">
        <v>29</v>
      </c>
      <c r="E1411" s="1" t="s">
        <v>13</v>
      </c>
      <c r="F1411" s="1">
        <v>1500000</v>
      </c>
      <c r="G1411" s="1">
        <v>77</v>
      </c>
      <c r="H1411" s="1" t="str" cm="1">
        <f t="array" ref="H1411">_xlfn.IFS( OR(G1411=" ",NOT(ISNUMBER(G1411))),"Unknown",G1411&lt;=33,"Low Spender",G1411&lt;=66,"Medium Spender",TRUE, "High Spender")</f>
        <v>High Spender</v>
      </c>
      <c r="I1411" s="1">
        <v>30</v>
      </c>
      <c r="J1411" s="1">
        <v>11400</v>
      </c>
      <c r="K1411" s="1">
        <v>108</v>
      </c>
      <c r="L1411" s="1" t="s">
        <v>16</v>
      </c>
      <c r="M1411" s="1" t="s">
        <v>41</v>
      </c>
      <c r="N1411" s="1" t="str">
        <f t="shared" si="44"/>
        <v>Higher</v>
      </c>
      <c r="O1411" s="1" t="str">
        <f t="shared" si="45"/>
        <v>Mid Career | High Spender | Higher</v>
      </c>
    </row>
    <row r="1412" spans="1:15" x14ac:dyDescent="0.25">
      <c r="A1412" s="1" t="s">
        <v>1442</v>
      </c>
      <c r="B1412" s="1">
        <v>42</v>
      </c>
      <c r="C1412" s="1" t="str" cm="1">
        <f t="array" ref="C1412">_xlfn.IFS(OR(B1412=" ", B1412="NA",NOT(ISNUMBER(B1412))), "Unknown",B1412&lt;18,"Underage",B1412&lt;=24,"Young Adult",B1412&lt;=34,"Early Career",B1412&lt;=44,"Mid Career",B1412&lt;=54,"Mature",B1412&lt;=65,"Pre-Senior",B1412&gt;65,"Senior")</f>
        <v>Mid Career</v>
      </c>
      <c r="D1412" s="1" t="s">
        <v>18</v>
      </c>
      <c r="F1412" s="1">
        <v>875000</v>
      </c>
      <c r="G1412" s="1">
        <v>50</v>
      </c>
      <c r="H1412" s="1" t="str" cm="1">
        <f t="array" ref="H1412">_xlfn.IFS( OR(G1412=" ",NOT(ISNUMBER(G1412))),"Unknown",G1412&lt;=33,"Low Spender",G1412&lt;=66,"Medium Spender",TRUE, "High Spender")</f>
        <v>Medium Spender</v>
      </c>
      <c r="I1412" s="1">
        <v>13</v>
      </c>
      <c r="J1412" s="1">
        <v>2000</v>
      </c>
      <c r="K1412" s="1">
        <v>46</v>
      </c>
      <c r="L1412" s="1" t="s">
        <v>20</v>
      </c>
      <c r="N1412" s="1" t="str">
        <f t="shared" si="44"/>
        <v>Higher</v>
      </c>
      <c r="O1412" s="1" t="str">
        <f t="shared" si="45"/>
        <v>Mid Career | Medium Spender | Higher</v>
      </c>
    </row>
    <row r="1413" spans="1:15" x14ac:dyDescent="0.25">
      <c r="A1413" s="1" t="s">
        <v>1443</v>
      </c>
      <c r="B1413" s="1">
        <v>24</v>
      </c>
      <c r="C1413" s="1" t="str" cm="1">
        <f t="array" ref="C1413">_xlfn.IFS(OR(B1413=" ", B1413="NA",NOT(ISNUMBER(B1413))), "Unknown",B1413&lt;18,"Underage",B1413&lt;=24,"Young Adult",B1413&lt;=34,"Early Career",B1413&lt;=44,"Mid Career",B1413&lt;=54,"Mature",B1413&lt;=65,"Pre-Senior",B1413&gt;65,"Senior")</f>
        <v>Young Adult</v>
      </c>
      <c r="F1413" s="1">
        <v>850000</v>
      </c>
      <c r="G1413" s="1">
        <v>79</v>
      </c>
      <c r="H1413" s="1" t="str" cm="1">
        <f t="array" ref="H1413">_xlfn.IFS( OR(G1413=" ",NOT(ISNUMBER(G1413))),"Unknown",G1413&lt;=33,"Low Spender",G1413&lt;=66,"Medium Spender",TRUE, "High Spender")</f>
        <v>High Spender</v>
      </c>
      <c r="I1413" s="1">
        <v>21</v>
      </c>
      <c r="J1413" s="1">
        <v>10400</v>
      </c>
      <c r="K1413" s="1">
        <v>82</v>
      </c>
      <c r="M1413" s="1" t="s">
        <v>41</v>
      </c>
      <c r="N1413" s="1" t="str">
        <f t="shared" si="44"/>
        <v>Lower</v>
      </c>
      <c r="O1413" s="1" t="str">
        <f t="shared" si="45"/>
        <v>Young Adult | High Spender | Lower</v>
      </c>
    </row>
    <row r="1414" spans="1:15" x14ac:dyDescent="0.25">
      <c r="A1414" s="1" t="s">
        <v>1444</v>
      </c>
      <c r="B1414" s="1">
        <v>69</v>
      </c>
      <c r="C1414" s="1" t="str" cm="1">
        <f t="array" ref="C1414">_xlfn.IFS(OR(B1414=" ", B1414="NA",NOT(ISNUMBER(B1414))), "Unknown",B1414&lt;18,"Underage",B1414&lt;=24,"Young Adult",B1414&lt;=34,"Early Career",B1414&lt;=44,"Mid Career",B1414&lt;=54,"Mature",B1414&lt;=65,"Pre-Senior",B1414&gt;65,"Senior")</f>
        <v>Senior</v>
      </c>
      <c r="D1414" s="1" t="s">
        <v>29</v>
      </c>
      <c r="F1414" s="1">
        <v>775000</v>
      </c>
      <c r="G1414" s="1">
        <v>32</v>
      </c>
      <c r="H1414" s="1" t="str" cm="1">
        <f t="array" ref="H1414">_xlfn.IFS( OR(G1414=" ",NOT(ISNUMBER(G1414))),"Unknown",G1414&lt;=33,"Low Spender",G1414&lt;=66,"Medium Spender",TRUE, "High Spender")</f>
        <v>Low Spender</v>
      </c>
      <c r="I1414" s="1">
        <v>41</v>
      </c>
      <c r="J1414" s="1">
        <v>8500</v>
      </c>
      <c r="K1414" s="1">
        <v>126</v>
      </c>
      <c r="L1414" s="1" t="s">
        <v>20</v>
      </c>
      <c r="N1414" s="1" t="str">
        <f t="shared" si="44"/>
        <v>Higher</v>
      </c>
      <c r="O1414" s="1" t="str">
        <f t="shared" si="45"/>
        <v>Senior | Low Spender | Higher</v>
      </c>
    </row>
    <row r="1415" spans="1:15" x14ac:dyDescent="0.25">
      <c r="A1415" s="1" t="s">
        <v>1445</v>
      </c>
      <c r="B1415" s="1">
        <v>23</v>
      </c>
      <c r="C1415" s="1" t="str" cm="1">
        <f t="array" ref="C1415">_xlfn.IFS(OR(B1415=" ", B1415="NA",NOT(ISNUMBER(B1415))), "Unknown",B1415&lt;18,"Underage",B1415&lt;=24,"Young Adult",B1415&lt;=34,"Early Career",B1415&lt;=44,"Mid Career",B1415&lt;=54,"Mature",B1415&lt;=65,"Pre-Senior",B1415&gt;65,"Senior")</f>
        <v>Young Adult</v>
      </c>
      <c r="D1415" s="1" t="s">
        <v>18</v>
      </c>
      <c r="E1415" s="1" t="s">
        <v>13</v>
      </c>
      <c r="F1415" s="1">
        <v>775000</v>
      </c>
      <c r="G1415" s="1">
        <v>98</v>
      </c>
      <c r="H1415" s="1" t="str" cm="1">
        <f t="array" ref="H1415">_xlfn.IFS( OR(G1415=" ",NOT(ISNUMBER(G1415))),"Unknown",G1415&lt;=33,"Low Spender",G1415&lt;=66,"Medium Spender",TRUE, "High Spender")</f>
        <v>High Spender</v>
      </c>
      <c r="I1415" s="1">
        <v>19</v>
      </c>
      <c r="J1415" s="1">
        <v>11500</v>
      </c>
      <c r="K1415" s="1">
        <v>84</v>
      </c>
      <c r="L1415" s="1" t="s">
        <v>37</v>
      </c>
      <c r="M1415" s="1" t="s">
        <v>30</v>
      </c>
      <c r="N1415" s="1" t="str">
        <f t="shared" si="44"/>
        <v>Higher</v>
      </c>
      <c r="O1415" s="1" t="str">
        <f t="shared" si="45"/>
        <v>Young Adult | High Spender | Higher</v>
      </c>
    </row>
    <row r="1416" spans="1:15" x14ac:dyDescent="0.25">
      <c r="A1416" s="1" t="s">
        <v>1446</v>
      </c>
      <c r="C1416" s="1" t="str" cm="1">
        <f t="array" ref="C1416">_xlfn.IFS(OR(B1416=" ", B1416="NA",NOT(ISNUMBER(B1416))), "Unknown",B1416&lt;18,"Underage",B1416&lt;=24,"Young Adult",B1416&lt;=34,"Early Career",B1416&lt;=44,"Mid Career",B1416&lt;=54,"Mature",B1416&lt;=65,"Pre-Senior",B1416&gt;65,"Senior")</f>
        <v>Unknown</v>
      </c>
      <c r="D1416" s="1" t="s">
        <v>12</v>
      </c>
      <c r="E1416" s="1" t="s">
        <v>19</v>
      </c>
      <c r="F1416" s="1">
        <v>1050000</v>
      </c>
      <c r="G1416" s="1">
        <v>43</v>
      </c>
      <c r="H1416" s="1" t="str" cm="1">
        <f t="array" ref="H1416">_xlfn.IFS( OR(G1416=" ",NOT(ISNUMBER(G1416))),"Unknown",G1416&lt;=33,"Low Spender",G1416&lt;=66,"Medium Spender",TRUE, "High Spender")</f>
        <v>Medium Spender</v>
      </c>
      <c r="I1416" s="1">
        <v>48</v>
      </c>
      <c r="J1416" s="1">
        <v>5200</v>
      </c>
      <c r="K1416" s="1">
        <v>290</v>
      </c>
      <c r="L1416" s="1" t="s">
        <v>20</v>
      </c>
      <c r="M1416" s="1" t="s">
        <v>30</v>
      </c>
      <c r="N1416" s="1" t="str">
        <f t="shared" si="44"/>
        <v>Lower</v>
      </c>
      <c r="O1416" s="1" t="str">
        <f t="shared" si="45"/>
        <v>Unknown | Medium Spender | Lower</v>
      </c>
    </row>
    <row r="1417" spans="1:15" x14ac:dyDescent="0.25">
      <c r="A1417" s="1" t="s">
        <v>1447</v>
      </c>
      <c r="B1417" s="1">
        <v>41</v>
      </c>
      <c r="C1417" s="1" t="str" cm="1">
        <f t="array" ref="C1417">_xlfn.IFS(OR(B1417=" ", B1417="NA",NOT(ISNUMBER(B1417))), "Unknown",B1417&lt;18,"Underage",B1417&lt;=24,"Young Adult",B1417&lt;=34,"Early Career",B1417&lt;=44,"Mid Career",B1417&lt;=54,"Mature",B1417&lt;=65,"Pre-Senior",B1417&gt;65,"Senior")</f>
        <v>Mid Career</v>
      </c>
      <c r="D1417" s="1" t="s">
        <v>18</v>
      </c>
      <c r="F1417" s="1">
        <v>1450000</v>
      </c>
      <c r="G1417" s="1">
        <v>95</v>
      </c>
      <c r="H1417" s="1" t="str" cm="1">
        <f t="array" ref="H1417">_xlfn.IFS( OR(G1417=" ",NOT(ISNUMBER(G1417))),"Unknown",G1417&lt;=33,"Low Spender",G1417&lt;=66,"Medium Spender",TRUE, "High Spender")</f>
        <v>High Spender</v>
      </c>
      <c r="I1417" s="1">
        <v>63</v>
      </c>
      <c r="J1417" s="1">
        <v>3200</v>
      </c>
      <c r="K1417" s="1">
        <v>71</v>
      </c>
      <c r="L1417" s="1" t="s">
        <v>35</v>
      </c>
      <c r="N1417" s="1" t="str">
        <f t="shared" si="44"/>
        <v>Higher</v>
      </c>
      <c r="O1417" s="1" t="str">
        <f t="shared" si="45"/>
        <v>Mid Career | High Spender | Higher</v>
      </c>
    </row>
    <row r="1418" spans="1:15" x14ac:dyDescent="0.25">
      <c r="A1418" s="1" t="s">
        <v>1448</v>
      </c>
      <c r="B1418" s="1">
        <v>50</v>
      </c>
      <c r="C1418" s="1" t="str" cm="1">
        <f t="array" ref="C1418">_xlfn.IFS(OR(B1418=" ", B1418="NA",NOT(ISNUMBER(B1418))), "Unknown",B1418&lt;18,"Underage",B1418&lt;=24,"Young Adult",B1418&lt;=34,"Early Career",B1418&lt;=44,"Mid Career",B1418&lt;=54,"Mature",B1418&lt;=65,"Pre-Senior",B1418&gt;65,"Senior")</f>
        <v>Mature</v>
      </c>
      <c r="D1418" s="1" t="s">
        <v>12</v>
      </c>
      <c r="E1418" s="1" t="s">
        <v>13</v>
      </c>
      <c r="F1418" s="1">
        <v>875000</v>
      </c>
      <c r="G1418" s="1">
        <v>78</v>
      </c>
      <c r="H1418" s="1" t="str" cm="1">
        <f t="array" ref="H1418">_xlfn.IFS( OR(G1418=" ",NOT(ISNUMBER(G1418))),"Unknown",G1418&lt;=33,"Low Spender",G1418&lt;=66,"Medium Spender",TRUE, "High Spender")</f>
        <v>High Spender</v>
      </c>
      <c r="I1418" s="1">
        <v>20</v>
      </c>
      <c r="J1418" s="1">
        <v>7900</v>
      </c>
      <c r="K1418" s="1">
        <v>175</v>
      </c>
      <c r="L1418" s="1" t="s">
        <v>16</v>
      </c>
      <c r="M1418" s="1" t="s">
        <v>41</v>
      </c>
      <c r="N1418" s="1" t="str">
        <f t="shared" si="44"/>
        <v>Lower</v>
      </c>
      <c r="O1418" s="1" t="str">
        <f t="shared" si="45"/>
        <v>Mature | High Spender | Lower</v>
      </c>
    </row>
    <row r="1419" spans="1:15" x14ac:dyDescent="0.25">
      <c r="A1419" s="1" t="s">
        <v>1449</v>
      </c>
      <c r="B1419" s="1">
        <v>66</v>
      </c>
      <c r="C1419" s="1" t="str" cm="1">
        <f t="array" ref="C1419">_xlfn.IFS(OR(B1419=" ", B1419="NA",NOT(ISNUMBER(B1419))), "Unknown",B1419&lt;18,"Underage",B1419&lt;=24,"Young Adult",B1419&lt;=34,"Early Career",B1419&lt;=44,"Mid Career",B1419&lt;=54,"Mature",B1419&lt;=65,"Pre-Senior",B1419&gt;65,"Senior")</f>
        <v>Senior</v>
      </c>
      <c r="D1419" s="1" t="s">
        <v>18</v>
      </c>
      <c r="E1419" s="1" t="s">
        <v>58</v>
      </c>
      <c r="F1419" s="1">
        <v>200000</v>
      </c>
      <c r="G1419" s="1">
        <v>54</v>
      </c>
      <c r="H1419" s="1" t="str" cm="1">
        <f t="array" ref="H1419">_xlfn.IFS( OR(G1419=" ",NOT(ISNUMBER(G1419))),"Unknown",G1419&lt;=33,"Low Spender",G1419&lt;=66,"Medium Spender",TRUE, "High Spender")</f>
        <v>Medium Spender</v>
      </c>
      <c r="I1419" s="1">
        <v>64</v>
      </c>
      <c r="J1419" s="1">
        <v>4100</v>
      </c>
      <c r="K1419" s="1">
        <v>316</v>
      </c>
      <c r="M1419" s="1" t="s">
        <v>41</v>
      </c>
      <c r="N1419" s="1" t="str">
        <f t="shared" si="44"/>
        <v>Higher</v>
      </c>
      <c r="O1419" s="1" t="str">
        <f t="shared" si="45"/>
        <v>Senior | Medium Spender | Higher</v>
      </c>
    </row>
    <row r="1420" spans="1:15" x14ac:dyDescent="0.25">
      <c r="A1420" s="1" t="s">
        <v>1450</v>
      </c>
      <c r="B1420" s="1">
        <v>46</v>
      </c>
      <c r="C1420" s="1" t="str" cm="1">
        <f t="array" ref="C1420">_xlfn.IFS(OR(B1420=" ", B1420="NA",NOT(ISNUMBER(B1420))), "Unknown",B1420&lt;18,"Underage",B1420&lt;=24,"Young Adult",B1420&lt;=34,"Early Career",B1420&lt;=44,"Mid Career",B1420&lt;=54,"Mature",B1420&lt;=65,"Pre-Senior",B1420&gt;65,"Senior")</f>
        <v>Mature</v>
      </c>
      <c r="D1420" s="1" t="s">
        <v>12</v>
      </c>
      <c r="E1420" s="1" t="s">
        <v>27</v>
      </c>
      <c r="F1420" s="1">
        <v>1200000</v>
      </c>
      <c r="G1420" s="1">
        <v>47</v>
      </c>
      <c r="H1420" s="1" t="str" cm="1">
        <f t="array" ref="H1420">_xlfn.IFS( OR(G1420=" ",NOT(ISNUMBER(G1420))),"Unknown",G1420&lt;=33,"Low Spender",G1420&lt;=66,"Medium Spender",TRUE, "High Spender")</f>
        <v>Medium Spender</v>
      </c>
      <c r="I1420" s="1">
        <v>37</v>
      </c>
      <c r="J1420" s="1">
        <v>11800</v>
      </c>
      <c r="K1420" s="1">
        <v>330</v>
      </c>
      <c r="M1420" s="1" t="s">
        <v>32</v>
      </c>
      <c r="N1420" s="1" t="str">
        <f t="shared" si="44"/>
        <v>Lower</v>
      </c>
      <c r="O1420" s="1" t="str">
        <f t="shared" si="45"/>
        <v>Mature | Medium Spender | Lower</v>
      </c>
    </row>
    <row r="1421" spans="1:15" x14ac:dyDescent="0.25">
      <c r="A1421" s="1" t="s">
        <v>1451</v>
      </c>
      <c r="B1421" s="1">
        <v>60</v>
      </c>
      <c r="C1421" s="1" t="str" cm="1">
        <f t="array" ref="C1421">_xlfn.IFS(OR(B1421=" ", B1421="NA",NOT(ISNUMBER(B1421))), "Unknown",B1421&lt;18,"Underage",B1421&lt;=24,"Young Adult",B1421&lt;=34,"Early Career",B1421&lt;=44,"Mid Career",B1421&lt;=54,"Mature",B1421&lt;=65,"Pre-Senior",B1421&gt;65,"Senior")</f>
        <v>Pre-Senior</v>
      </c>
      <c r="D1421" s="1" t="s">
        <v>29</v>
      </c>
      <c r="E1421" s="1" t="s">
        <v>58</v>
      </c>
      <c r="F1421" s="1">
        <v>300000</v>
      </c>
      <c r="G1421" s="1">
        <v>14</v>
      </c>
      <c r="H1421" s="1" t="str" cm="1">
        <f t="array" ref="H1421">_xlfn.IFS( OR(G1421=" ",NOT(ISNUMBER(G1421))),"Unknown",G1421&lt;=33,"Low Spender",G1421&lt;=66,"Medium Spender",TRUE, "High Spender")</f>
        <v>Low Spender</v>
      </c>
      <c r="I1421" s="1">
        <v>31</v>
      </c>
      <c r="J1421" s="1">
        <v>1400</v>
      </c>
      <c r="K1421" s="1">
        <v>337</v>
      </c>
      <c r="L1421" s="1" t="s">
        <v>35</v>
      </c>
      <c r="M1421" s="1" t="s">
        <v>21</v>
      </c>
      <c r="N1421" s="1" t="str">
        <f t="shared" si="44"/>
        <v>Higher</v>
      </c>
      <c r="O1421" s="1" t="str">
        <f t="shared" si="45"/>
        <v>Pre-Senior | Low Spender | Higher</v>
      </c>
    </row>
    <row r="1422" spans="1:15" x14ac:dyDescent="0.25">
      <c r="A1422" s="1" t="s">
        <v>1452</v>
      </c>
      <c r="B1422" s="1">
        <v>39</v>
      </c>
      <c r="C1422" s="1" t="str" cm="1">
        <f t="array" ref="C1422">_xlfn.IFS(OR(B1422=" ", B1422="NA",NOT(ISNUMBER(B1422))), "Unknown",B1422&lt;18,"Underage",B1422&lt;=24,"Young Adult",B1422&lt;=34,"Early Career",B1422&lt;=44,"Mid Career",B1422&lt;=54,"Mature",B1422&lt;=65,"Pre-Senior",B1422&gt;65,"Senior")</f>
        <v>Mid Career</v>
      </c>
      <c r="D1422" s="1" t="s">
        <v>18</v>
      </c>
      <c r="E1422" s="1" t="s">
        <v>15</v>
      </c>
      <c r="F1422" s="1">
        <v>1350000</v>
      </c>
      <c r="G1422" s="1">
        <v>48</v>
      </c>
      <c r="H1422" s="1" t="str" cm="1">
        <f t="array" ref="H1422">_xlfn.IFS( OR(G1422=" ",NOT(ISNUMBER(G1422))),"Unknown",G1422&lt;=33,"Low Spender",G1422&lt;=66,"Medium Spender",TRUE, "High Spender")</f>
        <v>Medium Spender</v>
      </c>
      <c r="I1422" s="1">
        <v>74</v>
      </c>
      <c r="J1422" s="1">
        <v>10000</v>
      </c>
      <c r="K1422" s="1">
        <v>354</v>
      </c>
      <c r="L1422" s="1" t="s">
        <v>35</v>
      </c>
      <c r="M1422" s="1" t="s">
        <v>21</v>
      </c>
      <c r="N1422" s="1" t="str">
        <f t="shared" si="44"/>
        <v>Higher</v>
      </c>
      <c r="O1422" s="1" t="str">
        <f t="shared" si="45"/>
        <v>Mid Career | Medium Spender | Higher</v>
      </c>
    </row>
    <row r="1423" spans="1:15" x14ac:dyDescent="0.25">
      <c r="A1423" s="1" t="s">
        <v>1453</v>
      </c>
      <c r="B1423" s="1">
        <v>43</v>
      </c>
      <c r="C1423" s="1" t="str" cm="1">
        <f t="array" ref="C1423">_xlfn.IFS(OR(B1423=" ", B1423="NA",NOT(ISNUMBER(B1423))), "Unknown",B1423&lt;18,"Underage",B1423&lt;=24,"Young Adult",B1423&lt;=34,"Early Career",B1423&lt;=44,"Mid Career",B1423&lt;=54,"Mature",B1423&lt;=65,"Pre-Senior",B1423&gt;65,"Senior")</f>
        <v>Mid Career</v>
      </c>
      <c r="D1423" s="1" t="s">
        <v>18</v>
      </c>
      <c r="E1423" s="1" t="s">
        <v>49</v>
      </c>
      <c r="F1423" s="1">
        <v>1950000</v>
      </c>
      <c r="G1423" s="1">
        <v>55</v>
      </c>
      <c r="H1423" s="1" t="str" cm="1">
        <f t="array" ref="H1423">_xlfn.IFS( OR(G1423=" ",NOT(ISNUMBER(G1423))),"Unknown",G1423&lt;=33,"Low Spender",G1423&lt;=66,"Medium Spender",TRUE, "High Spender")</f>
        <v>Medium Spender</v>
      </c>
      <c r="I1423" s="1">
        <v>18</v>
      </c>
      <c r="J1423" s="1">
        <v>6100</v>
      </c>
      <c r="K1423" s="1">
        <v>91</v>
      </c>
      <c r="L1423" s="1" t="s">
        <v>35</v>
      </c>
      <c r="N1423" s="1" t="str">
        <f t="shared" si="44"/>
        <v>Higher</v>
      </c>
      <c r="O1423" s="1" t="str">
        <f t="shared" si="45"/>
        <v>Mid Career | Medium Spender | Higher</v>
      </c>
    </row>
    <row r="1424" spans="1:15" x14ac:dyDescent="0.25">
      <c r="A1424" s="1" t="s">
        <v>1454</v>
      </c>
      <c r="B1424" s="1">
        <v>45</v>
      </c>
      <c r="C1424" s="1" t="str" cm="1">
        <f t="array" ref="C1424">_xlfn.IFS(OR(B1424=" ", B1424="NA",NOT(ISNUMBER(B1424))), "Unknown",B1424&lt;18,"Underage",B1424&lt;=24,"Young Adult",B1424&lt;=34,"Early Career",B1424&lt;=44,"Mid Career",B1424&lt;=54,"Mature",B1424&lt;=65,"Pre-Senior",B1424&gt;65,"Senior")</f>
        <v>Mature</v>
      </c>
      <c r="D1424" s="1" t="s">
        <v>29</v>
      </c>
      <c r="E1424" s="1" t="s">
        <v>13</v>
      </c>
      <c r="F1424" s="1">
        <v>1150000</v>
      </c>
      <c r="G1424" s="1">
        <v>29</v>
      </c>
      <c r="H1424" s="1" t="str" cm="1">
        <f t="array" ref="H1424">_xlfn.IFS( OR(G1424=" ",NOT(ISNUMBER(G1424))),"Unknown",G1424&lt;=33,"Low Spender",G1424&lt;=66,"Medium Spender",TRUE, "High Spender")</f>
        <v>Low Spender</v>
      </c>
      <c r="I1424" s="1">
        <v>20</v>
      </c>
      <c r="J1424" s="1">
        <v>7800</v>
      </c>
      <c r="K1424" s="1">
        <v>351</v>
      </c>
      <c r="L1424" s="1" t="s">
        <v>37</v>
      </c>
      <c r="M1424" s="1" t="s">
        <v>21</v>
      </c>
      <c r="N1424" s="1" t="str">
        <f t="shared" si="44"/>
        <v>Higher</v>
      </c>
      <c r="O1424" s="1" t="str">
        <f t="shared" si="45"/>
        <v>Mature | Low Spender | Higher</v>
      </c>
    </row>
    <row r="1425" spans="1:15" x14ac:dyDescent="0.25">
      <c r="A1425" s="1" t="s">
        <v>1455</v>
      </c>
      <c r="B1425" s="1">
        <v>67</v>
      </c>
      <c r="C1425" s="1" t="str" cm="1">
        <f t="array" ref="C1425">_xlfn.IFS(OR(B1425=" ", B1425="NA",NOT(ISNUMBER(B1425))), "Unknown",B1425&lt;18,"Underage",B1425&lt;=24,"Young Adult",B1425&lt;=34,"Early Career",B1425&lt;=44,"Mid Career",B1425&lt;=54,"Mature",B1425&lt;=65,"Pre-Senior",B1425&gt;65,"Senior")</f>
        <v>Senior</v>
      </c>
      <c r="D1425" s="1" t="s">
        <v>18</v>
      </c>
      <c r="E1425" s="1" t="s">
        <v>34</v>
      </c>
      <c r="F1425" s="1" t="s">
        <v>25</v>
      </c>
      <c r="G1425" s="1">
        <v>47</v>
      </c>
      <c r="H1425" s="1" t="str" cm="1">
        <f t="array" ref="H1425">_xlfn.IFS( OR(G1425=" ",NOT(ISNUMBER(G1425))),"Unknown",G1425&lt;=33,"Low Spender",G1425&lt;=66,"Medium Spender",TRUE, "High Spender")</f>
        <v>Medium Spender</v>
      </c>
      <c r="I1425" s="1">
        <v>11</v>
      </c>
      <c r="J1425" s="1">
        <v>4600</v>
      </c>
      <c r="K1425" s="1">
        <v>249</v>
      </c>
      <c r="L1425" s="1" t="s">
        <v>16</v>
      </c>
      <c r="N1425" s="1" t="str">
        <f t="shared" si="44"/>
        <v>Higher</v>
      </c>
      <c r="O1425" s="1" t="str">
        <f t="shared" si="45"/>
        <v>Senior | Medium Spender | Higher</v>
      </c>
    </row>
    <row r="1426" spans="1:15" x14ac:dyDescent="0.25">
      <c r="A1426" s="1" t="s">
        <v>1456</v>
      </c>
      <c r="B1426" s="1">
        <v>38</v>
      </c>
      <c r="C1426" s="1" t="str" cm="1">
        <f t="array" ref="C1426">_xlfn.IFS(OR(B1426=" ", B1426="NA",NOT(ISNUMBER(B1426))), "Unknown",B1426&lt;18,"Underage",B1426&lt;=24,"Young Adult",B1426&lt;=34,"Early Career",B1426&lt;=44,"Mid Career",B1426&lt;=54,"Mature",B1426&lt;=65,"Pre-Senior",B1426&gt;65,"Senior")</f>
        <v>Mid Career</v>
      </c>
      <c r="D1426" s="1" t="s">
        <v>29</v>
      </c>
      <c r="E1426" s="1" t="s">
        <v>34</v>
      </c>
      <c r="F1426" s="1">
        <v>1475000</v>
      </c>
      <c r="G1426" s="1">
        <v>63</v>
      </c>
      <c r="H1426" s="1" t="str" cm="1">
        <f t="array" ref="H1426">_xlfn.IFS( OR(G1426=" ",NOT(ISNUMBER(G1426))),"Unknown",G1426&lt;=33,"Low Spender",G1426&lt;=66,"Medium Spender",TRUE, "High Spender")</f>
        <v>Medium Spender</v>
      </c>
      <c r="I1426" s="1">
        <v>44</v>
      </c>
      <c r="J1426" s="1">
        <v>9000</v>
      </c>
      <c r="K1426" s="1">
        <v>132</v>
      </c>
      <c r="L1426" s="1" t="s">
        <v>37</v>
      </c>
      <c r="M1426" s="1" t="s">
        <v>30</v>
      </c>
      <c r="N1426" s="1" t="str">
        <f t="shared" si="44"/>
        <v>Higher</v>
      </c>
      <c r="O1426" s="1" t="str">
        <f t="shared" si="45"/>
        <v>Mid Career | Medium Spender | Higher</v>
      </c>
    </row>
    <row r="1427" spans="1:15" x14ac:dyDescent="0.25">
      <c r="A1427" s="1" t="s">
        <v>1457</v>
      </c>
      <c r="B1427" s="1">
        <v>66</v>
      </c>
      <c r="C1427" s="1" t="str" cm="1">
        <f t="array" ref="C1427">_xlfn.IFS(OR(B1427=" ", B1427="NA",NOT(ISNUMBER(B1427))), "Unknown",B1427&lt;18,"Underage",B1427&lt;=24,"Young Adult",B1427&lt;=34,"Early Career",B1427&lt;=44,"Mid Career",B1427&lt;=54,"Mature",B1427&lt;=65,"Pre-Senior",B1427&gt;65,"Senior")</f>
        <v>Senior</v>
      </c>
      <c r="D1427" s="1" t="s">
        <v>18</v>
      </c>
      <c r="E1427" s="1" t="s">
        <v>23</v>
      </c>
      <c r="F1427" s="1">
        <v>1850000</v>
      </c>
      <c r="G1427" s="1">
        <v>19</v>
      </c>
      <c r="H1427" s="1" t="str" cm="1">
        <f t="array" ref="H1427">_xlfn.IFS( OR(G1427=" ",NOT(ISNUMBER(G1427))),"Unknown",G1427&lt;=33,"Low Spender",G1427&lt;=66,"Medium Spender",TRUE, "High Spender")</f>
        <v>Low Spender</v>
      </c>
      <c r="I1427" s="1">
        <v>64</v>
      </c>
      <c r="J1427" s="1">
        <v>600</v>
      </c>
      <c r="K1427" s="1">
        <v>169</v>
      </c>
      <c r="L1427" s="1" t="s">
        <v>35</v>
      </c>
      <c r="N1427" s="1" t="str">
        <f t="shared" si="44"/>
        <v>Higher</v>
      </c>
      <c r="O1427" s="1" t="str">
        <f t="shared" si="45"/>
        <v>Senior | Low Spender | Higher</v>
      </c>
    </row>
    <row r="1428" spans="1:15" x14ac:dyDescent="0.25">
      <c r="A1428" s="1" t="s">
        <v>1458</v>
      </c>
      <c r="B1428" s="1">
        <v>24</v>
      </c>
      <c r="C1428" s="1" t="str" cm="1">
        <f t="array" ref="C1428">_xlfn.IFS(OR(B1428=" ", B1428="NA",NOT(ISNUMBER(B1428))), "Unknown",B1428&lt;18,"Underage",B1428&lt;=24,"Young Adult",B1428&lt;=34,"Early Career",B1428&lt;=44,"Mid Career",B1428&lt;=54,"Mature",B1428&lt;=65,"Pre-Senior",B1428&gt;65,"Senior")</f>
        <v>Young Adult</v>
      </c>
      <c r="D1428" s="1" t="s">
        <v>18</v>
      </c>
      <c r="F1428" s="1">
        <v>800000</v>
      </c>
      <c r="G1428" s="1">
        <v>91</v>
      </c>
      <c r="H1428" s="1" t="str" cm="1">
        <f t="array" ref="H1428">_xlfn.IFS( OR(G1428=" ",NOT(ISNUMBER(G1428))),"Unknown",G1428&lt;=33,"Low Spender",G1428&lt;=66,"Medium Spender",TRUE, "High Spender")</f>
        <v>High Spender</v>
      </c>
      <c r="I1428" s="1">
        <v>34</v>
      </c>
      <c r="J1428" s="1">
        <v>3800</v>
      </c>
      <c r="K1428" s="1">
        <v>60</v>
      </c>
      <c r="L1428" s="1" t="s">
        <v>16</v>
      </c>
      <c r="N1428" s="1" t="str">
        <f t="shared" si="44"/>
        <v>Higher</v>
      </c>
      <c r="O1428" s="1" t="str">
        <f t="shared" si="45"/>
        <v>Young Adult | High Spender | Higher</v>
      </c>
    </row>
    <row r="1429" spans="1:15" x14ac:dyDescent="0.25">
      <c r="A1429" s="1" t="s">
        <v>1459</v>
      </c>
      <c r="B1429" s="1">
        <v>34</v>
      </c>
      <c r="C1429" s="1" t="str" cm="1">
        <f t="array" ref="C1429">_xlfn.IFS(OR(B1429=" ", B1429="NA",NOT(ISNUMBER(B1429))), "Unknown",B1429&lt;18,"Underage",B1429&lt;=24,"Young Adult",B1429&lt;=34,"Early Career",B1429&lt;=44,"Mid Career",B1429&lt;=54,"Mature",B1429&lt;=65,"Pre-Senior",B1429&gt;65,"Senior")</f>
        <v>Early Career</v>
      </c>
      <c r="D1429" s="1" t="s">
        <v>12</v>
      </c>
      <c r="F1429" s="1">
        <v>325000</v>
      </c>
      <c r="G1429" s="1">
        <v>9</v>
      </c>
      <c r="H1429" s="1" t="str" cm="1">
        <f t="array" ref="H1429">_xlfn.IFS( OR(G1429=" ",NOT(ISNUMBER(G1429))),"Unknown",G1429&lt;=33,"Low Spender",G1429&lt;=66,"Medium Spender",TRUE, "High Spender")</f>
        <v>Low Spender</v>
      </c>
      <c r="I1429" s="1">
        <v>65</v>
      </c>
      <c r="J1429" s="1">
        <v>11600</v>
      </c>
      <c r="K1429" s="1">
        <v>337</v>
      </c>
      <c r="L1429" s="1" t="s">
        <v>35</v>
      </c>
      <c r="M1429" s="1" t="s">
        <v>21</v>
      </c>
      <c r="N1429" s="1" t="str">
        <f t="shared" si="44"/>
        <v>Lower</v>
      </c>
      <c r="O1429" s="1" t="str">
        <f t="shared" si="45"/>
        <v>Early Career | Low Spender | Lower</v>
      </c>
    </row>
    <row r="1430" spans="1:15" x14ac:dyDescent="0.25">
      <c r="A1430" s="1" t="s">
        <v>1460</v>
      </c>
      <c r="B1430" s="1">
        <v>37</v>
      </c>
      <c r="C1430" s="1" t="str" cm="1">
        <f t="array" ref="C1430">_xlfn.IFS(OR(B1430=" ", B1430="NA",NOT(ISNUMBER(B1430))), "Unknown",B1430&lt;18,"Underage",B1430&lt;=24,"Young Adult",B1430&lt;=34,"Early Career",B1430&lt;=44,"Mid Career",B1430&lt;=54,"Mature",B1430&lt;=65,"Pre-Senior",B1430&gt;65,"Senior")</f>
        <v>Mid Career</v>
      </c>
      <c r="D1430" s="1" t="s">
        <v>18</v>
      </c>
      <c r="F1430" s="1">
        <v>925000</v>
      </c>
      <c r="H1430" s="1" t="str" cm="1">
        <f t="array" ref="H1430">_xlfn.IFS( OR(G1430=" ",NOT(ISNUMBER(G1430))),"Unknown",G1430&lt;=33,"Low Spender",G1430&lt;=66,"Medium Spender",TRUE, "High Spender")</f>
        <v>Unknown</v>
      </c>
      <c r="I1430" s="1">
        <v>55</v>
      </c>
      <c r="J1430" s="1">
        <v>5000</v>
      </c>
      <c r="K1430" s="1">
        <v>241</v>
      </c>
      <c r="L1430" s="1" t="s">
        <v>16</v>
      </c>
      <c r="M1430" s="1" t="s">
        <v>41</v>
      </c>
      <c r="N1430" s="1" t="str">
        <f t="shared" si="44"/>
        <v>Higher</v>
      </c>
      <c r="O1430" s="1" t="str">
        <f t="shared" si="45"/>
        <v>Mid Career | Unknown | Higher</v>
      </c>
    </row>
    <row r="1431" spans="1:15" x14ac:dyDescent="0.25">
      <c r="A1431" s="1" t="s">
        <v>1461</v>
      </c>
      <c r="B1431" s="1">
        <v>58</v>
      </c>
      <c r="C1431" s="1" t="str" cm="1">
        <f t="array" ref="C1431">_xlfn.IFS(OR(B1431=" ", B1431="NA",NOT(ISNUMBER(B1431))), "Unknown",B1431&lt;18,"Underage",B1431&lt;=24,"Young Adult",B1431&lt;=34,"Early Career",B1431&lt;=44,"Mid Career",B1431&lt;=54,"Mature",B1431&lt;=65,"Pre-Senior",B1431&gt;65,"Senior")</f>
        <v>Pre-Senior</v>
      </c>
      <c r="D1431" s="1" t="s">
        <v>18</v>
      </c>
      <c r="E1431" s="1" t="s">
        <v>58</v>
      </c>
      <c r="F1431" s="1">
        <v>1725000</v>
      </c>
      <c r="G1431" s="1">
        <v>37</v>
      </c>
      <c r="H1431" s="1" t="str" cm="1">
        <f t="array" ref="H1431">_xlfn.IFS( OR(G1431=" ",NOT(ISNUMBER(G1431))),"Unknown",G1431&lt;=33,"Low Spender",G1431&lt;=66,"Medium Spender",TRUE, "High Spender")</f>
        <v>Medium Spender</v>
      </c>
      <c r="I1431" s="1">
        <v>74</v>
      </c>
      <c r="J1431" s="1">
        <v>1600</v>
      </c>
      <c r="K1431" s="1">
        <v>190</v>
      </c>
      <c r="M1431" s="1" t="s">
        <v>30</v>
      </c>
      <c r="N1431" s="1" t="str">
        <f t="shared" si="44"/>
        <v>Higher</v>
      </c>
      <c r="O1431" s="1" t="str">
        <f t="shared" si="45"/>
        <v>Pre-Senior | Medium Spender | Higher</v>
      </c>
    </row>
    <row r="1432" spans="1:15" x14ac:dyDescent="0.25">
      <c r="A1432" s="1" t="s">
        <v>1462</v>
      </c>
      <c r="B1432" s="1">
        <v>66</v>
      </c>
      <c r="C1432" s="1" t="str" cm="1">
        <f t="array" ref="C1432">_xlfn.IFS(OR(B1432=" ", B1432="NA",NOT(ISNUMBER(B1432))), "Unknown",B1432&lt;18,"Underage",B1432&lt;=24,"Young Adult",B1432&lt;=34,"Early Career",B1432&lt;=44,"Mid Career",B1432&lt;=54,"Mature",B1432&lt;=65,"Pre-Senior",B1432&gt;65,"Senior")</f>
        <v>Senior</v>
      </c>
      <c r="E1432" s="1" t="s">
        <v>27</v>
      </c>
      <c r="F1432" s="1">
        <v>375000</v>
      </c>
      <c r="G1432" s="1">
        <v>92</v>
      </c>
      <c r="H1432" s="1" t="str" cm="1">
        <f t="array" ref="H1432">_xlfn.IFS( OR(G1432=" ",NOT(ISNUMBER(G1432))),"Unknown",G1432&lt;=33,"Low Spender",G1432&lt;=66,"Medium Spender",TRUE, "High Spender")</f>
        <v>High Spender</v>
      </c>
      <c r="I1432" s="1">
        <v>1</v>
      </c>
      <c r="J1432" s="1">
        <v>8300</v>
      </c>
      <c r="K1432" s="1">
        <v>340</v>
      </c>
      <c r="L1432" s="1" t="s">
        <v>37</v>
      </c>
      <c r="M1432" s="1" t="s">
        <v>32</v>
      </c>
      <c r="N1432" s="1" t="str">
        <f t="shared" si="44"/>
        <v>Lower</v>
      </c>
      <c r="O1432" s="1" t="str">
        <f t="shared" si="45"/>
        <v>Senior | High Spender | Lower</v>
      </c>
    </row>
    <row r="1433" spans="1:15" x14ac:dyDescent="0.25">
      <c r="A1433" s="1" t="s">
        <v>1463</v>
      </c>
      <c r="B1433" s="1">
        <v>37</v>
      </c>
      <c r="C1433" s="1" t="str" cm="1">
        <f t="array" ref="C1433">_xlfn.IFS(OR(B1433=" ", B1433="NA",NOT(ISNUMBER(B1433))), "Unknown",B1433&lt;18,"Underage",B1433&lt;=24,"Young Adult",B1433&lt;=34,"Early Career",B1433&lt;=44,"Mid Career",B1433&lt;=54,"Mature",B1433&lt;=65,"Pre-Senior",B1433&gt;65,"Senior")</f>
        <v>Mid Career</v>
      </c>
      <c r="D1433" s="1" t="s">
        <v>18</v>
      </c>
      <c r="E1433" s="1" t="s">
        <v>13</v>
      </c>
      <c r="F1433" s="1">
        <v>450000</v>
      </c>
      <c r="G1433" s="1">
        <v>52</v>
      </c>
      <c r="H1433" s="1" t="str" cm="1">
        <f t="array" ref="H1433">_xlfn.IFS( OR(G1433=" ",NOT(ISNUMBER(G1433))),"Unknown",G1433&lt;=33,"Low Spender",G1433&lt;=66,"Medium Spender",TRUE, "High Spender")</f>
        <v>Medium Spender</v>
      </c>
      <c r="I1433" s="1">
        <v>38</v>
      </c>
      <c r="J1433" s="1">
        <v>5100</v>
      </c>
      <c r="K1433" s="1">
        <v>281</v>
      </c>
      <c r="N1433" s="1" t="str">
        <f t="shared" si="44"/>
        <v>Higher</v>
      </c>
      <c r="O1433" s="1" t="str">
        <f t="shared" si="45"/>
        <v>Mid Career | Medium Spender | Higher</v>
      </c>
    </row>
    <row r="1434" spans="1:15" x14ac:dyDescent="0.25">
      <c r="A1434" s="1" t="s">
        <v>1464</v>
      </c>
      <c r="C1434" s="1" t="str" cm="1">
        <f t="array" ref="C1434">_xlfn.IFS(OR(B1434=" ", B1434="NA",NOT(ISNUMBER(B1434))), "Unknown",B1434&lt;18,"Underage",B1434&lt;=24,"Young Adult",B1434&lt;=34,"Early Career",B1434&lt;=44,"Mid Career",B1434&lt;=54,"Mature",B1434&lt;=65,"Pre-Senior",B1434&gt;65,"Senior")</f>
        <v>Unknown</v>
      </c>
      <c r="D1434" s="1" t="s">
        <v>29</v>
      </c>
      <c r="E1434" s="1" t="s">
        <v>19</v>
      </c>
      <c r="F1434" s="1">
        <v>1700000</v>
      </c>
      <c r="G1434" s="1">
        <v>57</v>
      </c>
      <c r="H1434" s="1" t="str" cm="1">
        <f t="array" ref="H1434">_xlfn.IFS( OR(G1434=" ",NOT(ISNUMBER(G1434))),"Unknown",G1434&lt;=33,"Low Spender",G1434&lt;=66,"Medium Spender",TRUE, "High Spender")</f>
        <v>Medium Spender</v>
      </c>
      <c r="I1434" s="1">
        <v>9</v>
      </c>
      <c r="J1434" s="1">
        <v>6900</v>
      </c>
      <c r="K1434" s="1">
        <v>232</v>
      </c>
      <c r="L1434" s="1" t="s">
        <v>35</v>
      </c>
      <c r="N1434" s="1" t="str">
        <f t="shared" si="44"/>
        <v>Higher</v>
      </c>
      <c r="O1434" s="1" t="str">
        <f t="shared" si="45"/>
        <v>Unknown | Medium Spender | Higher</v>
      </c>
    </row>
    <row r="1435" spans="1:15" x14ac:dyDescent="0.25">
      <c r="A1435" s="1" t="s">
        <v>1465</v>
      </c>
      <c r="B1435" s="1">
        <v>39</v>
      </c>
      <c r="C1435" s="1" t="str" cm="1">
        <f t="array" ref="C1435">_xlfn.IFS(OR(B1435=" ", B1435="NA",NOT(ISNUMBER(B1435))), "Unknown",B1435&lt;18,"Underage",B1435&lt;=24,"Young Adult",B1435&lt;=34,"Early Career",B1435&lt;=44,"Mid Career",B1435&lt;=54,"Mature",B1435&lt;=65,"Pre-Senior",B1435&gt;65,"Senior")</f>
        <v>Mid Career</v>
      </c>
      <c r="D1435" s="1" t="s">
        <v>29</v>
      </c>
      <c r="E1435" s="1" t="s">
        <v>23</v>
      </c>
      <c r="F1435" s="1">
        <v>1000000</v>
      </c>
      <c r="G1435" s="1">
        <v>88</v>
      </c>
      <c r="H1435" s="1" t="str" cm="1">
        <f t="array" ref="H1435">_xlfn.IFS( OR(G1435=" ",NOT(ISNUMBER(G1435))),"Unknown",G1435&lt;=33,"Low Spender",G1435&lt;=66,"Medium Spender",TRUE, "High Spender")</f>
        <v>High Spender</v>
      </c>
      <c r="I1435" s="1">
        <v>71</v>
      </c>
      <c r="J1435" s="1">
        <v>10400</v>
      </c>
      <c r="K1435" s="1">
        <v>289</v>
      </c>
      <c r="L1435" s="1" t="s">
        <v>35</v>
      </c>
      <c r="N1435" s="1" t="str">
        <f t="shared" si="44"/>
        <v>Higher</v>
      </c>
      <c r="O1435" s="1" t="str">
        <f t="shared" si="45"/>
        <v>Mid Career | High Spender | Higher</v>
      </c>
    </row>
    <row r="1436" spans="1:15" x14ac:dyDescent="0.25">
      <c r="A1436" s="1" t="s">
        <v>1466</v>
      </c>
      <c r="B1436" s="1">
        <v>45</v>
      </c>
      <c r="C1436" s="1" t="str" cm="1">
        <f t="array" ref="C1436">_xlfn.IFS(OR(B1436=" ", B1436="NA",NOT(ISNUMBER(B1436))), "Unknown",B1436&lt;18,"Underage",B1436&lt;=24,"Young Adult",B1436&lt;=34,"Early Career",B1436&lt;=44,"Mid Career",B1436&lt;=54,"Mature",B1436&lt;=65,"Pre-Senior",B1436&gt;65,"Senior")</f>
        <v>Mature</v>
      </c>
      <c r="D1436" s="1" t="s">
        <v>29</v>
      </c>
      <c r="E1436" s="1" t="s">
        <v>15</v>
      </c>
      <c r="F1436" s="1">
        <v>1650000</v>
      </c>
      <c r="G1436" s="1">
        <v>28</v>
      </c>
      <c r="H1436" s="1" t="str" cm="1">
        <f t="array" ref="H1436">_xlfn.IFS( OR(G1436=" ",NOT(ISNUMBER(G1436))),"Unknown",G1436&lt;=33,"Low Spender",G1436&lt;=66,"Medium Spender",TRUE, "High Spender")</f>
        <v>Low Spender</v>
      </c>
      <c r="I1436" s="1">
        <v>17</v>
      </c>
      <c r="J1436" s="1">
        <v>8900</v>
      </c>
      <c r="K1436" s="1">
        <v>275</v>
      </c>
      <c r="L1436" s="1" t="s">
        <v>20</v>
      </c>
      <c r="N1436" s="1" t="str">
        <f t="shared" si="44"/>
        <v>Higher</v>
      </c>
      <c r="O1436" s="1" t="str">
        <f t="shared" si="45"/>
        <v>Mature | Low Spender | Higher</v>
      </c>
    </row>
    <row r="1437" spans="1:15" x14ac:dyDescent="0.25">
      <c r="A1437" s="1" t="s">
        <v>1467</v>
      </c>
      <c r="B1437" s="1">
        <v>57</v>
      </c>
      <c r="C1437" s="1" t="str" cm="1">
        <f t="array" ref="C1437">_xlfn.IFS(OR(B1437=" ", B1437="NA",NOT(ISNUMBER(B1437))), "Unknown",B1437&lt;18,"Underage",B1437&lt;=24,"Young Adult",B1437&lt;=34,"Early Career",B1437&lt;=44,"Mid Career",B1437&lt;=54,"Mature",B1437&lt;=65,"Pre-Senior",B1437&gt;65,"Senior")</f>
        <v>Pre-Senior</v>
      </c>
      <c r="D1437" s="1" t="s">
        <v>29</v>
      </c>
      <c r="F1437" s="1">
        <v>1475000</v>
      </c>
      <c r="G1437" s="1">
        <v>36</v>
      </c>
      <c r="H1437" s="1" t="str" cm="1">
        <f t="array" ref="H1437">_xlfn.IFS( OR(G1437=" ",NOT(ISNUMBER(G1437))),"Unknown",G1437&lt;=33,"Low Spender",G1437&lt;=66,"Medium Spender",TRUE, "High Spender")</f>
        <v>Medium Spender</v>
      </c>
      <c r="I1437" s="1">
        <v>52</v>
      </c>
      <c r="J1437" s="1">
        <v>7900</v>
      </c>
      <c r="K1437" s="1">
        <v>313</v>
      </c>
      <c r="M1437" s="1" t="s">
        <v>41</v>
      </c>
      <c r="N1437" s="1" t="str">
        <f t="shared" si="44"/>
        <v>Higher</v>
      </c>
      <c r="O1437" s="1" t="str">
        <f t="shared" si="45"/>
        <v>Pre-Senior | Medium Spender | Higher</v>
      </c>
    </row>
    <row r="1438" spans="1:15" x14ac:dyDescent="0.25">
      <c r="A1438" s="1" t="s">
        <v>1468</v>
      </c>
      <c r="B1438" s="1">
        <v>66</v>
      </c>
      <c r="C1438" s="1" t="str" cm="1">
        <f t="array" ref="C1438">_xlfn.IFS(OR(B1438=" ", B1438="NA",NOT(ISNUMBER(B1438))), "Unknown",B1438&lt;18,"Underage",B1438&lt;=24,"Young Adult",B1438&lt;=34,"Early Career",B1438&lt;=44,"Mid Career",B1438&lt;=54,"Mature",B1438&lt;=65,"Pre-Senior",B1438&gt;65,"Senior")</f>
        <v>Senior</v>
      </c>
      <c r="D1438" s="1" t="s">
        <v>12</v>
      </c>
      <c r="E1438" s="1" t="s">
        <v>15</v>
      </c>
      <c r="F1438" s="1">
        <v>325000</v>
      </c>
      <c r="G1438" s="1">
        <v>64</v>
      </c>
      <c r="H1438" s="1" t="str" cm="1">
        <f t="array" ref="H1438">_xlfn.IFS( OR(G1438=" ",NOT(ISNUMBER(G1438))),"Unknown",G1438&lt;=33,"Low Spender",G1438&lt;=66,"Medium Spender",TRUE, "High Spender")</f>
        <v>Medium Spender</v>
      </c>
      <c r="I1438" s="1">
        <v>18</v>
      </c>
      <c r="J1438" s="1">
        <v>1100</v>
      </c>
      <c r="K1438" s="1">
        <v>15</v>
      </c>
      <c r="M1438" s="1" t="s">
        <v>32</v>
      </c>
      <c r="N1438" s="1" t="str">
        <f t="shared" si="44"/>
        <v>Lower</v>
      </c>
      <c r="O1438" s="1" t="str">
        <f t="shared" si="45"/>
        <v>Senior | Medium Spender | Lower</v>
      </c>
    </row>
    <row r="1439" spans="1:15" x14ac:dyDescent="0.25">
      <c r="A1439" s="1" t="s">
        <v>1469</v>
      </c>
      <c r="B1439" s="1">
        <v>24</v>
      </c>
      <c r="C1439" s="1" t="str" cm="1">
        <f t="array" ref="C1439">_xlfn.IFS(OR(B1439=" ", B1439="NA",NOT(ISNUMBER(B1439))), "Unknown",B1439&lt;18,"Underage",B1439&lt;=24,"Young Adult",B1439&lt;=34,"Early Career",B1439&lt;=44,"Mid Career",B1439&lt;=54,"Mature",B1439&lt;=65,"Pre-Senior",B1439&gt;65,"Senior")</f>
        <v>Young Adult</v>
      </c>
      <c r="D1439" s="1" t="s">
        <v>18</v>
      </c>
      <c r="E1439" s="1" t="s">
        <v>13</v>
      </c>
      <c r="F1439" s="1">
        <v>850000</v>
      </c>
      <c r="G1439" s="1">
        <v>18</v>
      </c>
      <c r="H1439" s="1" t="str" cm="1">
        <f t="array" ref="H1439">_xlfn.IFS( OR(G1439=" ",NOT(ISNUMBER(G1439))),"Unknown",G1439&lt;=33,"Low Spender",G1439&lt;=66,"Medium Spender",TRUE, "High Spender")</f>
        <v>Low Spender</v>
      </c>
      <c r="I1439" s="1">
        <v>63</v>
      </c>
      <c r="J1439" s="1">
        <v>2300</v>
      </c>
      <c r="K1439" s="1">
        <v>41</v>
      </c>
      <c r="L1439" s="1" t="s">
        <v>35</v>
      </c>
      <c r="N1439" s="1" t="str">
        <f t="shared" si="44"/>
        <v>Higher</v>
      </c>
      <c r="O1439" s="1" t="str">
        <f t="shared" si="45"/>
        <v>Young Adult | Low Spender | Higher</v>
      </c>
    </row>
    <row r="1440" spans="1:15" x14ac:dyDescent="0.25">
      <c r="A1440" s="1" t="s">
        <v>1470</v>
      </c>
      <c r="B1440" s="1">
        <v>18</v>
      </c>
      <c r="C1440" s="1" t="str" cm="1">
        <f t="array" ref="C1440">_xlfn.IFS(OR(B1440=" ", B1440="NA",NOT(ISNUMBER(B1440))), "Unknown",B1440&lt;18,"Underage",B1440&lt;=24,"Young Adult",B1440&lt;=34,"Early Career",B1440&lt;=44,"Mid Career",B1440&lt;=54,"Mature",B1440&lt;=65,"Pre-Senior",B1440&gt;65,"Senior")</f>
        <v>Young Adult</v>
      </c>
      <c r="D1440" s="1" t="s">
        <v>29</v>
      </c>
      <c r="E1440" s="1" t="s">
        <v>49</v>
      </c>
      <c r="F1440" s="1">
        <v>1150000</v>
      </c>
      <c r="G1440" s="1">
        <v>89</v>
      </c>
      <c r="H1440" s="1" t="str" cm="1">
        <f t="array" ref="H1440">_xlfn.IFS( OR(G1440=" ",NOT(ISNUMBER(G1440))),"Unknown",G1440&lt;=33,"Low Spender",G1440&lt;=66,"Medium Spender",TRUE, "High Spender")</f>
        <v>High Spender</v>
      </c>
      <c r="I1440" s="1">
        <v>33</v>
      </c>
      <c r="J1440" s="1">
        <v>10700</v>
      </c>
      <c r="K1440" s="1">
        <v>208</v>
      </c>
      <c r="L1440" s="1" t="s">
        <v>37</v>
      </c>
      <c r="M1440" s="1" t="s">
        <v>21</v>
      </c>
      <c r="N1440" s="1" t="str">
        <f t="shared" si="44"/>
        <v>Higher</v>
      </c>
      <c r="O1440" s="1" t="str">
        <f t="shared" si="45"/>
        <v>Young Adult | High Spender | Higher</v>
      </c>
    </row>
    <row r="1441" spans="1:15" x14ac:dyDescent="0.25">
      <c r="A1441" s="1" t="s">
        <v>1471</v>
      </c>
      <c r="B1441" s="1">
        <v>49</v>
      </c>
      <c r="C1441" s="1" t="str" cm="1">
        <f t="array" ref="C1441">_xlfn.IFS(OR(B1441=" ", B1441="NA",NOT(ISNUMBER(B1441))), "Unknown",B1441&lt;18,"Underage",B1441&lt;=24,"Young Adult",B1441&lt;=34,"Early Career",B1441&lt;=44,"Mid Career",B1441&lt;=54,"Mature",B1441&lt;=65,"Pre-Senior",B1441&gt;65,"Senior")</f>
        <v>Mature</v>
      </c>
      <c r="D1441" s="1" t="s">
        <v>29</v>
      </c>
      <c r="F1441" s="1">
        <v>875000</v>
      </c>
      <c r="G1441" s="1">
        <v>35</v>
      </c>
      <c r="H1441" s="1" t="str" cm="1">
        <f t="array" ref="H1441">_xlfn.IFS( OR(G1441=" ",NOT(ISNUMBER(G1441))),"Unknown",G1441&lt;=33,"Low Spender",G1441&lt;=66,"Medium Spender",TRUE, "High Spender")</f>
        <v>Medium Spender</v>
      </c>
      <c r="I1441" s="1">
        <v>4</v>
      </c>
      <c r="J1441" s="1">
        <v>7400</v>
      </c>
      <c r="K1441" s="1">
        <v>60</v>
      </c>
      <c r="M1441" s="1" t="s">
        <v>30</v>
      </c>
      <c r="N1441" s="1" t="str">
        <f t="shared" si="44"/>
        <v>Higher</v>
      </c>
      <c r="O1441" s="1" t="str">
        <f t="shared" si="45"/>
        <v>Mature | Medium Spender | Higher</v>
      </c>
    </row>
    <row r="1442" spans="1:15" x14ac:dyDescent="0.25">
      <c r="A1442" s="1" t="s">
        <v>1472</v>
      </c>
      <c r="B1442" s="1">
        <v>30</v>
      </c>
      <c r="C1442" s="1" t="str" cm="1">
        <f t="array" ref="C1442">_xlfn.IFS(OR(B1442=" ", B1442="NA",NOT(ISNUMBER(B1442))), "Unknown",B1442&lt;18,"Underage",B1442&lt;=24,"Young Adult",B1442&lt;=34,"Early Career",B1442&lt;=44,"Mid Career",B1442&lt;=54,"Mature",B1442&lt;=65,"Pre-Senior",B1442&gt;65,"Senior")</f>
        <v>Early Career</v>
      </c>
      <c r="F1442" s="1">
        <v>650000</v>
      </c>
      <c r="G1442" s="1">
        <v>68</v>
      </c>
      <c r="H1442" s="1" t="str" cm="1">
        <f t="array" ref="H1442">_xlfn.IFS( OR(G1442=" ",NOT(ISNUMBER(G1442))),"Unknown",G1442&lt;=33,"Low Spender",G1442&lt;=66,"Medium Spender",TRUE, "High Spender")</f>
        <v>High Spender</v>
      </c>
      <c r="I1442" s="1">
        <v>75</v>
      </c>
      <c r="J1442" s="1">
        <v>8300</v>
      </c>
      <c r="L1442" s="1" t="s">
        <v>35</v>
      </c>
      <c r="M1442" s="1" t="s">
        <v>41</v>
      </c>
      <c r="N1442" s="1" t="str">
        <f t="shared" si="44"/>
        <v>Lower</v>
      </c>
      <c r="O1442" s="1" t="str">
        <f t="shared" si="45"/>
        <v>Early Career | High Spender | Lower</v>
      </c>
    </row>
    <row r="1443" spans="1:15" x14ac:dyDescent="0.25">
      <c r="A1443" s="1" t="s">
        <v>1473</v>
      </c>
      <c r="B1443" s="1">
        <v>47</v>
      </c>
      <c r="C1443" s="1" t="str" cm="1">
        <f t="array" ref="C1443">_xlfn.IFS(OR(B1443=" ", B1443="NA",NOT(ISNUMBER(B1443))), "Unknown",B1443&lt;18,"Underage",B1443&lt;=24,"Young Adult",B1443&lt;=34,"Early Career",B1443&lt;=44,"Mid Career",B1443&lt;=54,"Mature",B1443&lt;=65,"Pre-Senior",B1443&gt;65,"Senior")</f>
        <v>Mature</v>
      </c>
      <c r="D1443" s="1" t="s">
        <v>18</v>
      </c>
      <c r="E1443" s="1" t="s">
        <v>58</v>
      </c>
      <c r="G1443" s="1">
        <v>78</v>
      </c>
      <c r="H1443" s="1" t="str" cm="1">
        <f t="array" ref="H1443">_xlfn.IFS( OR(G1443=" ",NOT(ISNUMBER(G1443))),"Unknown",G1443&lt;=33,"Low Spender",G1443&lt;=66,"Medium Spender",TRUE, "High Spender")</f>
        <v>High Spender</v>
      </c>
      <c r="I1443" s="1">
        <v>52</v>
      </c>
      <c r="J1443" s="1">
        <v>1800</v>
      </c>
      <c r="K1443" s="1">
        <v>240</v>
      </c>
      <c r="L1443" s="1" t="s">
        <v>37</v>
      </c>
      <c r="M1443" s="1" t="s">
        <v>32</v>
      </c>
      <c r="N1443" s="1" t="str">
        <f t="shared" si="44"/>
        <v>Higher</v>
      </c>
      <c r="O1443" s="1" t="str">
        <f t="shared" si="45"/>
        <v>Mature | High Spender | Higher</v>
      </c>
    </row>
    <row r="1444" spans="1:15" x14ac:dyDescent="0.25">
      <c r="A1444" s="1" t="s">
        <v>1474</v>
      </c>
      <c r="B1444" s="1">
        <v>40</v>
      </c>
      <c r="C1444" s="1" t="str" cm="1">
        <f t="array" ref="C1444">_xlfn.IFS(OR(B1444=" ", B1444="NA",NOT(ISNUMBER(B1444))), "Unknown",B1444&lt;18,"Underage",B1444&lt;=24,"Young Adult",B1444&lt;=34,"Early Career",B1444&lt;=44,"Mid Career",B1444&lt;=54,"Mature",B1444&lt;=65,"Pre-Senior",B1444&gt;65,"Senior")</f>
        <v>Mid Career</v>
      </c>
      <c r="D1444" s="1" t="s">
        <v>12</v>
      </c>
      <c r="E1444" s="1" t="s">
        <v>13</v>
      </c>
      <c r="F1444" s="1">
        <v>400000</v>
      </c>
      <c r="G1444" s="1">
        <v>39</v>
      </c>
      <c r="H1444" s="1" t="str" cm="1">
        <f t="array" ref="H1444">_xlfn.IFS( OR(G1444=" ",NOT(ISNUMBER(G1444))),"Unknown",G1444&lt;=33,"Low Spender",G1444&lt;=66,"Medium Spender",TRUE, "High Spender")</f>
        <v>Medium Spender</v>
      </c>
      <c r="I1444" s="1">
        <v>9</v>
      </c>
      <c r="J1444" s="1">
        <v>1800</v>
      </c>
      <c r="K1444" s="1">
        <v>96</v>
      </c>
      <c r="L1444" s="1" t="s">
        <v>20</v>
      </c>
      <c r="M1444" s="1" t="s">
        <v>30</v>
      </c>
      <c r="N1444" s="1" t="str">
        <f t="shared" si="44"/>
        <v>Lower</v>
      </c>
      <c r="O1444" s="1" t="str">
        <f t="shared" si="45"/>
        <v>Mid Career | Medium Spender | Lower</v>
      </c>
    </row>
    <row r="1445" spans="1:15" x14ac:dyDescent="0.25">
      <c r="A1445" s="1" t="s">
        <v>1475</v>
      </c>
      <c r="B1445" s="1">
        <v>68</v>
      </c>
      <c r="C1445" s="1" t="str" cm="1">
        <f t="array" ref="C1445">_xlfn.IFS(OR(B1445=" ", B1445="NA",NOT(ISNUMBER(B1445))), "Unknown",B1445&lt;18,"Underage",B1445&lt;=24,"Young Adult",B1445&lt;=34,"Early Career",B1445&lt;=44,"Mid Career",B1445&lt;=54,"Mature",B1445&lt;=65,"Pre-Senior",B1445&gt;65,"Senior")</f>
        <v>Senior</v>
      </c>
      <c r="D1445" s="1" t="s">
        <v>29</v>
      </c>
      <c r="E1445" s="1" t="s">
        <v>49</v>
      </c>
      <c r="F1445" s="1">
        <v>175000</v>
      </c>
      <c r="G1445" s="1">
        <v>90</v>
      </c>
      <c r="H1445" s="1" t="str" cm="1">
        <f t="array" ref="H1445">_xlfn.IFS( OR(G1445=" ",NOT(ISNUMBER(G1445))),"Unknown",G1445&lt;=33,"Low Spender",G1445&lt;=66,"Medium Spender",TRUE, "High Spender")</f>
        <v>High Spender</v>
      </c>
      <c r="I1445" s="1">
        <v>64</v>
      </c>
      <c r="J1445" s="1">
        <v>3000</v>
      </c>
      <c r="K1445" s="1">
        <v>278</v>
      </c>
      <c r="L1445" s="1" t="s">
        <v>20</v>
      </c>
      <c r="M1445" s="1" t="s">
        <v>21</v>
      </c>
      <c r="N1445" s="1" t="str">
        <f t="shared" si="44"/>
        <v>Higher</v>
      </c>
      <c r="O1445" s="1" t="str">
        <f t="shared" si="45"/>
        <v>Senior | High Spender | Higher</v>
      </c>
    </row>
    <row r="1446" spans="1:15" x14ac:dyDescent="0.25">
      <c r="A1446" s="1" t="s">
        <v>1476</v>
      </c>
      <c r="B1446" s="1">
        <v>36</v>
      </c>
      <c r="C1446" s="1" t="str" cm="1">
        <f t="array" ref="C1446">_xlfn.IFS(OR(B1446=" ", B1446="NA",NOT(ISNUMBER(B1446))), "Unknown",B1446&lt;18,"Underage",B1446&lt;=24,"Young Adult",B1446&lt;=34,"Early Career",B1446&lt;=44,"Mid Career",B1446&lt;=54,"Mature",B1446&lt;=65,"Pre-Senior",B1446&gt;65,"Senior")</f>
        <v>Mid Career</v>
      </c>
      <c r="D1446" s="1" t="s">
        <v>12</v>
      </c>
      <c r="E1446" s="1" t="s">
        <v>58</v>
      </c>
      <c r="F1446" s="1">
        <v>1375000</v>
      </c>
      <c r="G1446" s="1">
        <v>8</v>
      </c>
      <c r="H1446" s="1" t="str" cm="1">
        <f t="array" ref="H1446">_xlfn.IFS( OR(G1446=" ",NOT(ISNUMBER(G1446))),"Unknown",G1446&lt;=33,"Low Spender",G1446&lt;=66,"Medium Spender",TRUE, "High Spender")</f>
        <v>Low Spender</v>
      </c>
      <c r="I1446" s="1">
        <v>30</v>
      </c>
      <c r="J1446" s="1">
        <v>5300</v>
      </c>
      <c r="K1446" s="1">
        <v>160</v>
      </c>
      <c r="L1446" s="1" t="s">
        <v>37</v>
      </c>
      <c r="M1446" s="1" t="s">
        <v>30</v>
      </c>
      <c r="N1446" s="1" t="str">
        <f t="shared" si="44"/>
        <v>Lower</v>
      </c>
      <c r="O1446" s="1" t="str">
        <f t="shared" si="45"/>
        <v>Mid Career | Low Spender | Lower</v>
      </c>
    </row>
    <row r="1447" spans="1:15" x14ac:dyDescent="0.25">
      <c r="A1447" s="1" t="s">
        <v>1477</v>
      </c>
      <c r="B1447" s="1">
        <v>49</v>
      </c>
      <c r="C1447" s="1" t="str" cm="1">
        <f t="array" ref="C1447">_xlfn.IFS(OR(B1447=" ", B1447="NA",NOT(ISNUMBER(B1447))), "Unknown",B1447&lt;18,"Underage",B1447&lt;=24,"Young Adult",B1447&lt;=34,"Early Career",B1447&lt;=44,"Mid Career",B1447&lt;=54,"Mature",B1447&lt;=65,"Pre-Senior",B1447&gt;65,"Senior")</f>
        <v>Mature</v>
      </c>
      <c r="D1447" s="1" t="s">
        <v>18</v>
      </c>
      <c r="E1447" s="1" t="s">
        <v>49</v>
      </c>
      <c r="F1447" s="1">
        <v>1150000</v>
      </c>
      <c r="G1447" s="1">
        <v>88</v>
      </c>
      <c r="H1447" s="1" t="str" cm="1">
        <f t="array" ref="H1447">_xlfn.IFS( OR(G1447=" ",NOT(ISNUMBER(G1447))),"Unknown",G1447&lt;=33,"Low Spender",G1447&lt;=66,"Medium Spender",TRUE, "High Spender")</f>
        <v>High Spender</v>
      </c>
      <c r="I1447" s="1">
        <v>8</v>
      </c>
      <c r="J1447" s="1">
        <v>5800</v>
      </c>
      <c r="K1447" s="1">
        <v>282</v>
      </c>
      <c r="N1447" s="1" t="str">
        <f t="shared" si="44"/>
        <v>Higher</v>
      </c>
      <c r="O1447" s="1" t="str">
        <f t="shared" si="45"/>
        <v>Mature | High Spender | Higher</v>
      </c>
    </row>
    <row r="1448" spans="1:15" x14ac:dyDescent="0.25">
      <c r="A1448" s="1" t="s">
        <v>1478</v>
      </c>
      <c r="B1448" s="1">
        <v>47</v>
      </c>
      <c r="C1448" s="1" t="str" cm="1">
        <f t="array" ref="C1448">_xlfn.IFS(OR(B1448=" ", B1448="NA",NOT(ISNUMBER(B1448))), "Unknown",B1448&lt;18,"Underage",B1448&lt;=24,"Young Adult",B1448&lt;=34,"Early Career",B1448&lt;=44,"Mid Career",B1448&lt;=54,"Mature",B1448&lt;=65,"Pre-Senior",B1448&gt;65,"Senior")</f>
        <v>Mature</v>
      </c>
      <c r="D1448" s="1" t="s">
        <v>12</v>
      </c>
      <c r="F1448" s="1">
        <v>1775000</v>
      </c>
      <c r="G1448" s="1">
        <v>80</v>
      </c>
      <c r="H1448" s="1" t="str" cm="1">
        <f t="array" ref="H1448">_xlfn.IFS( OR(G1448=" ",NOT(ISNUMBER(G1448))),"Unknown",G1448&lt;=33,"Low Spender",G1448&lt;=66,"Medium Spender",TRUE, "High Spender")</f>
        <v>High Spender</v>
      </c>
      <c r="I1448" s="1">
        <v>5</v>
      </c>
      <c r="J1448" s="1">
        <v>8200</v>
      </c>
      <c r="K1448" s="1">
        <v>209</v>
      </c>
      <c r="L1448" s="1" t="s">
        <v>37</v>
      </c>
      <c r="N1448" s="1" t="str">
        <f t="shared" si="44"/>
        <v>Lower</v>
      </c>
      <c r="O1448" s="1" t="str">
        <f t="shared" si="45"/>
        <v>Mature | High Spender | Lower</v>
      </c>
    </row>
    <row r="1449" spans="1:15" x14ac:dyDescent="0.25">
      <c r="A1449" s="1" t="s">
        <v>1479</v>
      </c>
      <c r="B1449" s="1">
        <v>46</v>
      </c>
      <c r="C1449" s="1" t="str" cm="1">
        <f t="array" ref="C1449">_xlfn.IFS(OR(B1449=" ", B1449="NA",NOT(ISNUMBER(B1449))), "Unknown",B1449&lt;18,"Underage",B1449&lt;=24,"Young Adult",B1449&lt;=34,"Early Career",B1449&lt;=44,"Mid Career",B1449&lt;=54,"Mature",B1449&lt;=65,"Pre-Senior",B1449&gt;65,"Senior")</f>
        <v>Mature</v>
      </c>
      <c r="D1449" s="1" t="s">
        <v>29</v>
      </c>
      <c r="E1449" s="1" t="s">
        <v>58</v>
      </c>
      <c r="F1449" s="1">
        <v>200000</v>
      </c>
      <c r="G1449" s="1">
        <v>84</v>
      </c>
      <c r="H1449" s="1" t="str" cm="1">
        <f t="array" ref="H1449">_xlfn.IFS( OR(G1449=" ",NOT(ISNUMBER(G1449))),"Unknown",G1449&lt;=33,"Low Spender",G1449&lt;=66,"Medium Spender",TRUE, "High Spender")</f>
        <v>High Spender</v>
      </c>
      <c r="I1449" s="1">
        <v>76</v>
      </c>
      <c r="J1449" s="1">
        <v>5900</v>
      </c>
      <c r="K1449" s="1">
        <v>133</v>
      </c>
      <c r="N1449" s="1" t="str">
        <f t="shared" si="44"/>
        <v>Higher</v>
      </c>
      <c r="O1449" s="1" t="str">
        <f t="shared" si="45"/>
        <v>Mature | High Spender | Higher</v>
      </c>
    </row>
    <row r="1450" spans="1:15" x14ac:dyDescent="0.25">
      <c r="A1450" s="1" t="s">
        <v>1480</v>
      </c>
      <c r="B1450" s="1">
        <v>66</v>
      </c>
      <c r="C1450" s="1" t="str" cm="1">
        <f t="array" ref="C1450">_xlfn.IFS(OR(B1450=" ", B1450="NA",NOT(ISNUMBER(B1450))), "Unknown",B1450&lt;18,"Underage",B1450&lt;=24,"Young Adult",B1450&lt;=34,"Early Career",B1450&lt;=44,"Mid Career",B1450&lt;=54,"Mature",B1450&lt;=65,"Pre-Senior",B1450&gt;65,"Senior")</f>
        <v>Senior</v>
      </c>
      <c r="D1450" s="1" t="s">
        <v>29</v>
      </c>
      <c r="E1450" s="1" t="s">
        <v>27</v>
      </c>
      <c r="F1450" s="1">
        <v>1400000</v>
      </c>
      <c r="G1450" s="1">
        <v>15</v>
      </c>
      <c r="H1450" s="1" t="str" cm="1">
        <f t="array" ref="H1450">_xlfn.IFS( OR(G1450=" ",NOT(ISNUMBER(G1450))),"Unknown",G1450&lt;=33,"Low Spender",G1450&lt;=66,"Medium Spender",TRUE, "High Spender")</f>
        <v>Low Spender</v>
      </c>
      <c r="I1450" s="1">
        <v>63</v>
      </c>
      <c r="J1450" s="1">
        <v>11200</v>
      </c>
      <c r="K1450" s="1">
        <v>97</v>
      </c>
      <c r="L1450" s="1" t="s">
        <v>37</v>
      </c>
      <c r="M1450" s="1" t="s">
        <v>41</v>
      </c>
      <c r="N1450" s="1" t="str">
        <f t="shared" si="44"/>
        <v>Higher</v>
      </c>
      <c r="O1450" s="1" t="str">
        <f t="shared" si="45"/>
        <v>Senior | Low Spender | Higher</v>
      </c>
    </row>
    <row r="1451" spans="1:15" x14ac:dyDescent="0.25">
      <c r="A1451" s="1" t="s">
        <v>1481</v>
      </c>
      <c r="B1451" s="1">
        <v>62</v>
      </c>
      <c r="C1451" s="1" t="str" cm="1">
        <f t="array" ref="C1451">_xlfn.IFS(OR(B1451=" ", B1451="NA",NOT(ISNUMBER(B1451))), "Unknown",B1451&lt;18,"Underage",B1451&lt;=24,"Young Adult",B1451&lt;=34,"Early Career",B1451&lt;=44,"Mid Career",B1451&lt;=54,"Mature",B1451&lt;=65,"Pre-Senior",B1451&gt;65,"Senior")</f>
        <v>Pre-Senior</v>
      </c>
      <c r="D1451" s="1" t="s">
        <v>12</v>
      </c>
      <c r="E1451" s="1" t="s">
        <v>34</v>
      </c>
      <c r="F1451" s="1">
        <v>1825000</v>
      </c>
      <c r="G1451" s="1">
        <v>7</v>
      </c>
      <c r="H1451" s="1" t="str" cm="1">
        <f t="array" ref="H1451">_xlfn.IFS( OR(G1451=" ",NOT(ISNUMBER(G1451))),"Unknown",G1451&lt;=33,"Low Spender",G1451&lt;=66,"Medium Spender",TRUE, "High Spender")</f>
        <v>Low Spender</v>
      </c>
      <c r="I1451" s="1">
        <v>1</v>
      </c>
      <c r="J1451" s="1">
        <v>5400</v>
      </c>
      <c r="K1451" s="1">
        <v>219</v>
      </c>
      <c r="L1451" s="1" t="s">
        <v>20</v>
      </c>
      <c r="M1451" s="1" t="s">
        <v>30</v>
      </c>
      <c r="N1451" s="1" t="str">
        <f t="shared" si="44"/>
        <v>Lower</v>
      </c>
      <c r="O1451" s="1" t="str">
        <f t="shared" si="45"/>
        <v>Pre-Senior | Low Spender | Lower</v>
      </c>
    </row>
    <row r="1452" spans="1:15" x14ac:dyDescent="0.25">
      <c r="A1452" s="1" t="s">
        <v>1482</v>
      </c>
      <c r="B1452" s="1">
        <v>46</v>
      </c>
      <c r="C1452" s="1" t="str" cm="1">
        <f t="array" ref="C1452">_xlfn.IFS(OR(B1452=" ", B1452="NA",NOT(ISNUMBER(B1452))), "Unknown",B1452&lt;18,"Underage",B1452&lt;=24,"Young Adult",B1452&lt;=34,"Early Career",B1452&lt;=44,"Mid Career",B1452&lt;=54,"Mature",B1452&lt;=65,"Pre-Senior",B1452&gt;65,"Senior")</f>
        <v>Mature</v>
      </c>
      <c r="D1452" s="1" t="s">
        <v>29</v>
      </c>
      <c r="E1452" s="1" t="s">
        <v>15</v>
      </c>
      <c r="F1452" s="1">
        <v>750000</v>
      </c>
      <c r="G1452" s="1">
        <v>17</v>
      </c>
      <c r="H1452" s="1" t="str" cm="1">
        <f t="array" ref="H1452">_xlfn.IFS( OR(G1452=" ",NOT(ISNUMBER(G1452))),"Unknown",G1452&lt;=33,"Low Spender",G1452&lt;=66,"Medium Spender",TRUE, "High Spender")</f>
        <v>Low Spender</v>
      </c>
      <c r="I1452" s="1">
        <v>15</v>
      </c>
      <c r="J1452" s="1">
        <v>4800</v>
      </c>
      <c r="K1452" s="1">
        <v>71</v>
      </c>
      <c r="L1452" s="1" t="s">
        <v>20</v>
      </c>
      <c r="N1452" s="1" t="str">
        <f t="shared" si="44"/>
        <v>Higher</v>
      </c>
      <c r="O1452" s="1" t="str">
        <f t="shared" si="45"/>
        <v>Mature | Low Spender | Higher</v>
      </c>
    </row>
    <row r="1453" spans="1:15" x14ac:dyDescent="0.25">
      <c r="A1453" s="1" t="s">
        <v>1483</v>
      </c>
      <c r="B1453" s="1">
        <v>47</v>
      </c>
      <c r="C1453" s="1" t="str" cm="1">
        <f t="array" ref="C1453">_xlfn.IFS(OR(B1453=" ", B1453="NA",NOT(ISNUMBER(B1453))), "Unknown",B1453&lt;18,"Underage",B1453&lt;=24,"Young Adult",B1453&lt;=34,"Early Career",B1453&lt;=44,"Mid Career",B1453&lt;=54,"Mature",B1453&lt;=65,"Pre-Senior",B1453&gt;65,"Senior")</f>
        <v>Mature</v>
      </c>
      <c r="D1453" s="1" t="s">
        <v>18</v>
      </c>
      <c r="E1453" s="1" t="s">
        <v>27</v>
      </c>
      <c r="F1453" s="1">
        <v>875000</v>
      </c>
      <c r="G1453" s="1">
        <v>86</v>
      </c>
      <c r="H1453" s="1" t="str" cm="1">
        <f t="array" ref="H1453">_xlfn.IFS( OR(G1453=" ",NOT(ISNUMBER(G1453))),"Unknown",G1453&lt;=33,"Low Spender",G1453&lt;=66,"Medium Spender",TRUE, "High Spender")</f>
        <v>High Spender</v>
      </c>
      <c r="I1453" s="1">
        <v>38</v>
      </c>
      <c r="J1453" s="1">
        <v>8000</v>
      </c>
      <c r="K1453" s="1">
        <v>274</v>
      </c>
      <c r="L1453" s="1" t="s">
        <v>20</v>
      </c>
      <c r="M1453" s="1" t="s">
        <v>41</v>
      </c>
      <c r="N1453" s="1" t="str">
        <f t="shared" si="44"/>
        <v>Higher</v>
      </c>
      <c r="O1453" s="1" t="str">
        <f t="shared" si="45"/>
        <v>Mature | High Spender | Higher</v>
      </c>
    </row>
    <row r="1454" spans="1:15" x14ac:dyDescent="0.25">
      <c r="A1454" s="1" t="s">
        <v>1484</v>
      </c>
      <c r="B1454" s="1">
        <v>33</v>
      </c>
      <c r="C1454" s="1" t="str" cm="1">
        <f t="array" ref="C1454">_xlfn.IFS(OR(B1454=" ", B1454="NA",NOT(ISNUMBER(B1454))), "Unknown",B1454&lt;18,"Underage",B1454&lt;=24,"Young Adult",B1454&lt;=34,"Early Career",B1454&lt;=44,"Mid Career",B1454&lt;=54,"Mature",B1454&lt;=65,"Pre-Senior",B1454&gt;65,"Senior")</f>
        <v>Early Career</v>
      </c>
      <c r="D1454" s="1" t="s">
        <v>18</v>
      </c>
      <c r="F1454" s="1">
        <v>400000</v>
      </c>
      <c r="G1454" s="1">
        <v>86</v>
      </c>
      <c r="H1454" s="1" t="str" cm="1">
        <f t="array" ref="H1454">_xlfn.IFS( OR(G1454=" ",NOT(ISNUMBER(G1454))),"Unknown",G1454&lt;=33,"Low Spender",G1454&lt;=66,"Medium Spender",TRUE, "High Spender")</f>
        <v>High Spender</v>
      </c>
      <c r="I1454" s="1">
        <v>42</v>
      </c>
      <c r="J1454" s="1">
        <v>11200</v>
      </c>
      <c r="K1454" s="1">
        <v>351</v>
      </c>
      <c r="M1454" s="1" t="s">
        <v>41</v>
      </c>
      <c r="N1454" s="1" t="str">
        <f t="shared" si="44"/>
        <v>Higher</v>
      </c>
      <c r="O1454" s="1" t="str">
        <f t="shared" si="45"/>
        <v>Early Career | High Spender | Higher</v>
      </c>
    </row>
    <row r="1455" spans="1:15" x14ac:dyDescent="0.25">
      <c r="A1455" s="1" t="s">
        <v>1485</v>
      </c>
      <c r="B1455" s="1">
        <v>57</v>
      </c>
      <c r="C1455" s="1" t="str" cm="1">
        <f t="array" ref="C1455">_xlfn.IFS(OR(B1455=" ", B1455="NA",NOT(ISNUMBER(B1455))), "Unknown",B1455&lt;18,"Underage",B1455&lt;=24,"Young Adult",B1455&lt;=34,"Early Career",B1455&lt;=44,"Mid Career",B1455&lt;=54,"Mature",B1455&lt;=65,"Pre-Senior",B1455&gt;65,"Senior")</f>
        <v>Pre-Senior</v>
      </c>
      <c r="D1455" s="1" t="s">
        <v>29</v>
      </c>
      <c r="E1455" s="1" t="s">
        <v>23</v>
      </c>
      <c r="F1455" s="1">
        <v>550000</v>
      </c>
      <c r="G1455" s="1">
        <v>64</v>
      </c>
      <c r="H1455" s="1" t="str" cm="1">
        <f t="array" ref="H1455">_xlfn.IFS( OR(G1455=" ",NOT(ISNUMBER(G1455))),"Unknown",G1455&lt;=33,"Low Spender",G1455&lt;=66,"Medium Spender",TRUE, "High Spender")</f>
        <v>Medium Spender</v>
      </c>
      <c r="I1455" s="1">
        <v>46</v>
      </c>
      <c r="J1455" s="1">
        <v>11000</v>
      </c>
      <c r="K1455" s="1">
        <v>134</v>
      </c>
      <c r="L1455" s="1" t="s">
        <v>35</v>
      </c>
      <c r="N1455" s="1" t="str">
        <f t="shared" si="44"/>
        <v>Higher</v>
      </c>
      <c r="O1455" s="1" t="str">
        <f t="shared" si="45"/>
        <v>Pre-Senior | Medium Spender | Higher</v>
      </c>
    </row>
    <row r="1456" spans="1:15" x14ac:dyDescent="0.25">
      <c r="A1456" s="1" t="s">
        <v>1486</v>
      </c>
      <c r="B1456" s="1">
        <v>36</v>
      </c>
      <c r="C1456" s="1" t="str" cm="1">
        <f t="array" ref="C1456">_xlfn.IFS(OR(B1456=" ", B1456="NA",NOT(ISNUMBER(B1456))), "Unknown",B1456&lt;18,"Underage",B1456&lt;=24,"Young Adult",B1456&lt;=34,"Early Career",B1456&lt;=44,"Mid Career",B1456&lt;=54,"Mature",B1456&lt;=65,"Pre-Senior",B1456&gt;65,"Senior")</f>
        <v>Mid Career</v>
      </c>
      <c r="D1456" s="1" t="s">
        <v>29</v>
      </c>
      <c r="E1456" s="1" t="s">
        <v>34</v>
      </c>
      <c r="F1456" s="1">
        <v>775000</v>
      </c>
      <c r="G1456" s="1">
        <v>12</v>
      </c>
      <c r="H1456" s="1" t="str" cm="1">
        <f t="array" ref="H1456">_xlfn.IFS( OR(G1456=" ",NOT(ISNUMBER(G1456))),"Unknown",G1456&lt;=33,"Low Spender",G1456&lt;=66,"Medium Spender",TRUE, "High Spender")</f>
        <v>Low Spender</v>
      </c>
      <c r="I1456" s="1">
        <v>53</v>
      </c>
      <c r="J1456" s="1">
        <v>4000</v>
      </c>
      <c r="K1456" s="1">
        <v>66</v>
      </c>
      <c r="M1456" s="1" t="s">
        <v>41</v>
      </c>
      <c r="N1456" s="1" t="str">
        <f t="shared" si="44"/>
        <v>Higher</v>
      </c>
      <c r="O1456" s="1" t="str">
        <f t="shared" si="45"/>
        <v>Mid Career | Low Spender | Higher</v>
      </c>
    </row>
    <row r="1457" spans="1:15" x14ac:dyDescent="0.25">
      <c r="A1457" s="1" t="s">
        <v>1487</v>
      </c>
      <c r="B1457" s="1">
        <v>35</v>
      </c>
      <c r="C1457" s="1" t="str" cm="1">
        <f t="array" ref="C1457">_xlfn.IFS(OR(B1457=" ", B1457="NA",NOT(ISNUMBER(B1457))), "Unknown",B1457&lt;18,"Underage",B1457&lt;=24,"Young Adult",B1457&lt;=34,"Early Career",B1457&lt;=44,"Mid Career",B1457&lt;=54,"Mature",B1457&lt;=65,"Pre-Senior",B1457&gt;65,"Senior")</f>
        <v>Mid Career</v>
      </c>
      <c r="D1457" s="1" t="s">
        <v>12</v>
      </c>
      <c r="E1457" s="1" t="s">
        <v>27</v>
      </c>
      <c r="F1457" s="1">
        <v>700000</v>
      </c>
      <c r="G1457" s="1">
        <v>82</v>
      </c>
      <c r="H1457" s="1" t="str" cm="1">
        <f t="array" ref="H1457">_xlfn.IFS( OR(G1457=" ",NOT(ISNUMBER(G1457))),"Unknown",G1457&lt;=33,"Low Spender",G1457&lt;=66,"Medium Spender",TRUE, "High Spender")</f>
        <v>High Spender</v>
      </c>
      <c r="I1457" s="1">
        <v>26</v>
      </c>
      <c r="J1457" s="1">
        <v>8600</v>
      </c>
      <c r="K1457" s="1">
        <v>127</v>
      </c>
      <c r="L1457" s="1" t="s">
        <v>35</v>
      </c>
      <c r="M1457" s="1" t="s">
        <v>21</v>
      </c>
      <c r="N1457" s="1" t="str">
        <f t="shared" si="44"/>
        <v>Lower</v>
      </c>
      <c r="O1457" s="1" t="str">
        <f t="shared" si="45"/>
        <v>Mid Career | High Spender | Lower</v>
      </c>
    </row>
    <row r="1458" spans="1:15" x14ac:dyDescent="0.25">
      <c r="A1458" s="1" t="s">
        <v>1488</v>
      </c>
      <c r="B1458" s="1">
        <v>18</v>
      </c>
      <c r="C1458" s="1" t="str" cm="1">
        <f t="array" ref="C1458">_xlfn.IFS(OR(B1458=" ", B1458="NA",NOT(ISNUMBER(B1458))), "Unknown",B1458&lt;18,"Underage",B1458&lt;=24,"Young Adult",B1458&lt;=34,"Early Career",B1458&lt;=44,"Mid Career",B1458&lt;=54,"Mature",B1458&lt;=65,"Pre-Senior",B1458&gt;65,"Senior")</f>
        <v>Young Adult</v>
      </c>
      <c r="D1458" s="1" t="s">
        <v>18</v>
      </c>
      <c r="E1458" s="1" t="s">
        <v>13</v>
      </c>
      <c r="F1458" s="1">
        <v>1525000</v>
      </c>
      <c r="G1458" s="1">
        <v>56</v>
      </c>
      <c r="H1458" s="1" t="str" cm="1">
        <f t="array" ref="H1458">_xlfn.IFS( OR(G1458=" ",NOT(ISNUMBER(G1458))),"Unknown",G1458&lt;=33,"Low Spender",G1458&lt;=66,"Medium Spender",TRUE, "High Spender")</f>
        <v>Medium Spender</v>
      </c>
      <c r="I1458" s="1">
        <v>61</v>
      </c>
      <c r="J1458" s="1">
        <v>11100</v>
      </c>
      <c r="K1458" s="1">
        <v>205</v>
      </c>
      <c r="N1458" s="1" t="str">
        <f t="shared" si="44"/>
        <v>Higher</v>
      </c>
      <c r="O1458" s="1" t="str">
        <f t="shared" si="45"/>
        <v>Young Adult | Medium Spender | Higher</v>
      </c>
    </row>
    <row r="1459" spans="1:15" x14ac:dyDescent="0.25">
      <c r="A1459" s="1" t="s">
        <v>1489</v>
      </c>
      <c r="B1459" s="1">
        <v>31</v>
      </c>
      <c r="C1459" s="1" t="str" cm="1">
        <f t="array" ref="C1459">_xlfn.IFS(OR(B1459=" ", B1459="NA",NOT(ISNUMBER(B1459))), "Unknown",B1459&lt;18,"Underage",B1459&lt;=24,"Young Adult",B1459&lt;=34,"Early Career",B1459&lt;=44,"Mid Career",B1459&lt;=54,"Mature",B1459&lt;=65,"Pre-Senior",B1459&gt;65,"Senior")</f>
        <v>Early Career</v>
      </c>
      <c r="E1459" s="1" t="s">
        <v>49</v>
      </c>
      <c r="F1459" s="1">
        <v>1425000</v>
      </c>
      <c r="G1459" s="1">
        <v>46</v>
      </c>
      <c r="H1459" s="1" t="str" cm="1">
        <f t="array" ref="H1459">_xlfn.IFS( OR(G1459=" ",NOT(ISNUMBER(G1459))),"Unknown",G1459&lt;=33,"Low Spender",G1459&lt;=66,"Medium Spender",TRUE, "High Spender")</f>
        <v>Medium Spender</v>
      </c>
      <c r="I1459" s="1">
        <v>67</v>
      </c>
      <c r="J1459" s="1">
        <v>5000</v>
      </c>
      <c r="K1459" s="1">
        <v>298</v>
      </c>
      <c r="L1459" s="1" t="s">
        <v>16</v>
      </c>
      <c r="N1459" s="1" t="str">
        <f t="shared" si="44"/>
        <v>Lower</v>
      </c>
      <c r="O1459" s="1" t="str">
        <f t="shared" si="45"/>
        <v>Early Career | Medium Spender | Lower</v>
      </c>
    </row>
    <row r="1460" spans="1:15" x14ac:dyDescent="0.25">
      <c r="A1460" s="1" t="s">
        <v>1490</v>
      </c>
      <c r="B1460" s="1">
        <v>68</v>
      </c>
      <c r="C1460" s="1" t="str" cm="1">
        <f t="array" ref="C1460">_xlfn.IFS(OR(B1460=" ", B1460="NA",NOT(ISNUMBER(B1460))), "Unknown",B1460&lt;18,"Underage",B1460&lt;=24,"Young Adult",B1460&lt;=34,"Early Career",B1460&lt;=44,"Mid Career",B1460&lt;=54,"Mature",B1460&lt;=65,"Pre-Senior",B1460&gt;65,"Senior")</f>
        <v>Senior</v>
      </c>
      <c r="F1460" s="1">
        <v>1325000</v>
      </c>
      <c r="G1460" s="1">
        <v>47</v>
      </c>
      <c r="H1460" s="1" t="str" cm="1">
        <f t="array" ref="H1460">_xlfn.IFS( OR(G1460=" ",NOT(ISNUMBER(G1460))),"Unknown",G1460&lt;=33,"Low Spender",G1460&lt;=66,"Medium Spender",TRUE, "High Spender")</f>
        <v>Medium Spender</v>
      </c>
      <c r="I1460" s="1">
        <v>54</v>
      </c>
      <c r="J1460" s="1">
        <v>4300</v>
      </c>
      <c r="K1460" s="1">
        <v>117</v>
      </c>
      <c r="L1460" s="1" t="s">
        <v>35</v>
      </c>
      <c r="M1460" s="1" t="s">
        <v>32</v>
      </c>
      <c r="N1460" s="1" t="str">
        <f t="shared" si="44"/>
        <v>Lower</v>
      </c>
      <c r="O1460" s="1" t="str">
        <f t="shared" si="45"/>
        <v>Senior | Medium Spender | Lower</v>
      </c>
    </row>
    <row r="1461" spans="1:15" x14ac:dyDescent="0.25">
      <c r="A1461" s="1" t="s">
        <v>1491</v>
      </c>
      <c r="B1461" s="1">
        <v>64</v>
      </c>
      <c r="C1461" s="1" t="str" cm="1">
        <f t="array" ref="C1461">_xlfn.IFS(OR(B1461=" ", B1461="NA",NOT(ISNUMBER(B1461))), "Unknown",B1461&lt;18,"Underage",B1461&lt;=24,"Young Adult",B1461&lt;=34,"Early Career",B1461&lt;=44,"Mid Career",B1461&lt;=54,"Mature",B1461&lt;=65,"Pre-Senior",B1461&gt;65,"Senior")</f>
        <v>Pre-Senior</v>
      </c>
      <c r="E1461" s="1" t="s">
        <v>13</v>
      </c>
      <c r="F1461" s="1">
        <v>625000</v>
      </c>
      <c r="G1461" s="1">
        <v>79</v>
      </c>
      <c r="H1461" s="1" t="str" cm="1">
        <f t="array" ref="H1461">_xlfn.IFS( OR(G1461=" ",NOT(ISNUMBER(G1461))),"Unknown",G1461&lt;=33,"Low Spender",G1461&lt;=66,"Medium Spender",TRUE, "High Spender")</f>
        <v>High Spender</v>
      </c>
      <c r="I1461" s="1">
        <v>22</v>
      </c>
      <c r="J1461" s="1">
        <v>10000</v>
      </c>
      <c r="K1461" s="1">
        <v>267</v>
      </c>
      <c r="M1461" s="1" t="s">
        <v>21</v>
      </c>
      <c r="N1461" s="1" t="str">
        <f t="shared" si="44"/>
        <v>Lower</v>
      </c>
      <c r="O1461" s="1" t="str">
        <f t="shared" si="45"/>
        <v>Pre-Senior | High Spender | Lower</v>
      </c>
    </row>
    <row r="1462" spans="1:15" x14ac:dyDescent="0.25">
      <c r="A1462" s="1" t="s">
        <v>1492</v>
      </c>
      <c r="B1462" s="1">
        <v>67</v>
      </c>
      <c r="C1462" s="1" t="str" cm="1">
        <f t="array" ref="C1462">_xlfn.IFS(OR(B1462=" ", B1462="NA",NOT(ISNUMBER(B1462))), "Unknown",B1462&lt;18,"Underage",B1462&lt;=24,"Young Adult",B1462&lt;=34,"Early Career",B1462&lt;=44,"Mid Career",B1462&lt;=54,"Mature",B1462&lt;=65,"Pre-Senior",B1462&gt;65,"Senior")</f>
        <v>Senior</v>
      </c>
      <c r="E1462" s="1" t="s">
        <v>34</v>
      </c>
      <c r="F1462" s="1">
        <v>175000</v>
      </c>
      <c r="H1462" s="1" t="str" cm="1">
        <f t="array" ref="H1462">_xlfn.IFS( OR(G1462=" ",NOT(ISNUMBER(G1462))),"Unknown",G1462&lt;=33,"Low Spender",G1462&lt;=66,"Medium Spender",TRUE, "High Spender")</f>
        <v>Unknown</v>
      </c>
      <c r="I1462" s="1">
        <v>26</v>
      </c>
      <c r="K1462" s="1">
        <v>282</v>
      </c>
      <c r="N1462" s="1" t="str">
        <f t="shared" si="44"/>
        <v>Lower</v>
      </c>
      <c r="O1462" s="1" t="str">
        <f t="shared" si="45"/>
        <v>Senior | Unknown | Lower</v>
      </c>
    </row>
    <row r="1463" spans="1:15" x14ac:dyDescent="0.25">
      <c r="A1463" s="1" t="s">
        <v>1493</v>
      </c>
      <c r="B1463" s="1">
        <v>19</v>
      </c>
      <c r="C1463" s="1" t="str" cm="1">
        <f t="array" ref="C1463">_xlfn.IFS(OR(B1463=" ", B1463="NA",NOT(ISNUMBER(B1463))), "Unknown",B1463&lt;18,"Underage",B1463&lt;=24,"Young Adult",B1463&lt;=34,"Early Career",B1463&lt;=44,"Mid Career",B1463&lt;=54,"Mature",B1463&lt;=65,"Pre-Senior",B1463&gt;65,"Senior")</f>
        <v>Young Adult</v>
      </c>
      <c r="D1463" s="1" t="s">
        <v>18</v>
      </c>
      <c r="E1463" s="1" t="s">
        <v>49</v>
      </c>
      <c r="F1463" s="1">
        <v>900000</v>
      </c>
      <c r="G1463" s="1">
        <v>16</v>
      </c>
      <c r="H1463" s="1" t="str" cm="1">
        <f t="array" ref="H1463">_xlfn.IFS( OR(G1463=" ",NOT(ISNUMBER(G1463))),"Unknown",G1463&lt;=33,"Low Spender",G1463&lt;=66,"Medium Spender",TRUE, "High Spender")</f>
        <v>Low Spender</v>
      </c>
      <c r="I1463" s="1">
        <v>60</v>
      </c>
      <c r="J1463" s="1">
        <v>6100</v>
      </c>
      <c r="K1463" s="1">
        <v>149</v>
      </c>
      <c r="L1463" s="1" t="s">
        <v>20</v>
      </c>
      <c r="N1463" s="1" t="str">
        <f t="shared" si="44"/>
        <v>Higher</v>
      </c>
      <c r="O1463" s="1" t="str">
        <f t="shared" si="45"/>
        <v>Young Adult | Low Spender | Higher</v>
      </c>
    </row>
    <row r="1464" spans="1:15" x14ac:dyDescent="0.25">
      <c r="A1464" s="1" t="s">
        <v>1494</v>
      </c>
      <c r="C1464" s="1" t="str" cm="1">
        <f t="array" ref="C1464">_xlfn.IFS(OR(B1464=" ", B1464="NA",NOT(ISNUMBER(B1464))), "Unknown",B1464&lt;18,"Underage",B1464&lt;=24,"Young Adult",B1464&lt;=34,"Early Career",B1464&lt;=44,"Mid Career",B1464&lt;=54,"Mature",B1464&lt;=65,"Pre-Senior",B1464&gt;65,"Senior")</f>
        <v>Unknown</v>
      </c>
      <c r="D1464" s="1" t="s">
        <v>12</v>
      </c>
      <c r="F1464" s="1">
        <v>800000</v>
      </c>
      <c r="G1464" s="1">
        <v>69</v>
      </c>
      <c r="H1464" s="1" t="str" cm="1">
        <f t="array" ref="H1464">_xlfn.IFS( OR(G1464=" ",NOT(ISNUMBER(G1464))),"Unknown",G1464&lt;=33,"Low Spender",G1464&lt;=66,"Medium Spender",TRUE, "High Spender")</f>
        <v>High Spender</v>
      </c>
      <c r="I1464" s="1">
        <v>39</v>
      </c>
      <c r="J1464" s="1">
        <v>9500</v>
      </c>
      <c r="K1464" s="1">
        <v>194</v>
      </c>
      <c r="N1464" s="1" t="str">
        <f t="shared" si="44"/>
        <v>Lower</v>
      </c>
      <c r="O1464" s="1" t="str">
        <f t="shared" si="45"/>
        <v>Unknown | High Spender | Lower</v>
      </c>
    </row>
    <row r="1465" spans="1:15" x14ac:dyDescent="0.25">
      <c r="A1465" s="1" t="s">
        <v>1495</v>
      </c>
      <c r="B1465" s="1">
        <v>45</v>
      </c>
      <c r="C1465" s="1" t="str" cm="1">
        <f t="array" ref="C1465">_xlfn.IFS(OR(B1465=" ", B1465="NA",NOT(ISNUMBER(B1465))), "Unknown",B1465&lt;18,"Underage",B1465&lt;=24,"Young Adult",B1465&lt;=34,"Early Career",B1465&lt;=44,"Mid Career",B1465&lt;=54,"Mature",B1465&lt;=65,"Pre-Senior",B1465&gt;65,"Senior")</f>
        <v>Mature</v>
      </c>
      <c r="D1465" s="1" t="s">
        <v>12</v>
      </c>
      <c r="E1465" s="1" t="s">
        <v>23</v>
      </c>
      <c r="F1465" s="1">
        <v>175000</v>
      </c>
      <c r="G1465" s="1">
        <v>2</v>
      </c>
      <c r="H1465" s="1" t="str" cm="1">
        <f t="array" ref="H1465">_xlfn.IFS( OR(G1465=" ",NOT(ISNUMBER(G1465))),"Unknown",G1465&lt;=33,"Low Spender",G1465&lt;=66,"Medium Spender",TRUE, "High Spender")</f>
        <v>Low Spender</v>
      </c>
      <c r="I1465" s="1">
        <v>36</v>
      </c>
      <c r="J1465" s="1">
        <v>6900</v>
      </c>
      <c r="K1465" s="1">
        <v>168</v>
      </c>
      <c r="L1465" s="1" t="s">
        <v>37</v>
      </c>
      <c r="M1465" s="1" t="s">
        <v>32</v>
      </c>
      <c r="N1465" s="1" t="str">
        <f t="shared" si="44"/>
        <v>Lower</v>
      </c>
      <c r="O1465" s="1" t="str">
        <f t="shared" si="45"/>
        <v>Mature | Low Spender | Lower</v>
      </c>
    </row>
    <row r="1466" spans="1:15" x14ac:dyDescent="0.25">
      <c r="A1466" s="1" t="s">
        <v>1496</v>
      </c>
      <c r="B1466" s="1">
        <v>66</v>
      </c>
      <c r="C1466" s="1" t="str" cm="1">
        <f t="array" ref="C1466">_xlfn.IFS(OR(B1466=" ", B1466="NA",NOT(ISNUMBER(B1466))), "Unknown",B1466&lt;18,"Underage",B1466&lt;=24,"Young Adult",B1466&lt;=34,"Early Career",B1466&lt;=44,"Mid Career",B1466&lt;=54,"Mature",B1466&lt;=65,"Pre-Senior",B1466&gt;65,"Senior")</f>
        <v>Senior</v>
      </c>
      <c r="E1466" s="1" t="s">
        <v>34</v>
      </c>
      <c r="F1466" s="1">
        <v>225000</v>
      </c>
      <c r="G1466" s="1">
        <v>92</v>
      </c>
      <c r="H1466" s="1" t="str" cm="1">
        <f t="array" ref="H1466">_xlfn.IFS( OR(G1466=" ",NOT(ISNUMBER(G1466))),"Unknown",G1466&lt;=33,"Low Spender",G1466&lt;=66,"Medium Spender",TRUE, "High Spender")</f>
        <v>High Spender</v>
      </c>
      <c r="I1466" s="1">
        <v>21</v>
      </c>
      <c r="J1466" s="1">
        <v>7600</v>
      </c>
      <c r="K1466" s="1">
        <v>312</v>
      </c>
      <c r="L1466" s="1" t="s">
        <v>20</v>
      </c>
      <c r="M1466" s="1" t="s">
        <v>30</v>
      </c>
      <c r="N1466" s="1" t="str">
        <f t="shared" si="44"/>
        <v>Lower</v>
      </c>
      <c r="O1466" s="1" t="str">
        <f t="shared" si="45"/>
        <v>Senior | High Spender | Lower</v>
      </c>
    </row>
    <row r="1467" spans="1:15" x14ac:dyDescent="0.25">
      <c r="A1467" s="1" t="s">
        <v>1497</v>
      </c>
      <c r="B1467" s="1">
        <v>67</v>
      </c>
      <c r="C1467" s="1" t="str" cm="1">
        <f t="array" ref="C1467">_xlfn.IFS(OR(B1467=" ", B1467="NA",NOT(ISNUMBER(B1467))), "Unknown",B1467&lt;18,"Underage",B1467&lt;=24,"Young Adult",B1467&lt;=34,"Early Career",B1467&lt;=44,"Mid Career",B1467&lt;=54,"Mature",B1467&lt;=65,"Pre-Senior",B1467&gt;65,"Senior")</f>
        <v>Senior</v>
      </c>
      <c r="D1467" s="1" t="s">
        <v>18</v>
      </c>
      <c r="F1467" s="1">
        <v>450000</v>
      </c>
      <c r="G1467" s="1">
        <v>54</v>
      </c>
      <c r="H1467" s="1" t="str" cm="1">
        <f t="array" ref="H1467">_xlfn.IFS( OR(G1467=" ",NOT(ISNUMBER(G1467))),"Unknown",G1467&lt;=33,"Low Spender",G1467&lt;=66,"Medium Spender",TRUE, "High Spender")</f>
        <v>Medium Spender</v>
      </c>
      <c r="I1467" s="1">
        <v>41</v>
      </c>
      <c r="J1467" s="1">
        <v>8600</v>
      </c>
      <c r="K1467" s="1">
        <v>179</v>
      </c>
      <c r="L1467" s="1" t="s">
        <v>37</v>
      </c>
      <c r="M1467" s="1" t="s">
        <v>30</v>
      </c>
      <c r="N1467" s="1" t="str">
        <f t="shared" si="44"/>
        <v>Higher</v>
      </c>
      <c r="O1467" s="1" t="str">
        <f t="shared" si="45"/>
        <v>Senior | Medium Spender | Higher</v>
      </c>
    </row>
    <row r="1468" spans="1:15" x14ac:dyDescent="0.25">
      <c r="A1468" s="1" t="s">
        <v>1498</v>
      </c>
      <c r="B1468" s="1">
        <v>47</v>
      </c>
      <c r="C1468" s="1" t="str" cm="1">
        <f t="array" ref="C1468">_xlfn.IFS(OR(B1468=" ", B1468="NA",NOT(ISNUMBER(B1468))), "Unknown",B1468&lt;18,"Underage",B1468&lt;=24,"Young Adult",B1468&lt;=34,"Early Career",B1468&lt;=44,"Mid Career",B1468&lt;=54,"Mature",B1468&lt;=65,"Pre-Senior",B1468&gt;65,"Senior")</f>
        <v>Mature</v>
      </c>
      <c r="E1468" s="1" t="s">
        <v>27</v>
      </c>
      <c r="F1468" s="1">
        <v>1000000</v>
      </c>
      <c r="G1468" s="1">
        <v>27</v>
      </c>
      <c r="H1468" s="1" t="str" cm="1">
        <f t="array" ref="H1468">_xlfn.IFS( OR(G1468=" ",NOT(ISNUMBER(G1468))),"Unknown",G1468&lt;=33,"Low Spender",G1468&lt;=66,"Medium Spender",TRUE, "High Spender")</f>
        <v>Low Spender</v>
      </c>
      <c r="I1468" s="1">
        <v>48</v>
      </c>
      <c r="J1468" s="1">
        <v>6800</v>
      </c>
      <c r="K1468" s="1">
        <v>148</v>
      </c>
      <c r="M1468" s="1" t="s">
        <v>21</v>
      </c>
      <c r="N1468" s="1" t="str">
        <f t="shared" si="44"/>
        <v>Lower</v>
      </c>
      <c r="O1468" s="1" t="str">
        <f t="shared" si="45"/>
        <v>Mature | Low Spender | Lower</v>
      </c>
    </row>
    <row r="1469" spans="1:15" x14ac:dyDescent="0.25">
      <c r="A1469" s="1" t="s">
        <v>1499</v>
      </c>
      <c r="B1469" s="1">
        <v>55</v>
      </c>
      <c r="C1469" s="1" t="str" cm="1">
        <f t="array" ref="C1469">_xlfn.IFS(OR(B1469=" ", B1469="NA",NOT(ISNUMBER(B1469))), "Unknown",B1469&lt;18,"Underage",B1469&lt;=24,"Young Adult",B1469&lt;=34,"Early Career",B1469&lt;=44,"Mid Career",B1469&lt;=54,"Mature",B1469&lt;=65,"Pre-Senior",B1469&gt;65,"Senior")</f>
        <v>Pre-Senior</v>
      </c>
      <c r="D1469" s="1" t="s">
        <v>18</v>
      </c>
      <c r="F1469" s="1">
        <v>1925000</v>
      </c>
      <c r="G1469" s="1">
        <v>31</v>
      </c>
      <c r="H1469" s="1" t="str" cm="1">
        <f t="array" ref="H1469">_xlfn.IFS( OR(G1469=" ",NOT(ISNUMBER(G1469))),"Unknown",G1469&lt;=33,"Low Spender",G1469&lt;=66,"Medium Spender",TRUE, "High Spender")</f>
        <v>Low Spender</v>
      </c>
      <c r="I1469" s="1">
        <v>26</v>
      </c>
      <c r="J1469" s="1">
        <v>2900</v>
      </c>
      <c r="K1469" s="1">
        <v>57</v>
      </c>
      <c r="L1469" s="1" t="s">
        <v>20</v>
      </c>
      <c r="M1469" s="1" t="s">
        <v>41</v>
      </c>
      <c r="N1469" s="1" t="str">
        <f t="shared" si="44"/>
        <v>Higher</v>
      </c>
      <c r="O1469" s="1" t="str">
        <f t="shared" si="45"/>
        <v>Pre-Senior | Low Spender | Higher</v>
      </c>
    </row>
    <row r="1470" spans="1:15" x14ac:dyDescent="0.25">
      <c r="A1470" s="1" t="s">
        <v>1500</v>
      </c>
      <c r="B1470" s="1">
        <v>68</v>
      </c>
      <c r="C1470" s="1" t="str" cm="1">
        <f t="array" ref="C1470">_xlfn.IFS(OR(B1470=" ", B1470="NA",NOT(ISNUMBER(B1470))), "Unknown",B1470&lt;18,"Underage",B1470&lt;=24,"Young Adult",B1470&lt;=34,"Early Career",B1470&lt;=44,"Mid Career",B1470&lt;=54,"Mature",B1470&lt;=65,"Pre-Senior",B1470&gt;65,"Senior")</f>
        <v>Senior</v>
      </c>
      <c r="D1470" s="1" t="s">
        <v>18</v>
      </c>
      <c r="E1470" s="1" t="s">
        <v>34</v>
      </c>
      <c r="F1470" s="1">
        <v>1775000</v>
      </c>
      <c r="G1470" s="1">
        <v>41</v>
      </c>
      <c r="H1470" s="1" t="str" cm="1">
        <f t="array" ref="H1470">_xlfn.IFS( OR(G1470=" ",NOT(ISNUMBER(G1470))),"Unknown",G1470&lt;=33,"Low Spender",G1470&lt;=66,"Medium Spender",TRUE, "High Spender")</f>
        <v>Medium Spender</v>
      </c>
      <c r="I1470" s="1">
        <v>63</v>
      </c>
      <c r="J1470" s="1">
        <v>3400</v>
      </c>
      <c r="K1470" s="1">
        <v>5</v>
      </c>
      <c r="L1470" s="1" t="s">
        <v>20</v>
      </c>
      <c r="M1470" s="1" t="s">
        <v>32</v>
      </c>
      <c r="N1470" s="1" t="str">
        <f t="shared" si="44"/>
        <v>Higher</v>
      </c>
      <c r="O1470" s="1" t="str">
        <f t="shared" si="45"/>
        <v>Senior | Medium Spender | Higher</v>
      </c>
    </row>
    <row r="1471" spans="1:15" x14ac:dyDescent="0.25">
      <c r="A1471" s="1" t="s">
        <v>1501</v>
      </c>
      <c r="B1471" s="1">
        <v>21</v>
      </c>
      <c r="C1471" s="1" t="str" cm="1">
        <f t="array" ref="C1471">_xlfn.IFS(OR(B1471=" ", B1471="NA",NOT(ISNUMBER(B1471))), "Unknown",B1471&lt;18,"Underage",B1471&lt;=24,"Young Adult",B1471&lt;=34,"Early Career",B1471&lt;=44,"Mid Career",B1471&lt;=54,"Mature",B1471&lt;=65,"Pre-Senior",B1471&gt;65,"Senior")</f>
        <v>Young Adult</v>
      </c>
      <c r="F1471" s="1">
        <v>275000</v>
      </c>
      <c r="G1471" s="1">
        <v>36</v>
      </c>
      <c r="H1471" s="1" t="str" cm="1">
        <f t="array" ref="H1471">_xlfn.IFS( OR(G1471=" ",NOT(ISNUMBER(G1471))),"Unknown",G1471&lt;=33,"Low Spender",G1471&lt;=66,"Medium Spender",TRUE, "High Spender")</f>
        <v>Medium Spender</v>
      </c>
      <c r="I1471" s="1">
        <v>77</v>
      </c>
      <c r="J1471" s="1">
        <v>5800</v>
      </c>
      <c r="K1471" s="1">
        <v>14</v>
      </c>
      <c r="M1471" s="1" t="s">
        <v>32</v>
      </c>
      <c r="N1471" s="1" t="str">
        <f t="shared" si="44"/>
        <v>Lower</v>
      </c>
      <c r="O1471" s="1" t="str">
        <f t="shared" si="45"/>
        <v>Young Adult | Medium Spender | Lower</v>
      </c>
    </row>
    <row r="1472" spans="1:15" x14ac:dyDescent="0.25">
      <c r="A1472" s="1" t="s">
        <v>1502</v>
      </c>
      <c r="B1472" s="1">
        <v>18</v>
      </c>
      <c r="C1472" s="1" t="str" cm="1">
        <f t="array" ref="C1472">_xlfn.IFS(OR(B1472=" ", B1472="NA",NOT(ISNUMBER(B1472))), "Unknown",B1472&lt;18,"Underage",B1472&lt;=24,"Young Adult",B1472&lt;=34,"Early Career",B1472&lt;=44,"Mid Career",B1472&lt;=54,"Mature",B1472&lt;=65,"Pre-Senior",B1472&gt;65,"Senior")</f>
        <v>Young Adult</v>
      </c>
      <c r="D1472" s="1" t="s">
        <v>18</v>
      </c>
      <c r="E1472" s="1" t="s">
        <v>27</v>
      </c>
      <c r="F1472" s="1">
        <v>900000</v>
      </c>
      <c r="G1472" s="1">
        <v>47</v>
      </c>
      <c r="H1472" s="1" t="str" cm="1">
        <f t="array" ref="H1472">_xlfn.IFS( OR(G1472=" ",NOT(ISNUMBER(G1472))),"Unknown",G1472&lt;=33,"Low Spender",G1472&lt;=66,"Medium Spender",TRUE, "High Spender")</f>
        <v>Medium Spender</v>
      </c>
      <c r="I1472" s="1">
        <v>36</v>
      </c>
      <c r="J1472" s="1">
        <v>1200</v>
      </c>
      <c r="K1472" s="1">
        <v>280</v>
      </c>
      <c r="L1472" s="1" t="s">
        <v>37</v>
      </c>
      <c r="N1472" s="1" t="str">
        <f t="shared" si="44"/>
        <v>Higher</v>
      </c>
      <c r="O1472" s="1" t="str">
        <f t="shared" si="45"/>
        <v>Young Adult | Medium Spender | Higher</v>
      </c>
    </row>
    <row r="1473" spans="1:15" x14ac:dyDescent="0.25">
      <c r="A1473" s="1" t="s">
        <v>1503</v>
      </c>
      <c r="B1473" s="1">
        <v>25</v>
      </c>
      <c r="C1473" s="1" t="str" cm="1">
        <f t="array" ref="C1473">_xlfn.IFS(OR(B1473=" ", B1473="NA",NOT(ISNUMBER(B1473))), "Unknown",B1473&lt;18,"Underage",B1473&lt;=24,"Young Adult",B1473&lt;=34,"Early Career",B1473&lt;=44,"Mid Career",B1473&lt;=54,"Mature",B1473&lt;=65,"Pre-Senior",B1473&gt;65,"Senior")</f>
        <v>Early Career</v>
      </c>
      <c r="D1473" s="1" t="s">
        <v>18</v>
      </c>
      <c r="E1473" s="1" t="s">
        <v>13</v>
      </c>
      <c r="F1473" s="1">
        <v>375000</v>
      </c>
      <c r="G1473" s="1">
        <v>43</v>
      </c>
      <c r="H1473" s="1" t="str" cm="1">
        <f t="array" ref="H1473">_xlfn.IFS( OR(G1473=" ",NOT(ISNUMBER(G1473))),"Unknown",G1473&lt;=33,"Low Spender",G1473&lt;=66,"Medium Spender",TRUE, "High Spender")</f>
        <v>Medium Spender</v>
      </c>
      <c r="I1473" s="1">
        <v>24</v>
      </c>
      <c r="J1473" s="1">
        <v>4200</v>
      </c>
      <c r="K1473" s="1">
        <v>324</v>
      </c>
      <c r="L1473" s="1" t="s">
        <v>16</v>
      </c>
      <c r="N1473" s="1" t="str">
        <f t="shared" si="44"/>
        <v>Higher</v>
      </c>
      <c r="O1473" s="1" t="str">
        <f t="shared" si="45"/>
        <v>Early Career | Medium Spender | Higher</v>
      </c>
    </row>
    <row r="1474" spans="1:15" x14ac:dyDescent="0.25">
      <c r="A1474" s="1" t="s">
        <v>1504</v>
      </c>
      <c r="B1474" s="1">
        <v>46</v>
      </c>
      <c r="C1474" s="1" t="str" cm="1">
        <f t="array" ref="C1474">_xlfn.IFS(OR(B1474=" ", B1474="NA",NOT(ISNUMBER(B1474))), "Unknown",B1474&lt;18,"Underage",B1474&lt;=24,"Young Adult",B1474&lt;=34,"Early Career",B1474&lt;=44,"Mid Career",B1474&lt;=54,"Mature",B1474&lt;=65,"Pre-Senior",B1474&gt;65,"Senior")</f>
        <v>Mature</v>
      </c>
      <c r="D1474" s="1" t="s">
        <v>12</v>
      </c>
      <c r="E1474" s="1" t="s">
        <v>34</v>
      </c>
      <c r="F1474" s="1">
        <v>650000</v>
      </c>
      <c r="G1474" s="1">
        <v>65</v>
      </c>
      <c r="H1474" s="1" t="str" cm="1">
        <f t="array" ref="H1474">_xlfn.IFS( OR(G1474=" ",NOT(ISNUMBER(G1474))),"Unknown",G1474&lt;=33,"Low Spender",G1474&lt;=66,"Medium Spender",TRUE, "High Spender")</f>
        <v>Medium Spender</v>
      </c>
      <c r="I1474" s="1">
        <v>21</v>
      </c>
      <c r="J1474" s="1">
        <v>1900</v>
      </c>
      <c r="K1474" s="1">
        <v>304</v>
      </c>
      <c r="L1474" s="1" t="s">
        <v>16</v>
      </c>
      <c r="N1474" s="1" t="str">
        <f t="shared" ref="N1474:N1537" si="46">IF(OR(UPPER(TRIM(D1474))="Male",UPPER(TRIM(D1474))="Female"),"Higher","Lower")</f>
        <v>Lower</v>
      </c>
      <c r="O1474" s="1" t="str">
        <f t="shared" ref="O1474:O1537" si="47">_xlfn.TEXTJOIN(" | ", TRUE, C1474, H1474, N1474)</f>
        <v>Mature | Medium Spender | Lower</v>
      </c>
    </row>
    <row r="1475" spans="1:15" x14ac:dyDescent="0.25">
      <c r="A1475" s="1" t="s">
        <v>1505</v>
      </c>
      <c r="B1475" s="1" t="s">
        <v>73</v>
      </c>
      <c r="C1475" s="1" t="str" cm="1">
        <f t="array" ref="C1475">_xlfn.IFS(OR(B1475=" ", B1475="NA",NOT(ISNUMBER(B1475))), "Unknown",B1475&lt;18,"Underage",B1475&lt;=24,"Young Adult",B1475&lt;=34,"Early Career",B1475&lt;=44,"Mid Career",B1475&lt;=54,"Mature",B1475&lt;=65,"Pre-Senior",B1475&gt;65,"Senior")</f>
        <v>Unknown</v>
      </c>
      <c r="D1475" s="1" t="s">
        <v>12</v>
      </c>
      <c r="F1475" s="1">
        <v>1975000</v>
      </c>
      <c r="G1475" s="1">
        <v>50</v>
      </c>
      <c r="H1475" s="1" t="str" cm="1">
        <f t="array" ref="H1475">_xlfn.IFS( OR(G1475=" ",NOT(ISNUMBER(G1475))),"Unknown",G1475&lt;=33,"Low Spender",G1475&lt;=66,"Medium Spender",TRUE, "High Spender")</f>
        <v>Medium Spender</v>
      </c>
      <c r="I1475" s="1">
        <v>18</v>
      </c>
      <c r="J1475" s="1">
        <v>6000</v>
      </c>
      <c r="K1475" s="1">
        <v>216</v>
      </c>
      <c r="L1475" s="1" t="s">
        <v>20</v>
      </c>
      <c r="N1475" s="1" t="str">
        <f t="shared" si="46"/>
        <v>Lower</v>
      </c>
      <c r="O1475" s="1" t="str">
        <f t="shared" si="47"/>
        <v>Unknown | Medium Spender | Lower</v>
      </c>
    </row>
    <row r="1476" spans="1:15" x14ac:dyDescent="0.25">
      <c r="A1476" s="1" t="s">
        <v>1506</v>
      </c>
      <c r="B1476" s="1">
        <v>56</v>
      </c>
      <c r="C1476" s="1" t="str" cm="1">
        <f t="array" ref="C1476">_xlfn.IFS(OR(B1476=" ", B1476="NA",NOT(ISNUMBER(B1476))), "Unknown",B1476&lt;18,"Underage",B1476&lt;=24,"Young Adult",B1476&lt;=34,"Early Career",B1476&lt;=44,"Mid Career",B1476&lt;=54,"Mature",B1476&lt;=65,"Pre-Senior",B1476&gt;65,"Senior")</f>
        <v>Pre-Senior</v>
      </c>
      <c r="D1476" s="1" t="s">
        <v>29</v>
      </c>
      <c r="E1476" s="1" t="s">
        <v>19</v>
      </c>
      <c r="F1476" s="1">
        <v>700000</v>
      </c>
      <c r="G1476" s="1">
        <v>93</v>
      </c>
      <c r="H1476" s="1" t="str" cm="1">
        <f t="array" ref="H1476">_xlfn.IFS( OR(G1476=" ",NOT(ISNUMBER(G1476))),"Unknown",G1476&lt;=33,"Low Spender",G1476&lt;=66,"Medium Spender",TRUE, "High Spender")</f>
        <v>High Spender</v>
      </c>
      <c r="I1476" s="1">
        <v>15</v>
      </c>
      <c r="K1476" s="1">
        <v>175</v>
      </c>
      <c r="M1476" s="1" t="s">
        <v>32</v>
      </c>
      <c r="N1476" s="1" t="str">
        <f t="shared" si="46"/>
        <v>Higher</v>
      </c>
      <c r="O1476" s="1" t="str">
        <f t="shared" si="47"/>
        <v>Pre-Senior | High Spender | Higher</v>
      </c>
    </row>
    <row r="1477" spans="1:15" x14ac:dyDescent="0.25">
      <c r="A1477" s="1" t="s">
        <v>1507</v>
      </c>
      <c r="B1477" s="1">
        <v>20</v>
      </c>
      <c r="C1477" s="1" t="str" cm="1">
        <f t="array" ref="C1477">_xlfn.IFS(OR(B1477=" ", B1477="NA",NOT(ISNUMBER(B1477))), "Unknown",B1477&lt;18,"Underage",B1477&lt;=24,"Young Adult",B1477&lt;=34,"Early Career",B1477&lt;=44,"Mid Career",B1477&lt;=54,"Mature",B1477&lt;=65,"Pre-Senior",B1477&gt;65,"Senior")</f>
        <v>Young Adult</v>
      </c>
      <c r="D1477" s="1" t="s">
        <v>29</v>
      </c>
      <c r="E1477" s="1" t="s">
        <v>23</v>
      </c>
      <c r="F1477" s="1">
        <v>200000</v>
      </c>
      <c r="G1477" s="1">
        <v>1</v>
      </c>
      <c r="H1477" s="1" t="str" cm="1">
        <f t="array" ref="H1477">_xlfn.IFS( OR(G1477=" ",NOT(ISNUMBER(G1477))),"Unknown",G1477&lt;=33,"Low Spender",G1477&lt;=66,"Medium Spender",TRUE, "High Spender")</f>
        <v>Low Spender</v>
      </c>
      <c r="I1477" s="1">
        <v>79</v>
      </c>
      <c r="J1477" s="1">
        <v>9900</v>
      </c>
      <c r="K1477" s="1">
        <v>316</v>
      </c>
      <c r="L1477" s="1" t="s">
        <v>20</v>
      </c>
      <c r="M1477" s="1" t="s">
        <v>41</v>
      </c>
      <c r="N1477" s="1" t="str">
        <f t="shared" si="46"/>
        <v>Higher</v>
      </c>
      <c r="O1477" s="1" t="str">
        <f t="shared" si="47"/>
        <v>Young Adult | Low Spender | Higher</v>
      </c>
    </row>
    <row r="1478" spans="1:15" x14ac:dyDescent="0.25">
      <c r="A1478" s="1" t="s">
        <v>1508</v>
      </c>
      <c r="B1478" s="1">
        <v>49</v>
      </c>
      <c r="C1478" s="1" t="str" cm="1">
        <f t="array" ref="C1478">_xlfn.IFS(OR(B1478=" ", B1478="NA",NOT(ISNUMBER(B1478))), "Unknown",B1478&lt;18,"Underage",B1478&lt;=24,"Young Adult",B1478&lt;=34,"Early Career",B1478&lt;=44,"Mid Career",B1478&lt;=54,"Mature",B1478&lt;=65,"Pre-Senior",B1478&gt;65,"Senior")</f>
        <v>Mature</v>
      </c>
      <c r="F1478" s="1">
        <v>925000</v>
      </c>
      <c r="G1478" s="1">
        <v>72</v>
      </c>
      <c r="H1478" s="1" t="str" cm="1">
        <f t="array" ref="H1478">_xlfn.IFS( OR(G1478=" ",NOT(ISNUMBER(G1478))),"Unknown",G1478&lt;=33,"Low Spender",G1478&lt;=66,"Medium Spender",TRUE, "High Spender")</f>
        <v>High Spender</v>
      </c>
      <c r="I1478" s="1">
        <v>6</v>
      </c>
      <c r="J1478" s="1">
        <v>800</v>
      </c>
      <c r="K1478" s="1">
        <v>3</v>
      </c>
      <c r="M1478" s="1" t="s">
        <v>30</v>
      </c>
      <c r="N1478" s="1" t="str">
        <f t="shared" si="46"/>
        <v>Lower</v>
      </c>
      <c r="O1478" s="1" t="str">
        <f t="shared" si="47"/>
        <v>Mature | High Spender | Lower</v>
      </c>
    </row>
    <row r="1479" spans="1:15" x14ac:dyDescent="0.25">
      <c r="A1479" s="1" t="s">
        <v>1509</v>
      </c>
      <c r="B1479" s="1">
        <v>27</v>
      </c>
      <c r="C1479" s="1" t="str" cm="1">
        <f t="array" ref="C1479">_xlfn.IFS(OR(B1479=" ", B1479="NA",NOT(ISNUMBER(B1479))), "Unknown",B1479&lt;18,"Underage",B1479&lt;=24,"Young Adult",B1479&lt;=34,"Early Career",B1479&lt;=44,"Mid Career",B1479&lt;=54,"Mature",B1479&lt;=65,"Pre-Senior",B1479&gt;65,"Senior")</f>
        <v>Early Career</v>
      </c>
      <c r="E1479" s="1" t="s">
        <v>19</v>
      </c>
      <c r="F1479" s="1">
        <v>625000</v>
      </c>
      <c r="G1479" s="1">
        <v>57</v>
      </c>
      <c r="H1479" s="1" t="str" cm="1">
        <f t="array" ref="H1479">_xlfn.IFS( OR(G1479=" ",NOT(ISNUMBER(G1479))),"Unknown",G1479&lt;=33,"Low Spender",G1479&lt;=66,"Medium Spender",TRUE, "High Spender")</f>
        <v>Medium Spender</v>
      </c>
      <c r="I1479" s="1">
        <v>43</v>
      </c>
      <c r="J1479" s="1">
        <v>4100</v>
      </c>
      <c r="K1479" s="1">
        <v>137</v>
      </c>
      <c r="L1479" s="1" t="s">
        <v>37</v>
      </c>
      <c r="M1479" s="1" t="s">
        <v>21</v>
      </c>
      <c r="N1479" s="1" t="str">
        <f t="shared" si="46"/>
        <v>Lower</v>
      </c>
      <c r="O1479" s="1" t="str">
        <f t="shared" si="47"/>
        <v>Early Career | Medium Spender | Lower</v>
      </c>
    </row>
    <row r="1480" spans="1:15" x14ac:dyDescent="0.25">
      <c r="A1480" s="1" t="s">
        <v>1510</v>
      </c>
      <c r="B1480" s="1">
        <v>27</v>
      </c>
      <c r="C1480" s="1" t="str" cm="1">
        <f t="array" ref="C1480">_xlfn.IFS(OR(B1480=" ", B1480="NA",NOT(ISNUMBER(B1480))), "Unknown",B1480&lt;18,"Underage",B1480&lt;=24,"Young Adult",B1480&lt;=34,"Early Career",B1480&lt;=44,"Mid Career",B1480&lt;=54,"Mature",B1480&lt;=65,"Pre-Senior",B1480&gt;65,"Senior")</f>
        <v>Early Career</v>
      </c>
      <c r="D1480" s="1" t="s">
        <v>18</v>
      </c>
      <c r="E1480" s="1" t="s">
        <v>15</v>
      </c>
      <c r="F1480" s="1">
        <v>1975000</v>
      </c>
      <c r="G1480" s="1">
        <v>16</v>
      </c>
      <c r="H1480" s="1" t="str" cm="1">
        <f t="array" ref="H1480">_xlfn.IFS( OR(G1480=" ",NOT(ISNUMBER(G1480))),"Unknown",G1480&lt;=33,"Low Spender",G1480&lt;=66,"Medium Spender",TRUE, "High Spender")</f>
        <v>Low Spender</v>
      </c>
      <c r="I1480" s="1">
        <v>31</v>
      </c>
      <c r="J1480" s="1">
        <v>11300</v>
      </c>
      <c r="K1480" s="1">
        <v>100</v>
      </c>
      <c r="L1480" s="1" t="s">
        <v>20</v>
      </c>
      <c r="N1480" s="1" t="str">
        <f t="shared" si="46"/>
        <v>Higher</v>
      </c>
      <c r="O1480" s="1" t="str">
        <f t="shared" si="47"/>
        <v>Early Career | Low Spender | Higher</v>
      </c>
    </row>
    <row r="1481" spans="1:15" x14ac:dyDescent="0.25">
      <c r="A1481" s="1" t="s">
        <v>1511</v>
      </c>
      <c r="B1481" s="1">
        <v>36</v>
      </c>
      <c r="C1481" s="1" t="str" cm="1">
        <f t="array" ref="C1481">_xlfn.IFS(OR(B1481=" ", B1481="NA",NOT(ISNUMBER(B1481))), "Unknown",B1481&lt;18,"Underage",B1481&lt;=24,"Young Adult",B1481&lt;=34,"Early Career",B1481&lt;=44,"Mid Career",B1481&lt;=54,"Mature",B1481&lt;=65,"Pre-Senior",B1481&gt;65,"Senior")</f>
        <v>Mid Career</v>
      </c>
      <c r="E1481" s="1" t="s">
        <v>49</v>
      </c>
      <c r="F1481" s="1">
        <v>850000</v>
      </c>
      <c r="G1481" s="1">
        <v>28</v>
      </c>
      <c r="H1481" s="1" t="str" cm="1">
        <f t="array" ref="H1481">_xlfn.IFS( OR(G1481=" ",NOT(ISNUMBER(G1481))),"Unknown",G1481&lt;=33,"Low Spender",G1481&lt;=66,"Medium Spender",TRUE, "High Spender")</f>
        <v>Low Spender</v>
      </c>
      <c r="I1481" s="1">
        <v>28</v>
      </c>
      <c r="J1481" s="1">
        <v>2000</v>
      </c>
      <c r="K1481" s="1">
        <v>83</v>
      </c>
      <c r="M1481" s="1" t="s">
        <v>30</v>
      </c>
      <c r="N1481" s="1" t="str">
        <f t="shared" si="46"/>
        <v>Lower</v>
      </c>
      <c r="O1481" s="1" t="str">
        <f t="shared" si="47"/>
        <v>Mid Career | Low Spender | Lower</v>
      </c>
    </row>
    <row r="1482" spans="1:15" x14ac:dyDescent="0.25">
      <c r="A1482" s="1" t="s">
        <v>1512</v>
      </c>
      <c r="B1482" s="1">
        <v>63</v>
      </c>
      <c r="C1482" s="1" t="str" cm="1">
        <f t="array" ref="C1482">_xlfn.IFS(OR(B1482=" ", B1482="NA",NOT(ISNUMBER(B1482))), "Unknown",B1482&lt;18,"Underage",B1482&lt;=24,"Young Adult",B1482&lt;=34,"Early Career",B1482&lt;=44,"Mid Career",B1482&lt;=54,"Mature",B1482&lt;=65,"Pre-Senior",B1482&gt;65,"Senior")</f>
        <v>Pre-Senior</v>
      </c>
      <c r="D1482" s="1" t="s">
        <v>29</v>
      </c>
      <c r="F1482" s="1">
        <v>1425000</v>
      </c>
      <c r="G1482" s="1">
        <v>86</v>
      </c>
      <c r="H1482" s="1" t="str" cm="1">
        <f t="array" ref="H1482">_xlfn.IFS( OR(G1482=" ",NOT(ISNUMBER(G1482))),"Unknown",G1482&lt;=33,"Low Spender",G1482&lt;=66,"Medium Spender",TRUE, "High Spender")</f>
        <v>High Spender</v>
      </c>
      <c r="I1482" s="1">
        <v>8</v>
      </c>
      <c r="J1482" s="1">
        <v>7500</v>
      </c>
      <c r="K1482" s="1">
        <v>280</v>
      </c>
      <c r="L1482" s="1" t="s">
        <v>16</v>
      </c>
      <c r="M1482" s="1" t="s">
        <v>21</v>
      </c>
      <c r="N1482" s="1" t="str">
        <f t="shared" si="46"/>
        <v>Higher</v>
      </c>
      <c r="O1482" s="1" t="str">
        <f t="shared" si="47"/>
        <v>Pre-Senior | High Spender | Higher</v>
      </c>
    </row>
    <row r="1483" spans="1:15" x14ac:dyDescent="0.25">
      <c r="A1483" s="1" t="s">
        <v>1513</v>
      </c>
      <c r="B1483" s="1">
        <v>51</v>
      </c>
      <c r="C1483" s="1" t="str" cm="1">
        <f t="array" ref="C1483">_xlfn.IFS(OR(B1483=" ", B1483="NA",NOT(ISNUMBER(B1483))), "Unknown",B1483&lt;18,"Underage",B1483&lt;=24,"Young Adult",B1483&lt;=34,"Early Career",B1483&lt;=44,"Mid Career",B1483&lt;=54,"Mature",B1483&lt;=65,"Pre-Senior",B1483&gt;65,"Senior")</f>
        <v>Mature</v>
      </c>
      <c r="D1483" s="1" t="s">
        <v>29</v>
      </c>
      <c r="E1483" s="1" t="s">
        <v>58</v>
      </c>
      <c r="F1483" s="1">
        <v>1275000</v>
      </c>
      <c r="G1483" s="1">
        <v>82</v>
      </c>
      <c r="H1483" s="1" t="str" cm="1">
        <f t="array" ref="H1483">_xlfn.IFS( OR(G1483=" ",NOT(ISNUMBER(G1483))),"Unknown",G1483&lt;=33,"Low Spender",G1483&lt;=66,"Medium Spender",TRUE, "High Spender")</f>
        <v>High Spender</v>
      </c>
      <c r="I1483" s="1">
        <v>29</v>
      </c>
      <c r="J1483" s="1">
        <v>7400</v>
      </c>
      <c r="K1483" s="1">
        <v>132</v>
      </c>
      <c r="L1483" s="1" t="s">
        <v>37</v>
      </c>
      <c r="M1483" s="1" t="s">
        <v>41</v>
      </c>
      <c r="N1483" s="1" t="str">
        <f t="shared" si="46"/>
        <v>Higher</v>
      </c>
      <c r="O1483" s="1" t="str">
        <f t="shared" si="47"/>
        <v>Mature | High Spender | Higher</v>
      </c>
    </row>
    <row r="1484" spans="1:15" x14ac:dyDescent="0.25">
      <c r="A1484" s="1" t="s">
        <v>1514</v>
      </c>
      <c r="B1484" s="1">
        <v>50</v>
      </c>
      <c r="C1484" s="1" t="str" cm="1">
        <f t="array" ref="C1484">_xlfn.IFS(OR(B1484=" ", B1484="NA",NOT(ISNUMBER(B1484))), "Unknown",B1484&lt;18,"Underage",B1484&lt;=24,"Young Adult",B1484&lt;=34,"Early Career",B1484&lt;=44,"Mid Career",B1484&lt;=54,"Mature",B1484&lt;=65,"Pre-Senior",B1484&gt;65,"Senior")</f>
        <v>Mature</v>
      </c>
      <c r="D1484" s="1" t="s">
        <v>18</v>
      </c>
      <c r="E1484" s="1" t="s">
        <v>23</v>
      </c>
      <c r="F1484" s="1">
        <v>975000</v>
      </c>
      <c r="G1484" s="1">
        <v>22</v>
      </c>
      <c r="H1484" s="1" t="str" cm="1">
        <f t="array" ref="H1484">_xlfn.IFS( OR(G1484=" ",NOT(ISNUMBER(G1484))),"Unknown",G1484&lt;=33,"Low Spender",G1484&lt;=66,"Medium Spender",TRUE, "High Spender")</f>
        <v>Low Spender</v>
      </c>
      <c r="I1484" s="1">
        <v>21</v>
      </c>
      <c r="J1484" s="1">
        <v>9100</v>
      </c>
      <c r="K1484" s="1">
        <v>1</v>
      </c>
      <c r="L1484" s="1" t="s">
        <v>20</v>
      </c>
      <c r="M1484" s="1" t="s">
        <v>32</v>
      </c>
      <c r="N1484" s="1" t="str">
        <f t="shared" si="46"/>
        <v>Higher</v>
      </c>
      <c r="O1484" s="1" t="str">
        <f t="shared" si="47"/>
        <v>Mature | Low Spender | Higher</v>
      </c>
    </row>
    <row r="1485" spans="1:15" x14ac:dyDescent="0.25">
      <c r="A1485" s="1" t="s">
        <v>1515</v>
      </c>
      <c r="B1485" s="1">
        <v>40</v>
      </c>
      <c r="C1485" s="1" t="str" cm="1">
        <f t="array" ref="C1485">_xlfn.IFS(OR(B1485=" ", B1485="NA",NOT(ISNUMBER(B1485))), "Unknown",B1485&lt;18,"Underage",B1485&lt;=24,"Young Adult",B1485&lt;=34,"Early Career",B1485&lt;=44,"Mid Career",B1485&lt;=54,"Mature",B1485&lt;=65,"Pre-Senior",B1485&gt;65,"Senior")</f>
        <v>Mid Career</v>
      </c>
      <c r="D1485" s="1" t="s">
        <v>18</v>
      </c>
      <c r="F1485" s="1">
        <v>1650000</v>
      </c>
      <c r="G1485" s="1">
        <v>41</v>
      </c>
      <c r="H1485" s="1" t="str" cm="1">
        <f t="array" ref="H1485">_xlfn.IFS( OR(G1485=" ",NOT(ISNUMBER(G1485))),"Unknown",G1485&lt;=33,"Low Spender",G1485&lt;=66,"Medium Spender",TRUE, "High Spender")</f>
        <v>Medium Spender</v>
      </c>
      <c r="J1485" s="1">
        <v>9700</v>
      </c>
      <c r="K1485" s="1">
        <v>116</v>
      </c>
      <c r="L1485" s="1" t="s">
        <v>37</v>
      </c>
      <c r="M1485" s="1" t="s">
        <v>41</v>
      </c>
      <c r="N1485" s="1" t="str">
        <f t="shared" si="46"/>
        <v>Higher</v>
      </c>
      <c r="O1485" s="1" t="str">
        <f t="shared" si="47"/>
        <v>Mid Career | Medium Spender | Higher</v>
      </c>
    </row>
    <row r="1486" spans="1:15" x14ac:dyDescent="0.25">
      <c r="A1486" s="1" t="s">
        <v>1516</v>
      </c>
      <c r="B1486" s="1" t="s">
        <v>73</v>
      </c>
      <c r="C1486" s="1" t="str" cm="1">
        <f t="array" ref="C1486">_xlfn.IFS(OR(B1486=" ", B1486="NA",NOT(ISNUMBER(B1486))), "Unknown",B1486&lt;18,"Underage",B1486&lt;=24,"Young Adult",B1486&lt;=34,"Early Career",B1486&lt;=44,"Mid Career",B1486&lt;=54,"Mature",B1486&lt;=65,"Pre-Senior",B1486&gt;65,"Senior")</f>
        <v>Unknown</v>
      </c>
      <c r="E1486" s="1" t="s">
        <v>19</v>
      </c>
      <c r="F1486" s="1">
        <v>1925000</v>
      </c>
      <c r="G1486" s="1">
        <v>76</v>
      </c>
      <c r="H1486" s="1" t="str" cm="1">
        <f t="array" ref="H1486">_xlfn.IFS( OR(G1486=" ",NOT(ISNUMBER(G1486))),"Unknown",G1486&lt;=33,"Low Spender",G1486&lt;=66,"Medium Spender",TRUE, "High Spender")</f>
        <v>High Spender</v>
      </c>
      <c r="I1486" s="1">
        <v>58</v>
      </c>
      <c r="J1486" s="1">
        <v>4400</v>
      </c>
      <c r="K1486" s="1">
        <v>202</v>
      </c>
      <c r="N1486" s="1" t="str">
        <f t="shared" si="46"/>
        <v>Lower</v>
      </c>
      <c r="O1486" s="1" t="str">
        <f t="shared" si="47"/>
        <v>Unknown | High Spender | Lower</v>
      </c>
    </row>
    <row r="1487" spans="1:15" x14ac:dyDescent="0.25">
      <c r="A1487" s="1" t="s">
        <v>1517</v>
      </c>
      <c r="B1487" s="1">
        <v>45</v>
      </c>
      <c r="C1487" s="1" t="str" cm="1">
        <f t="array" ref="C1487">_xlfn.IFS(OR(B1487=" ", B1487="NA",NOT(ISNUMBER(B1487))), "Unknown",B1487&lt;18,"Underage",B1487&lt;=24,"Young Adult",B1487&lt;=34,"Early Career",B1487&lt;=44,"Mid Career",B1487&lt;=54,"Mature",B1487&lt;=65,"Pre-Senior",B1487&gt;65,"Senior")</f>
        <v>Mature</v>
      </c>
      <c r="D1487" s="1" t="s">
        <v>29</v>
      </c>
      <c r="E1487" s="1" t="s">
        <v>58</v>
      </c>
      <c r="F1487" s="1">
        <v>1900000</v>
      </c>
      <c r="G1487" s="1">
        <v>19</v>
      </c>
      <c r="H1487" s="1" t="str" cm="1">
        <f t="array" ref="H1487">_xlfn.IFS( OR(G1487=" ",NOT(ISNUMBER(G1487))),"Unknown",G1487&lt;=33,"Low Spender",G1487&lt;=66,"Medium Spender",TRUE, "High Spender")</f>
        <v>Low Spender</v>
      </c>
      <c r="I1487" s="1">
        <v>60</v>
      </c>
      <c r="J1487" s="1">
        <v>600</v>
      </c>
      <c r="K1487" s="1">
        <v>140</v>
      </c>
      <c r="L1487" s="1" t="s">
        <v>16</v>
      </c>
      <c r="M1487" s="1" t="s">
        <v>32</v>
      </c>
      <c r="N1487" s="1" t="str">
        <f t="shared" si="46"/>
        <v>Higher</v>
      </c>
      <c r="O1487" s="1" t="str">
        <f t="shared" si="47"/>
        <v>Mature | Low Spender | Higher</v>
      </c>
    </row>
    <row r="1488" spans="1:15" x14ac:dyDescent="0.25">
      <c r="A1488" s="1" t="s">
        <v>1518</v>
      </c>
      <c r="B1488" s="1">
        <v>49</v>
      </c>
      <c r="C1488" s="1" t="str" cm="1">
        <f t="array" ref="C1488">_xlfn.IFS(OR(B1488=" ", B1488="NA",NOT(ISNUMBER(B1488))), "Unknown",B1488&lt;18,"Underage",B1488&lt;=24,"Young Adult",B1488&lt;=34,"Early Career",B1488&lt;=44,"Mid Career",B1488&lt;=54,"Mature",B1488&lt;=65,"Pre-Senior",B1488&gt;65,"Senior")</f>
        <v>Mature</v>
      </c>
      <c r="D1488" s="1" t="s">
        <v>12</v>
      </c>
      <c r="E1488" s="1" t="s">
        <v>23</v>
      </c>
      <c r="F1488" s="1">
        <v>1875000</v>
      </c>
      <c r="G1488" s="1">
        <v>89</v>
      </c>
      <c r="H1488" s="1" t="str" cm="1">
        <f t="array" ref="H1488">_xlfn.IFS( OR(G1488=" ",NOT(ISNUMBER(G1488))),"Unknown",G1488&lt;=33,"Low Spender",G1488&lt;=66,"Medium Spender",TRUE, "High Spender")</f>
        <v>High Spender</v>
      </c>
      <c r="I1488" s="1">
        <v>50</v>
      </c>
      <c r="J1488" s="1">
        <v>2200</v>
      </c>
      <c r="K1488" s="1">
        <v>146</v>
      </c>
      <c r="N1488" s="1" t="str">
        <f t="shared" si="46"/>
        <v>Lower</v>
      </c>
      <c r="O1488" s="1" t="str">
        <f t="shared" si="47"/>
        <v>Mature | High Spender | Lower</v>
      </c>
    </row>
    <row r="1489" spans="1:15" x14ac:dyDescent="0.25">
      <c r="A1489" s="1" t="s">
        <v>1519</v>
      </c>
      <c r="B1489" s="1">
        <v>67</v>
      </c>
      <c r="C1489" s="1" t="str" cm="1">
        <f t="array" ref="C1489">_xlfn.IFS(OR(B1489=" ", B1489="NA",NOT(ISNUMBER(B1489))), "Unknown",B1489&lt;18,"Underage",B1489&lt;=24,"Young Adult",B1489&lt;=34,"Early Career",B1489&lt;=44,"Mid Career",B1489&lt;=54,"Mature",B1489&lt;=65,"Pre-Senior",B1489&gt;65,"Senior")</f>
        <v>Senior</v>
      </c>
      <c r="D1489" s="1" t="s">
        <v>29</v>
      </c>
      <c r="E1489" s="1" t="s">
        <v>58</v>
      </c>
      <c r="F1489" s="1">
        <v>400000</v>
      </c>
      <c r="G1489" s="1">
        <v>50</v>
      </c>
      <c r="H1489" s="1" t="str" cm="1">
        <f t="array" ref="H1489">_xlfn.IFS( OR(G1489=" ",NOT(ISNUMBER(G1489))),"Unknown",G1489&lt;=33,"Low Spender",G1489&lt;=66,"Medium Spender",TRUE, "High Spender")</f>
        <v>Medium Spender</v>
      </c>
      <c r="I1489" s="1">
        <v>31</v>
      </c>
      <c r="J1489" s="1">
        <v>3000</v>
      </c>
      <c r="K1489" s="1">
        <v>266</v>
      </c>
      <c r="L1489" s="1" t="s">
        <v>37</v>
      </c>
      <c r="M1489" s="1" t="s">
        <v>21</v>
      </c>
      <c r="N1489" s="1" t="str">
        <f t="shared" si="46"/>
        <v>Higher</v>
      </c>
      <c r="O1489" s="1" t="str">
        <f t="shared" si="47"/>
        <v>Senior | Medium Spender | Higher</v>
      </c>
    </row>
    <row r="1490" spans="1:15" x14ac:dyDescent="0.25">
      <c r="A1490" s="1" t="s">
        <v>1520</v>
      </c>
      <c r="B1490" s="1">
        <v>24</v>
      </c>
      <c r="C1490" s="1" t="str" cm="1">
        <f t="array" ref="C1490">_xlfn.IFS(OR(B1490=" ", B1490="NA",NOT(ISNUMBER(B1490))), "Unknown",B1490&lt;18,"Underage",B1490&lt;=24,"Young Adult",B1490&lt;=34,"Early Career",B1490&lt;=44,"Mid Career",B1490&lt;=54,"Mature",B1490&lt;=65,"Pre-Senior",B1490&gt;65,"Senior")</f>
        <v>Young Adult</v>
      </c>
      <c r="D1490" s="1" t="s">
        <v>29</v>
      </c>
      <c r="E1490" s="1" t="s">
        <v>27</v>
      </c>
      <c r="F1490" s="1">
        <v>1700000</v>
      </c>
      <c r="G1490" s="1">
        <v>59</v>
      </c>
      <c r="H1490" s="1" t="str" cm="1">
        <f t="array" ref="H1490">_xlfn.IFS( OR(G1490=" ",NOT(ISNUMBER(G1490))),"Unknown",G1490&lt;=33,"Low Spender",G1490&lt;=66,"Medium Spender",TRUE, "High Spender")</f>
        <v>Medium Spender</v>
      </c>
      <c r="I1490" s="1">
        <v>47</v>
      </c>
      <c r="J1490" s="1">
        <v>4200</v>
      </c>
      <c r="K1490" s="1">
        <v>202</v>
      </c>
      <c r="L1490" s="1" t="s">
        <v>16</v>
      </c>
      <c r="N1490" s="1" t="str">
        <f t="shared" si="46"/>
        <v>Higher</v>
      </c>
      <c r="O1490" s="1" t="str">
        <f t="shared" si="47"/>
        <v>Young Adult | Medium Spender | Higher</v>
      </c>
    </row>
    <row r="1491" spans="1:15" x14ac:dyDescent="0.25">
      <c r="A1491" s="1" t="s">
        <v>1521</v>
      </c>
      <c r="B1491" s="1">
        <v>46</v>
      </c>
      <c r="C1491" s="1" t="str" cm="1">
        <f t="array" ref="C1491">_xlfn.IFS(OR(B1491=" ", B1491="NA",NOT(ISNUMBER(B1491))), "Unknown",B1491&lt;18,"Underage",B1491&lt;=24,"Young Adult",B1491&lt;=34,"Early Career",B1491&lt;=44,"Mid Career",B1491&lt;=54,"Mature",B1491&lt;=65,"Pre-Senior",B1491&gt;65,"Senior")</f>
        <v>Mature</v>
      </c>
      <c r="E1491" s="1" t="s">
        <v>19</v>
      </c>
      <c r="F1491" s="1">
        <v>650000</v>
      </c>
      <c r="G1491" s="1">
        <v>69</v>
      </c>
      <c r="H1491" s="1" t="str" cm="1">
        <f t="array" ref="H1491">_xlfn.IFS( OR(G1491=" ",NOT(ISNUMBER(G1491))),"Unknown",G1491&lt;=33,"Low Spender",G1491&lt;=66,"Medium Spender",TRUE, "High Spender")</f>
        <v>High Spender</v>
      </c>
      <c r="I1491" s="1">
        <v>34</v>
      </c>
      <c r="J1491" s="1">
        <v>6700</v>
      </c>
      <c r="K1491" s="1">
        <v>152</v>
      </c>
      <c r="L1491" s="1" t="s">
        <v>20</v>
      </c>
      <c r="M1491" s="1" t="s">
        <v>32</v>
      </c>
      <c r="N1491" s="1" t="str">
        <f t="shared" si="46"/>
        <v>Lower</v>
      </c>
      <c r="O1491" s="1" t="str">
        <f t="shared" si="47"/>
        <v>Mature | High Spender | Lower</v>
      </c>
    </row>
    <row r="1492" spans="1:15" x14ac:dyDescent="0.25">
      <c r="A1492" s="1" t="s">
        <v>1522</v>
      </c>
      <c r="B1492" s="1">
        <v>25</v>
      </c>
      <c r="C1492" s="1" t="str" cm="1">
        <f t="array" ref="C1492">_xlfn.IFS(OR(B1492=" ", B1492="NA",NOT(ISNUMBER(B1492))), "Unknown",B1492&lt;18,"Underage",B1492&lt;=24,"Young Adult",B1492&lt;=34,"Early Career",B1492&lt;=44,"Mid Career",B1492&lt;=54,"Mature",B1492&lt;=65,"Pre-Senior",B1492&gt;65,"Senior")</f>
        <v>Early Career</v>
      </c>
      <c r="D1492" s="1" t="s">
        <v>29</v>
      </c>
      <c r="F1492" s="1">
        <v>200000</v>
      </c>
      <c r="G1492" s="1">
        <v>34</v>
      </c>
      <c r="H1492" s="1" t="str" cm="1">
        <f t="array" ref="H1492">_xlfn.IFS( OR(G1492=" ",NOT(ISNUMBER(G1492))),"Unknown",G1492&lt;=33,"Low Spender",G1492&lt;=66,"Medium Spender",TRUE, "High Spender")</f>
        <v>Medium Spender</v>
      </c>
      <c r="I1492" s="1">
        <v>2</v>
      </c>
      <c r="J1492" s="1">
        <v>10600</v>
      </c>
      <c r="K1492" s="1">
        <v>222</v>
      </c>
      <c r="M1492" s="1" t="s">
        <v>21</v>
      </c>
      <c r="N1492" s="1" t="str">
        <f t="shared" si="46"/>
        <v>Higher</v>
      </c>
      <c r="O1492" s="1" t="str">
        <f t="shared" si="47"/>
        <v>Early Career | Medium Spender | Higher</v>
      </c>
    </row>
    <row r="1493" spans="1:15" x14ac:dyDescent="0.25">
      <c r="A1493" s="1" t="s">
        <v>1523</v>
      </c>
      <c r="B1493" s="1">
        <v>18</v>
      </c>
      <c r="C1493" s="1" t="str" cm="1">
        <f t="array" ref="C1493">_xlfn.IFS(OR(B1493=" ", B1493="NA",NOT(ISNUMBER(B1493))), "Unknown",B1493&lt;18,"Underage",B1493&lt;=24,"Young Adult",B1493&lt;=34,"Early Career",B1493&lt;=44,"Mid Career",B1493&lt;=54,"Mature",B1493&lt;=65,"Pre-Senior",B1493&gt;65,"Senior")</f>
        <v>Young Adult</v>
      </c>
      <c r="E1493" s="1" t="s">
        <v>27</v>
      </c>
      <c r="F1493" s="1">
        <v>375000</v>
      </c>
      <c r="G1493" s="1">
        <v>39</v>
      </c>
      <c r="H1493" s="1" t="str" cm="1">
        <f t="array" ref="H1493">_xlfn.IFS( OR(G1493=" ",NOT(ISNUMBER(G1493))),"Unknown",G1493&lt;=33,"Low Spender",G1493&lt;=66,"Medium Spender",TRUE, "High Spender")</f>
        <v>Medium Spender</v>
      </c>
      <c r="I1493" s="1">
        <v>67</v>
      </c>
      <c r="K1493" s="1">
        <v>79</v>
      </c>
      <c r="M1493" s="1" t="s">
        <v>21</v>
      </c>
      <c r="N1493" s="1" t="str">
        <f t="shared" si="46"/>
        <v>Lower</v>
      </c>
      <c r="O1493" s="1" t="str">
        <f t="shared" si="47"/>
        <v>Young Adult | Medium Spender | Lower</v>
      </c>
    </row>
    <row r="1494" spans="1:15" x14ac:dyDescent="0.25">
      <c r="A1494" s="1" t="s">
        <v>1524</v>
      </c>
      <c r="B1494" s="1" t="s">
        <v>73</v>
      </c>
      <c r="C1494" s="1" t="str" cm="1">
        <f t="array" ref="C1494">_xlfn.IFS(OR(B1494=" ", B1494="NA",NOT(ISNUMBER(B1494))), "Unknown",B1494&lt;18,"Underage",B1494&lt;=24,"Young Adult",B1494&lt;=34,"Early Career",B1494&lt;=44,"Mid Career",B1494&lt;=54,"Mature",B1494&lt;=65,"Pre-Senior",B1494&gt;65,"Senior")</f>
        <v>Unknown</v>
      </c>
      <c r="D1494" s="1" t="s">
        <v>12</v>
      </c>
      <c r="E1494" s="1" t="s">
        <v>23</v>
      </c>
      <c r="F1494" s="1">
        <v>800000</v>
      </c>
      <c r="G1494" s="1">
        <v>74</v>
      </c>
      <c r="H1494" s="1" t="str" cm="1">
        <f t="array" ref="H1494">_xlfn.IFS( OR(G1494=" ",NOT(ISNUMBER(G1494))),"Unknown",G1494&lt;=33,"Low Spender",G1494&lt;=66,"Medium Spender",TRUE, "High Spender")</f>
        <v>High Spender</v>
      </c>
      <c r="I1494" s="1">
        <v>72</v>
      </c>
      <c r="J1494" s="1">
        <v>4600</v>
      </c>
      <c r="K1494" s="1">
        <v>200</v>
      </c>
      <c r="L1494" s="1" t="s">
        <v>35</v>
      </c>
      <c r="N1494" s="1" t="str">
        <f t="shared" si="46"/>
        <v>Lower</v>
      </c>
      <c r="O1494" s="1" t="str">
        <f t="shared" si="47"/>
        <v>Unknown | High Spender | Lower</v>
      </c>
    </row>
    <row r="1495" spans="1:15" x14ac:dyDescent="0.25">
      <c r="A1495" s="1" t="s">
        <v>1525</v>
      </c>
      <c r="B1495" s="1">
        <v>20</v>
      </c>
      <c r="C1495" s="1" t="str" cm="1">
        <f t="array" ref="C1495">_xlfn.IFS(OR(B1495=" ", B1495="NA",NOT(ISNUMBER(B1495))), "Unknown",B1495&lt;18,"Underage",B1495&lt;=24,"Young Adult",B1495&lt;=34,"Early Career",B1495&lt;=44,"Mid Career",B1495&lt;=54,"Mature",B1495&lt;=65,"Pre-Senior",B1495&gt;65,"Senior")</f>
        <v>Young Adult</v>
      </c>
      <c r="D1495" s="1" t="s">
        <v>18</v>
      </c>
      <c r="E1495" s="1" t="s">
        <v>23</v>
      </c>
      <c r="F1495" s="1">
        <v>425000</v>
      </c>
      <c r="G1495" s="1">
        <v>7</v>
      </c>
      <c r="H1495" s="1" t="str" cm="1">
        <f t="array" ref="H1495">_xlfn.IFS( OR(G1495=" ",NOT(ISNUMBER(G1495))),"Unknown",G1495&lt;=33,"Low Spender",G1495&lt;=66,"Medium Spender",TRUE, "High Spender")</f>
        <v>Low Spender</v>
      </c>
      <c r="I1495" s="1">
        <v>52</v>
      </c>
      <c r="J1495" s="1">
        <v>2500</v>
      </c>
      <c r="K1495" s="1">
        <v>250</v>
      </c>
      <c r="L1495" s="1" t="s">
        <v>37</v>
      </c>
      <c r="M1495" s="1" t="s">
        <v>21</v>
      </c>
      <c r="N1495" s="1" t="str">
        <f t="shared" si="46"/>
        <v>Higher</v>
      </c>
      <c r="O1495" s="1" t="str">
        <f t="shared" si="47"/>
        <v>Young Adult | Low Spender | Higher</v>
      </c>
    </row>
    <row r="1496" spans="1:15" x14ac:dyDescent="0.25">
      <c r="A1496" s="1" t="s">
        <v>1526</v>
      </c>
      <c r="B1496" s="1">
        <v>41</v>
      </c>
      <c r="C1496" s="1" t="str" cm="1">
        <f t="array" ref="C1496">_xlfn.IFS(OR(B1496=" ", B1496="NA",NOT(ISNUMBER(B1496))), "Unknown",B1496&lt;18,"Underage",B1496&lt;=24,"Young Adult",B1496&lt;=34,"Early Career",B1496&lt;=44,"Mid Career",B1496&lt;=54,"Mature",B1496&lt;=65,"Pre-Senior",B1496&gt;65,"Senior")</f>
        <v>Mid Career</v>
      </c>
      <c r="D1496" s="1" t="s">
        <v>18</v>
      </c>
      <c r="E1496" s="1" t="s">
        <v>34</v>
      </c>
      <c r="F1496" s="1">
        <v>300000</v>
      </c>
      <c r="H1496" s="1" t="str" cm="1">
        <f t="array" ref="H1496">_xlfn.IFS( OR(G1496=" ",NOT(ISNUMBER(G1496))),"Unknown",G1496&lt;=33,"Low Spender",G1496&lt;=66,"Medium Spender",TRUE, "High Spender")</f>
        <v>Unknown</v>
      </c>
      <c r="I1496" s="1">
        <v>7</v>
      </c>
      <c r="J1496" s="1">
        <v>5900</v>
      </c>
      <c r="K1496" s="1">
        <v>99</v>
      </c>
      <c r="L1496" s="1" t="s">
        <v>16</v>
      </c>
      <c r="M1496" s="1" t="s">
        <v>32</v>
      </c>
      <c r="N1496" s="1" t="str">
        <f t="shared" si="46"/>
        <v>Higher</v>
      </c>
      <c r="O1496" s="1" t="str">
        <f t="shared" si="47"/>
        <v>Mid Career | Unknown | Higher</v>
      </c>
    </row>
    <row r="1497" spans="1:15" x14ac:dyDescent="0.25">
      <c r="A1497" s="1" t="s">
        <v>1527</v>
      </c>
      <c r="B1497" s="1">
        <v>40</v>
      </c>
      <c r="C1497" s="1" t="str" cm="1">
        <f t="array" ref="C1497">_xlfn.IFS(OR(B1497=" ", B1497="NA",NOT(ISNUMBER(B1497))), "Unknown",B1497&lt;18,"Underage",B1497&lt;=24,"Young Adult",B1497&lt;=34,"Early Career",B1497&lt;=44,"Mid Career",B1497&lt;=54,"Mature",B1497&lt;=65,"Pre-Senior",B1497&gt;65,"Senior")</f>
        <v>Mid Career</v>
      </c>
      <c r="D1497" s="1" t="s">
        <v>12</v>
      </c>
      <c r="E1497" s="1" t="s">
        <v>19</v>
      </c>
      <c r="F1497" s="1">
        <v>550000</v>
      </c>
      <c r="G1497" s="1">
        <v>52</v>
      </c>
      <c r="H1497" s="1" t="str" cm="1">
        <f t="array" ref="H1497">_xlfn.IFS( OR(G1497=" ",NOT(ISNUMBER(G1497))),"Unknown",G1497&lt;=33,"Low Spender",G1497&lt;=66,"Medium Spender",TRUE, "High Spender")</f>
        <v>Medium Spender</v>
      </c>
      <c r="I1497" s="1">
        <v>76</v>
      </c>
      <c r="J1497" s="1">
        <v>4900</v>
      </c>
      <c r="K1497" s="1">
        <v>213</v>
      </c>
      <c r="L1497" s="1" t="s">
        <v>37</v>
      </c>
      <c r="N1497" s="1" t="str">
        <f t="shared" si="46"/>
        <v>Lower</v>
      </c>
      <c r="O1497" s="1" t="str">
        <f t="shared" si="47"/>
        <v>Mid Career | Medium Spender | Lower</v>
      </c>
    </row>
    <row r="1498" spans="1:15" x14ac:dyDescent="0.25">
      <c r="A1498" s="1" t="s">
        <v>1528</v>
      </c>
      <c r="B1498" s="1">
        <v>25</v>
      </c>
      <c r="C1498" s="1" t="str" cm="1">
        <f t="array" ref="C1498">_xlfn.IFS(OR(B1498=" ", B1498="NA",NOT(ISNUMBER(B1498))), "Unknown",B1498&lt;18,"Underage",B1498&lt;=24,"Young Adult",B1498&lt;=34,"Early Career",B1498&lt;=44,"Mid Career",B1498&lt;=54,"Mature",B1498&lt;=65,"Pre-Senior",B1498&gt;65,"Senior")</f>
        <v>Early Career</v>
      </c>
      <c r="D1498" s="1" t="s">
        <v>18</v>
      </c>
      <c r="E1498" s="1" t="s">
        <v>15</v>
      </c>
      <c r="F1498" s="1">
        <v>1750000</v>
      </c>
      <c r="G1498" s="1">
        <v>60</v>
      </c>
      <c r="H1498" s="1" t="str" cm="1">
        <f t="array" ref="H1498">_xlfn.IFS( OR(G1498=" ",NOT(ISNUMBER(G1498))),"Unknown",G1498&lt;=33,"Low Spender",G1498&lt;=66,"Medium Spender",TRUE, "High Spender")</f>
        <v>Medium Spender</v>
      </c>
      <c r="I1498" s="1">
        <v>19</v>
      </c>
      <c r="J1498" s="1">
        <v>1500</v>
      </c>
      <c r="K1498" s="1">
        <v>143</v>
      </c>
      <c r="L1498" s="1" t="s">
        <v>20</v>
      </c>
      <c r="N1498" s="1" t="str">
        <f t="shared" si="46"/>
        <v>Higher</v>
      </c>
      <c r="O1498" s="1" t="str">
        <f t="shared" si="47"/>
        <v>Early Career | Medium Spender | Higher</v>
      </c>
    </row>
    <row r="1499" spans="1:15" x14ac:dyDescent="0.25">
      <c r="A1499" s="1" t="s">
        <v>1529</v>
      </c>
      <c r="C1499" s="1" t="str" cm="1">
        <f t="array" ref="C1499">_xlfn.IFS(OR(B1499=" ", B1499="NA",NOT(ISNUMBER(B1499))), "Unknown",B1499&lt;18,"Underage",B1499&lt;=24,"Young Adult",B1499&lt;=34,"Early Career",B1499&lt;=44,"Mid Career",B1499&lt;=54,"Mature",B1499&lt;=65,"Pre-Senior",B1499&gt;65,"Senior")</f>
        <v>Unknown</v>
      </c>
      <c r="D1499" s="1" t="s">
        <v>18</v>
      </c>
      <c r="E1499" s="1" t="s">
        <v>15</v>
      </c>
      <c r="F1499" s="1">
        <v>1725000</v>
      </c>
      <c r="G1499" s="1">
        <v>52</v>
      </c>
      <c r="H1499" s="1" t="str" cm="1">
        <f t="array" ref="H1499">_xlfn.IFS( OR(G1499=" ",NOT(ISNUMBER(G1499))),"Unknown",G1499&lt;=33,"Low Spender",G1499&lt;=66,"Medium Spender",TRUE, "High Spender")</f>
        <v>Medium Spender</v>
      </c>
      <c r="I1499" s="1">
        <v>15</v>
      </c>
      <c r="J1499" s="1">
        <v>1800</v>
      </c>
      <c r="K1499" s="1">
        <v>190</v>
      </c>
      <c r="L1499" s="1" t="s">
        <v>20</v>
      </c>
      <c r="M1499" s="1" t="s">
        <v>32</v>
      </c>
      <c r="N1499" s="1" t="str">
        <f t="shared" si="46"/>
        <v>Higher</v>
      </c>
      <c r="O1499" s="1" t="str">
        <f t="shared" si="47"/>
        <v>Unknown | Medium Spender | Higher</v>
      </c>
    </row>
    <row r="1500" spans="1:15" x14ac:dyDescent="0.25">
      <c r="A1500" s="1" t="s">
        <v>1530</v>
      </c>
      <c r="B1500" s="1">
        <v>64</v>
      </c>
      <c r="C1500" s="1" t="str" cm="1">
        <f t="array" ref="C1500">_xlfn.IFS(OR(B1500=" ", B1500="NA",NOT(ISNUMBER(B1500))), "Unknown",B1500&lt;18,"Underage",B1500&lt;=24,"Young Adult",B1500&lt;=34,"Early Career",B1500&lt;=44,"Mid Career",B1500&lt;=54,"Mature",B1500&lt;=65,"Pre-Senior",B1500&gt;65,"Senior")</f>
        <v>Pre-Senior</v>
      </c>
      <c r="D1500" s="1" t="s">
        <v>29</v>
      </c>
      <c r="E1500" s="1" t="s">
        <v>23</v>
      </c>
      <c r="F1500" s="1">
        <v>775000</v>
      </c>
      <c r="G1500" s="1">
        <v>79</v>
      </c>
      <c r="H1500" s="1" t="str" cm="1">
        <f t="array" ref="H1500">_xlfn.IFS( OR(G1500=" ",NOT(ISNUMBER(G1500))),"Unknown",G1500&lt;=33,"Low Spender",G1500&lt;=66,"Medium Spender",TRUE, "High Spender")</f>
        <v>High Spender</v>
      </c>
      <c r="I1500" s="1">
        <v>78</v>
      </c>
      <c r="J1500" s="1">
        <v>9200</v>
      </c>
      <c r="K1500" s="1">
        <v>301</v>
      </c>
      <c r="N1500" s="1" t="str">
        <f t="shared" si="46"/>
        <v>Higher</v>
      </c>
      <c r="O1500" s="1" t="str">
        <f t="shared" si="47"/>
        <v>Pre-Senior | High Spender | Higher</v>
      </c>
    </row>
    <row r="1501" spans="1:15" x14ac:dyDescent="0.25">
      <c r="A1501" s="1" t="s">
        <v>1531</v>
      </c>
      <c r="B1501" s="1">
        <v>54</v>
      </c>
      <c r="C1501" s="1" t="str" cm="1">
        <f t="array" ref="C1501">_xlfn.IFS(OR(B1501=" ", B1501="NA",NOT(ISNUMBER(B1501))), "Unknown",B1501&lt;18,"Underage",B1501&lt;=24,"Young Adult",B1501&lt;=34,"Early Career",B1501&lt;=44,"Mid Career",B1501&lt;=54,"Mature",B1501&lt;=65,"Pre-Senior",B1501&gt;65,"Senior")</f>
        <v>Mature</v>
      </c>
      <c r="D1501" s="1" t="s">
        <v>18</v>
      </c>
      <c r="E1501" s="1" t="s">
        <v>15</v>
      </c>
      <c r="F1501" s="1">
        <v>500000</v>
      </c>
      <c r="G1501" s="1">
        <v>24</v>
      </c>
      <c r="H1501" s="1" t="str" cm="1">
        <f t="array" ref="H1501">_xlfn.IFS( OR(G1501=" ",NOT(ISNUMBER(G1501))),"Unknown",G1501&lt;=33,"Low Spender",G1501&lt;=66,"Medium Spender",TRUE, "High Spender")</f>
        <v>Low Spender</v>
      </c>
      <c r="I1501" s="1">
        <v>48</v>
      </c>
      <c r="J1501" s="1">
        <v>5700</v>
      </c>
      <c r="K1501" s="1">
        <v>52</v>
      </c>
      <c r="M1501" s="1" t="s">
        <v>41</v>
      </c>
      <c r="N1501" s="1" t="str">
        <f t="shared" si="46"/>
        <v>Higher</v>
      </c>
      <c r="O1501" s="1" t="str">
        <f t="shared" si="47"/>
        <v>Mature | Low Spender | Higher</v>
      </c>
    </row>
    <row r="1502" spans="1:15" x14ac:dyDescent="0.25">
      <c r="A1502" s="1" t="s">
        <v>1532</v>
      </c>
      <c r="B1502" s="1">
        <v>20</v>
      </c>
      <c r="C1502" s="1" t="str" cm="1">
        <f t="array" ref="C1502">_xlfn.IFS(OR(B1502=" ", B1502="NA",NOT(ISNUMBER(B1502))), "Unknown",B1502&lt;18,"Underage",B1502&lt;=24,"Young Adult",B1502&lt;=34,"Early Career",B1502&lt;=44,"Mid Career",B1502&lt;=54,"Mature",B1502&lt;=65,"Pre-Senior",B1502&gt;65,"Senior")</f>
        <v>Young Adult</v>
      </c>
      <c r="D1502" s="1" t="s">
        <v>29</v>
      </c>
      <c r="E1502" s="1" t="s">
        <v>49</v>
      </c>
      <c r="F1502" s="1">
        <v>950000</v>
      </c>
      <c r="G1502" s="1">
        <v>26</v>
      </c>
      <c r="H1502" s="1" t="str" cm="1">
        <f t="array" ref="H1502">_xlfn.IFS( OR(G1502=" ",NOT(ISNUMBER(G1502))),"Unknown",G1502&lt;=33,"Low Spender",G1502&lt;=66,"Medium Spender",TRUE, "High Spender")</f>
        <v>Low Spender</v>
      </c>
      <c r="I1502" s="1">
        <v>14</v>
      </c>
      <c r="J1502" s="1">
        <v>9700</v>
      </c>
      <c r="K1502" s="1">
        <v>112</v>
      </c>
      <c r="L1502" s="1" t="s">
        <v>16</v>
      </c>
      <c r="M1502" s="1" t="s">
        <v>32</v>
      </c>
      <c r="N1502" s="1" t="str">
        <f t="shared" si="46"/>
        <v>Higher</v>
      </c>
      <c r="O1502" s="1" t="str">
        <f t="shared" si="47"/>
        <v>Young Adult | Low Spender | Higher</v>
      </c>
    </row>
    <row r="1503" spans="1:15" x14ac:dyDescent="0.25">
      <c r="A1503" s="1" t="s">
        <v>1533</v>
      </c>
      <c r="B1503" s="1">
        <v>68</v>
      </c>
      <c r="C1503" s="1" t="str" cm="1">
        <f t="array" ref="C1503">_xlfn.IFS(OR(B1503=" ", B1503="NA",NOT(ISNUMBER(B1503))), "Unknown",B1503&lt;18,"Underage",B1503&lt;=24,"Young Adult",B1503&lt;=34,"Early Career",B1503&lt;=44,"Mid Career",B1503&lt;=54,"Mature",B1503&lt;=65,"Pre-Senior",B1503&gt;65,"Senior")</f>
        <v>Senior</v>
      </c>
      <c r="D1503" s="1" t="s">
        <v>29</v>
      </c>
      <c r="E1503" s="1" t="s">
        <v>34</v>
      </c>
      <c r="F1503" s="1">
        <v>1675000</v>
      </c>
      <c r="G1503" s="1">
        <v>90</v>
      </c>
      <c r="H1503" s="1" t="str" cm="1">
        <f t="array" ref="H1503">_xlfn.IFS( OR(G1503=" ",NOT(ISNUMBER(G1503))),"Unknown",G1503&lt;=33,"Low Spender",G1503&lt;=66,"Medium Spender",TRUE, "High Spender")</f>
        <v>High Spender</v>
      </c>
      <c r="I1503" s="1">
        <v>3</v>
      </c>
      <c r="J1503" s="1">
        <v>11600</v>
      </c>
      <c r="K1503" s="1">
        <v>135</v>
      </c>
      <c r="N1503" s="1" t="str">
        <f t="shared" si="46"/>
        <v>Higher</v>
      </c>
      <c r="O1503" s="1" t="str">
        <f t="shared" si="47"/>
        <v>Senior | High Spender | Higher</v>
      </c>
    </row>
    <row r="1504" spans="1:15" x14ac:dyDescent="0.25">
      <c r="A1504" s="1" t="s">
        <v>1534</v>
      </c>
      <c r="B1504" s="1">
        <v>50</v>
      </c>
      <c r="C1504" s="1" t="str" cm="1">
        <f t="array" ref="C1504">_xlfn.IFS(OR(B1504=" ", B1504="NA",NOT(ISNUMBER(B1504))), "Unknown",B1504&lt;18,"Underage",B1504&lt;=24,"Young Adult",B1504&lt;=34,"Early Career",B1504&lt;=44,"Mid Career",B1504&lt;=54,"Mature",B1504&lt;=65,"Pre-Senior",B1504&gt;65,"Senior")</f>
        <v>Mature</v>
      </c>
      <c r="E1504" s="1" t="s">
        <v>23</v>
      </c>
      <c r="F1504" s="1">
        <v>1300000</v>
      </c>
      <c r="G1504" s="1">
        <v>90</v>
      </c>
      <c r="H1504" s="1" t="str" cm="1">
        <f t="array" ref="H1504">_xlfn.IFS( OR(G1504=" ",NOT(ISNUMBER(G1504))),"Unknown",G1504&lt;=33,"Low Spender",G1504&lt;=66,"Medium Spender",TRUE, "High Spender")</f>
        <v>High Spender</v>
      </c>
      <c r="I1504" s="1">
        <v>50</v>
      </c>
      <c r="J1504" s="1">
        <v>6700</v>
      </c>
      <c r="K1504" s="1">
        <v>112</v>
      </c>
      <c r="L1504" s="1" t="s">
        <v>37</v>
      </c>
      <c r="M1504" s="1" t="s">
        <v>32</v>
      </c>
      <c r="N1504" s="1" t="str">
        <f t="shared" si="46"/>
        <v>Lower</v>
      </c>
      <c r="O1504" s="1" t="str">
        <f t="shared" si="47"/>
        <v>Mature | High Spender | Lower</v>
      </c>
    </row>
    <row r="1505" spans="1:15" x14ac:dyDescent="0.25">
      <c r="A1505" s="1" t="s">
        <v>1535</v>
      </c>
      <c r="B1505" s="1">
        <v>45</v>
      </c>
      <c r="C1505" s="1" t="str" cm="1">
        <f t="array" ref="C1505">_xlfn.IFS(OR(B1505=" ", B1505="NA",NOT(ISNUMBER(B1505))), "Unknown",B1505&lt;18,"Underage",B1505&lt;=24,"Young Adult",B1505&lt;=34,"Early Career",B1505&lt;=44,"Mid Career",B1505&lt;=54,"Mature",B1505&lt;=65,"Pre-Senior",B1505&gt;65,"Senior")</f>
        <v>Mature</v>
      </c>
      <c r="D1505" s="1" t="s">
        <v>12</v>
      </c>
      <c r="E1505" s="1" t="s">
        <v>15</v>
      </c>
      <c r="F1505" s="1">
        <v>1000000</v>
      </c>
      <c r="G1505" s="1">
        <v>10</v>
      </c>
      <c r="H1505" s="1" t="str" cm="1">
        <f t="array" ref="H1505">_xlfn.IFS( OR(G1505=" ",NOT(ISNUMBER(G1505))),"Unknown",G1505&lt;=33,"Low Spender",G1505&lt;=66,"Medium Spender",TRUE, "High Spender")</f>
        <v>Low Spender</v>
      </c>
      <c r="I1505" s="1">
        <v>54</v>
      </c>
      <c r="J1505" s="1">
        <v>8300</v>
      </c>
      <c r="K1505" s="1">
        <v>13</v>
      </c>
      <c r="L1505" s="1" t="s">
        <v>37</v>
      </c>
      <c r="M1505" s="1" t="s">
        <v>21</v>
      </c>
      <c r="N1505" s="1" t="str">
        <f t="shared" si="46"/>
        <v>Lower</v>
      </c>
      <c r="O1505" s="1" t="str">
        <f t="shared" si="47"/>
        <v>Mature | Low Spender | Lower</v>
      </c>
    </row>
    <row r="1506" spans="1:15" x14ac:dyDescent="0.25">
      <c r="A1506" s="1" t="s">
        <v>1536</v>
      </c>
      <c r="B1506" s="1">
        <v>64</v>
      </c>
      <c r="C1506" s="1" t="str" cm="1">
        <f t="array" ref="C1506">_xlfn.IFS(OR(B1506=" ", B1506="NA",NOT(ISNUMBER(B1506))), "Unknown",B1506&lt;18,"Underage",B1506&lt;=24,"Young Adult",B1506&lt;=34,"Early Career",B1506&lt;=44,"Mid Career",B1506&lt;=54,"Mature",B1506&lt;=65,"Pre-Senior",B1506&gt;65,"Senior")</f>
        <v>Pre-Senior</v>
      </c>
      <c r="D1506" s="1" t="s">
        <v>18</v>
      </c>
      <c r="E1506" s="1" t="s">
        <v>19</v>
      </c>
      <c r="F1506" s="1">
        <v>1750000</v>
      </c>
      <c r="G1506" s="1">
        <v>17</v>
      </c>
      <c r="H1506" s="1" t="str" cm="1">
        <f t="array" ref="H1506">_xlfn.IFS( OR(G1506=" ",NOT(ISNUMBER(G1506))),"Unknown",G1506&lt;=33,"Low Spender",G1506&lt;=66,"Medium Spender",TRUE, "High Spender")</f>
        <v>Low Spender</v>
      </c>
      <c r="I1506" s="1">
        <v>6</v>
      </c>
      <c r="J1506" s="1">
        <v>1800</v>
      </c>
      <c r="K1506" s="1">
        <v>273</v>
      </c>
      <c r="L1506" s="1" t="s">
        <v>20</v>
      </c>
      <c r="M1506" s="1" t="s">
        <v>21</v>
      </c>
      <c r="N1506" s="1" t="str">
        <f t="shared" si="46"/>
        <v>Higher</v>
      </c>
      <c r="O1506" s="1" t="str">
        <f t="shared" si="47"/>
        <v>Pre-Senior | Low Spender | Higher</v>
      </c>
    </row>
    <row r="1507" spans="1:15" x14ac:dyDescent="0.25">
      <c r="A1507" s="1" t="s">
        <v>1537</v>
      </c>
      <c r="B1507" s="1">
        <v>25</v>
      </c>
      <c r="C1507" s="1" t="str" cm="1">
        <f t="array" ref="C1507">_xlfn.IFS(OR(B1507=" ", B1507="NA",NOT(ISNUMBER(B1507))), "Unknown",B1507&lt;18,"Underage",B1507&lt;=24,"Young Adult",B1507&lt;=34,"Early Career",B1507&lt;=44,"Mid Career",B1507&lt;=54,"Mature",B1507&lt;=65,"Pre-Senior",B1507&gt;65,"Senior")</f>
        <v>Early Career</v>
      </c>
      <c r="F1507" s="1">
        <v>1925000</v>
      </c>
      <c r="G1507" s="1">
        <v>78</v>
      </c>
      <c r="H1507" s="1" t="str" cm="1">
        <f t="array" ref="H1507">_xlfn.IFS( OR(G1507=" ",NOT(ISNUMBER(G1507))),"Unknown",G1507&lt;=33,"Low Spender",G1507&lt;=66,"Medium Spender",TRUE, "High Spender")</f>
        <v>High Spender</v>
      </c>
      <c r="I1507" s="1">
        <v>49</v>
      </c>
      <c r="K1507" s="1">
        <v>233</v>
      </c>
      <c r="L1507" s="1" t="s">
        <v>37</v>
      </c>
      <c r="M1507" s="1" t="s">
        <v>32</v>
      </c>
      <c r="N1507" s="1" t="str">
        <f t="shared" si="46"/>
        <v>Lower</v>
      </c>
      <c r="O1507" s="1" t="str">
        <f t="shared" si="47"/>
        <v>Early Career | High Spender | Lower</v>
      </c>
    </row>
    <row r="1508" spans="1:15" x14ac:dyDescent="0.25">
      <c r="A1508" s="1" t="s">
        <v>1538</v>
      </c>
      <c r="B1508" s="1">
        <v>51</v>
      </c>
      <c r="C1508" s="1" t="str" cm="1">
        <f t="array" ref="C1508">_xlfn.IFS(OR(B1508=" ", B1508="NA",NOT(ISNUMBER(B1508))), "Unknown",B1508&lt;18,"Underage",B1508&lt;=24,"Young Adult",B1508&lt;=34,"Early Career",B1508&lt;=44,"Mid Career",B1508&lt;=54,"Mature",B1508&lt;=65,"Pre-Senior",B1508&gt;65,"Senior")</f>
        <v>Mature</v>
      </c>
      <c r="D1508" s="1" t="s">
        <v>12</v>
      </c>
      <c r="G1508" s="1">
        <v>2</v>
      </c>
      <c r="H1508" s="1" t="str" cm="1">
        <f t="array" ref="H1508">_xlfn.IFS( OR(G1508=" ",NOT(ISNUMBER(G1508))),"Unknown",G1508&lt;=33,"Low Spender",G1508&lt;=66,"Medium Spender",TRUE, "High Spender")</f>
        <v>Low Spender</v>
      </c>
      <c r="I1508" s="1">
        <v>23</v>
      </c>
      <c r="J1508" s="1">
        <v>3900</v>
      </c>
      <c r="K1508" s="1">
        <v>44</v>
      </c>
      <c r="L1508" s="1" t="s">
        <v>16</v>
      </c>
      <c r="N1508" s="1" t="str">
        <f t="shared" si="46"/>
        <v>Lower</v>
      </c>
      <c r="O1508" s="1" t="str">
        <f t="shared" si="47"/>
        <v>Mature | Low Spender | Lower</v>
      </c>
    </row>
    <row r="1509" spans="1:15" x14ac:dyDescent="0.25">
      <c r="A1509" s="1" t="s">
        <v>1539</v>
      </c>
      <c r="B1509" s="1">
        <v>52</v>
      </c>
      <c r="C1509" s="1" t="str" cm="1">
        <f t="array" ref="C1509">_xlfn.IFS(OR(B1509=" ", B1509="NA",NOT(ISNUMBER(B1509))), "Unknown",B1509&lt;18,"Underage",B1509&lt;=24,"Young Adult",B1509&lt;=34,"Early Career",B1509&lt;=44,"Mid Career",B1509&lt;=54,"Mature",B1509&lt;=65,"Pre-Senior",B1509&gt;65,"Senior")</f>
        <v>Mature</v>
      </c>
      <c r="D1509" s="1" t="s">
        <v>12</v>
      </c>
      <c r="E1509" s="1" t="s">
        <v>27</v>
      </c>
      <c r="F1509" s="1">
        <v>750000</v>
      </c>
      <c r="G1509" s="1">
        <v>77</v>
      </c>
      <c r="H1509" s="1" t="str" cm="1">
        <f t="array" ref="H1509">_xlfn.IFS( OR(G1509=" ",NOT(ISNUMBER(G1509))),"Unknown",G1509&lt;=33,"Low Spender",G1509&lt;=66,"Medium Spender",TRUE, "High Spender")</f>
        <v>High Spender</v>
      </c>
      <c r="I1509" s="1">
        <v>78</v>
      </c>
      <c r="J1509" s="1">
        <v>5400</v>
      </c>
      <c r="K1509" s="1">
        <v>73</v>
      </c>
      <c r="L1509" s="1" t="s">
        <v>35</v>
      </c>
      <c r="M1509" s="1" t="s">
        <v>41</v>
      </c>
      <c r="N1509" s="1" t="str">
        <f t="shared" si="46"/>
        <v>Lower</v>
      </c>
      <c r="O1509" s="1" t="str">
        <f t="shared" si="47"/>
        <v>Mature | High Spender | Lower</v>
      </c>
    </row>
    <row r="1510" spans="1:15" x14ac:dyDescent="0.25">
      <c r="A1510" s="1" t="s">
        <v>1540</v>
      </c>
      <c r="B1510" s="1">
        <v>49</v>
      </c>
      <c r="C1510" s="1" t="str" cm="1">
        <f t="array" ref="C1510">_xlfn.IFS(OR(B1510=" ", B1510="NA",NOT(ISNUMBER(B1510))), "Unknown",B1510&lt;18,"Underage",B1510&lt;=24,"Young Adult",B1510&lt;=34,"Early Career",B1510&lt;=44,"Mid Career",B1510&lt;=54,"Mature",B1510&lt;=65,"Pre-Senior",B1510&gt;65,"Senior")</f>
        <v>Mature</v>
      </c>
      <c r="E1510" s="1" t="s">
        <v>27</v>
      </c>
      <c r="F1510" s="1">
        <v>1550000</v>
      </c>
      <c r="G1510" s="1">
        <v>27</v>
      </c>
      <c r="H1510" s="1" t="str" cm="1">
        <f t="array" ref="H1510">_xlfn.IFS( OR(G1510=" ",NOT(ISNUMBER(G1510))),"Unknown",G1510&lt;=33,"Low Spender",G1510&lt;=66,"Medium Spender",TRUE, "High Spender")</f>
        <v>Low Spender</v>
      </c>
      <c r="I1510" s="1">
        <v>78</v>
      </c>
      <c r="J1510" s="1">
        <v>11900</v>
      </c>
      <c r="K1510" s="1">
        <v>261</v>
      </c>
      <c r="M1510" s="1" t="s">
        <v>21</v>
      </c>
      <c r="N1510" s="1" t="str">
        <f t="shared" si="46"/>
        <v>Lower</v>
      </c>
      <c r="O1510" s="1" t="str">
        <f t="shared" si="47"/>
        <v>Mature | Low Spender | Lower</v>
      </c>
    </row>
    <row r="1511" spans="1:15" x14ac:dyDescent="0.25">
      <c r="A1511" s="1" t="s">
        <v>1541</v>
      </c>
      <c r="B1511" s="1">
        <v>41</v>
      </c>
      <c r="C1511" s="1" t="str" cm="1">
        <f t="array" ref="C1511">_xlfn.IFS(OR(B1511=" ", B1511="NA",NOT(ISNUMBER(B1511))), "Unknown",B1511&lt;18,"Underage",B1511&lt;=24,"Young Adult",B1511&lt;=34,"Early Career",B1511&lt;=44,"Mid Career",B1511&lt;=54,"Mature",B1511&lt;=65,"Pre-Senior",B1511&gt;65,"Senior")</f>
        <v>Mid Career</v>
      </c>
      <c r="E1511" s="1" t="s">
        <v>49</v>
      </c>
      <c r="F1511" s="1">
        <v>925000</v>
      </c>
      <c r="G1511" s="1">
        <v>73</v>
      </c>
      <c r="H1511" s="1" t="str" cm="1">
        <f t="array" ref="H1511">_xlfn.IFS( OR(G1511=" ",NOT(ISNUMBER(G1511))),"Unknown",G1511&lt;=33,"Low Spender",G1511&lt;=66,"Medium Spender",TRUE, "High Spender")</f>
        <v>High Spender</v>
      </c>
      <c r="I1511" s="1">
        <v>20</v>
      </c>
      <c r="J1511" s="1">
        <v>1200</v>
      </c>
      <c r="K1511" s="1">
        <v>231</v>
      </c>
      <c r="L1511" s="1" t="s">
        <v>20</v>
      </c>
      <c r="N1511" s="1" t="str">
        <f t="shared" si="46"/>
        <v>Lower</v>
      </c>
      <c r="O1511" s="1" t="str">
        <f t="shared" si="47"/>
        <v>Mid Career | High Spender | Lower</v>
      </c>
    </row>
    <row r="1512" spans="1:15" x14ac:dyDescent="0.25">
      <c r="A1512" s="1" t="s">
        <v>1542</v>
      </c>
      <c r="B1512" s="1">
        <v>31</v>
      </c>
      <c r="C1512" s="1" t="str" cm="1">
        <f t="array" ref="C1512">_xlfn.IFS(OR(B1512=" ", B1512="NA",NOT(ISNUMBER(B1512))), "Unknown",B1512&lt;18,"Underage",B1512&lt;=24,"Young Adult",B1512&lt;=34,"Early Career",B1512&lt;=44,"Mid Career",B1512&lt;=54,"Mature",B1512&lt;=65,"Pre-Senior",B1512&gt;65,"Senior")</f>
        <v>Early Career</v>
      </c>
      <c r="D1512" s="1" t="s">
        <v>12</v>
      </c>
      <c r="E1512" s="1" t="s">
        <v>58</v>
      </c>
      <c r="F1512" s="1">
        <v>1700000</v>
      </c>
      <c r="G1512" s="1">
        <v>71</v>
      </c>
      <c r="H1512" s="1" t="str" cm="1">
        <f t="array" ref="H1512">_xlfn.IFS( OR(G1512=" ",NOT(ISNUMBER(G1512))),"Unknown",G1512&lt;=33,"Low Spender",G1512&lt;=66,"Medium Spender",TRUE, "High Spender")</f>
        <v>High Spender</v>
      </c>
      <c r="I1512" s="1">
        <v>77</v>
      </c>
      <c r="J1512" s="1">
        <v>4000</v>
      </c>
      <c r="K1512" s="1">
        <v>33</v>
      </c>
      <c r="M1512" s="1" t="s">
        <v>21</v>
      </c>
      <c r="N1512" s="1" t="str">
        <f t="shared" si="46"/>
        <v>Lower</v>
      </c>
      <c r="O1512" s="1" t="str">
        <f t="shared" si="47"/>
        <v>Early Career | High Spender | Lower</v>
      </c>
    </row>
    <row r="1513" spans="1:15" x14ac:dyDescent="0.25">
      <c r="A1513" s="1" t="s">
        <v>1543</v>
      </c>
      <c r="B1513" s="1">
        <v>49</v>
      </c>
      <c r="C1513" s="1" t="str" cm="1">
        <f t="array" ref="C1513">_xlfn.IFS(OR(B1513=" ", B1513="NA",NOT(ISNUMBER(B1513))), "Unknown",B1513&lt;18,"Underage",B1513&lt;=24,"Young Adult",B1513&lt;=34,"Early Career",B1513&lt;=44,"Mid Career",B1513&lt;=54,"Mature",B1513&lt;=65,"Pre-Senior",B1513&gt;65,"Senior")</f>
        <v>Mature</v>
      </c>
      <c r="E1513" s="1" t="s">
        <v>19</v>
      </c>
      <c r="F1513" s="1">
        <v>425000</v>
      </c>
      <c r="G1513" s="1">
        <v>48</v>
      </c>
      <c r="H1513" s="1" t="str" cm="1">
        <f t="array" ref="H1513">_xlfn.IFS( OR(G1513=" ",NOT(ISNUMBER(G1513))),"Unknown",G1513&lt;=33,"Low Spender",G1513&lt;=66,"Medium Spender",TRUE, "High Spender")</f>
        <v>Medium Spender</v>
      </c>
      <c r="I1513" s="1">
        <v>60</v>
      </c>
      <c r="J1513" s="1">
        <v>4600</v>
      </c>
      <c r="K1513" s="1">
        <v>68</v>
      </c>
      <c r="N1513" s="1" t="str">
        <f t="shared" si="46"/>
        <v>Lower</v>
      </c>
      <c r="O1513" s="1" t="str">
        <f t="shared" si="47"/>
        <v>Mature | Medium Spender | Lower</v>
      </c>
    </row>
    <row r="1514" spans="1:15" x14ac:dyDescent="0.25">
      <c r="A1514" s="1" t="s">
        <v>1544</v>
      </c>
      <c r="B1514" s="1">
        <v>63</v>
      </c>
      <c r="C1514" s="1" t="str" cm="1">
        <f t="array" ref="C1514">_xlfn.IFS(OR(B1514=" ", B1514="NA",NOT(ISNUMBER(B1514))), "Unknown",B1514&lt;18,"Underage",B1514&lt;=24,"Young Adult",B1514&lt;=34,"Early Career",B1514&lt;=44,"Mid Career",B1514&lt;=54,"Mature",B1514&lt;=65,"Pre-Senior",B1514&gt;65,"Senior")</f>
        <v>Pre-Senior</v>
      </c>
      <c r="D1514" s="1" t="s">
        <v>29</v>
      </c>
      <c r="E1514" s="1" t="s">
        <v>58</v>
      </c>
      <c r="F1514" s="1">
        <v>1700000</v>
      </c>
      <c r="G1514" s="1">
        <v>74</v>
      </c>
      <c r="H1514" s="1" t="str" cm="1">
        <f t="array" ref="H1514">_xlfn.IFS( OR(G1514=" ",NOT(ISNUMBER(G1514))),"Unknown",G1514&lt;=33,"Low Spender",G1514&lt;=66,"Medium Spender",TRUE, "High Spender")</f>
        <v>High Spender</v>
      </c>
      <c r="I1514" s="1">
        <v>45</v>
      </c>
      <c r="J1514" s="1">
        <v>9700</v>
      </c>
      <c r="K1514" s="1">
        <v>16</v>
      </c>
      <c r="M1514" s="1" t="s">
        <v>41</v>
      </c>
      <c r="N1514" s="1" t="str">
        <f t="shared" si="46"/>
        <v>Higher</v>
      </c>
      <c r="O1514" s="1" t="str">
        <f t="shared" si="47"/>
        <v>Pre-Senior | High Spender | Higher</v>
      </c>
    </row>
    <row r="1515" spans="1:15" x14ac:dyDescent="0.25">
      <c r="A1515" s="1" t="s">
        <v>1545</v>
      </c>
      <c r="B1515" s="1">
        <v>60</v>
      </c>
      <c r="C1515" s="1" t="str" cm="1">
        <f t="array" ref="C1515">_xlfn.IFS(OR(B1515=" ", B1515="NA",NOT(ISNUMBER(B1515))), "Unknown",B1515&lt;18,"Underage",B1515&lt;=24,"Young Adult",B1515&lt;=34,"Early Career",B1515&lt;=44,"Mid Career",B1515&lt;=54,"Mature",B1515&lt;=65,"Pre-Senior",B1515&gt;65,"Senior")</f>
        <v>Pre-Senior</v>
      </c>
      <c r="D1515" s="1" t="s">
        <v>29</v>
      </c>
      <c r="E1515" s="1" t="s">
        <v>34</v>
      </c>
      <c r="F1515" s="1" t="s">
        <v>25</v>
      </c>
      <c r="G1515" s="1">
        <v>9</v>
      </c>
      <c r="H1515" s="1" t="str" cm="1">
        <f t="array" ref="H1515">_xlfn.IFS( OR(G1515=" ",NOT(ISNUMBER(G1515))),"Unknown",G1515&lt;=33,"Low Spender",G1515&lt;=66,"Medium Spender",TRUE, "High Spender")</f>
        <v>Low Spender</v>
      </c>
      <c r="I1515" s="1">
        <v>61</v>
      </c>
      <c r="J1515" s="1">
        <v>7600</v>
      </c>
      <c r="K1515" s="1">
        <v>150</v>
      </c>
      <c r="L1515" s="1" t="s">
        <v>35</v>
      </c>
      <c r="M1515" s="1" t="s">
        <v>21</v>
      </c>
      <c r="N1515" s="1" t="str">
        <f t="shared" si="46"/>
        <v>Higher</v>
      </c>
      <c r="O1515" s="1" t="str">
        <f t="shared" si="47"/>
        <v>Pre-Senior | Low Spender | Higher</v>
      </c>
    </row>
    <row r="1516" spans="1:15" x14ac:dyDescent="0.25">
      <c r="A1516" s="1" t="s">
        <v>1546</v>
      </c>
      <c r="B1516" s="1">
        <v>33</v>
      </c>
      <c r="C1516" s="1" t="str" cm="1">
        <f t="array" ref="C1516">_xlfn.IFS(OR(B1516=" ", B1516="NA",NOT(ISNUMBER(B1516))), "Unknown",B1516&lt;18,"Underage",B1516&lt;=24,"Young Adult",B1516&lt;=34,"Early Career",B1516&lt;=44,"Mid Career",B1516&lt;=54,"Mature",B1516&lt;=65,"Pre-Senior",B1516&gt;65,"Senior")</f>
        <v>Early Career</v>
      </c>
      <c r="D1516" s="1" t="s">
        <v>12</v>
      </c>
      <c r="F1516" s="1">
        <v>150000</v>
      </c>
      <c r="G1516" s="1">
        <v>86</v>
      </c>
      <c r="H1516" s="1" t="str" cm="1">
        <f t="array" ref="H1516">_xlfn.IFS( OR(G1516=" ",NOT(ISNUMBER(G1516))),"Unknown",G1516&lt;=33,"Low Spender",G1516&lt;=66,"Medium Spender",TRUE, "High Spender")</f>
        <v>High Spender</v>
      </c>
      <c r="I1516" s="1">
        <v>56</v>
      </c>
      <c r="J1516" s="1">
        <v>5600</v>
      </c>
      <c r="K1516" s="1">
        <v>292</v>
      </c>
      <c r="L1516" s="1" t="s">
        <v>37</v>
      </c>
      <c r="N1516" s="1" t="str">
        <f t="shared" si="46"/>
        <v>Lower</v>
      </c>
      <c r="O1516" s="1" t="str">
        <f t="shared" si="47"/>
        <v>Early Career | High Spender | Lower</v>
      </c>
    </row>
    <row r="1517" spans="1:15" x14ac:dyDescent="0.25">
      <c r="A1517" s="1" t="s">
        <v>1547</v>
      </c>
      <c r="B1517" s="1">
        <v>21</v>
      </c>
      <c r="C1517" s="1" t="str" cm="1">
        <f t="array" ref="C1517">_xlfn.IFS(OR(B1517=" ", B1517="NA",NOT(ISNUMBER(B1517))), "Unknown",B1517&lt;18,"Underage",B1517&lt;=24,"Young Adult",B1517&lt;=34,"Early Career",B1517&lt;=44,"Mid Career",B1517&lt;=54,"Mature",B1517&lt;=65,"Pre-Senior",B1517&gt;65,"Senior")</f>
        <v>Young Adult</v>
      </c>
      <c r="D1517" s="1" t="s">
        <v>29</v>
      </c>
      <c r="E1517" s="1" t="s">
        <v>34</v>
      </c>
      <c r="F1517" s="1">
        <v>1400000</v>
      </c>
      <c r="G1517" s="1">
        <v>23</v>
      </c>
      <c r="H1517" s="1" t="str" cm="1">
        <f t="array" ref="H1517">_xlfn.IFS( OR(G1517=" ",NOT(ISNUMBER(G1517))),"Unknown",G1517&lt;=33,"Low Spender",G1517&lt;=66,"Medium Spender",TRUE, "High Spender")</f>
        <v>Low Spender</v>
      </c>
      <c r="I1517" s="1">
        <v>2</v>
      </c>
      <c r="J1517" s="1">
        <v>11500</v>
      </c>
      <c r="K1517" s="1">
        <v>102</v>
      </c>
      <c r="N1517" s="1" t="str">
        <f t="shared" si="46"/>
        <v>Higher</v>
      </c>
      <c r="O1517" s="1" t="str">
        <f t="shared" si="47"/>
        <v>Young Adult | Low Spender | Higher</v>
      </c>
    </row>
    <row r="1518" spans="1:15" x14ac:dyDescent="0.25">
      <c r="A1518" s="1" t="s">
        <v>1548</v>
      </c>
      <c r="B1518" s="1">
        <v>69</v>
      </c>
      <c r="C1518" s="1" t="str" cm="1">
        <f t="array" ref="C1518">_xlfn.IFS(OR(B1518=" ", B1518="NA",NOT(ISNUMBER(B1518))), "Unknown",B1518&lt;18,"Underage",B1518&lt;=24,"Young Adult",B1518&lt;=34,"Early Career",B1518&lt;=44,"Mid Career",B1518&lt;=54,"Mature",B1518&lt;=65,"Pre-Senior",B1518&gt;65,"Senior")</f>
        <v>Senior</v>
      </c>
      <c r="D1518" s="1" t="s">
        <v>18</v>
      </c>
      <c r="E1518" s="1" t="s">
        <v>23</v>
      </c>
      <c r="F1518" s="1">
        <v>1875000</v>
      </c>
      <c r="G1518" s="1">
        <v>71</v>
      </c>
      <c r="H1518" s="1" t="str" cm="1">
        <f t="array" ref="H1518">_xlfn.IFS( OR(G1518=" ",NOT(ISNUMBER(G1518))),"Unknown",G1518&lt;=33,"Low Spender",G1518&lt;=66,"Medium Spender",TRUE, "High Spender")</f>
        <v>High Spender</v>
      </c>
      <c r="I1518" s="1">
        <v>45</v>
      </c>
      <c r="J1518" s="1">
        <v>10000</v>
      </c>
      <c r="K1518" s="1">
        <v>186</v>
      </c>
      <c r="M1518" s="1" t="s">
        <v>21</v>
      </c>
      <c r="N1518" s="1" t="str">
        <f t="shared" si="46"/>
        <v>Higher</v>
      </c>
      <c r="O1518" s="1" t="str">
        <f t="shared" si="47"/>
        <v>Senior | High Spender | Higher</v>
      </c>
    </row>
    <row r="1519" spans="1:15" x14ac:dyDescent="0.25">
      <c r="A1519" s="1" t="s">
        <v>1549</v>
      </c>
      <c r="B1519" s="1">
        <v>54</v>
      </c>
      <c r="C1519" s="1" t="str" cm="1">
        <f t="array" ref="C1519">_xlfn.IFS(OR(B1519=" ", B1519="NA",NOT(ISNUMBER(B1519))), "Unknown",B1519&lt;18,"Underage",B1519&lt;=24,"Young Adult",B1519&lt;=34,"Early Career",B1519&lt;=44,"Mid Career",B1519&lt;=54,"Mature",B1519&lt;=65,"Pre-Senior",B1519&gt;65,"Senior")</f>
        <v>Mature</v>
      </c>
      <c r="E1519" s="1" t="s">
        <v>19</v>
      </c>
      <c r="F1519" s="1">
        <v>325000</v>
      </c>
      <c r="G1519" s="1">
        <v>73</v>
      </c>
      <c r="H1519" s="1" t="str" cm="1">
        <f t="array" ref="H1519">_xlfn.IFS( OR(G1519=" ",NOT(ISNUMBER(G1519))),"Unknown",G1519&lt;=33,"Low Spender",G1519&lt;=66,"Medium Spender",TRUE, "High Spender")</f>
        <v>High Spender</v>
      </c>
      <c r="I1519" s="1">
        <v>40</v>
      </c>
      <c r="J1519" s="1">
        <v>5300</v>
      </c>
      <c r="K1519" s="1">
        <v>25</v>
      </c>
      <c r="L1519" s="1" t="s">
        <v>16</v>
      </c>
      <c r="M1519" s="1" t="s">
        <v>21</v>
      </c>
      <c r="N1519" s="1" t="str">
        <f t="shared" si="46"/>
        <v>Lower</v>
      </c>
      <c r="O1519" s="1" t="str">
        <f t="shared" si="47"/>
        <v>Mature | High Spender | Lower</v>
      </c>
    </row>
    <row r="1520" spans="1:15" x14ac:dyDescent="0.25">
      <c r="A1520" s="1" t="s">
        <v>1550</v>
      </c>
      <c r="C1520" s="1" t="str" cm="1">
        <f t="array" ref="C1520">_xlfn.IFS(OR(B1520=" ", B1520="NA",NOT(ISNUMBER(B1520))), "Unknown",B1520&lt;18,"Underage",B1520&lt;=24,"Young Adult",B1520&lt;=34,"Early Career",B1520&lt;=44,"Mid Career",B1520&lt;=54,"Mature",B1520&lt;=65,"Pre-Senior",B1520&gt;65,"Senior")</f>
        <v>Unknown</v>
      </c>
      <c r="E1520" s="1" t="s">
        <v>23</v>
      </c>
      <c r="F1520" s="1">
        <v>1825000</v>
      </c>
      <c r="G1520" s="1">
        <v>27</v>
      </c>
      <c r="H1520" s="1" t="str" cm="1">
        <f t="array" ref="H1520">_xlfn.IFS( OR(G1520=" ",NOT(ISNUMBER(G1520))),"Unknown",G1520&lt;=33,"Low Spender",G1520&lt;=66,"Medium Spender",TRUE, "High Spender")</f>
        <v>Low Spender</v>
      </c>
      <c r="I1520" s="1">
        <v>24</v>
      </c>
      <c r="J1520" s="1">
        <v>5400</v>
      </c>
      <c r="K1520" s="1">
        <v>72</v>
      </c>
      <c r="M1520" s="1" t="s">
        <v>32</v>
      </c>
      <c r="N1520" s="1" t="str">
        <f t="shared" si="46"/>
        <v>Lower</v>
      </c>
      <c r="O1520" s="1" t="str">
        <f t="shared" si="47"/>
        <v>Unknown | Low Spender | Lower</v>
      </c>
    </row>
    <row r="1521" spans="1:15" x14ac:dyDescent="0.25">
      <c r="A1521" s="1" t="s">
        <v>1551</v>
      </c>
      <c r="B1521" s="1">
        <v>38</v>
      </c>
      <c r="C1521" s="1" t="str" cm="1">
        <f t="array" ref="C1521">_xlfn.IFS(OR(B1521=" ", B1521="NA",NOT(ISNUMBER(B1521))), "Unknown",B1521&lt;18,"Underage",B1521&lt;=24,"Young Adult",B1521&lt;=34,"Early Career",B1521&lt;=44,"Mid Career",B1521&lt;=54,"Mature",B1521&lt;=65,"Pre-Senior",B1521&gt;65,"Senior")</f>
        <v>Mid Career</v>
      </c>
      <c r="D1521" s="1" t="s">
        <v>12</v>
      </c>
      <c r="E1521" s="1" t="s">
        <v>13</v>
      </c>
      <c r="F1521" s="1">
        <v>250000</v>
      </c>
      <c r="G1521" s="1">
        <v>88</v>
      </c>
      <c r="H1521" s="1" t="str" cm="1">
        <f t="array" ref="H1521">_xlfn.IFS( OR(G1521=" ",NOT(ISNUMBER(G1521))),"Unknown",G1521&lt;=33,"Low Spender",G1521&lt;=66,"Medium Spender",TRUE, "High Spender")</f>
        <v>High Spender</v>
      </c>
      <c r="I1521" s="1">
        <v>29</v>
      </c>
      <c r="J1521" s="1">
        <v>7200</v>
      </c>
      <c r="K1521" s="1">
        <v>81</v>
      </c>
      <c r="N1521" s="1" t="str">
        <f t="shared" si="46"/>
        <v>Lower</v>
      </c>
      <c r="O1521" s="1" t="str">
        <f t="shared" si="47"/>
        <v>Mid Career | High Spender | Lower</v>
      </c>
    </row>
    <row r="1522" spans="1:15" x14ac:dyDescent="0.25">
      <c r="A1522" s="1" t="s">
        <v>1552</v>
      </c>
      <c r="B1522" s="1">
        <v>31</v>
      </c>
      <c r="C1522" s="1" t="str" cm="1">
        <f t="array" ref="C1522">_xlfn.IFS(OR(B1522=" ", B1522="NA",NOT(ISNUMBER(B1522))), "Unknown",B1522&lt;18,"Underage",B1522&lt;=24,"Young Adult",B1522&lt;=34,"Early Career",B1522&lt;=44,"Mid Career",B1522&lt;=54,"Mature",B1522&lt;=65,"Pre-Senior",B1522&gt;65,"Senior")</f>
        <v>Early Career</v>
      </c>
      <c r="D1522" s="1" t="s">
        <v>29</v>
      </c>
      <c r="E1522" s="1" t="s">
        <v>15</v>
      </c>
      <c r="F1522" s="1">
        <v>1100000</v>
      </c>
      <c r="G1522" s="1">
        <v>93</v>
      </c>
      <c r="H1522" s="1" t="str" cm="1">
        <f t="array" ref="H1522">_xlfn.IFS( OR(G1522=" ",NOT(ISNUMBER(G1522))),"Unknown",G1522&lt;=33,"Low Spender",G1522&lt;=66,"Medium Spender",TRUE, "High Spender")</f>
        <v>High Spender</v>
      </c>
      <c r="I1522" s="1">
        <v>67</v>
      </c>
      <c r="J1522" s="1">
        <v>9400</v>
      </c>
      <c r="K1522" s="1">
        <v>61</v>
      </c>
      <c r="L1522" s="1" t="s">
        <v>37</v>
      </c>
      <c r="N1522" s="1" t="str">
        <f t="shared" si="46"/>
        <v>Higher</v>
      </c>
      <c r="O1522" s="1" t="str">
        <f t="shared" si="47"/>
        <v>Early Career | High Spender | Higher</v>
      </c>
    </row>
    <row r="1523" spans="1:15" x14ac:dyDescent="0.25">
      <c r="A1523" s="1" t="s">
        <v>1553</v>
      </c>
      <c r="B1523" s="1">
        <v>48</v>
      </c>
      <c r="C1523" s="1" t="str" cm="1">
        <f t="array" ref="C1523">_xlfn.IFS(OR(B1523=" ", B1523="NA",NOT(ISNUMBER(B1523))), "Unknown",B1523&lt;18,"Underage",B1523&lt;=24,"Young Adult",B1523&lt;=34,"Early Career",B1523&lt;=44,"Mid Career",B1523&lt;=54,"Mature",B1523&lt;=65,"Pre-Senior",B1523&gt;65,"Senior")</f>
        <v>Mature</v>
      </c>
      <c r="D1523" s="1" t="s">
        <v>18</v>
      </c>
      <c r="E1523" s="1" t="s">
        <v>27</v>
      </c>
      <c r="F1523" s="1">
        <v>700000</v>
      </c>
      <c r="G1523" s="1">
        <v>81</v>
      </c>
      <c r="H1523" s="1" t="str" cm="1">
        <f t="array" ref="H1523">_xlfn.IFS( OR(G1523=" ",NOT(ISNUMBER(G1523))),"Unknown",G1523&lt;=33,"Low Spender",G1523&lt;=66,"Medium Spender",TRUE, "High Spender")</f>
        <v>High Spender</v>
      </c>
      <c r="I1523" s="1">
        <v>68</v>
      </c>
      <c r="J1523" s="1">
        <v>9400</v>
      </c>
      <c r="K1523" s="1">
        <v>18</v>
      </c>
      <c r="L1523" s="1" t="s">
        <v>16</v>
      </c>
      <c r="M1523" s="1" t="s">
        <v>32</v>
      </c>
      <c r="N1523" s="1" t="str">
        <f t="shared" si="46"/>
        <v>Higher</v>
      </c>
      <c r="O1523" s="1" t="str">
        <f t="shared" si="47"/>
        <v>Mature | High Spender | Higher</v>
      </c>
    </row>
    <row r="1524" spans="1:15" x14ac:dyDescent="0.25">
      <c r="A1524" s="1" t="s">
        <v>1554</v>
      </c>
      <c r="B1524" s="1" t="s">
        <v>73</v>
      </c>
      <c r="C1524" s="1" t="str" cm="1">
        <f t="array" ref="C1524">_xlfn.IFS(OR(B1524=" ", B1524="NA",NOT(ISNUMBER(B1524))), "Unknown",B1524&lt;18,"Underage",B1524&lt;=24,"Young Adult",B1524&lt;=34,"Early Career",B1524&lt;=44,"Mid Career",B1524&lt;=54,"Mature",B1524&lt;=65,"Pre-Senior",B1524&gt;65,"Senior")</f>
        <v>Unknown</v>
      </c>
      <c r="F1524" s="1">
        <v>1825000</v>
      </c>
      <c r="G1524" s="1">
        <v>84</v>
      </c>
      <c r="H1524" s="1" t="str" cm="1">
        <f t="array" ref="H1524">_xlfn.IFS( OR(G1524=" ",NOT(ISNUMBER(G1524))),"Unknown",G1524&lt;=33,"Low Spender",G1524&lt;=66,"Medium Spender",TRUE, "High Spender")</f>
        <v>High Spender</v>
      </c>
      <c r="I1524" s="1">
        <v>66</v>
      </c>
      <c r="J1524" s="1">
        <v>6100</v>
      </c>
      <c r="K1524" s="1">
        <v>242</v>
      </c>
      <c r="L1524" s="1" t="s">
        <v>37</v>
      </c>
      <c r="N1524" s="1" t="str">
        <f t="shared" si="46"/>
        <v>Lower</v>
      </c>
      <c r="O1524" s="1" t="str">
        <f t="shared" si="47"/>
        <v>Unknown | High Spender | Lower</v>
      </c>
    </row>
    <row r="1525" spans="1:15" x14ac:dyDescent="0.25">
      <c r="A1525" s="1" t="s">
        <v>1555</v>
      </c>
      <c r="B1525" s="1">
        <v>65</v>
      </c>
      <c r="C1525" s="1" t="str" cm="1">
        <f t="array" ref="C1525">_xlfn.IFS(OR(B1525=" ", B1525="NA",NOT(ISNUMBER(B1525))), "Unknown",B1525&lt;18,"Underage",B1525&lt;=24,"Young Adult",B1525&lt;=34,"Early Career",B1525&lt;=44,"Mid Career",B1525&lt;=54,"Mature",B1525&lt;=65,"Pre-Senior",B1525&gt;65,"Senior")</f>
        <v>Pre-Senior</v>
      </c>
      <c r="E1525" s="1" t="s">
        <v>23</v>
      </c>
      <c r="F1525" s="1">
        <v>1425000</v>
      </c>
      <c r="G1525" s="1">
        <v>71</v>
      </c>
      <c r="H1525" s="1" t="str" cm="1">
        <f t="array" ref="H1525">_xlfn.IFS( OR(G1525=" ",NOT(ISNUMBER(G1525))),"Unknown",G1525&lt;=33,"Low Spender",G1525&lt;=66,"Medium Spender",TRUE, "High Spender")</f>
        <v>High Spender</v>
      </c>
      <c r="I1525" s="1">
        <v>54</v>
      </c>
      <c r="J1525" s="1">
        <v>1500</v>
      </c>
      <c r="K1525" s="1">
        <v>58</v>
      </c>
      <c r="M1525" s="1" t="s">
        <v>30</v>
      </c>
      <c r="N1525" s="1" t="str">
        <f t="shared" si="46"/>
        <v>Lower</v>
      </c>
      <c r="O1525" s="1" t="str">
        <f t="shared" si="47"/>
        <v>Pre-Senior | High Spender | Lower</v>
      </c>
    </row>
    <row r="1526" spans="1:15" x14ac:dyDescent="0.25">
      <c r="A1526" s="1" t="s">
        <v>1556</v>
      </c>
      <c r="B1526" s="1">
        <v>35</v>
      </c>
      <c r="C1526" s="1" t="str" cm="1">
        <f t="array" ref="C1526">_xlfn.IFS(OR(B1526=" ", B1526="NA",NOT(ISNUMBER(B1526))), "Unknown",B1526&lt;18,"Underage",B1526&lt;=24,"Young Adult",B1526&lt;=34,"Early Career",B1526&lt;=44,"Mid Career",B1526&lt;=54,"Mature",B1526&lt;=65,"Pre-Senior",B1526&gt;65,"Senior")</f>
        <v>Mid Career</v>
      </c>
      <c r="E1526" s="1" t="s">
        <v>58</v>
      </c>
      <c r="F1526" s="1">
        <v>225000</v>
      </c>
      <c r="G1526" s="1">
        <v>43</v>
      </c>
      <c r="H1526" s="1" t="str" cm="1">
        <f t="array" ref="H1526">_xlfn.IFS( OR(G1526=" ",NOT(ISNUMBER(G1526))),"Unknown",G1526&lt;=33,"Low Spender",G1526&lt;=66,"Medium Spender",TRUE, "High Spender")</f>
        <v>Medium Spender</v>
      </c>
      <c r="I1526" s="1">
        <v>53</v>
      </c>
      <c r="J1526" s="1">
        <v>4300</v>
      </c>
      <c r="K1526" s="1">
        <v>332</v>
      </c>
      <c r="L1526" s="1" t="s">
        <v>37</v>
      </c>
      <c r="M1526" s="1" t="s">
        <v>41</v>
      </c>
      <c r="N1526" s="1" t="str">
        <f t="shared" si="46"/>
        <v>Lower</v>
      </c>
      <c r="O1526" s="1" t="str">
        <f t="shared" si="47"/>
        <v>Mid Career | Medium Spender | Lower</v>
      </c>
    </row>
    <row r="1527" spans="1:15" x14ac:dyDescent="0.25">
      <c r="A1527" s="1" t="s">
        <v>1557</v>
      </c>
      <c r="B1527" s="1">
        <v>24</v>
      </c>
      <c r="C1527" s="1" t="str" cm="1">
        <f t="array" ref="C1527">_xlfn.IFS(OR(B1527=" ", B1527="NA",NOT(ISNUMBER(B1527))), "Unknown",B1527&lt;18,"Underage",B1527&lt;=24,"Young Adult",B1527&lt;=34,"Early Career",B1527&lt;=44,"Mid Career",B1527&lt;=54,"Mature",B1527&lt;=65,"Pre-Senior",B1527&gt;65,"Senior")</f>
        <v>Young Adult</v>
      </c>
      <c r="D1527" s="1" t="s">
        <v>12</v>
      </c>
      <c r="E1527" s="1" t="s">
        <v>13</v>
      </c>
      <c r="F1527" s="1">
        <v>1300000</v>
      </c>
      <c r="G1527" s="1">
        <v>7</v>
      </c>
      <c r="H1527" s="1" t="str" cm="1">
        <f t="array" ref="H1527">_xlfn.IFS( OR(G1527=" ",NOT(ISNUMBER(G1527))),"Unknown",G1527&lt;=33,"Low Spender",G1527&lt;=66,"Medium Spender",TRUE, "High Spender")</f>
        <v>Low Spender</v>
      </c>
      <c r="I1527" s="1">
        <v>79</v>
      </c>
      <c r="J1527" s="1">
        <v>1400</v>
      </c>
      <c r="K1527" s="1">
        <v>57</v>
      </c>
      <c r="L1527" s="1" t="s">
        <v>37</v>
      </c>
      <c r="N1527" s="1" t="str">
        <f t="shared" si="46"/>
        <v>Lower</v>
      </c>
      <c r="O1527" s="1" t="str">
        <f t="shared" si="47"/>
        <v>Young Adult | Low Spender | Lower</v>
      </c>
    </row>
    <row r="1528" spans="1:15" x14ac:dyDescent="0.25">
      <c r="A1528" s="1" t="s">
        <v>1558</v>
      </c>
      <c r="B1528" s="1">
        <v>27</v>
      </c>
      <c r="C1528" s="1" t="str" cm="1">
        <f t="array" ref="C1528">_xlfn.IFS(OR(B1528=" ", B1528="NA",NOT(ISNUMBER(B1528))), "Unknown",B1528&lt;18,"Underage",B1528&lt;=24,"Young Adult",B1528&lt;=34,"Early Career",B1528&lt;=44,"Mid Career",B1528&lt;=54,"Mature",B1528&lt;=65,"Pre-Senior",B1528&gt;65,"Senior")</f>
        <v>Early Career</v>
      </c>
      <c r="D1528" s="1" t="s">
        <v>12</v>
      </c>
      <c r="E1528" s="1" t="s">
        <v>27</v>
      </c>
      <c r="F1528" s="1">
        <v>650000</v>
      </c>
      <c r="G1528" s="1">
        <v>92</v>
      </c>
      <c r="H1528" s="1" t="str" cm="1">
        <f t="array" ref="H1528">_xlfn.IFS( OR(G1528=" ",NOT(ISNUMBER(G1528))),"Unknown",G1528&lt;=33,"Low Spender",G1528&lt;=66,"Medium Spender",TRUE, "High Spender")</f>
        <v>High Spender</v>
      </c>
      <c r="I1528" s="1">
        <v>49</v>
      </c>
      <c r="J1528" s="1">
        <v>5200</v>
      </c>
      <c r="K1528" s="1">
        <v>97</v>
      </c>
      <c r="L1528" s="1" t="s">
        <v>20</v>
      </c>
      <c r="M1528" s="1" t="s">
        <v>30</v>
      </c>
      <c r="N1528" s="1" t="str">
        <f t="shared" si="46"/>
        <v>Lower</v>
      </c>
      <c r="O1528" s="1" t="str">
        <f t="shared" si="47"/>
        <v>Early Career | High Spender | Lower</v>
      </c>
    </row>
    <row r="1529" spans="1:15" x14ac:dyDescent="0.25">
      <c r="A1529" s="1" t="s">
        <v>1559</v>
      </c>
      <c r="B1529" s="1">
        <v>24</v>
      </c>
      <c r="C1529" s="1" t="str" cm="1">
        <f t="array" ref="C1529">_xlfn.IFS(OR(B1529=" ", B1529="NA",NOT(ISNUMBER(B1529))), "Unknown",B1529&lt;18,"Underage",B1529&lt;=24,"Young Adult",B1529&lt;=34,"Early Career",B1529&lt;=44,"Mid Career",B1529&lt;=54,"Mature",B1529&lt;=65,"Pre-Senior",B1529&gt;65,"Senior")</f>
        <v>Young Adult</v>
      </c>
      <c r="D1529" s="1" t="s">
        <v>18</v>
      </c>
      <c r="E1529" s="1" t="s">
        <v>23</v>
      </c>
      <c r="F1529" s="1">
        <v>1525000</v>
      </c>
      <c r="G1529" s="1">
        <v>83</v>
      </c>
      <c r="H1529" s="1" t="str" cm="1">
        <f t="array" ref="H1529">_xlfn.IFS( OR(G1529=" ",NOT(ISNUMBER(G1529))),"Unknown",G1529&lt;=33,"Low Spender",G1529&lt;=66,"Medium Spender",TRUE, "High Spender")</f>
        <v>High Spender</v>
      </c>
      <c r="I1529" s="1">
        <v>32</v>
      </c>
      <c r="J1529" s="1">
        <v>10600</v>
      </c>
      <c r="K1529" s="1">
        <v>215</v>
      </c>
      <c r="L1529" s="1" t="s">
        <v>35</v>
      </c>
      <c r="N1529" s="1" t="str">
        <f t="shared" si="46"/>
        <v>Higher</v>
      </c>
      <c r="O1529" s="1" t="str">
        <f t="shared" si="47"/>
        <v>Young Adult | High Spender | Higher</v>
      </c>
    </row>
    <row r="1530" spans="1:15" x14ac:dyDescent="0.25">
      <c r="A1530" s="1" t="s">
        <v>1560</v>
      </c>
      <c r="B1530" s="1">
        <v>50</v>
      </c>
      <c r="C1530" s="1" t="str" cm="1">
        <f t="array" ref="C1530">_xlfn.IFS(OR(B1530=" ", B1530="NA",NOT(ISNUMBER(B1530))), "Unknown",B1530&lt;18,"Underage",B1530&lt;=24,"Young Adult",B1530&lt;=34,"Early Career",B1530&lt;=44,"Mid Career",B1530&lt;=54,"Mature",B1530&lt;=65,"Pre-Senior",B1530&gt;65,"Senior")</f>
        <v>Mature</v>
      </c>
      <c r="D1530" s="1" t="s">
        <v>29</v>
      </c>
      <c r="E1530" s="1" t="s">
        <v>13</v>
      </c>
      <c r="F1530" s="1">
        <v>1775000</v>
      </c>
      <c r="G1530" s="1">
        <v>63</v>
      </c>
      <c r="H1530" s="1" t="str" cm="1">
        <f t="array" ref="H1530">_xlfn.IFS( OR(G1530=" ",NOT(ISNUMBER(G1530))),"Unknown",G1530&lt;=33,"Low Spender",G1530&lt;=66,"Medium Spender",TRUE, "High Spender")</f>
        <v>Medium Spender</v>
      </c>
      <c r="I1530" s="1">
        <v>61</v>
      </c>
      <c r="J1530" s="1">
        <v>5900</v>
      </c>
      <c r="K1530" s="1">
        <v>319</v>
      </c>
      <c r="M1530" s="1" t="s">
        <v>41</v>
      </c>
      <c r="N1530" s="1" t="str">
        <f t="shared" si="46"/>
        <v>Higher</v>
      </c>
      <c r="O1530" s="1" t="str">
        <f t="shared" si="47"/>
        <v>Mature | Medium Spender | Higher</v>
      </c>
    </row>
    <row r="1531" spans="1:15" x14ac:dyDescent="0.25">
      <c r="A1531" s="1" t="s">
        <v>1561</v>
      </c>
      <c r="B1531" s="1">
        <v>40</v>
      </c>
      <c r="C1531" s="1" t="str" cm="1">
        <f t="array" ref="C1531">_xlfn.IFS(OR(B1531=" ", B1531="NA",NOT(ISNUMBER(B1531))), "Unknown",B1531&lt;18,"Underage",B1531&lt;=24,"Young Adult",B1531&lt;=34,"Early Career",B1531&lt;=44,"Mid Career",B1531&lt;=54,"Mature",B1531&lt;=65,"Pre-Senior",B1531&gt;65,"Senior")</f>
        <v>Mid Career</v>
      </c>
      <c r="D1531" s="1" t="s">
        <v>29</v>
      </c>
      <c r="E1531" s="1" t="s">
        <v>13</v>
      </c>
      <c r="F1531" s="1">
        <v>1600000</v>
      </c>
      <c r="G1531" s="1">
        <v>84</v>
      </c>
      <c r="H1531" s="1" t="str" cm="1">
        <f t="array" ref="H1531">_xlfn.IFS( OR(G1531=" ",NOT(ISNUMBER(G1531))),"Unknown",G1531&lt;=33,"Low Spender",G1531&lt;=66,"Medium Spender",TRUE, "High Spender")</f>
        <v>High Spender</v>
      </c>
      <c r="I1531" s="1">
        <v>42</v>
      </c>
      <c r="J1531" s="1">
        <v>5200</v>
      </c>
      <c r="K1531" s="1">
        <v>12</v>
      </c>
      <c r="L1531" s="1" t="s">
        <v>35</v>
      </c>
      <c r="N1531" s="1" t="str">
        <f t="shared" si="46"/>
        <v>Higher</v>
      </c>
      <c r="O1531" s="1" t="str">
        <f t="shared" si="47"/>
        <v>Mid Career | High Spender | Higher</v>
      </c>
    </row>
    <row r="1532" spans="1:15" x14ac:dyDescent="0.25">
      <c r="A1532" s="1" t="s">
        <v>1562</v>
      </c>
      <c r="B1532" s="1">
        <v>38</v>
      </c>
      <c r="C1532" s="1" t="str" cm="1">
        <f t="array" ref="C1532">_xlfn.IFS(OR(B1532=" ", B1532="NA",NOT(ISNUMBER(B1532))), "Unknown",B1532&lt;18,"Underage",B1532&lt;=24,"Young Adult",B1532&lt;=34,"Early Career",B1532&lt;=44,"Mid Career",B1532&lt;=54,"Mature",B1532&lt;=65,"Pre-Senior",B1532&gt;65,"Senior")</f>
        <v>Mid Career</v>
      </c>
      <c r="E1532" s="1" t="s">
        <v>19</v>
      </c>
      <c r="F1532" s="1">
        <v>300000</v>
      </c>
      <c r="G1532" s="1">
        <v>44</v>
      </c>
      <c r="H1532" s="1" t="str" cm="1">
        <f t="array" ref="H1532">_xlfn.IFS( OR(G1532=" ",NOT(ISNUMBER(G1532))),"Unknown",G1532&lt;=33,"Low Spender",G1532&lt;=66,"Medium Spender",TRUE, "High Spender")</f>
        <v>Medium Spender</v>
      </c>
      <c r="I1532" s="1">
        <v>1</v>
      </c>
      <c r="K1532" s="1">
        <v>11</v>
      </c>
      <c r="L1532" s="1" t="s">
        <v>35</v>
      </c>
      <c r="M1532" s="1" t="s">
        <v>21</v>
      </c>
      <c r="N1532" s="1" t="str">
        <f t="shared" si="46"/>
        <v>Lower</v>
      </c>
      <c r="O1532" s="1" t="str">
        <f t="shared" si="47"/>
        <v>Mid Career | Medium Spender | Lower</v>
      </c>
    </row>
    <row r="1533" spans="1:15" x14ac:dyDescent="0.25">
      <c r="A1533" s="1" t="s">
        <v>1563</v>
      </c>
      <c r="B1533" s="1">
        <v>36</v>
      </c>
      <c r="C1533" s="1" t="str" cm="1">
        <f t="array" ref="C1533">_xlfn.IFS(OR(B1533=" ", B1533="NA",NOT(ISNUMBER(B1533))), "Unknown",B1533&lt;18,"Underage",B1533&lt;=24,"Young Adult",B1533&lt;=34,"Early Career",B1533&lt;=44,"Mid Career",B1533&lt;=54,"Mature",B1533&lt;=65,"Pre-Senior",B1533&gt;65,"Senior")</f>
        <v>Mid Career</v>
      </c>
      <c r="E1533" s="1" t="s">
        <v>34</v>
      </c>
      <c r="F1533" s="1">
        <v>1350000</v>
      </c>
      <c r="G1533" s="1">
        <v>39</v>
      </c>
      <c r="H1533" s="1" t="str" cm="1">
        <f t="array" ref="H1533">_xlfn.IFS( OR(G1533=" ",NOT(ISNUMBER(G1533))),"Unknown",G1533&lt;=33,"Low Spender",G1533&lt;=66,"Medium Spender",TRUE, "High Spender")</f>
        <v>Medium Spender</v>
      </c>
      <c r="I1533" s="1">
        <v>63</v>
      </c>
      <c r="J1533" s="1">
        <v>5900</v>
      </c>
      <c r="K1533" s="1">
        <v>163</v>
      </c>
      <c r="L1533" s="1" t="s">
        <v>16</v>
      </c>
      <c r="N1533" s="1" t="str">
        <f t="shared" si="46"/>
        <v>Lower</v>
      </c>
      <c r="O1533" s="1" t="str">
        <f t="shared" si="47"/>
        <v>Mid Career | Medium Spender | Lower</v>
      </c>
    </row>
    <row r="1534" spans="1:15" x14ac:dyDescent="0.25">
      <c r="A1534" s="1" t="s">
        <v>1564</v>
      </c>
      <c r="B1534" s="1">
        <v>65</v>
      </c>
      <c r="C1534" s="1" t="str" cm="1">
        <f t="array" ref="C1534">_xlfn.IFS(OR(B1534=" ", B1534="NA",NOT(ISNUMBER(B1534))), "Unknown",B1534&lt;18,"Underage",B1534&lt;=24,"Young Adult",B1534&lt;=34,"Early Career",B1534&lt;=44,"Mid Career",B1534&lt;=54,"Mature",B1534&lt;=65,"Pre-Senior",B1534&gt;65,"Senior")</f>
        <v>Pre-Senior</v>
      </c>
      <c r="D1534" s="1" t="s">
        <v>18</v>
      </c>
      <c r="E1534" s="1" t="s">
        <v>13</v>
      </c>
      <c r="F1534" s="1">
        <v>525000</v>
      </c>
      <c r="G1534" s="1">
        <v>40</v>
      </c>
      <c r="H1534" s="1" t="str" cm="1">
        <f t="array" ref="H1534">_xlfn.IFS( OR(G1534=" ",NOT(ISNUMBER(G1534))),"Unknown",G1534&lt;=33,"Low Spender",G1534&lt;=66,"Medium Spender",TRUE, "High Spender")</f>
        <v>Medium Spender</v>
      </c>
      <c r="I1534" s="1">
        <v>35</v>
      </c>
      <c r="J1534" s="1">
        <v>5600</v>
      </c>
      <c r="K1534" s="1">
        <v>283</v>
      </c>
      <c r="L1534" s="1" t="s">
        <v>20</v>
      </c>
      <c r="M1534" s="1" t="s">
        <v>41</v>
      </c>
      <c r="N1534" s="1" t="str">
        <f t="shared" si="46"/>
        <v>Higher</v>
      </c>
      <c r="O1534" s="1" t="str">
        <f t="shared" si="47"/>
        <v>Pre-Senior | Medium Spender | Higher</v>
      </c>
    </row>
    <row r="1535" spans="1:15" x14ac:dyDescent="0.25">
      <c r="A1535" s="1" t="s">
        <v>1565</v>
      </c>
      <c r="B1535" s="1">
        <v>36</v>
      </c>
      <c r="C1535" s="1" t="str" cm="1">
        <f t="array" ref="C1535">_xlfn.IFS(OR(B1535=" ", B1535="NA",NOT(ISNUMBER(B1535))), "Unknown",B1535&lt;18,"Underage",B1535&lt;=24,"Young Adult",B1535&lt;=34,"Early Career",B1535&lt;=44,"Mid Career",B1535&lt;=54,"Mature",B1535&lt;=65,"Pre-Senior",B1535&gt;65,"Senior")</f>
        <v>Mid Career</v>
      </c>
      <c r="D1535" s="1" t="s">
        <v>18</v>
      </c>
      <c r="E1535" s="1" t="s">
        <v>49</v>
      </c>
      <c r="F1535" s="1">
        <v>550000</v>
      </c>
      <c r="G1535" s="1">
        <v>7</v>
      </c>
      <c r="H1535" s="1" t="str" cm="1">
        <f t="array" ref="H1535">_xlfn.IFS( OR(G1535=" ",NOT(ISNUMBER(G1535))),"Unknown",G1535&lt;=33,"Low Spender",G1535&lt;=66,"Medium Spender",TRUE, "High Spender")</f>
        <v>Low Spender</v>
      </c>
      <c r="I1535" s="1">
        <v>51</v>
      </c>
      <c r="J1535" s="1">
        <v>6800</v>
      </c>
      <c r="K1535" s="1">
        <v>217</v>
      </c>
      <c r="L1535" s="1" t="s">
        <v>20</v>
      </c>
      <c r="M1535" s="1" t="s">
        <v>30</v>
      </c>
      <c r="N1535" s="1" t="str">
        <f t="shared" si="46"/>
        <v>Higher</v>
      </c>
      <c r="O1535" s="1" t="str">
        <f t="shared" si="47"/>
        <v>Mid Career | Low Spender | Higher</v>
      </c>
    </row>
    <row r="1536" spans="1:15" x14ac:dyDescent="0.25">
      <c r="A1536" s="1" t="s">
        <v>1566</v>
      </c>
      <c r="B1536" s="1">
        <v>53</v>
      </c>
      <c r="C1536" s="1" t="str" cm="1">
        <f t="array" ref="C1536">_xlfn.IFS(OR(B1536=" ", B1536="NA",NOT(ISNUMBER(B1536))), "Unknown",B1536&lt;18,"Underage",B1536&lt;=24,"Young Adult",B1536&lt;=34,"Early Career",B1536&lt;=44,"Mid Career",B1536&lt;=54,"Mature",B1536&lt;=65,"Pre-Senior",B1536&gt;65,"Senior")</f>
        <v>Mature</v>
      </c>
      <c r="D1536" s="1" t="s">
        <v>18</v>
      </c>
      <c r="E1536" s="1" t="s">
        <v>34</v>
      </c>
      <c r="G1536" s="1">
        <v>70</v>
      </c>
      <c r="H1536" s="1" t="str" cm="1">
        <f t="array" ref="H1536">_xlfn.IFS( OR(G1536=" ",NOT(ISNUMBER(G1536))),"Unknown",G1536&lt;=33,"Low Spender",G1536&lt;=66,"Medium Spender",TRUE, "High Spender")</f>
        <v>High Spender</v>
      </c>
      <c r="I1536" s="1">
        <v>71</v>
      </c>
      <c r="J1536" s="1">
        <v>1000</v>
      </c>
      <c r="K1536" s="1">
        <v>360</v>
      </c>
      <c r="L1536" s="1" t="s">
        <v>37</v>
      </c>
      <c r="M1536" s="1" t="s">
        <v>21</v>
      </c>
      <c r="N1536" s="1" t="str">
        <f t="shared" si="46"/>
        <v>Higher</v>
      </c>
      <c r="O1536" s="1" t="str">
        <f t="shared" si="47"/>
        <v>Mature | High Spender | Higher</v>
      </c>
    </row>
    <row r="1537" spans="1:15" x14ac:dyDescent="0.25">
      <c r="A1537" s="1" t="s">
        <v>1567</v>
      </c>
      <c r="B1537" s="1">
        <v>46</v>
      </c>
      <c r="C1537" s="1" t="str" cm="1">
        <f t="array" ref="C1537">_xlfn.IFS(OR(B1537=" ", B1537="NA",NOT(ISNUMBER(B1537))), "Unknown",B1537&lt;18,"Underage",B1537&lt;=24,"Young Adult",B1537&lt;=34,"Early Career",B1537&lt;=44,"Mid Career",B1537&lt;=54,"Mature",B1537&lt;=65,"Pre-Senior",B1537&gt;65,"Senior")</f>
        <v>Mature</v>
      </c>
      <c r="E1537" s="1" t="s">
        <v>27</v>
      </c>
      <c r="F1537" s="1">
        <v>975000</v>
      </c>
      <c r="G1537" s="1">
        <v>25</v>
      </c>
      <c r="H1537" s="1" t="str" cm="1">
        <f t="array" ref="H1537">_xlfn.IFS( OR(G1537=" ",NOT(ISNUMBER(G1537))),"Unknown",G1537&lt;=33,"Low Spender",G1537&lt;=66,"Medium Spender",TRUE, "High Spender")</f>
        <v>Low Spender</v>
      </c>
      <c r="I1537" s="1">
        <v>45</v>
      </c>
      <c r="J1537" s="1">
        <v>10800</v>
      </c>
      <c r="K1537" s="1">
        <v>323</v>
      </c>
      <c r="L1537" s="1" t="s">
        <v>35</v>
      </c>
      <c r="M1537" s="1" t="s">
        <v>41</v>
      </c>
      <c r="N1537" s="1" t="str">
        <f t="shared" si="46"/>
        <v>Lower</v>
      </c>
      <c r="O1537" s="1" t="str">
        <f t="shared" si="47"/>
        <v>Mature | Low Spender | Lower</v>
      </c>
    </row>
    <row r="1538" spans="1:15" x14ac:dyDescent="0.25">
      <c r="A1538" s="1" t="s">
        <v>1568</v>
      </c>
      <c r="B1538" s="1">
        <v>35</v>
      </c>
      <c r="C1538" s="1" t="str" cm="1">
        <f t="array" ref="C1538">_xlfn.IFS(OR(B1538=" ", B1538="NA",NOT(ISNUMBER(B1538))), "Unknown",B1538&lt;18,"Underage",B1538&lt;=24,"Young Adult",B1538&lt;=34,"Early Career",B1538&lt;=44,"Mid Career",B1538&lt;=54,"Mature",B1538&lt;=65,"Pre-Senior",B1538&gt;65,"Senior")</f>
        <v>Mid Career</v>
      </c>
      <c r="D1538" s="1" t="s">
        <v>29</v>
      </c>
      <c r="E1538" s="1" t="s">
        <v>27</v>
      </c>
      <c r="F1538" s="1">
        <v>950000</v>
      </c>
      <c r="G1538" s="1">
        <v>59</v>
      </c>
      <c r="H1538" s="1" t="str" cm="1">
        <f t="array" ref="H1538">_xlfn.IFS( OR(G1538=" ",NOT(ISNUMBER(G1538))),"Unknown",G1538&lt;=33,"Low Spender",G1538&lt;=66,"Medium Spender",TRUE, "High Spender")</f>
        <v>Medium Spender</v>
      </c>
      <c r="I1538" s="1">
        <v>77</v>
      </c>
      <c r="J1538" s="1">
        <v>6500</v>
      </c>
      <c r="K1538" s="1">
        <v>241</v>
      </c>
      <c r="N1538" s="1" t="str">
        <f t="shared" ref="N1538:N1601" si="48">IF(OR(UPPER(TRIM(D1538))="Male",UPPER(TRIM(D1538))="Female"),"Higher","Lower")</f>
        <v>Higher</v>
      </c>
      <c r="O1538" s="1" t="str">
        <f t="shared" ref="O1538:O1601" si="49">_xlfn.TEXTJOIN(" | ", TRUE, C1538, H1538, N1538)</f>
        <v>Mid Career | Medium Spender | Higher</v>
      </c>
    </row>
    <row r="1539" spans="1:15" x14ac:dyDescent="0.25">
      <c r="A1539" s="1" t="s">
        <v>1569</v>
      </c>
      <c r="B1539" s="1">
        <v>19</v>
      </c>
      <c r="C1539" s="1" t="str" cm="1">
        <f t="array" ref="C1539">_xlfn.IFS(OR(B1539=" ", B1539="NA",NOT(ISNUMBER(B1539))), "Unknown",B1539&lt;18,"Underage",B1539&lt;=24,"Young Adult",B1539&lt;=34,"Early Career",B1539&lt;=44,"Mid Career",B1539&lt;=54,"Mature",B1539&lt;=65,"Pre-Senior",B1539&gt;65,"Senior")</f>
        <v>Young Adult</v>
      </c>
      <c r="E1539" s="1" t="s">
        <v>27</v>
      </c>
      <c r="F1539" s="1">
        <v>775000</v>
      </c>
      <c r="G1539" s="1">
        <v>13</v>
      </c>
      <c r="H1539" s="1" t="str" cm="1">
        <f t="array" ref="H1539">_xlfn.IFS( OR(G1539=" ",NOT(ISNUMBER(G1539))),"Unknown",G1539&lt;=33,"Low Spender",G1539&lt;=66,"Medium Spender",TRUE, "High Spender")</f>
        <v>Low Spender</v>
      </c>
      <c r="I1539" s="1">
        <v>65</v>
      </c>
      <c r="J1539" s="1">
        <v>1100</v>
      </c>
      <c r="K1539" s="1">
        <v>345</v>
      </c>
      <c r="L1539" s="1" t="s">
        <v>16</v>
      </c>
      <c r="M1539" s="1" t="s">
        <v>41</v>
      </c>
      <c r="N1539" s="1" t="str">
        <f t="shared" si="48"/>
        <v>Lower</v>
      </c>
      <c r="O1539" s="1" t="str">
        <f t="shared" si="49"/>
        <v>Young Adult | Low Spender | Lower</v>
      </c>
    </row>
    <row r="1540" spans="1:15" x14ac:dyDescent="0.25">
      <c r="A1540" s="1" t="s">
        <v>1570</v>
      </c>
      <c r="B1540" s="1">
        <v>18</v>
      </c>
      <c r="C1540" s="1" t="str" cm="1">
        <f t="array" ref="C1540">_xlfn.IFS(OR(B1540=" ", B1540="NA",NOT(ISNUMBER(B1540))), "Unknown",B1540&lt;18,"Underage",B1540&lt;=24,"Young Adult",B1540&lt;=34,"Early Career",B1540&lt;=44,"Mid Career",B1540&lt;=54,"Mature",B1540&lt;=65,"Pre-Senior",B1540&gt;65,"Senior")</f>
        <v>Young Adult</v>
      </c>
      <c r="D1540" s="1" t="s">
        <v>18</v>
      </c>
      <c r="E1540" s="1" t="s">
        <v>27</v>
      </c>
      <c r="F1540" s="1">
        <v>1775000</v>
      </c>
      <c r="G1540" s="1">
        <v>86</v>
      </c>
      <c r="H1540" s="1" t="str" cm="1">
        <f t="array" ref="H1540">_xlfn.IFS( OR(G1540=" ",NOT(ISNUMBER(G1540))),"Unknown",G1540&lt;=33,"Low Spender",G1540&lt;=66,"Medium Spender",TRUE, "High Spender")</f>
        <v>High Spender</v>
      </c>
      <c r="I1540" s="1">
        <v>14</v>
      </c>
      <c r="J1540" s="1">
        <v>6200</v>
      </c>
      <c r="K1540" s="1">
        <v>45</v>
      </c>
      <c r="L1540" s="1" t="s">
        <v>20</v>
      </c>
      <c r="N1540" s="1" t="str">
        <f t="shared" si="48"/>
        <v>Higher</v>
      </c>
      <c r="O1540" s="1" t="str">
        <f t="shared" si="49"/>
        <v>Young Adult | High Spender | Higher</v>
      </c>
    </row>
    <row r="1541" spans="1:15" x14ac:dyDescent="0.25">
      <c r="A1541" s="1" t="s">
        <v>1571</v>
      </c>
      <c r="B1541" s="1">
        <v>64</v>
      </c>
      <c r="C1541" s="1" t="str" cm="1">
        <f t="array" ref="C1541">_xlfn.IFS(OR(B1541=" ", B1541="NA",NOT(ISNUMBER(B1541))), "Unknown",B1541&lt;18,"Underage",B1541&lt;=24,"Young Adult",B1541&lt;=34,"Early Career",B1541&lt;=44,"Mid Career",B1541&lt;=54,"Mature",B1541&lt;=65,"Pre-Senior",B1541&gt;65,"Senior")</f>
        <v>Pre-Senior</v>
      </c>
      <c r="E1541" s="1" t="s">
        <v>49</v>
      </c>
      <c r="F1541" s="1">
        <v>1700000</v>
      </c>
      <c r="G1541" s="1">
        <v>81</v>
      </c>
      <c r="H1541" s="1" t="str" cm="1">
        <f t="array" ref="H1541">_xlfn.IFS( OR(G1541=" ",NOT(ISNUMBER(G1541))),"Unknown",G1541&lt;=33,"Low Spender",G1541&lt;=66,"Medium Spender",TRUE, "High Spender")</f>
        <v>High Spender</v>
      </c>
      <c r="I1541" s="1">
        <v>3</v>
      </c>
      <c r="J1541" s="1">
        <v>11600</v>
      </c>
      <c r="K1541" s="1">
        <v>81</v>
      </c>
      <c r="L1541" s="1" t="s">
        <v>37</v>
      </c>
      <c r="N1541" s="1" t="str">
        <f t="shared" si="48"/>
        <v>Lower</v>
      </c>
      <c r="O1541" s="1" t="str">
        <f t="shared" si="49"/>
        <v>Pre-Senior | High Spender | Lower</v>
      </c>
    </row>
    <row r="1542" spans="1:15" x14ac:dyDescent="0.25">
      <c r="A1542" s="1" t="s">
        <v>1572</v>
      </c>
      <c r="B1542" s="1">
        <v>22</v>
      </c>
      <c r="C1542" s="1" t="str" cm="1">
        <f t="array" ref="C1542">_xlfn.IFS(OR(B1542=" ", B1542="NA",NOT(ISNUMBER(B1542))), "Unknown",B1542&lt;18,"Underage",B1542&lt;=24,"Young Adult",B1542&lt;=34,"Early Career",B1542&lt;=44,"Mid Career",B1542&lt;=54,"Mature",B1542&lt;=65,"Pre-Senior",B1542&gt;65,"Senior")</f>
        <v>Young Adult</v>
      </c>
      <c r="D1542" s="1" t="s">
        <v>29</v>
      </c>
      <c r="E1542" s="1" t="s">
        <v>23</v>
      </c>
      <c r="F1542" s="1">
        <v>1150000</v>
      </c>
      <c r="G1542" s="1">
        <v>86</v>
      </c>
      <c r="H1542" s="1" t="str" cm="1">
        <f t="array" ref="H1542">_xlfn.IFS( OR(G1542=" ",NOT(ISNUMBER(G1542))),"Unknown",G1542&lt;=33,"Low Spender",G1542&lt;=66,"Medium Spender",TRUE, "High Spender")</f>
        <v>High Spender</v>
      </c>
      <c r="I1542" s="1">
        <v>24</v>
      </c>
      <c r="J1542" s="1">
        <v>6500</v>
      </c>
      <c r="K1542" s="1">
        <v>255</v>
      </c>
      <c r="M1542" s="1" t="s">
        <v>32</v>
      </c>
      <c r="N1542" s="1" t="str">
        <f t="shared" si="48"/>
        <v>Higher</v>
      </c>
      <c r="O1542" s="1" t="str">
        <f t="shared" si="49"/>
        <v>Young Adult | High Spender | Higher</v>
      </c>
    </row>
    <row r="1543" spans="1:15" x14ac:dyDescent="0.25">
      <c r="A1543" s="1" t="s">
        <v>1573</v>
      </c>
      <c r="B1543" s="1">
        <v>37</v>
      </c>
      <c r="C1543" s="1" t="str" cm="1">
        <f t="array" ref="C1543">_xlfn.IFS(OR(B1543=" ", B1543="NA",NOT(ISNUMBER(B1543))), "Unknown",B1543&lt;18,"Underage",B1543&lt;=24,"Young Adult",B1543&lt;=34,"Early Career",B1543&lt;=44,"Mid Career",B1543&lt;=54,"Mature",B1543&lt;=65,"Pre-Senior",B1543&gt;65,"Senior")</f>
        <v>Mid Career</v>
      </c>
      <c r="D1543" s="1" t="s">
        <v>12</v>
      </c>
      <c r="F1543" s="1">
        <v>1575000</v>
      </c>
      <c r="G1543" s="1">
        <v>98</v>
      </c>
      <c r="H1543" s="1" t="str" cm="1">
        <f t="array" ref="H1543">_xlfn.IFS( OR(G1543=" ",NOT(ISNUMBER(G1543))),"Unknown",G1543&lt;=33,"Low Spender",G1543&lt;=66,"Medium Spender",TRUE, "High Spender")</f>
        <v>High Spender</v>
      </c>
      <c r="I1543" s="1">
        <v>65</v>
      </c>
      <c r="J1543" s="1">
        <v>7400</v>
      </c>
      <c r="K1543" s="1">
        <v>67</v>
      </c>
      <c r="L1543" s="1" t="s">
        <v>35</v>
      </c>
      <c r="M1543" s="1" t="s">
        <v>32</v>
      </c>
      <c r="N1543" s="1" t="str">
        <f t="shared" si="48"/>
        <v>Lower</v>
      </c>
      <c r="O1543" s="1" t="str">
        <f t="shared" si="49"/>
        <v>Mid Career | High Spender | Lower</v>
      </c>
    </row>
    <row r="1544" spans="1:15" x14ac:dyDescent="0.25">
      <c r="A1544" s="1" t="s">
        <v>1574</v>
      </c>
      <c r="B1544" s="1">
        <v>28</v>
      </c>
      <c r="C1544" s="1" t="str" cm="1">
        <f t="array" ref="C1544">_xlfn.IFS(OR(B1544=" ", B1544="NA",NOT(ISNUMBER(B1544))), "Unknown",B1544&lt;18,"Underage",B1544&lt;=24,"Young Adult",B1544&lt;=34,"Early Career",B1544&lt;=44,"Mid Career",B1544&lt;=54,"Mature",B1544&lt;=65,"Pre-Senior",B1544&gt;65,"Senior")</f>
        <v>Early Career</v>
      </c>
      <c r="D1544" s="1" t="s">
        <v>12</v>
      </c>
      <c r="E1544" s="1" t="s">
        <v>13</v>
      </c>
      <c r="F1544" s="1">
        <v>375000</v>
      </c>
      <c r="G1544" s="1">
        <v>62</v>
      </c>
      <c r="H1544" s="1" t="str" cm="1">
        <f t="array" ref="H1544">_xlfn.IFS( OR(G1544=" ",NOT(ISNUMBER(G1544))),"Unknown",G1544&lt;=33,"Low Spender",G1544&lt;=66,"Medium Spender",TRUE, "High Spender")</f>
        <v>Medium Spender</v>
      </c>
      <c r="I1544" s="1">
        <v>48</v>
      </c>
      <c r="J1544" s="1">
        <v>11700</v>
      </c>
      <c r="K1544" s="1">
        <v>102</v>
      </c>
      <c r="M1544" s="1" t="s">
        <v>21</v>
      </c>
      <c r="N1544" s="1" t="str">
        <f t="shared" si="48"/>
        <v>Lower</v>
      </c>
      <c r="O1544" s="1" t="str">
        <f t="shared" si="49"/>
        <v>Early Career | Medium Spender | Lower</v>
      </c>
    </row>
    <row r="1545" spans="1:15" x14ac:dyDescent="0.25">
      <c r="A1545" s="1" t="s">
        <v>1575</v>
      </c>
      <c r="B1545" s="1">
        <v>59</v>
      </c>
      <c r="C1545" s="1" t="str" cm="1">
        <f t="array" ref="C1545">_xlfn.IFS(OR(B1545=" ", B1545="NA",NOT(ISNUMBER(B1545))), "Unknown",B1545&lt;18,"Underage",B1545&lt;=24,"Young Adult",B1545&lt;=34,"Early Career",B1545&lt;=44,"Mid Career",B1545&lt;=54,"Mature",B1545&lt;=65,"Pre-Senior",B1545&gt;65,"Senior")</f>
        <v>Pre-Senior</v>
      </c>
      <c r="E1545" s="1" t="s">
        <v>27</v>
      </c>
      <c r="F1545" s="1">
        <v>500000</v>
      </c>
      <c r="G1545" s="1">
        <v>8</v>
      </c>
      <c r="H1545" s="1" t="str" cm="1">
        <f t="array" ref="H1545">_xlfn.IFS( OR(G1545=" ",NOT(ISNUMBER(G1545))),"Unknown",G1545&lt;=33,"Low Spender",G1545&lt;=66,"Medium Spender",TRUE, "High Spender")</f>
        <v>Low Spender</v>
      </c>
      <c r="I1545" s="1">
        <v>10</v>
      </c>
      <c r="J1545" s="1">
        <v>500</v>
      </c>
      <c r="K1545" s="1">
        <v>91</v>
      </c>
      <c r="L1545" s="1" t="s">
        <v>20</v>
      </c>
      <c r="M1545" s="1" t="s">
        <v>41</v>
      </c>
      <c r="N1545" s="1" t="str">
        <f t="shared" si="48"/>
        <v>Lower</v>
      </c>
      <c r="O1545" s="1" t="str">
        <f t="shared" si="49"/>
        <v>Pre-Senior | Low Spender | Lower</v>
      </c>
    </row>
    <row r="1546" spans="1:15" x14ac:dyDescent="0.25">
      <c r="A1546" s="1" t="s">
        <v>1576</v>
      </c>
      <c r="B1546" s="1">
        <v>19</v>
      </c>
      <c r="C1546" s="1" t="str" cm="1">
        <f t="array" ref="C1546">_xlfn.IFS(OR(B1546=" ", B1546="NA",NOT(ISNUMBER(B1546))), "Unknown",B1546&lt;18,"Underage",B1546&lt;=24,"Young Adult",B1546&lt;=34,"Early Career",B1546&lt;=44,"Mid Career",B1546&lt;=54,"Mature",B1546&lt;=65,"Pre-Senior",B1546&gt;65,"Senior")</f>
        <v>Young Adult</v>
      </c>
      <c r="D1546" s="1" t="s">
        <v>18</v>
      </c>
      <c r="E1546" s="1" t="s">
        <v>34</v>
      </c>
      <c r="F1546" s="1">
        <v>1175000</v>
      </c>
      <c r="G1546" s="1">
        <v>45</v>
      </c>
      <c r="H1546" s="1" t="str" cm="1">
        <f t="array" ref="H1546">_xlfn.IFS( OR(G1546=" ",NOT(ISNUMBER(G1546))),"Unknown",G1546&lt;=33,"Low Spender",G1546&lt;=66,"Medium Spender",TRUE, "High Spender")</f>
        <v>Medium Spender</v>
      </c>
      <c r="I1546" s="1">
        <v>13</v>
      </c>
      <c r="J1546" s="1">
        <v>7500</v>
      </c>
      <c r="K1546" s="1">
        <v>42</v>
      </c>
      <c r="L1546" s="1" t="s">
        <v>16</v>
      </c>
      <c r="M1546" s="1" t="s">
        <v>30</v>
      </c>
      <c r="N1546" s="1" t="str">
        <f t="shared" si="48"/>
        <v>Higher</v>
      </c>
      <c r="O1546" s="1" t="str">
        <f t="shared" si="49"/>
        <v>Young Adult | Medium Spender | Higher</v>
      </c>
    </row>
    <row r="1547" spans="1:15" x14ac:dyDescent="0.25">
      <c r="A1547" s="1" t="s">
        <v>1577</v>
      </c>
      <c r="B1547" s="1">
        <v>20</v>
      </c>
      <c r="C1547" s="1" t="str" cm="1">
        <f t="array" ref="C1547">_xlfn.IFS(OR(B1547=" ", B1547="NA",NOT(ISNUMBER(B1547))), "Unknown",B1547&lt;18,"Underage",B1547&lt;=24,"Young Adult",B1547&lt;=34,"Early Career",B1547&lt;=44,"Mid Career",B1547&lt;=54,"Mature",B1547&lt;=65,"Pre-Senior",B1547&gt;65,"Senior")</f>
        <v>Young Adult</v>
      </c>
      <c r="D1547" s="1" t="s">
        <v>18</v>
      </c>
      <c r="E1547" s="1" t="s">
        <v>34</v>
      </c>
      <c r="F1547" s="1">
        <v>1550000</v>
      </c>
      <c r="G1547" s="1">
        <v>18</v>
      </c>
      <c r="H1547" s="1" t="str" cm="1">
        <f t="array" ref="H1547">_xlfn.IFS( OR(G1547=" ",NOT(ISNUMBER(G1547))),"Unknown",G1547&lt;=33,"Low Spender",G1547&lt;=66,"Medium Spender",TRUE, "High Spender")</f>
        <v>Low Spender</v>
      </c>
      <c r="I1547" s="1">
        <v>73</v>
      </c>
      <c r="J1547" s="1">
        <v>1500</v>
      </c>
      <c r="K1547" s="1">
        <v>276</v>
      </c>
      <c r="L1547" s="1" t="s">
        <v>35</v>
      </c>
      <c r="M1547" s="1" t="s">
        <v>21</v>
      </c>
      <c r="N1547" s="1" t="str">
        <f t="shared" si="48"/>
        <v>Higher</v>
      </c>
      <c r="O1547" s="1" t="str">
        <f t="shared" si="49"/>
        <v>Young Adult | Low Spender | Higher</v>
      </c>
    </row>
    <row r="1548" spans="1:15" x14ac:dyDescent="0.25">
      <c r="A1548" s="1" t="s">
        <v>1578</v>
      </c>
      <c r="B1548" s="1">
        <v>40</v>
      </c>
      <c r="C1548" s="1" t="str" cm="1">
        <f t="array" ref="C1548">_xlfn.IFS(OR(B1548=" ", B1548="NA",NOT(ISNUMBER(B1548))), "Unknown",B1548&lt;18,"Underage",B1548&lt;=24,"Young Adult",B1548&lt;=34,"Early Career",B1548&lt;=44,"Mid Career",B1548&lt;=54,"Mature",B1548&lt;=65,"Pre-Senior",B1548&gt;65,"Senior")</f>
        <v>Mid Career</v>
      </c>
      <c r="E1548" s="1" t="s">
        <v>13</v>
      </c>
      <c r="F1548" s="1">
        <v>550000</v>
      </c>
      <c r="G1548" s="1">
        <v>88</v>
      </c>
      <c r="H1548" s="1" t="str" cm="1">
        <f t="array" ref="H1548">_xlfn.IFS( OR(G1548=" ",NOT(ISNUMBER(G1548))),"Unknown",G1548&lt;=33,"Low Spender",G1548&lt;=66,"Medium Spender",TRUE, "High Spender")</f>
        <v>High Spender</v>
      </c>
      <c r="I1548" s="1">
        <v>14</v>
      </c>
      <c r="J1548" s="1">
        <v>1100</v>
      </c>
      <c r="K1548" s="1">
        <v>304</v>
      </c>
      <c r="L1548" s="1" t="s">
        <v>16</v>
      </c>
      <c r="N1548" s="1" t="str">
        <f t="shared" si="48"/>
        <v>Lower</v>
      </c>
      <c r="O1548" s="1" t="str">
        <f t="shared" si="49"/>
        <v>Mid Career | High Spender | Lower</v>
      </c>
    </row>
    <row r="1549" spans="1:15" x14ac:dyDescent="0.25">
      <c r="A1549" s="1" t="s">
        <v>1579</v>
      </c>
      <c r="B1549" s="1" t="s">
        <v>73</v>
      </c>
      <c r="C1549" s="1" t="str" cm="1">
        <f t="array" ref="C1549">_xlfn.IFS(OR(B1549=" ", B1549="NA",NOT(ISNUMBER(B1549))), "Unknown",B1549&lt;18,"Underage",B1549&lt;=24,"Young Adult",B1549&lt;=34,"Early Career",B1549&lt;=44,"Mid Career",B1549&lt;=54,"Mature",B1549&lt;=65,"Pre-Senior",B1549&gt;65,"Senior")</f>
        <v>Unknown</v>
      </c>
      <c r="E1549" s="1" t="s">
        <v>23</v>
      </c>
      <c r="F1549" s="1">
        <v>1625000</v>
      </c>
      <c r="G1549" s="1">
        <v>60</v>
      </c>
      <c r="H1549" s="1" t="str" cm="1">
        <f t="array" ref="H1549">_xlfn.IFS( OR(G1549=" ",NOT(ISNUMBER(G1549))),"Unknown",G1549&lt;=33,"Low Spender",G1549&lt;=66,"Medium Spender",TRUE, "High Spender")</f>
        <v>Medium Spender</v>
      </c>
      <c r="I1549" s="1">
        <v>10</v>
      </c>
      <c r="J1549" s="1">
        <v>9700</v>
      </c>
      <c r="K1549" s="1">
        <v>274</v>
      </c>
      <c r="M1549" s="1" t="s">
        <v>21</v>
      </c>
      <c r="N1549" s="1" t="str">
        <f t="shared" si="48"/>
        <v>Lower</v>
      </c>
      <c r="O1549" s="1" t="str">
        <f t="shared" si="49"/>
        <v>Unknown | Medium Spender | Lower</v>
      </c>
    </row>
    <row r="1550" spans="1:15" x14ac:dyDescent="0.25">
      <c r="A1550" s="1" t="s">
        <v>1580</v>
      </c>
      <c r="B1550" s="1">
        <v>29</v>
      </c>
      <c r="C1550" s="1" t="str" cm="1">
        <f t="array" ref="C1550">_xlfn.IFS(OR(B1550=" ", B1550="NA",NOT(ISNUMBER(B1550))), "Unknown",B1550&lt;18,"Underage",B1550&lt;=24,"Young Adult",B1550&lt;=34,"Early Career",B1550&lt;=44,"Mid Career",B1550&lt;=54,"Mature",B1550&lt;=65,"Pre-Senior",B1550&gt;65,"Senior")</f>
        <v>Early Career</v>
      </c>
      <c r="D1550" s="1" t="s">
        <v>12</v>
      </c>
      <c r="F1550" s="1">
        <v>350000</v>
      </c>
      <c r="G1550" s="1">
        <v>60</v>
      </c>
      <c r="H1550" s="1" t="str" cm="1">
        <f t="array" ref="H1550">_xlfn.IFS( OR(G1550=" ",NOT(ISNUMBER(G1550))),"Unknown",G1550&lt;=33,"Low Spender",G1550&lt;=66,"Medium Spender",TRUE, "High Spender")</f>
        <v>Medium Spender</v>
      </c>
      <c r="I1550" s="1">
        <v>40</v>
      </c>
      <c r="J1550" s="1">
        <v>9100</v>
      </c>
      <c r="K1550" s="1">
        <v>77</v>
      </c>
      <c r="N1550" s="1" t="str">
        <f t="shared" si="48"/>
        <v>Lower</v>
      </c>
      <c r="O1550" s="1" t="str">
        <f t="shared" si="49"/>
        <v>Early Career | Medium Spender | Lower</v>
      </c>
    </row>
    <row r="1551" spans="1:15" x14ac:dyDescent="0.25">
      <c r="A1551" s="1" t="s">
        <v>1581</v>
      </c>
      <c r="B1551" s="1">
        <v>37</v>
      </c>
      <c r="C1551" s="1" t="str" cm="1">
        <f t="array" ref="C1551">_xlfn.IFS(OR(B1551=" ", B1551="NA",NOT(ISNUMBER(B1551))), "Unknown",B1551&lt;18,"Underage",B1551&lt;=24,"Young Adult",B1551&lt;=34,"Early Career",B1551&lt;=44,"Mid Career",B1551&lt;=54,"Mature",B1551&lt;=65,"Pre-Senior",B1551&gt;65,"Senior")</f>
        <v>Mid Career</v>
      </c>
      <c r="D1551" s="1" t="s">
        <v>29</v>
      </c>
      <c r="F1551" s="1">
        <v>1025000</v>
      </c>
      <c r="G1551" s="1">
        <v>2</v>
      </c>
      <c r="H1551" s="1" t="str" cm="1">
        <f t="array" ref="H1551">_xlfn.IFS( OR(G1551=" ",NOT(ISNUMBER(G1551))),"Unknown",G1551&lt;=33,"Low Spender",G1551&lt;=66,"Medium Spender",TRUE, "High Spender")</f>
        <v>Low Spender</v>
      </c>
      <c r="I1551" s="1">
        <v>23</v>
      </c>
      <c r="J1551" s="1">
        <v>5400</v>
      </c>
      <c r="K1551" s="1">
        <v>234</v>
      </c>
      <c r="N1551" s="1" t="str">
        <f t="shared" si="48"/>
        <v>Higher</v>
      </c>
      <c r="O1551" s="1" t="str">
        <f t="shared" si="49"/>
        <v>Mid Career | Low Spender | Higher</v>
      </c>
    </row>
    <row r="1552" spans="1:15" x14ac:dyDescent="0.25">
      <c r="A1552" s="1" t="s">
        <v>1582</v>
      </c>
      <c r="B1552" s="1">
        <v>22</v>
      </c>
      <c r="C1552" s="1" t="str" cm="1">
        <f t="array" ref="C1552">_xlfn.IFS(OR(B1552=" ", B1552="NA",NOT(ISNUMBER(B1552))), "Unknown",B1552&lt;18,"Underage",B1552&lt;=24,"Young Adult",B1552&lt;=34,"Early Career",B1552&lt;=44,"Mid Career",B1552&lt;=54,"Mature",B1552&lt;=65,"Pre-Senior",B1552&gt;65,"Senior")</f>
        <v>Young Adult</v>
      </c>
      <c r="D1552" s="1" t="s">
        <v>29</v>
      </c>
      <c r="F1552" s="1">
        <v>1950000</v>
      </c>
      <c r="G1552" s="1">
        <v>66</v>
      </c>
      <c r="H1552" s="1" t="str" cm="1">
        <f t="array" ref="H1552">_xlfn.IFS( OR(G1552=" ",NOT(ISNUMBER(G1552))),"Unknown",G1552&lt;=33,"Low Spender",G1552&lt;=66,"Medium Spender",TRUE, "High Spender")</f>
        <v>Medium Spender</v>
      </c>
      <c r="I1552" s="1">
        <v>55</v>
      </c>
      <c r="J1552" s="1">
        <v>11000</v>
      </c>
      <c r="K1552" s="1">
        <v>202</v>
      </c>
      <c r="L1552" s="1" t="s">
        <v>37</v>
      </c>
      <c r="M1552" s="1" t="s">
        <v>30</v>
      </c>
      <c r="N1552" s="1" t="str">
        <f t="shared" si="48"/>
        <v>Higher</v>
      </c>
      <c r="O1552" s="1" t="str">
        <f t="shared" si="49"/>
        <v>Young Adult | Medium Spender | Higher</v>
      </c>
    </row>
    <row r="1553" spans="1:15" x14ac:dyDescent="0.25">
      <c r="A1553" s="1" t="s">
        <v>1583</v>
      </c>
      <c r="B1553" s="1">
        <v>54</v>
      </c>
      <c r="C1553" s="1" t="str" cm="1">
        <f t="array" ref="C1553">_xlfn.IFS(OR(B1553=" ", B1553="NA",NOT(ISNUMBER(B1553))), "Unknown",B1553&lt;18,"Underage",B1553&lt;=24,"Young Adult",B1553&lt;=34,"Early Career",B1553&lt;=44,"Mid Career",B1553&lt;=54,"Mature",B1553&lt;=65,"Pre-Senior",B1553&gt;65,"Senior")</f>
        <v>Mature</v>
      </c>
      <c r="D1553" s="1" t="s">
        <v>29</v>
      </c>
      <c r="E1553" s="1" t="s">
        <v>23</v>
      </c>
      <c r="F1553" s="1">
        <v>1025000</v>
      </c>
      <c r="G1553" s="1">
        <v>91</v>
      </c>
      <c r="H1553" s="1" t="str" cm="1">
        <f t="array" ref="H1553">_xlfn.IFS( OR(G1553=" ",NOT(ISNUMBER(G1553))),"Unknown",G1553&lt;=33,"Low Spender",G1553&lt;=66,"Medium Spender",TRUE, "High Spender")</f>
        <v>High Spender</v>
      </c>
      <c r="I1553" s="1">
        <v>63</v>
      </c>
      <c r="J1553" s="1">
        <v>6400</v>
      </c>
      <c r="K1553" s="1">
        <v>221</v>
      </c>
      <c r="L1553" s="1" t="s">
        <v>35</v>
      </c>
      <c r="M1553" s="1" t="s">
        <v>41</v>
      </c>
      <c r="N1553" s="1" t="str">
        <f t="shared" si="48"/>
        <v>Higher</v>
      </c>
      <c r="O1553" s="1" t="str">
        <f t="shared" si="49"/>
        <v>Mature | High Spender | Higher</v>
      </c>
    </row>
    <row r="1554" spans="1:15" x14ac:dyDescent="0.25">
      <c r="A1554" s="1" t="s">
        <v>1584</v>
      </c>
      <c r="B1554" s="1">
        <v>55</v>
      </c>
      <c r="C1554" s="1" t="str" cm="1">
        <f t="array" ref="C1554">_xlfn.IFS(OR(B1554=" ", B1554="NA",NOT(ISNUMBER(B1554))), "Unknown",B1554&lt;18,"Underage",B1554&lt;=24,"Young Adult",B1554&lt;=34,"Early Career",B1554&lt;=44,"Mid Career",B1554&lt;=54,"Mature",B1554&lt;=65,"Pre-Senior",B1554&gt;65,"Senior")</f>
        <v>Pre-Senior</v>
      </c>
      <c r="E1554" s="1" t="s">
        <v>13</v>
      </c>
      <c r="F1554" s="1">
        <v>1325000</v>
      </c>
      <c r="G1554" s="1">
        <v>14</v>
      </c>
      <c r="H1554" s="1" t="str" cm="1">
        <f t="array" ref="H1554">_xlfn.IFS( OR(G1554=" ",NOT(ISNUMBER(G1554))),"Unknown",G1554&lt;=33,"Low Spender",G1554&lt;=66,"Medium Spender",TRUE, "High Spender")</f>
        <v>Low Spender</v>
      </c>
      <c r="I1554" s="1">
        <v>71</v>
      </c>
      <c r="K1554" s="1">
        <v>262</v>
      </c>
      <c r="N1554" s="1" t="str">
        <f t="shared" si="48"/>
        <v>Lower</v>
      </c>
      <c r="O1554" s="1" t="str">
        <f t="shared" si="49"/>
        <v>Pre-Senior | Low Spender | Lower</v>
      </c>
    </row>
    <row r="1555" spans="1:15" x14ac:dyDescent="0.25">
      <c r="A1555" s="1" t="s">
        <v>1585</v>
      </c>
      <c r="B1555" s="1">
        <v>47</v>
      </c>
      <c r="C1555" s="1" t="str" cm="1">
        <f t="array" ref="C1555">_xlfn.IFS(OR(B1555=" ", B1555="NA",NOT(ISNUMBER(B1555))), "Unknown",B1555&lt;18,"Underage",B1555&lt;=24,"Young Adult",B1555&lt;=34,"Early Career",B1555&lt;=44,"Mid Career",B1555&lt;=54,"Mature",B1555&lt;=65,"Pre-Senior",B1555&gt;65,"Senior")</f>
        <v>Mature</v>
      </c>
      <c r="D1555" s="1" t="s">
        <v>29</v>
      </c>
      <c r="F1555" s="1">
        <v>1400000</v>
      </c>
      <c r="G1555" s="1">
        <v>48</v>
      </c>
      <c r="H1555" s="1" t="str" cm="1">
        <f t="array" ref="H1555">_xlfn.IFS( OR(G1555=" ",NOT(ISNUMBER(G1555))),"Unknown",G1555&lt;=33,"Low Spender",G1555&lt;=66,"Medium Spender",TRUE, "High Spender")</f>
        <v>Medium Spender</v>
      </c>
      <c r="I1555" s="1">
        <v>42</v>
      </c>
      <c r="J1555" s="1">
        <v>11100</v>
      </c>
      <c r="K1555" s="1">
        <v>39</v>
      </c>
      <c r="L1555" s="1" t="s">
        <v>20</v>
      </c>
      <c r="M1555" s="1" t="s">
        <v>41</v>
      </c>
      <c r="N1555" s="1" t="str">
        <f t="shared" si="48"/>
        <v>Higher</v>
      </c>
      <c r="O1555" s="1" t="str">
        <f t="shared" si="49"/>
        <v>Mature | Medium Spender | Higher</v>
      </c>
    </row>
    <row r="1556" spans="1:15" x14ac:dyDescent="0.25">
      <c r="A1556" s="1" t="s">
        <v>1586</v>
      </c>
      <c r="B1556" s="1">
        <v>26</v>
      </c>
      <c r="C1556" s="1" t="str" cm="1">
        <f t="array" ref="C1556">_xlfn.IFS(OR(B1556=" ", B1556="NA",NOT(ISNUMBER(B1556))), "Unknown",B1556&lt;18,"Underage",B1556&lt;=24,"Young Adult",B1556&lt;=34,"Early Career",B1556&lt;=44,"Mid Career",B1556&lt;=54,"Mature",B1556&lt;=65,"Pre-Senior",B1556&gt;65,"Senior")</f>
        <v>Early Career</v>
      </c>
      <c r="F1556" s="1">
        <v>1875000</v>
      </c>
      <c r="G1556" s="1">
        <v>56</v>
      </c>
      <c r="H1556" s="1" t="str" cm="1">
        <f t="array" ref="H1556">_xlfn.IFS( OR(G1556=" ",NOT(ISNUMBER(G1556))),"Unknown",G1556&lt;=33,"Low Spender",G1556&lt;=66,"Medium Spender",TRUE, "High Spender")</f>
        <v>Medium Spender</v>
      </c>
      <c r="I1556" s="1">
        <v>66</v>
      </c>
      <c r="J1556" s="1">
        <v>1000</v>
      </c>
      <c r="K1556" s="1">
        <v>11</v>
      </c>
      <c r="M1556" s="1" t="s">
        <v>41</v>
      </c>
      <c r="N1556" s="1" t="str">
        <f t="shared" si="48"/>
        <v>Lower</v>
      </c>
      <c r="O1556" s="1" t="str">
        <f t="shared" si="49"/>
        <v>Early Career | Medium Spender | Lower</v>
      </c>
    </row>
    <row r="1557" spans="1:15" x14ac:dyDescent="0.25">
      <c r="A1557" s="1" t="s">
        <v>1587</v>
      </c>
      <c r="B1557" s="1">
        <v>51</v>
      </c>
      <c r="C1557" s="1" t="str" cm="1">
        <f t="array" ref="C1557">_xlfn.IFS(OR(B1557=" ", B1557="NA",NOT(ISNUMBER(B1557))), "Unknown",B1557&lt;18,"Underage",B1557&lt;=24,"Young Adult",B1557&lt;=34,"Early Career",B1557&lt;=44,"Mid Career",B1557&lt;=54,"Mature",B1557&lt;=65,"Pre-Senior",B1557&gt;65,"Senior")</f>
        <v>Mature</v>
      </c>
      <c r="D1557" s="1" t="s">
        <v>29</v>
      </c>
      <c r="F1557" s="1">
        <v>1975000</v>
      </c>
      <c r="G1557" s="1">
        <v>12</v>
      </c>
      <c r="H1557" s="1" t="str" cm="1">
        <f t="array" ref="H1557">_xlfn.IFS( OR(G1557=" ",NOT(ISNUMBER(G1557))),"Unknown",G1557&lt;=33,"Low Spender",G1557&lt;=66,"Medium Spender",TRUE, "High Spender")</f>
        <v>Low Spender</v>
      </c>
      <c r="I1557" s="1">
        <v>79</v>
      </c>
      <c r="J1557" s="1">
        <v>11300</v>
      </c>
      <c r="K1557" s="1">
        <v>112</v>
      </c>
      <c r="L1557" s="1" t="s">
        <v>20</v>
      </c>
      <c r="M1557" s="1" t="s">
        <v>21</v>
      </c>
      <c r="N1557" s="1" t="str">
        <f t="shared" si="48"/>
        <v>Higher</v>
      </c>
      <c r="O1557" s="1" t="str">
        <f t="shared" si="49"/>
        <v>Mature | Low Spender | Higher</v>
      </c>
    </row>
    <row r="1558" spans="1:15" x14ac:dyDescent="0.25">
      <c r="A1558" s="1" t="s">
        <v>1588</v>
      </c>
      <c r="C1558" s="1" t="str" cm="1">
        <f t="array" ref="C1558">_xlfn.IFS(OR(B1558=" ", B1558="NA",NOT(ISNUMBER(B1558))), "Unknown",B1558&lt;18,"Underage",B1558&lt;=24,"Young Adult",B1558&lt;=34,"Early Career",B1558&lt;=44,"Mid Career",B1558&lt;=54,"Mature",B1558&lt;=65,"Pre-Senior",B1558&gt;65,"Senior")</f>
        <v>Unknown</v>
      </c>
      <c r="E1558" s="1" t="s">
        <v>58</v>
      </c>
      <c r="F1558" s="1">
        <v>1825000</v>
      </c>
      <c r="G1558" s="1">
        <v>96</v>
      </c>
      <c r="H1558" s="1" t="str" cm="1">
        <f t="array" ref="H1558">_xlfn.IFS( OR(G1558=" ",NOT(ISNUMBER(G1558))),"Unknown",G1558&lt;=33,"Low Spender",G1558&lt;=66,"Medium Spender",TRUE, "High Spender")</f>
        <v>High Spender</v>
      </c>
      <c r="I1558" s="1">
        <v>73</v>
      </c>
      <c r="J1558" s="1">
        <v>9700</v>
      </c>
      <c r="K1558" s="1">
        <v>108</v>
      </c>
      <c r="L1558" s="1" t="s">
        <v>16</v>
      </c>
      <c r="N1558" s="1" t="str">
        <f t="shared" si="48"/>
        <v>Lower</v>
      </c>
      <c r="O1558" s="1" t="str">
        <f t="shared" si="49"/>
        <v>Unknown | High Spender | Lower</v>
      </c>
    </row>
    <row r="1559" spans="1:15" x14ac:dyDescent="0.25">
      <c r="A1559" s="1" t="s">
        <v>1589</v>
      </c>
      <c r="B1559" s="1">
        <v>61</v>
      </c>
      <c r="C1559" s="1" t="str" cm="1">
        <f t="array" ref="C1559">_xlfn.IFS(OR(B1559=" ", B1559="NA",NOT(ISNUMBER(B1559))), "Unknown",B1559&lt;18,"Underage",B1559&lt;=24,"Young Adult",B1559&lt;=34,"Early Career",B1559&lt;=44,"Mid Career",B1559&lt;=54,"Mature",B1559&lt;=65,"Pre-Senior",B1559&gt;65,"Senior")</f>
        <v>Pre-Senior</v>
      </c>
      <c r="E1559" s="1" t="s">
        <v>49</v>
      </c>
      <c r="F1559" s="1">
        <v>675000</v>
      </c>
      <c r="G1559" s="1">
        <v>92</v>
      </c>
      <c r="H1559" s="1" t="str" cm="1">
        <f t="array" ref="H1559">_xlfn.IFS( OR(G1559=" ",NOT(ISNUMBER(G1559))),"Unknown",G1559&lt;=33,"Low Spender",G1559&lt;=66,"Medium Spender",TRUE, "High Spender")</f>
        <v>High Spender</v>
      </c>
      <c r="I1559" s="1">
        <v>47</v>
      </c>
      <c r="J1559" s="1">
        <v>4700</v>
      </c>
      <c r="K1559" s="1">
        <v>94</v>
      </c>
      <c r="M1559" s="1" t="s">
        <v>21</v>
      </c>
      <c r="N1559" s="1" t="str">
        <f t="shared" si="48"/>
        <v>Lower</v>
      </c>
      <c r="O1559" s="1" t="str">
        <f t="shared" si="49"/>
        <v>Pre-Senior | High Spender | Lower</v>
      </c>
    </row>
    <row r="1560" spans="1:15" x14ac:dyDescent="0.25">
      <c r="A1560" s="1" t="s">
        <v>1590</v>
      </c>
      <c r="B1560" s="1">
        <v>52</v>
      </c>
      <c r="C1560" s="1" t="str" cm="1">
        <f t="array" ref="C1560">_xlfn.IFS(OR(B1560=" ", B1560="NA",NOT(ISNUMBER(B1560))), "Unknown",B1560&lt;18,"Underage",B1560&lt;=24,"Young Adult",B1560&lt;=34,"Early Career",B1560&lt;=44,"Mid Career",B1560&lt;=54,"Mature",B1560&lt;=65,"Pre-Senior",B1560&gt;65,"Senior")</f>
        <v>Mature</v>
      </c>
      <c r="D1560" s="1" t="s">
        <v>18</v>
      </c>
      <c r="E1560" s="1" t="s">
        <v>13</v>
      </c>
      <c r="F1560" s="1" t="s">
        <v>25</v>
      </c>
      <c r="G1560" s="1">
        <v>55</v>
      </c>
      <c r="H1560" s="1" t="str" cm="1">
        <f t="array" ref="H1560">_xlfn.IFS( OR(G1560=" ",NOT(ISNUMBER(G1560))),"Unknown",G1560&lt;=33,"Low Spender",G1560&lt;=66,"Medium Spender",TRUE, "High Spender")</f>
        <v>Medium Spender</v>
      </c>
      <c r="J1560" s="1">
        <v>5500</v>
      </c>
      <c r="K1560" s="1">
        <v>311</v>
      </c>
      <c r="M1560" s="1" t="s">
        <v>32</v>
      </c>
      <c r="N1560" s="1" t="str">
        <f t="shared" si="48"/>
        <v>Higher</v>
      </c>
      <c r="O1560" s="1" t="str">
        <f t="shared" si="49"/>
        <v>Mature | Medium Spender | Higher</v>
      </c>
    </row>
    <row r="1561" spans="1:15" x14ac:dyDescent="0.25">
      <c r="A1561" s="1" t="s">
        <v>1591</v>
      </c>
      <c r="B1561" s="1">
        <v>69</v>
      </c>
      <c r="C1561" s="1" t="str" cm="1">
        <f t="array" ref="C1561">_xlfn.IFS(OR(B1561=" ", B1561="NA",NOT(ISNUMBER(B1561))), "Unknown",B1561&lt;18,"Underage",B1561&lt;=24,"Young Adult",B1561&lt;=34,"Early Career",B1561&lt;=44,"Mid Career",B1561&lt;=54,"Mature",B1561&lt;=65,"Pre-Senior",B1561&gt;65,"Senior")</f>
        <v>Senior</v>
      </c>
      <c r="E1561" s="1" t="s">
        <v>15</v>
      </c>
      <c r="F1561" s="1">
        <v>275000</v>
      </c>
      <c r="G1561" s="1">
        <v>28</v>
      </c>
      <c r="H1561" s="1" t="str" cm="1">
        <f t="array" ref="H1561">_xlfn.IFS( OR(G1561=" ",NOT(ISNUMBER(G1561))),"Unknown",G1561&lt;=33,"Low Spender",G1561&lt;=66,"Medium Spender",TRUE, "High Spender")</f>
        <v>Low Spender</v>
      </c>
      <c r="I1561" s="1">
        <v>52</v>
      </c>
      <c r="J1561" s="1">
        <v>11100</v>
      </c>
      <c r="K1561" s="1">
        <v>84</v>
      </c>
      <c r="L1561" s="1" t="s">
        <v>20</v>
      </c>
      <c r="M1561" s="1" t="s">
        <v>32</v>
      </c>
      <c r="N1561" s="1" t="str">
        <f t="shared" si="48"/>
        <v>Lower</v>
      </c>
      <c r="O1561" s="1" t="str">
        <f t="shared" si="49"/>
        <v>Senior | Low Spender | Lower</v>
      </c>
    </row>
    <row r="1562" spans="1:15" x14ac:dyDescent="0.25">
      <c r="A1562" s="1" t="s">
        <v>1592</v>
      </c>
      <c r="B1562" s="1">
        <v>39</v>
      </c>
      <c r="C1562" s="1" t="str" cm="1">
        <f t="array" ref="C1562">_xlfn.IFS(OR(B1562=" ", B1562="NA",NOT(ISNUMBER(B1562))), "Unknown",B1562&lt;18,"Underage",B1562&lt;=24,"Young Adult",B1562&lt;=34,"Early Career",B1562&lt;=44,"Mid Career",B1562&lt;=54,"Mature",B1562&lt;=65,"Pre-Senior",B1562&gt;65,"Senior")</f>
        <v>Mid Career</v>
      </c>
      <c r="E1562" s="1" t="s">
        <v>19</v>
      </c>
      <c r="F1562" s="1">
        <v>775000</v>
      </c>
      <c r="G1562" s="1">
        <v>89</v>
      </c>
      <c r="H1562" s="1" t="str" cm="1">
        <f t="array" ref="H1562">_xlfn.IFS( OR(G1562=" ",NOT(ISNUMBER(G1562))),"Unknown",G1562&lt;=33,"Low Spender",G1562&lt;=66,"Medium Spender",TRUE, "High Spender")</f>
        <v>High Spender</v>
      </c>
      <c r="I1562" s="1">
        <v>18</v>
      </c>
      <c r="J1562" s="1">
        <v>6500</v>
      </c>
      <c r="K1562" s="1">
        <v>58</v>
      </c>
      <c r="M1562" s="1" t="s">
        <v>41</v>
      </c>
      <c r="N1562" s="1" t="str">
        <f t="shared" si="48"/>
        <v>Lower</v>
      </c>
      <c r="O1562" s="1" t="str">
        <f t="shared" si="49"/>
        <v>Mid Career | High Spender | Lower</v>
      </c>
    </row>
    <row r="1563" spans="1:15" x14ac:dyDescent="0.25">
      <c r="A1563" s="1" t="s">
        <v>1593</v>
      </c>
      <c r="B1563" s="1">
        <v>61</v>
      </c>
      <c r="C1563" s="1" t="str" cm="1">
        <f t="array" ref="C1563">_xlfn.IFS(OR(B1563=" ", B1563="NA",NOT(ISNUMBER(B1563))), "Unknown",B1563&lt;18,"Underage",B1563&lt;=24,"Young Adult",B1563&lt;=34,"Early Career",B1563&lt;=44,"Mid Career",B1563&lt;=54,"Mature",B1563&lt;=65,"Pre-Senior",B1563&gt;65,"Senior")</f>
        <v>Pre-Senior</v>
      </c>
      <c r="D1563" s="1" t="s">
        <v>12</v>
      </c>
      <c r="E1563" s="1" t="s">
        <v>19</v>
      </c>
      <c r="G1563" s="1">
        <v>4</v>
      </c>
      <c r="H1563" s="1" t="str" cm="1">
        <f t="array" ref="H1563">_xlfn.IFS( OR(G1563=" ",NOT(ISNUMBER(G1563))),"Unknown",G1563&lt;=33,"Low Spender",G1563&lt;=66,"Medium Spender",TRUE, "High Spender")</f>
        <v>Low Spender</v>
      </c>
      <c r="I1563" s="1">
        <v>79</v>
      </c>
      <c r="J1563" s="1">
        <v>9700</v>
      </c>
      <c r="K1563" s="1">
        <v>293</v>
      </c>
      <c r="L1563" s="1" t="s">
        <v>20</v>
      </c>
      <c r="N1563" s="1" t="str">
        <f t="shared" si="48"/>
        <v>Lower</v>
      </c>
      <c r="O1563" s="1" t="str">
        <f t="shared" si="49"/>
        <v>Pre-Senior | Low Spender | Lower</v>
      </c>
    </row>
    <row r="1564" spans="1:15" x14ac:dyDescent="0.25">
      <c r="A1564" s="1" t="s">
        <v>1594</v>
      </c>
      <c r="B1564" s="1">
        <v>41</v>
      </c>
      <c r="C1564" s="1" t="str" cm="1">
        <f t="array" ref="C1564">_xlfn.IFS(OR(B1564=" ", B1564="NA",NOT(ISNUMBER(B1564))), "Unknown",B1564&lt;18,"Underage",B1564&lt;=24,"Young Adult",B1564&lt;=34,"Early Career",B1564&lt;=44,"Mid Career",B1564&lt;=54,"Mature",B1564&lt;=65,"Pre-Senior",B1564&gt;65,"Senior")</f>
        <v>Mid Career</v>
      </c>
      <c r="E1564" s="1" t="s">
        <v>23</v>
      </c>
      <c r="F1564" s="1">
        <v>200000</v>
      </c>
      <c r="G1564" s="1">
        <v>90</v>
      </c>
      <c r="H1564" s="1" t="str" cm="1">
        <f t="array" ref="H1564">_xlfn.IFS( OR(G1564=" ",NOT(ISNUMBER(G1564))),"Unknown",G1564&lt;=33,"Low Spender",G1564&lt;=66,"Medium Spender",TRUE, "High Spender")</f>
        <v>High Spender</v>
      </c>
      <c r="I1564" s="1">
        <v>18</v>
      </c>
      <c r="J1564" s="1">
        <v>8300</v>
      </c>
      <c r="K1564" s="1">
        <v>16</v>
      </c>
      <c r="L1564" s="1" t="s">
        <v>35</v>
      </c>
      <c r="N1564" s="1" t="str">
        <f t="shared" si="48"/>
        <v>Lower</v>
      </c>
      <c r="O1564" s="1" t="str">
        <f t="shared" si="49"/>
        <v>Mid Career | High Spender | Lower</v>
      </c>
    </row>
    <row r="1565" spans="1:15" x14ac:dyDescent="0.25">
      <c r="A1565" s="1" t="s">
        <v>1595</v>
      </c>
      <c r="B1565" s="1">
        <v>34</v>
      </c>
      <c r="C1565" s="1" t="str" cm="1">
        <f t="array" ref="C1565">_xlfn.IFS(OR(B1565=" ", B1565="NA",NOT(ISNUMBER(B1565))), "Unknown",B1565&lt;18,"Underage",B1565&lt;=24,"Young Adult",B1565&lt;=34,"Early Career",B1565&lt;=44,"Mid Career",B1565&lt;=54,"Mature",B1565&lt;=65,"Pre-Senior",B1565&gt;65,"Senior")</f>
        <v>Early Career</v>
      </c>
      <c r="D1565" s="1" t="s">
        <v>12</v>
      </c>
      <c r="E1565" s="1" t="s">
        <v>13</v>
      </c>
      <c r="F1565" s="1">
        <v>1425000</v>
      </c>
      <c r="G1565" s="1">
        <v>36</v>
      </c>
      <c r="H1565" s="1" t="str" cm="1">
        <f t="array" ref="H1565">_xlfn.IFS( OR(G1565=" ",NOT(ISNUMBER(G1565))),"Unknown",G1565&lt;=33,"Low Spender",G1565&lt;=66,"Medium Spender",TRUE, "High Spender")</f>
        <v>Medium Spender</v>
      </c>
      <c r="I1565" s="1">
        <v>24</v>
      </c>
      <c r="J1565" s="1">
        <v>11300</v>
      </c>
      <c r="K1565" s="1">
        <v>326</v>
      </c>
      <c r="L1565" s="1" t="s">
        <v>16</v>
      </c>
      <c r="M1565" s="1" t="s">
        <v>41</v>
      </c>
      <c r="N1565" s="1" t="str">
        <f t="shared" si="48"/>
        <v>Lower</v>
      </c>
      <c r="O1565" s="1" t="str">
        <f t="shared" si="49"/>
        <v>Early Career | Medium Spender | Lower</v>
      </c>
    </row>
    <row r="1566" spans="1:15" x14ac:dyDescent="0.25">
      <c r="A1566" s="1" t="s">
        <v>1596</v>
      </c>
      <c r="B1566" s="1">
        <v>27</v>
      </c>
      <c r="C1566" s="1" t="str" cm="1">
        <f t="array" ref="C1566">_xlfn.IFS(OR(B1566=" ", B1566="NA",NOT(ISNUMBER(B1566))), "Unknown",B1566&lt;18,"Underage",B1566&lt;=24,"Young Adult",B1566&lt;=34,"Early Career",B1566&lt;=44,"Mid Career",B1566&lt;=54,"Mature",B1566&lt;=65,"Pre-Senior",B1566&gt;65,"Senior")</f>
        <v>Early Career</v>
      </c>
      <c r="D1566" s="1" t="s">
        <v>29</v>
      </c>
      <c r="E1566" s="1" t="s">
        <v>13</v>
      </c>
      <c r="F1566" s="1">
        <v>1975000</v>
      </c>
      <c r="G1566" s="1">
        <v>50</v>
      </c>
      <c r="H1566" s="1" t="str" cm="1">
        <f t="array" ref="H1566">_xlfn.IFS( OR(G1566=" ",NOT(ISNUMBER(G1566))),"Unknown",G1566&lt;=33,"Low Spender",G1566&lt;=66,"Medium Spender",TRUE, "High Spender")</f>
        <v>Medium Spender</v>
      </c>
      <c r="I1566" s="1">
        <v>23</v>
      </c>
      <c r="J1566" s="1">
        <v>5900</v>
      </c>
      <c r="K1566" s="1">
        <v>93</v>
      </c>
      <c r="N1566" s="1" t="str">
        <f t="shared" si="48"/>
        <v>Higher</v>
      </c>
      <c r="O1566" s="1" t="str">
        <f t="shared" si="49"/>
        <v>Early Career | Medium Spender | Higher</v>
      </c>
    </row>
    <row r="1567" spans="1:15" x14ac:dyDescent="0.25">
      <c r="A1567" s="1" t="s">
        <v>1597</v>
      </c>
      <c r="B1567" s="1">
        <v>47</v>
      </c>
      <c r="C1567" s="1" t="str" cm="1">
        <f t="array" ref="C1567">_xlfn.IFS(OR(B1567=" ", B1567="NA",NOT(ISNUMBER(B1567))), "Unknown",B1567&lt;18,"Underage",B1567&lt;=24,"Young Adult",B1567&lt;=34,"Early Career",B1567&lt;=44,"Mid Career",B1567&lt;=54,"Mature",B1567&lt;=65,"Pre-Senior",B1567&gt;65,"Senior")</f>
        <v>Mature</v>
      </c>
      <c r="D1567" s="1" t="s">
        <v>29</v>
      </c>
      <c r="E1567" s="1" t="s">
        <v>19</v>
      </c>
      <c r="F1567" s="1">
        <v>1625000</v>
      </c>
      <c r="G1567" s="1">
        <v>3</v>
      </c>
      <c r="H1567" s="1" t="str" cm="1">
        <f t="array" ref="H1567">_xlfn.IFS( OR(G1567=" ",NOT(ISNUMBER(G1567))),"Unknown",G1567&lt;=33,"Low Spender",G1567&lt;=66,"Medium Spender",TRUE, "High Spender")</f>
        <v>Low Spender</v>
      </c>
      <c r="I1567" s="1">
        <v>12</v>
      </c>
      <c r="J1567" s="1">
        <v>5600</v>
      </c>
      <c r="K1567" s="1">
        <v>165</v>
      </c>
      <c r="L1567" s="1" t="s">
        <v>35</v>
      </c>
      <c r="M1567" s="1" t="s">
        <v>41</v>
      </c>
      <c r="N1567" s="1" t="str">
        <f t="shared" si="48"/>
        <v>Higher</v>
      </c>
      <c r="O1567" s="1" t="str">
        <f t="shared" si="49"/>
        <v>Mature | Low Spender | Higher</v>
      </c>
    </row>
    <row r="1568" spans="1:15" x14ac:dyDescent="0.25">
      <c r="A1568" s="1" t="s">
        <v>1598</v>
      </c>
      <c r="B1568" s="1">
        <v>63</v>
      </c>
      <c r="C1568" s="1" t="str" cm="1">
        <f t="array" ref="C1568">_xlfn.IFS(OR(B1568=" ", B1568="NA",NOT(ISNUMBER(B1568))), "Unknown",B1568&lt;18,"Underage",B1568&lt;=24,"Young Adult",B1568&lt;=34,"Early Career",B1568&lt;=44,"Mid Career",B1568&lt;=54,"Mature",B1568&lt;=65,"Pre-Senior",B1568&gt;65,"Senior")</f>
        <v>Pre-Senior</v>
      </c>
      <c r="F1568" s="1">
        <v>1700000</v>
      </c>
      <c r="G1568" s="1">
        <v>1</v>
      </c>
      <c r="H1568" s="1" t="str" cm="1">
        <f t="array" ref="H1568">_xlfn.IFS( OR(G1568=" ",NOT(ISNUMBER(G1568))),"Unknown",G1568&lt;=33,"Low Spender",G1568&lt;=66,"Medium Spender",TRUE, "High Spender")</f>
        <v>Low Spender</v>
      </c>
      <c r="I1568" s="1">
        <v>23</v>
      </c>
      <c r="J1568" s="1">
        <v>2100</v>
      </c>
      <c r="K1568" s="1">
        <v>215</v>
      </c>
      <c r="M1568" s="1" t="s">
        <v>21</v>
      </c>
      <c r="N1568" s="1" t="str">
        <f t="shared" si="48"/>
        <v>Lower</v>
      </c>
      <c r="O1568" s="1" t="str">
        <f t="shared" si="49"/>
        <v>Pre-Senior | Low Spender | Lower</v>
      </c>
    </row>
    <row r="1569" spans="1:15" x14ac:dyDescent="0.25">
      <c r="A1569" s="1" t="s">
        <v>1599</v>
      </c>
      <c r="B1569" s="1">
        <v>40</v>
      </c>
      <c r="C1569" s="1" t="str" cm="1">
        <f t="array" ref="C1569">_xlfn.IFS(OR(B1569=" ", B1569="NA",NOT(ISNUMBER(B1569))), "Unknown",B1569&lt;18,"Underage",B1569&lt;=24,"Young Adult",B1569&lt;=34,"Early Career",B1569&lt;=44,"Mid Career",B1569&lt;=54,"Mature",B1569&lt;=65,"Pre-Senior",B1569&gt;65,"Senior")</f>
        <v>Mid Career</v>
      </c>
      <c r="E1569" s="1" t="s">
        <v>19</v>
      </c>
      <c r="F1569" s="1">
        <v>1750000</v>
      </c>
      <c r="G1569" s="1">
        <v>17</v>
      </c>
      <c r="H1569" s="1" t="str" cm="1">
        <f t="array" ref="H1569">_xlfn.IFS( OR(G1569=" ",NOT(ISNUMBER(G1569))),"Unknown",G1569&lt;=33,"Low Spender",G1569&lt;=66,"Medium Spender",TRUE, "High Spender")</f>
        <v>Low Spender</v>
      </c>
      <c r="I1569" s="1">
        <v>21</v>
      </c>
      <c r="J1569" s="1">
        <v>6900</v>
      </c>
      <c r="K1569" s="1">
        <v>144</v>
      </c>
      <c r="M1569" s="1" t="s">
        <v>41</v>
      </c>
      <c r="N1569" s="1" t="str">
        <f t="shared" si="48"/>
        <v>Lower</v>
      </c>
      <c r="O1569" s="1" t="str">
        <f t="shared" si="49"/>
        <v>Mid Career | Low Spender | Lower</v>
      </c>
    </row>
    <row r="1570" spans="1:15" x14ac:dyDescent="0.25">
      <c r="A1570" s="1" t="s">
        <v>1600</v>
      </c>
      <c r="B1570" s="1">
        <v>49</v>
      </c>
      <c r="C1570" s="1" t="str" cm="1">
        <f t="array" ref="C1570">_xlfn.IFS(OR(B1570=" ", B1570="NA",NOT(ISNUMBER(B1570))), "Unknown",B1570&lt;18,"Underage",B1570&lt;=24,"Young Adult",B1570&lt;=34,"Early Career",B1570&lt;=44,"Mid Career",B1570&lt;=54,"Mature",B1570&lt;=65,"Pre-Senior",B1570&gt;65,"Senior")</f>
        <v>Mature</v>
      </c>
      <c r="D1570" s="1" t="s">
        <v>18</v>
      </c>
      <c r="E1570" s="1" t="s">
        <v>13</v>
      </c>
      <c r="F1570" s="1">
        <v>1425000</v>
      </c>
      <c r="G1570" s="1">
        <v>71</v>
      </c>
      <c r="H1570" s="1" t="str" cm="1">
        <f t="array" ref="H1570">_xlfn.IFS( OR(G1570=" ",NOT(ISNUMBER(G1570))),"Unknown",G1570&lt;=33,"Low Spender",G1570&lt;=66,"Medium Spender",TRUE, "High Spender")</f>
        <v>High Spender</v>
      </c>
      <c r="I1570" s="1">
        <v>64</v>
      </c>
      <c r="J1570" s="1">
        <v>4800</v>
      </c>
      <c r="K1570" s="1">
        <v>274</v>
      </c>
      <c r="L1570" s="1" t="s">
        <v>20</v>
      </c>
      <c r="M1570" s="1" t="s">
        <v>41</v>
      </c>
      <c r="N1570" s="1" t="str">
        <f t="shared" si="48"/>
        <v>Higher</v>
      </c>
      <c r="O1570" s="1" t="str">
        <f t="shared" si="49"/>
        <v>Mature | High Spender | Higher</v>
      </c>
    </row>
    <row r="1571" spans="1:15" x14ac:dyDescent="0.25">
      <c r="A1571" s="1" t="s">
        <v>1601</v>
      </c>
      <c r="B1571" s="1">
        <v>34</v>
      </c>
      <c r="C1571" s="1" t="str" cm="1">
        <f t="array" ref="C1571">_xlfn.IFS(OR(B1571=" ", B1571="NA",NOT(ISNUMBER(B1571))), "Unknown",B1571&lt;18,"Underage",B1571&lt;=24,"Young Adult",B1571&lt;=34,"Early Career",B1571&lt;=44,"Mid Career",B1571&lt;=54,"Mature",B1571&lt;=65,"Pre-Senior",B1571&gt;65,"Senior")</f>
        <v>Early Career</v>
      </c>
      <c r="D1571" s="1" t="s">
        <v>18</v>
      </c>
      <c r="G1571" s="1">
        <v>62</v>
      </c>
      <c r="H1571" s="1" t="str" cm="1">
        <f t="array" ref="H1571">_xlfn.IFS( OR(G1571=" ",NOT(ISNUMBER(G1571))),"Unknown",G1571&lt;=33,"Low Spender",G1571&lt;=66,"Medium Spender",TRUE, "High Spender")</f>
        <v>Medium Spender</v>
      </c>
      <c r="I1571" s="1">
        <v>72</v>
      </c>
      <c r="J1571" s="1">
        <v>9600</v>
      </c>
      <c r="K1571" s="1">
        <v>138</v>
      </c>
      <c r="L1571" s="1" t="s">
        <v>37</v>
      </c>
      <c r="N1571" s="1" t="str">
        <f t="shared" si="48"/>
        <v>Higher</v>
      </c>
      <c r="O1571" s="1" t="str">
        <f t="shared" si="49"/>
        <v>Early Career | Medium Spender | Higher</v>
      </c>
    </row>
    <row r="1572" spans="1:15" x14ac:dyDescent="0.25">
      <c r="A1572" s="1" t="s">
        <v>1602</v>
      </c>
      <c r="B1572" s="1">
        <v>67</v>
      </c>
      <c r="C1572" s="1" t="str" cm="1">
        <f t="array" ref="C1572">_xlfn.IFS(OR(B1572=" ", B1572="NA",NOT(ISNUMBER(B1572))), "Unknown",B1572&lt;18,"Underage",B1572&lt;=24,"Young Adult",B1572&lt;=34,"Early Career",B1572&lt;=44,"Mid Career",B1572&lt;=54,"Mature",B1572&lt;=65,"Pre-Senior",B1572&gt;65,"Senior")</f>
        <v>Senior</v>
      </c>
      <c r="D1572" s="1" t="s">
        <v>29</v>
      </c>
      <c r="F1572" s="1">
        <v>475000</v>
      </c>
      <c r="G1572" s="1">
        <v>48</v>
      </c>
      <c r="H1572" s="1" t="str" cm="1">
        <f t="array" ref="H1572">_xlfn.IFS( OR(G1572=" ",NOT(ISNUMBER(G1572))),"Unknown",G1572&lt;=33,"Low Spender",G1572&lt;=66,"Medium Spender",TRUE, "High Spender")</f>
        <v>Medium Spender</v>
      </c>
      <c r="I1572" s="1">
        <v>34</v>
      </c>
      <c r="J1572" s="1">
        <v>1200</v>
      </c>
      <c r="K1572" s="1">
        <v>204</v>
      </c>
      <c r="N1572" s="1" t="str">
        <f t="shared" si="48"/>
        <v>Higher</v>
      </c>
      <c r="O1572" s="1" t="str">
        <f t="shared" si="49"/>
        <v>Senior | Medium Spender | Higher</v>
      </c>
    </row>
    <row r="1573" spans="1:15" x14ac:dyDescent="0.25">
      <c r="A1573" s="1" t="s">
        <v>1603</v>
      </c>
      <c r="B1573" s="1">
        <v>68</v>
      </c>
      <c r="C1573" s="1" t="str" cm="1">
        <f t="array" ref="C1573">_xlfn.IFS(OR(B1573=" ", B1573="NA",NOT(ISNUMBER(B1573))), "Unknown",B1573&lt;18,"Underage",B1573&lt;=24,"Young Adult",B1573&lt;=34,"Early Career",B1573&lt;=44,"Mid Career",B1573&lt;=54,"Mature",B1573&lt;=65,"Pre-Senior",B1573&gt;65,"Senior")</f>
        <v>Senior</v>
      </c>
      <c r="D1573" s="1" t="s">
        <v>18</v>
      </c>
      <c r="E1573" s="1" t="s">
        <v>27</v>
      </c>
      <c r="F1573" s="1">
        <v>1925000</v>
      </c>
      <c r="G1573" s="1">
        <v>62</v>
      </c>
      <c r="H1573" s="1" t="str" cm="1">
        <f t="array" ref="H1573">_xlfn.IFS( OR(G1573=" ",NOT(ISNUMBER(G1573))),"Unknown",G1573&lt;=33,"Low Spender",G1573&lt;=66,"Medium Spender",TRUE, "High Spender")</f>
        <v>Medium Spender</v>
      </c>
      <c r="I1573" s="1">
        <v>2</v>
      </c>
      <c r="J1573" s="1">
        <v>11500</v>
      </c>
      <c r="K1573" s="1">
        <v>302</v>
      </c>
      <c r="N1573" s="1" t="str">
        <f t="shared" si="48"/>
        <v>Higher</v>
      </c>
      <c r="O1573" s="1" t="str">
        <f t="shared" si="49"/>
        <v>Senior | Medium Spender | Higher</v>
      </c>
    </row>
    <row r="1574" spans="1:15" x14ac:dyDescent="0.25">
      <c r="A1574" s="1" t="s">
        <v>1604</v>
      </c>
      <c r="B1574" s="1">
        <v>34</v>
      </c>
      <c r="C1574" s="1" t="str" cm="1">
        <f t="array" ref="C1574">_xlfn.IFS(OR(B1574=" ", B1574="NA",NOT(ISNUMBER(B1574))), "Unknown",B1574&lt;18,"Underage",B1574&lt;=24,"Young Adult",B1574&lt;=34,"Early Career",B1574&lt;=44,"Mid Career",B1574&lt;=54,"Mature",B1574&lt;=65,"Pre-Senior",B1574&gt;65,"Senior")</f>
        <v>Early Career</v>
      </c>
      <c r="E1574" s="1" t="s">
        <v>15</v>
      </c>
      <c r="F1574" s="1">
        <v>1825000</v>
      </c>
      <c r="G1574" s="1">
        <v>69</v>
      </c>
      <c r="H1574" s="1" t="str" cm="1">
        <f t="array" ref="H1574">_xlfn.IFS( OR(G1574=" ",NOT(ISNUMBER(G1574))),"Unknown",G1574&lt;=33,"Low Spender",G1574&lt;=66,"Medium Spender",TRUE, "High Spender")</f>
        <v>High Spender</v>
      </c>
      <c r="I1574" s="1">
        <v>69</v>
      </c>
      <c r="J1574" s="1">
        <v>9500</v>
      </c>
      <c r="K1574" s="1">
        <v>210</v>
      </c>
      <c r="L1574" s="1" t="s">
        <v>37</v>
      </c>
      <c r="N1574" s="1" t="str">
        <f t="shared" si="48"/>
        <v>Lower</v>
      </c>
      <c r="O1574" s="1" t="str">
        <f t="shared" si="49"/>
        <v>Early Career | High Spender | Lower</v>
      </c>
    </row>
    <row r="1575" spans="1:15" x14ac:dyDescent="0.25">
      <c r="A1575" s="1" t="s">
        <v>1605</v>
      </c>
      <c r="B1575" s="1">
        <v>31</v>
      </c>
      <c r="C1575" s="1" t="str" cm="1">
        <f t="array" ref="C1575">_xlfn.IFS(OR(B1575=" ", B1575="NA",NOT(ISNUMBER(B1575))), "Unknown",B1575&lt;18,"Underage",B1575&lt;=24,"Young Adult",B1575&lt;=34,"Early Career",B1575&lt;=44,"Mid Career",B1575&lt;=54,"Mature",B1575&lt;=65,"Pre-Senior",B1575&gt;65,"Senior")</f>
        <v>Early Career</v>
      </c>
      <c r="E1575" s="1" t="s">
        <v>58</v>
      </c>
      <c r="F1575" s="1">
        <v>825000</v>
      </c>
      <c r="G1575" s="1">
        <v>19</v>
      </c>
      <c r="H1575" s="1" t="str" cm="1">
        <f t="array" ref="H1575">_xlfn.IFS( OR(G1575=" ",NOT(ISNUMBER(G1575))),"Unknown",G1575&lt;=33,"Low Spender",G1575&lt;=66,"Medium Spender",TRUE, "High Spender")</f>
        <v>Low Spender</v>
      </c>
      <c r="I1575" s="1">
        <v>31</v>
      </c>
      <c r="J1575" s="1">
        <v>10600</v>
      </c>
      <c r="K1575" s="1">
        <v>19</v>
      </c>
      <c r="M1575" s="1" t="s">
        <v>41</v>
      </c>
      <c r="N1575" s="1" t="str">
        <f t="shared" si="48"/>
        <v>Lower</v>
      </c>
      <c r="O1575" s="1" t="str">
        <f t="shared" si="49"/>
        <v>Early Career | Low Spender | Lower</v>
      </c>
    </row>
    <row r="1576" spans="1:15" x14ac:dyDescent="0.25">
      <c r="A1576" s="1" t="s">
        <v>1606</v>
      </c>
      <c r="B1576" s="1">
        <v>26</v>
      </c>
      <c r="C1576" s="1" t="str" cm="1">
        <f t="array" ref="C1576">_xlfn.IFS(OR(B1576=" ", B1576="NA",NOT(ISNUMBER(B1576))), "Unknown",B1576&lt;18,"Underage",B1576&lt;=24,"Young Adult",B1576&lt;=34,"Early Career",B1576&lt;=44,"Mid Career",B1576&lt;=54,"Mature",B1576&lt;=65,"Pre-Senior",B1576&gt;65,"Senior")</f>
        <v>Early Career</v>
      </c>
      <c r="D1576" s="1" t="s">
        <v>29</v>
      </c>
      <c r="E1576" s="1" t="s">
        <v>49</v>
      </c>
      <c r="F1576" s="1">
        <v>1900000</v>
      </c>
      <c r="G1576" s="1">
        <v>34</v>
      </c>
      <c r="H1576" s="1" t="str" cm="1">
        <f t="array" ref="H1576">_xlfn.IFS( OR(G1576=" ",NOT(ISNUMBER(G1576))),"Unknown",G1576&lt;=33,"Low Spender",G1576&lt;=66,"Medium Spender",TRUE, "High Spender")</f>
        <v>Medium Spender</v>
      </c>
      <c r="I1576" s="1">
        <v>68</v>
      </c>
      <c r="J1576" s="1">
        <v>2000</v>
      </c>
      <c r="K1576" s="1">
        <v>294</v>
      </c>
      <c r="N1576" s="1" t="str">
        <f t="shared" si="48"/>
        <v>Higher</v>
      </c>
      <c r="O1576" s="1" t="str">
        <f t="shared" si="49"/>
        <v>Early Career | Medium Spender | Higher</v>
      </c>
    </row>
    <row r="1577" spans="1:15" x14ac:dyDescent="0.25">
      <c r="A1577" s="1" t="s">
        <v>1607</v>
      </c>
      <c r="B1577" s="1">
        <v>57</v>
      </c>
      <c r="C1577" s="1" t="str" cm="1">
        <f t="array" ref="C1577">_xlfn.IFS(OR(B1577=" ", B1577="NA",NOT(ISNUMBER(B1577))), "Unknown",B1577&lt;18,"Underage",B1577&lt;=24,"Young Adult",B1577&lt;=34,"Early Career",B1577&lt;=44,"Mid Career",B1577&lt;=54,"Mature",B1577&lt;=65,"Pre-Senior",B1577&gt;65,"Senior")</f>
        <v>Pre-Senior</v>
      </c>
      <c r="D1577" s="1" t="s">
        <v>29</v>
      </c>
      <c r="E1577" s="1" t="s">
        <v>27</v>
      </c>
      <c r="F1577" s="1">
        <v>375000</v>
      </c>
      <c r="G1577" s="1">
        <v>99</v>
      </c>
      <c r="H1577" s="1" t="str" cm="1">
        <f t="array" ref="H1577">_xlfn.IFS( OR(G1577=" ",NOT(ISNUMBER(G1577))),"Unknown",G1577&lt;=33,"Low Spender",G1577&lt;=66,"Medium Spender",TRUE, "High Spender")</f>
        <v>High Spender</v>
      </c>
      <c r="I1577" s="1">
        <v>70</v>
      </c>
      <c r="J1577" s="1">
        <v>1400</v>
      </c>
      <c r="K1577" s="1">
        <v>293</v>
      </c>
      <c r="N1577" s="1" t="str">
        <f t="shared" si="48"/>
        <v>Higher</v>
      </c>
      <c r="O1577" s="1" t="str">
        <f t="shared" si="49"/>
        <v>Pre-Senior | High Spender | Higher</v>
      </c>
    </row>
    <row r="1578" spans="1:15" x14ac:dyDescent="0.25">
      <c r="A1578" s="1" t="s">
        <v>1608</v>
      </c>
      <c r="B1578" s="1">
        <v>19</v>
      </c>
      <c r="C1578" s="1" t="str" cm="1">
        <f t="array" ref="C1578">_xlfn.IFS(OR(B1578=" ", B1578="NA",NOT(ISNUMBER(B1578))), "Unknown",B1578&lt;18,"Underage",B1578&lt;=24,"Young Adult",B1578&lt;=34,"Early Career",B1578&lt;=44,"Mid Career",B1578&lt;=54,"Mature",B1578&lt;=65,"Pre-Senior",B1578&gt;65,"Senior")</f>
        <v>Young Adult</v>
      </c>
      <c r="D1578" s="1" t="s">
        <v>29</v>
      </c>
      <c r="E1578" s="1" t="s">
        <v>34</v>
      </c>
      <c r="F1578" s="1">
        <v>1550000</v>
      </c>
      <c r="G1578" s="1">
        <v>49</v>
      </c>
      <c r="H1578" s="1" t="str" cm="1">
        <f t="array" ref="H1578">_xlfn.IFS( OR(G1578=" ",NOT(ISNUMBER(G1578))),"Unknown",G1578&lt;=33,"Low Spender",G1578&lt;=66,"Medium Spender",TRUE, "High Spender")</f>
        <v>Medium Spender</v>
      </c>
      <c r="I1578" s="1">
        <v>19</v>
      </c>
      <c r="J1578" s="1">
        <v>5100</v>
      </c>
      <c r="K1578" s="1">
        <v>301</v>
      </c>
      <c r="L1578" s="1" t="s">
        <v>16</v>
      </c>
      <c r="M1578" s="1" t="s">
        <v>30</v>
      </c>
      <c r="N1578" s="1" t="str">
        <f t="shared" si="48"/>
        <v>Higher</v>
      </c>
      <c r="O1578" s="1" t="str">
        <f t="shared" si="49"/>
        <v>Young Adult | Medium Spender | Higher</v>
      </c>
    </row>
    <row r="1579" spans="1:15" x14ac:dyDescent="0.25">
      <c r="A1579" s="1" t="s">
        <v>1609</v>
      </c>
      <c r="B1579" s="1">
        <v>62</v>
      </c>
      <c r="C1579" s="1" t="str" cm="1">
        <f t="array" ref="C1579">_xlfn.IFS(OR(B1579=" ", B1579="NA",NOT(ISNUMBER(B1579))), "Unknown",B1579&lt;18,"Underage",B1579&lt;=24,"Young Adult",B1579&lt;=34,"Early Career",B1579&lt;=44,"Mid Career",B1579&lt;=54,"Mature",B1579&lt;=65,"Pre-Senior",B1579&gt;65,"Senior")</f>
        <v>Pre-Senior</v>
      </c>
      <c r="D1579" s="1" t="s">
        <v>18</v>
      </c>
      <c r="E1579" s="1" t="s">
        <v>19</v>
      </c>
      <c r="F1579" s="1">
        <v>1775000</v>
      </c>
      <c r="G1579" s="1">
        <v>80</v>
      </c>
      <c r="H1579" s="1" t="str" cm="1">
        <f t="array" ref="H1579">_xlfn.IFS( OR(G1579=" ",NOT(ISNUMBER(G1579))),"Unknown",G1579&lt;=33,"Low Spender",G1579&lt;=66,"Medium Spender",TRUE, "High Spender")</f>
        <v>High Spender</v>
      </c>
      <c r="I1579" s="1">
        <v>72</v>
      </c>
      <c r="J1579" s="1">
        <v>2500</v>
      </c>
      <c r="K1579" s="1">
        <v>162</v>
      </c>
      <c r="M1579" s="1" t="s">
        <v>30</v>
      </c>
      <c r="N1579" s="1" t="str">
        <f t="shared" si="48"/>
        <v>Higher</v>
      </c>
      <c r="O1579" s="1" t="str">
        <f t="shared" si="49"/>
        <v>Pre-Senior | High Spender | Higher</v>
      </c>
    </row>
    <row r="1580" spans="1:15" x14ac:dyDescent="0.25">
      <c r="A1580" s="1" t="s">
        <v>1610</v>
      </c>
      <c r="B1580" s="1">
        <v>42</v>
      </c>
      <c r="C1580" s="1" t="str" cm="1">
        <f t="array" ref="C1580">_xlfn.IFS(OR(B1580=" ", B1580="NA",NOT(ISNUMBER(B1580))), "Unknown",B1580&lt;18,"Underage",B1580&lt;=24,"Young Adult",B1580&lt;=34,"Early Career",B1580&lt;=44,"Mid Career",B1580&lt;=54,"Mature",B1580&lt;=65,"Pre-Senior",B1580&gt;65,"Senior")</f>
        <v>Mid Career</v>
      </c>
      <c r="E1580" s="1" t="s">
        <v>15</v>
      </c>
      <c r="F1580" s="1">
        <v>1375000</v>
      </c>
      <c r="G1580" s="1">
        <v>47</v>
      </c>
      <c r="H1580" s="1" t="str" cm="1">
        <f t="array" ref="H1580">_xlfn.IFS( OR(G1580=" ",NOT(ISNUMBER(G1580))),"Unknown",G1580&lt;=33,"Low Spender",G1580&lt;=66,"Medium Spender",TRUE, "High Spender")</f>
        <v>Medium Spender</v>
      </c>
      <c r="I1580" s="1">
        <v>13</v>
      </c>
      <c r="J1580" s="1">
        <v>6400</v>
      </c>
      <c r="K1580" s="1">
        <v>130</v>
      </c>
      <c r="M1580" s="1" t="s">
        <v>32</v>
      </c>
      <c r="N1580" s="1" t="str">
        <f t="shared" si="48"/>
        <v>Lower</v>
      </c>
      <c r="O1580" s="1" t="str">
        <f t="shared" si="49"/>
        <v>Mid Career | Medium Spender | Lower</v>
      </c>
    </row>
    <row r="1581" spans="1:15" x14ac:dyDescent="0.25">
      <c r="A1581" s="1" t="s">
        <v>1611</v>
      </c>
      <c r="B1581" s="1">
        <v>56</v>
      </c>
      <c r="C1581" s="1" t="str" cm="1">
        <f t="array" ref="C1581">_xlfn.IFS(OR(B1581=" ", B1581="NA",NOT(ISNUMBER(B1581))), "Unknown",B1581&lt;18,"Underage",B1581&lt;=24,"Young Adult",B1581&lt;=34,"Early Career",B1581&lt;=44,"Mid Career",B1581&lt;=54,"Mature",B1581&lt;=65,"Pre-Senior",B1581&gt;65,"Senior")</f>
        <v>Pre-Senior</v>
      </c>
      <c r="D1581" s="1" t="s">
        <v>29</v>
      </c>
      <c r="E1581" s="1" t="s">
        <v>19</v>
      </c>
      <c r="F1581" s="1">
        <v>475000</v>
      </c>
      <c r="G1581" s="1">
        <v>91</v>
      </c>
      <c r="H1581" s="1" t="str" cm="1">
        <f t="array" ref="H1581">_xlfn.IFS( OR(G1581=" ",NOT(ISNUMBER(G1581))),"Unknown",G1581&lt;=33,"Low Spender",G1581&lt;=66,"Medium Spender",TRUE, "High Spender")</f>
        <v>High Spender</v>
      </c>
      <c r="I1581" s="1">
        <v>65</v>
      </c>
      <c r="J1581" s="1">
        <v>1300</v>
      </c>
      <c r="K1581" s="1">
        <v>44</v>
      </c>
      <c r="M1581" s="1" t="s">
        <v>21</v>
      </c>
      <c r="N1581" s="1" t="str">
        <f t="shared" si="48"/>
        <v>Higher</v>
      </c>
      <c r="O1581" s="1" t="str">
        <f t="shared" si="49"/>
        <v>Pre-Senior | High Spender | Higher</v>
      </c>
    </row>
    <row r="1582" spans="1:15" x14ac:dyDescent="0.25">
      <c r="A1582" s="1" t="s">
        <v>1612</v>
      </c>
      <c r="B1582" s="1">
        <v>26</v>
      </c>
      <c r="C1582" s="1" t="str" cm="1">
        <f t="array" ref="C1582">_xlfn.IFS(OR(B1582=" ", B1582="NA",NOT(ISNUMBER(B1582))), "Unknown",B1582&lt;18,"Underage",B1582&lt;=24,"Young Adult",B1582&lt;=34,"Early Career",B1582&lt;=44,"Mid Career",B1582&lt;=54,"Mature",B1582&lt;=65,"Pre-Senior",B1582&gt;65,"Senior")</f>
        <v>Early Career</v>
      </c>
      <c r="D1582" s="1" t="s">
        <v>29</v>
      </c>
      <c r="E1582" s="1" t="s">
        <v>19</v>
      </c>
      <c r="F1582" s="1">
        <v>525000</v>
      </c>
      <c r="H1582" s="1" t="str" cm="1">
        <f t="array" ref="H1582">_xlfn.IFS( OR(G1582=" ",NOT(ISNUMBER(G1582))),"Unknown",G1582&lt;=33,"Low Spender",G1582&lt;=66,"Medium Spender",TRUE, "High Spender")</f>
        <v>Unknown</v>
      </c>
      <c r="I1582" s="1">
        <v>6</v>
      </c>
      <c r="J1582" s="1">
        <v>7500</v>
      </c>
      <c r="K1582" s="1">
        <v>353</v>
      </c>
      <c r="L1582" s="1" t="s">
        <v>16</v>
      </c>
      <c r="M1582" s="1" t="s">
        <v>21</v>
      </c>
      <c r="N1582" s="1" t="str">
        <f t="shared" si="48"/>
        <v>Higher</v>
      </c>
      <c r="O1582" s="1" t="str">
        <f t="shared" si="49"/>
        <v>Early Career | Unknown | Higher</v>
      </c>
    </row>
    <row r="1583" spans="1:15" x14ac:dyDescent="0.25">
      <c r="A1583" s="1" t="s">
        <v>1613</v>
      </c>
      <c r="C1583" s="1" t="str" cm="1">
        <f t="array" ref="C1583">_xlfn.IFS(OR(B1583=" ", B1583="NA",NOT(ISNUMBER(B1583))), "Unknown",B1583&lt;18,"Underage",B1583&lt;=24,"Young Adult",B1583&lt;=34,"Early Career",B1583&lt;=44,"Mid Career",B1583&lt;=54,"Mature",B1583&lt;=65,"Pre-Senior",B1583&gt;65,"Senior")</f>
        <v>Unknown</v>
      </c>
      <c r="D1583" s="1" t="s">
        <v>18</v>
      </c>
      <c r="E1583" s="1" t="s">
        <v>27</v>
      </c>
      <c r="F1583" s="1">
        <v>1475000</v>
      </c>
      <c r="G1583" s="1">
        <v>50</v>
      </c>
      <c r="H1583" s="1" t="str" cm="1">
        <f t="array" ref="H1583">_xlfn.IFS( OR(G1583=" ",NOT(ISNUMBER(G1583))),"Unknown",G1583&lt;=33,"Low Spender",G1583&lt;=66,"Medium Spender",TRUE, "High Spender")</f>
        <v>Medium Spender</v>
      </c>
      <c r="I1583" s="1">
        <v>71</v>
      </c>
      <c r="K1583" s="1">
        <v>83</v>
      </c>
      <c r="L1583" s="1" t="s">
        <v>35</v>
      </c>
      <c r="N1583" s="1" t="str">
        <f t="shared" si="48"/>
        <v>Higher</v>
      </c>
      <c r="O1583" s="1" t="str">
        <f t="shared" si="49"/>
        <v>Unknown | Medium Spender | Higher</v>
      </c>
    </row>
    <row r="1584" spans="1:15" x14ac:dyDescent="0.25">
      <c r="A1584" s="1" t="s">
        <v>1614</v>
      </c>
      <c r="B1584" s="1">
        <v>39</v>
      </c>
      <c r="C1584" s="1" t="str" cm="1">
        <f t="array" ref="C1584">_xlfn.IFS(OR(B1584=" ", B1584="NA",NOT(ISNUMBER(B1584))), "Unknown",B1584&lt;18,"Underage",B1584&lt;=24,"Young Adult",B1584&lt;=34,"Early Career",B1584&lt;=44,"Mid Career",B1584&lt;=54,"Mature",B1584&lt;=65,"Pre-Senior",B1584&gt;65,"Senior")</f>
        <v>Mid Career</v>
      </c>
      <c r="D1584" s="1" t="s">
        <v>18</v>
      </c>
      <c r="F1584" s="1">
        <v>1200000</v>
      </c>
      <c r="G1584" s="1">
        <v>89</v>
      </c>
      <c r="H1584" s="1" t="str" cm="1">
        <f t="array" ref="H1584">_xlfn.IFS( OR(G1584=" ",NOT(ISNUMBER(G1584))),"Unknown",G1584&lt;=33,"Low Spender",G1584&lt;=66,"Medium Spender",TRUE, "High Spender")</f>
        <v>High Spender</v>
      </c>
      <c r="I1584" s="1">
        <v>27</v>
      </c>
      <c r="J1584" s="1">
        <v>5800</v>
      </c>
      <c r="K1584" s="1">
        <v>124</v>
      </c>
      <c r="L1584" s="1" t="s">
        <v>35</v>
      </c>
      <c r="M1584" s="1" t="s">
        <v>32</v>
      </c>
      <c r="N1584" s="1" t="str">
        <f t="shared" si="48"/>
        <v>Higher</v>
      </c>
      <c r="O1584" s="1" t="str">
        <f t="shared" si="49"/>
        <v>Mid Career | High Spender | Higher</v>
      </c>
    </row>
    <row r="1585" spans="1:15" x14ac:dyDescent="0.25">
      <c r="A1585" s="1" t="s">
        <v>1615</v>
      </c>
      <c r="B1585" s="1">
        <v>60</v>
      </c>
      <c r="C1585" s="1" t="str" cm="1">
        <f t="array" ref="C1585">_xlfn.IFS(OR(B1585=" ", B1585="NA",NOT(ISNUMBER(B1585))), "Unknown",B1585&lt;18,"Underage",B1585&lt;=24,"Young Adult",B1585&lt;=34,"Early Career",B1585&lt;=44,"Mid Career",B1585&lt;=54,"Mature",B1585&lt;=65,"Pre-Senior",B1585&gt;65,"Senior")</f>
        <v>Pre-Senior</v>
      </c>
      <c r="F1585" s="1">
        <v>1175000</v>
      </c>
      <c r="G1585" s="1">
        <v>26</v>
      </c>
      <c r="H1585" s="1" t="str" cm="1">
        <f t="array" ref="H1585">_xlfn.IFS( OR(G1585=" ",NOT(ISNUMBER(G1585))),"Unknown",G1585&lt;=33,"Low Spender",G1585&lt;=66,"Medium Spender",TRUE, "High Spender")</f>
        <v>Low Spender</v>
      </c>
      <c r="I1585" s="1">
        <v>79</v>
      </c>
      <c r="J1585" s="1">
        <v>9000</v>
      </c>
      <c r="K1585" s="1">
        <v>27</v>
      </c>
      <c r="L1585" s="1" t="s">
        <v>16</v>
      </c>
      <c r="M1585" s="1" t="s">
        <v>32</v>
      </c>
      <c r="N1585" s="1" t="str">
        <f t="shared" si="48"/>
        <v>Lower</v>
      </c>
      <c r="O1585" s="1" t="str">
        <f t="shared" si="49"/>
        <v>Pre-Senior | Low Spender | Lower</v>
      </c>
    </row>
    <row r="1586" spans="1:15" x14ac:dyDescent="0.25">
      <c r="A1586" s="1" t="s">
        <v>1616</v>
      </c>
      <c r="B1586" s="1">
        <v>63</v>
      </c>
      <c r="C1586" s="1" t="str" cm="1">
        <f t="array" ref="C1586">_xlfn.IFS(OR(B1586=" ", B1586="NA",NOT(ISNUMBER(B1586))), "Unknown",B1586&lt;18,"Underage",B1586&lt;=24,"Young Adult",B1586&lt;=34,"Early Career",B1586&lt;=44,"Mid Career",B1586&lt;=54,"Mature",B1586&lt;=65,"Pre-Senior",B1586&gt;65,"Senior")</f>
        <v>Pre-Senior</v>
      </c>
      <c r="D1586" s="1" t="s">
        <v>29</v>
      </c>
      <c r="E1586" s="1" t="s">
        <v>58</v>
      </c>
      <c r="F1586" s="1">
        <v>675000</v>
      </c>
      <c r="G1586" s="1">
        <v>56</v>
      </c>
      <c r="H1586" s="1" t="str" cm="1">
        <f t="array" ref="H1586">_xlfn.IFS( OR(G1586=" ",NOT(ISNUMBER(G1586))),"Unknown",G1586&lt;=33,"Low Spender",G1586&lt;=66,"Medium Spender",TRUE, "High Spender")</f>
        <v>Medium Spender</v>
      </c>
      <c r="I1586" s="1">
        <v>52</v>
      </c>
      <c r="J1586" s="1">
        <v>9100</v>
      </c>
      <c r="K1586" s="1">
        <v>304</v>
      </c>
      <c r="L1586" s="1" t="s">
        <v>16</v>
      </c>
      <c r="N1586" s="1" t="str">
        <f t="shared" si="48"/>
        <v>Higher</v>
      </c>
      <c r="O1586" s="1" t="str">
        <f t="shared" si="49"/>
        <v>Pre-Senior | Medium Spender | Higher</v>
      </c>
    </row>
    <row r="1587" spans="1:15" x14ac:dyDescent="0.25">
      <c r="A1587" s="1" t="s">
        <v>1617</v>
      </c>
      <c r="B1587" s="1">
        <v>21</v>
      </c>
      <c r="C1587" s="1" t="str" cm="1">
        <f t="array" ref="C1587">_xlfn.IFS(OR(B1587=" ", B1587="NA",NOT(ISNUMBER(B1587))), "Unknown",B1587&lt;18,"Underage",B1587&lt;=24,"Young Adult",B1587&lt;=34,"Early Career",B1587&lt;=44,"Mid Career",B1587&lt;=54,"Mature",B1587&lt;=65,"Pre-Senior",B1587&gt;65,"Senior")</f>
        <v>Young Adult</v>
      </c>
      <c r="D1587" s="1" t="s">
        <v>29</v>
      </c>
      <c r="F1587" s="1">
        <v>1825000</v>
      </c>
      <c r="G1587" s="1">
        <v>78</v>
      </c>
      <c r="H1587" s="1" t="str" cm="1">
        <f t="array" ref="H1587">_xlfn.IFS( OR(G1587=" ",NOT(ISNUMBER(G1587))),"Unknown",G1587&lt;=33,"Low Spender",G1587&lt;=66,"Medium Spender",TRUE, "High Spender")</f>
        <v>High Spender</v>
      </c>
      <c r="I1587" s="1">
        <v>48</v>
      </c>
      <c r="J1587" s="1">
        <v>5700</v>
      </c>
      <c r="K1587" s="1">
        <v>350</v>
      </c>
      <c r="L1587" s="1" t="s">
        <v>35</v>
      </c>
      <c r="M1587" s="1" t="s">
        <v>30</v>
      </c>
      <c r="N1587" s="1" t="str">
        <f t="shared" si="48"/>
        <v>Higher</v>
      </c>
      <c r="O1587" s="1" t="str">
        <f t="shared" si="49"/>
        <v>Young Adult | High Spender | Higher</v>
      </c>
    </row>
    <row r="1588" spans="1:15" x14ac:dyDescent="0.25">
      <c r="A1588" s="1" t="s">
        <v>1618</v>
      </c>
      <c r="B1588" s="1">
        <v>43</v>
      </c>
      <c r="C1588" s="1" t="str" cm="1">
        <f t="array" ref="C1588">_xlfn.IFS(OR(B1588=" ", B1588="NA",NOT(ISNUMBER(B1588))), "Unknown",B1588&lt;18,"Underage",B1588&lt;=24,"Young Adult",B1588&lt;=34,"Early Career",B1588&lt;=44,"Mid Career",B1588&lt;=54,"Mature",B1588&lt;=65,"Pre-Senior",B1588&gt;65,"Senior")</f>
        <v>Mid Career</v>
      </c>
      <c r="D1588" s="1" t="s">
        <v>12</v>
      </c>
      <c r="E1588" s="1" t="s">
        <v>19</v>
      </c>
      <c r="F1588" s="1">
        <v>600000</v>
      </c>
      <c r="G1588" s="1">
        <v>14</v>
      </c>
      <c r="H1588" s="1" t="str" cm="1">
        <f t="array" ref="H1588">_xlfn.IFS( OR(G1588=" ",NOT(ISNUMBER(G1588))),"Unknown",G1588&lt;=33,"Low Spender",G1588&lt;=66,"Medium Spender",TRUE, "High Spender")</f>
        <v>Low Spender</v>
      </c>
      <c r="I1588" s="1">
        <v>79</v>
      </c>
      <c r="J1588" s="1">
        <v>2700</v>
      </c>
      <c r="K1588" s="1">
        <v>7</v>
      </c>
      <c r="L1588" s="1" t="s">
        <v>35</v>
      </c>
      <c r="M1588" s="1" t="s">
        <v>32</v>
      </c>
      <c r="N1588" s="1" t="str">
        <f t="shared" si="48"/>
        <v>Lower</v>
      </c>
      <c r="O1588" s="1" t="str">
        <f t="shared" si="49"/>
        <v>Mid Career | Low Spender | Lower</v>
      </c>
    </row>
    <row r="1589" spans="1:15" x14ac:dyDescent="0.25">
      <c r="A1589" s="1" t="s">
        <v>1619</v>
      </c>
      <c r="B1589" s="1">
        <v>46</v>
      </c>
      <c r="C1589" s="1" t="str" cm="1">
        <f t="array" ref="C1589">_xlfn.IFS(OR(B1589=" ", B1589="NA",NOT(ISNUMBER(B1589))), "Unknown",B1589&lt;18,"Underage",B1589&lt;=24,"Young Adult",B1589&lt;=34,"Early Career",B1589&lt;=44,"Mid Career",B1589&lt;=54,"Mature",B1589&lt;=65,"Pre-Senior",B1589&gt;65,"Senior")</f>
        <v>Mature</v>
      </c>
      <c r="D1589" s="1" t="s">
        <v>12</v>
      </c>
      <c r="E1589" s="1" t="s">
        <v>23</v>
      </c>
      <c r="F1589" s="1">
        <v>1775000</v>
      </c>
      <c r="G1589" s="1">
        <v>78</v>
      </c>
      <c r="H1589" s="1" t="str" cm="1">
        <f t="array" ref="H1589">_xlfn.IFS( OR(G1589=" ",NOT(ISNUMBER(G1589))),"Unknown",G1589&lt;=33,"Low Spender",G1589&lt;=66,"Medium Spender",TRUE, "High Spender")</f>
        <v>High Spender</v>
      </c>
      <c r="I1589" s="1">
        <v>68</v>
      </c>
      <c r="J1589" s="1">
        <v>11300</v>
      </c>
      <c r="K1589" s="1">
        <v>341</v>
      </c>
      <c r="L1589" s="1" t="s">
        <v>35</v>
      </c>
      <c r="M1589" s="1" t="s">
        <v>41</v>
      </c>
      <c r="N1589" s="1" t="str">
        <f t="shared" si="48"/>
        <v>Lower</v>
      </c>
      <c r="O1589" s="1" t="str">
        <f t="shared" si="49"/>
        <v>Mature | High Spender | Lower</v>
      </c>
    </row>
    <row r="1590" spans="1:15" x14ac:dyDescent="0.25">
      <c r="A1590" s="1" t="s">
        <v>1620</v>
      </c>
      <c r="B1590" s="1">
        <v>62</v>
      </c>
      <c r="C1590" s="1" t="str" cm="1">
        <f t="array" ref="C1590">_xlfn.IFS(OR(B1590=" ", B1590="NA",NOT(ISNUMBER(B1590))), "Unknown",B1590&lt;18,"Underage",B1590&lt;=24,"Young Adult",B1590&lt;=34,"Early Career",B1590&lt;=44,"Mid Career",B1590&lt;=54,"Mature",B1590&lt;=65,"Pre-Senior",B1590&gt;65,"Senior")</f>
        <v>Pre-Senior</v>
      </c>
      <c r="F1590" s="1">
        <v>1100000</v>
      </c>
      <c r="G1590" s="1">
        <v>25</v>
      </c>
      <c r="H1590" s="1" t="str" cm="1">
        <f t="array" ref="H1590">_xlfn.IFS( OR(G1590=" ",NOT(ISNUMBER(G1590))),"Unknown",G1590&lt;=33,"Low Spender",G1590&lt;=66,"Medium Spender",TRUE, "High Spender")</f>
        <v>Low Spender</v>
      </c>
      <c r="I1590" s="1">
        <v>44</v>
      </c>
      <c r="J1590" s="1">
        <v>1100</v>
      </c>
      <c r="K1590" s="1">
        <v>199</v>
      </c>
      <c r="L1590" s="1" t="s">
        <v>35</v>
      </c>
      <c r="N1590" s="1" t="str">
        <f t="shared" si="48"/>
        <v>Lower</v>
      </c>
      <c r="O1590" s="1" t="str">
        <f t="shared" si="49"/>
        <v>Pre-Senior | Low Spender | Lower</v>
      </c>
    </row>
    <row r="1591" spans="1:15" x14ac:dyDescent="0.25">
      <c r="A1591" s="1" t="s">
        <v>1621</v>
      </c>
      <c r="B1591" s="1">
        <v>51</v>
      </c>
      <c r="C1591" s="1" t="str" cm="1">
        <f t="array" ref="C1591">_xlfn.IFS(OR(B1591=" ", B1591="NA",NOT(ISNUMBER(B1591))), "Unknown",B1591&lt;18,"Underage",B1591&lt;=24,"Young Adult",B1591&lt;=34,"Early Career",B1591&lt;=44,"Mid Career",B1591&lt;=54,"Mature",B1591&lt;=65,"Pre-Senior",B1591&gt;65,"Senior")</f>
        <v>Mature</v>
      </c>
      <c r="D1591" s="1" t="s">
        <v>29</v>
      </c>
      <c r="E1591" s="1" t="s">
        <v>13</v>
      </c>
      <c r="F1591" s="1">
        <v>1950000</v>
      </c>
      <c r="G1591" s="1">
        <v>100</v>
      </c>
      <c r="H1591" s="1" t="str" cm="1">
        <f t="array" ref="H1591">_xlfn.IFS( OR(G1591=" ",NOT(ISNUMBER(G1591))),"Unknown",G1591&lt;=33,"Low Spender",G1591&lt;=66,"Medium Spender",TRUE, "High Spender")</f>
        <v>High Spender</v>
      </c>
      <c r="I1591" s="1">
        <v>17</v>
      </c>
      <c r="J1591" s="1">
        <v>1400</v>
      </c>
      <c r="K1591" s="1">
        <v>112</v>
      </c>
      <c r="N1591" s="1" t="str">
        <f t="shared" si="48"/>
        <v>Higher</v>
      </c>
      <c r="O1591" s="1" t="str">
        <f t="shared" si="49"/>
        <v>Mature | High Spender | Higher</v>
      </c>
    </row>
    <row r="1592" spans="1:15" x14ac:dyDescent="0.25">
      <c r="A1592" s="1" t="s">
        <v>1622</v>
      </c>
      <c r="B1592" s="1">
        <v>40</v>
      </c>
      <c r="C1592" s="1" t="str" cm="1">
        <f t="array" ref="C1592">_xlfn.IFS(OR(B1592=" ", B1592="NA",NOT(ISNUMBER(B1592))), "Unknown",B1592&lt;18,"Underage",B1592&lt;=24,"Young Adult",B1592&lt;=34,"Early Career",B1592&lt;=44,"Mid Career",B1592&lt;=54,"Mature",B1592&lt;=65,"Pre-Senior",B1592&gt;65,"Senior")</f>
        <v>Mid Career</v>
      </c>
      <c r="D1592" s="1" t="s">
        <v>29</v>
      </c>
      <c r="E1592" s="1" t="s">
        <v>15</v>
      </c>
      <c r="F1592" s="1">
        <v>600000</v>
      </c>
      <c r="G1592" s="1">
        <v>4</v>
      </c>
      <c r="H1592" s="1" t="str" cm="1">
        <f t="array" ref="H1592">_xlfn.IFS( OR(G1592=" ",NOT(ISNUMBER(G1592))),"Unknown",G1592&lt;=33,"Low Spender",G1592&lt;=66,"Medium Spender",TRUE, "High Spender")</f>
        <v>Low Spender</v>
      </c>
      <c r="I1592" s="1">
        <v>38</v>
      </c>
      <c r="J1592" s="1">
        <v>1300</v>
      </c>
      <c r="K1592" s="1">
        <v>89</v>
      </c>
      <c r="M1592" s="1" t="s">
        <v>41</v>
      </c>
      <c r="N1592" s="1" t="str">
        <f t="shared" si="48"/>
        <v>Higher</v>
      </c>
      <c r="O1592" s="1" t="str">
        <f t="shared" si="49"/>
        <v>Mid Career | Low Spender | Higher</v>
      </c>
    </row>
    <row r="1593" spans="1:15" x14ac:dyDescent="0.25">
      <c r="A1593" s="1" t="s">
        <v>1623</v>
      </c>
      <c r="B1593" s="1">
        <v>54</v>
      </c>
      <c r="C1593" s="1" t="str" cm="1">
        <f t="array" ref="C1593">_xlfn.IFS(OR(B1593=" ", B1593="NA",NOT(ISNUMBER(B1593))), "Unknown",B1593&lt;18,"Underage",B1593&lt;=24,"Young Adult",B1593&lt;=34,"Early Career",B1593&lt;=44,"Mid Career",B1593&lt;=54,"Mature",B1593&lt;=65,"Pre-Senior",B1593&gt;65,"Senior")</f>
        <v>Mature</v>
      </c>
      <c r="E1593" s="1" t="s">
        <v>23</v>
      </c>
      <c r="F1593" s="1">
        <v>525000</v>
      </c>
      <c r="G1593" s="1">
        <v>79</v>
      </c>
      <c r="H1593" s="1" t="str" cm="1">
        <f t="array" ref="H1593">_xlfn.IFS( OR(G1593=" ",NOT(ISNUMBER(G1593))),"Unknown",G1593&lt;=33,"Low Spender",G1593&lt;=66,"Medium Spender",TRUE, "High Spender")</f>
        <v>High Spender</v>
      </c>
      <c r="I1593" s="1">
        <v>10</v>
      </c>
      <c r="J1593" s="1">
        <v>11500</v>
      </c>
      <c r="K1593" s="1">
        <v>128</v>
      </c>
      <c r="L1593" s="1" t="s">
        <v>20</v>
      </c>
      <c r="M1593" s="1" t="s">
        <v>21</v>
      </c>
      <c r="N1593" s="1" t="str">
        <f t="shared" si="48"/>
        <v>Lower</v>
      </c>
      <c r="O1593" s="1" t="str">
        <f t="shared" si="49"/>
        <v>Mature | High Spender | Lower</v>
      </c>
    </row>
    <row r="1594" spans="1:15" x14ac:dyDescent="0.25">
      <c r="A1594" s="1" t="s">
        <v>1624</v>
      </c>
      <c r="B1594" s="1">
        <v>28</v>
      </c>
      <c r="C1594" s="1" t="str" cm="1">
        <f t="array" ref="C1594">_xlfn.IFS(OR(B1594=" ", B1594="NA",NOT(ISNUMBER(B1594))), "Unknown",B1594&lt;18,"Underage",B1594&lt;=24,"Young Adult",B1594&lt;=34,"Early Career",B1594&lt;=44,"Mid Career",B1594&lt;=54,"Mature",B1594&lt;=65,"Pre-Senior",B1594&gt;65,"Senior")</f>
        <v>Early Career</v>
      </c>
      <c r="D1594" s="1" t="s">
        <v>29</v>
      </c>
      <c r="E1594" s="1" t="s">
        <v>27</v>
      </c>
      <c r="F1594" s="1">
        <v>1475000</v>
      </c>
      <c r="G1594" s="1">
        <v>32</v>
      </c>
      <c r="H1594" s="1" t="str" cm="1">
        <f t="array" ref="H1594">_xlfn.IFS( OR(G1594=" ",NOT(ISNUMBER(G1594))),"Unknown",G1594&lt;=33,"Low Spender",G1594&lt;=66,"Medium Spender",TRUE, "High Spender")</f>
        <v>Low Spender</v>
      </c>
      <c r="I1594" s="1">
        <v>54</v>
      </c>
      <c r="J1594" s="1">
        <v>4000</v>
      </c>
      <c r="K1594" s="1">
        <v>230</v>
      </c>
      <c r="L1594" s="1" t="s">
        <v>16</v>
      </c>
      <c r="M1594" s="1" t="s">
        <v>30</v>
      </c>
      <c r="N1594" s="1" t="str">
        <f t="shared" si="48"/>
        <v>Higher</v>
      </c>
      <c r="O1594" s="1" t="str">
        <f t="shared" si="49"/>
        <v>Early Career | Low Spender | Higher</v>
      </c>
    </row>
    <row r="1595" spans="1:15" x14ac:dyDescent="0.25">
      <c r="A1595" s="1" t="s">
        <v>1625</v>
      </c>
      <c r="B1595" s="1">
        <v>23</v>
      </c>
      <c r="C1595" s="1" t="str" cm="1">
        <f t="array" ref="C1595">_xlfn.IFS(OR(B1595=" ", B1595="NA",NOT(ISNUMBER(B1595))), "Unknown",B1595&lt;18,"Underage",B1595&lt;=24,"Young Adult",B1595&lt;=34,"Early Career",B1595&lt;=44,"Mid Career",B1595&lt;=54,"Mature",B1595&lt;=65,"Pre-Senior",B1595&gt;65,"Senior")</f>
        <v>Young Adult</v>
      </c>
      <c r="D1595" s="1" t="s">
        <v>29</v>
      </c>
      <c r="E1595" s="1" t="s">
        <v>27</v>
      </c>
      <c r="F1595" s="1">
        <v>750000</v>
      </c>
      <c r="G1595" s="1">
        <v>82</v>
      </c>
      <c r="H1595" s="1" t="str" cm="1">
        <f t="array" ref="H1595">_xlfn.IFS( OR(G1595=" ",NOT(ISNUMBER(G1595))),"Unknown",G1595&lt;=33,"Low Spender",G1595&lt;=66,"Medium Spender",TRUE, "High Spender")</f>
        <v>High Spender</v>
      </c>
      <c r="I1595" s="1">
        <v>6</v>
      </c>
      <c r="J1595" s="1">
        <v>3000</v>
      </c>
      <c r="K1595" s="1">
        <v>18</v>
      </c>
      <c r="L1595" s="1" t="s">
        <v>37</v>
      </c>
      <c r="M1595" s="1" t="s">
        <v>41</v>
      </c>
      <c r="N1595" s="1" t="str">
        <f t="shared" si="48"/>
        <v>Higher</v>
      </c>
      <c r="O1595" s="1" t="str">
        <f t="shared" si="49"/>
        <v>Young Adult | High Spender | Higher</v>
      </c>
    </row>
    <row r="1596" spans="1:15" x14ac:dyDescent="0.25">
      <c r="A1596" s="1" t="s">
        <v>1626</v>
      </c>
      <c r="B1596" s="1">
        <v>35</v>
      </c>
      <c r="C1596" s="1" t="str" cm="1">
        <f t="array" ref="C1596">_xlfn.IFS(OR(B1596=" ", B1596="NA",NOT(ISNUMBER(B1596))), "Unknown",B1596&lt;18,"Underage",B1596&lt;=24,"Young Adult",B1596&lt;=34,"Early Career",B1596&lt;=44,"Mid Career",B1596&lt;=54,"Mature",B1596&lt;=65,"Pre-Senior",B1596&gt;65,"Senior")</f>
        <v>Mid Career</v>
      </c>
      <c r="D1596" s="1" t="s">
        <v>18</v>
      </c>
      <c r="E1596" s="1" t="s">
        <v>58</v>
      </c>
      <c r="F1596" s="1">
        <v>575000</v>
      </c>
      <c r="G1596" s="1">
        <v>78</v>
      </c>
      <c r="H1596" s="1" t="str" cm="1">
        <f t="array" ref="H1596">_xlfn.IFS( OR(G1596=" ",NOT(ISNUMBER(G1596))),"Unknown",G1596&lt;=33,"Low Spender",G1596&lt;=66,"Medium Spender",TRUE, "High Spender")</f>
        <v>High Spender</v>
      </c>
      <c r="I1596" s="1">
        <v>6</v>
      </c>
      <c r="J1596" s="1">
        <v>1000</v>
      </c>
      <c r="K1596" s="1">
        <v>289</v>
      </c>
      <c r="L1596" s="1" t="s">
        <v>20</v>
      </c>
      <c r="N1596" s="1" t="str">
        <f t="shared" si="48"/>
        <v>Higher</v>
      </c>
      <c r="O1596" s="1" t="str">
        <f t="shared" si="49"/>
        <v>Mid Career | High Spender | Higher</v>
      </c>
    </row>
    <row r="1597" spans="1:15" x14ac:dyDescent="0.25">
      <c r="A1597" s="1" t="s">
        <v>1627</v>
      </c>
      <c r="B1597" s="1">
        <v>38</v>
      </c>
      <c r="C1597" s="1" t="str" cm="1">
        <f t="array" ref="C1597">_xlfn.IFS(OR(B1597=" ", B1597="NA",NOT(ISNUMBER(B1597))), "Unknown",B1597&lt;18,"Underage",B1597&lt;=24,"Young Adult",B1597&lt;=34,"Early Career",B1597&lt;=44,"Mid Career",B1597&lt;=54,"Mature",B1597&lt;=65,"Pre-Senior",B1597&gt;65,"Senior")</f>
        <v>Mid Career</v>
      </c>
      <c r="D1597" s="1" t="s">
        <v>29</v>
      </c>
      <c r="E1597" s="1" t="s">
        <v>58</v>
      </c>
      <c r="F1597" s="1">
        <v>700000</v>
      </c>
      <c r="G1597" s="1">
        <v>65</v>
      </c>
      <c r="H1597" s="1" t="str" cm="1">
        <f t="array" ref="H1597">_xlfn.IFS( OR(G1597=" ",NOT(ISNUMBER(G1597))),"Unknown",G1597&lt;=33,"Low Spender",G1597&lt;=66,"Medium Spender",TRUE, "High Spender")</f>
        <v>Medium Spender</v>
      </c>
      <c r="I1597" s="1">
        <v>52</v>
      </c>
      <c r="J1597" s="1">
        <v>7600</v>
      </c>
      <c r="K1597" s="1">
        <v>161</v>
      </c>
      <c r="L1597" s="1" t="s">
        <v>37</v>
      </c>
      <c r="M1597" s="1" t="s">
        <v>41</v>
      </c>
      <c r="N1597" s="1" t="str">
        <f t="shared" si="48"/>
        <v>Higher</v>
      </c>
      <c r="O1597" s="1" t="str">
        <f t="shared" si="49"/>
        <v>Mid Career | Medium Spender | Higher</v>
      </c>
    </row>
    <row r="1598" spans="1:15" x14ac:dyDescent="0.25">
      <c r="A1598" s="1" t="s">
        <v>1628</v>
      </c>
      <c r="B1598" s="1">
        <v>59</v>
      </c>
      <c r="C1598" s="1" t="str" cm="1">
        <f t="array" ref="C1598">_xlfn.IFS(OR(B1598=" ", B1598="NA",NOT(ISNUMBER(B1598))), "Unknown",B1598&lt;18,"Underage",B1598&lt;=24,"Young Adult",B1598&lt;=34,"Early Career",B1598&lt;=44,"Mid Career",B1598&lt;=54,"Mature",B1598&lt;=65,"Pre-Senior",B1598&gt;65,"Senior")</f>
        <v>Pre-Senior</v>
      </c>
      <c r="D1598" s="1" t="s">
        <v>29</v>
      </c>
      <c r="F1598" s="1">
        <v>400000</v>
      </c>
      <c r="G1598" s="1">
        <v>61</v>
      </c>
      <c r="H1598" s="1" t="str" cm="1">
        <f t="array" ref="H1598">_xlfn.IFS( OR(G1598=" ",NOT(ISNUMBER(G1598))),"Unknown",G1598&lt;=33,"Low Spender",G1598&lt;=66,"Medium Spender",TRUE, "High Spender")</f>
        <v>Medium Spender</v>
      </c>
      <c r="I1598" s="1">
        <v>15</v>
      </c>
      <c r="J1598" s="1">
        <v>9100</v>
      </c>
      <c r="K1598" s="1">
        <v>352</v>
      </c>
      <c r="L1598" s="1" t="s">
        <v>37</v>
      </c>
      <c r="M1598" s="1" t="s">
        <v>41</v>
      </c>
      <c r="N1598" s="1" t="str">
        <f t="shared" si="48"/>
        <v>Higher</v>
      </c>
      <c r="O1598" s="1" t="str">
        <f t="shared" si="49"/>
        <v>Pre-Senior | Medium Spender | Higher</v>
      </c>
    </row>
    <row r="1599" spans="1:15" x14ac:dyDescent="0.25">
      <c r="A1599" s="1" t="s">
        <v>1629</v>
      </c>
      <c r="B1599" s="1">
        <v>53</v>
      </c>
      <c r="C1599" s="1" t="str" cm="1">
        <f t="array" ref="C1599">_xlfn.IFS(OR(B1599=" ", B1599="NA",NOT(ISNUMBER(B1599))), "Unknown",B1599&lt;18,"Underage",B1599&lt;=24,"Young Adult",B1599&lt;=34,"Early Career",B1599&lt;=44,"Mid Career",B1599&lt;=54,"Mature",B1599&lt;=65,"Pre-Senior",B1599&gt;65,"Senior")</f>
        <v>Mature</v>
      </c>
      <c r="E1599" s="1" t="s">
        <v>13</v>
      </c>
      <c r="F1599" s="1">
        <v>1100000</v>
      </c>
      <c r="G1599" s="1">
        <v>20</v>
      </c>
      <c r="H1599" s="1" t="str" cm="1">
        <f t="array" ref="H1599">_xlfn.IFS( OR(G1599=" ",NOT(ISNUMBER(G1599))),"Unknown",G1599&lt;=33,"Low Spender",G1599&lt;=66,"Medium Spender",TRUE, "High Spender")</f>
        <v>Low Spender</v>
      </c>
      <c r="I1599" s="1">
        <v>68</v>
      </c>
      <c r="J1599" s="1">
        <v>4900</v>
      </c>
      <c r="K1599" s="1">
        <v>281</v>
      </c>
      <c r="M1599" s="1" t="s">
        <v>32</v>
      </c>
      <c r="N1599" s="1" t="str">
        <f t="shared" si="48"/>
        <v>Lower</v>
      </c>
      <c r="O1599" s="1" t="str">
        <f t="shared" si="49"/>
        <v>Mature | Low Spender | Lower</v>
      </c>
    </row>
    <row r="1600" spans="1:15" x14ac:dyDescent="0.25">
      <c r="A1600" s="1" t="s">
        <v>1630</v>
      </c>
      <c r="B1600" s="1">
        <v>58</v>
      </c>
      <c r="C1600" s="1" t="str" cm="1">
        <f t="array" ref="C1600">_xlfn.IFS(OR(B1600=" ", B1600="NA",NOT(ISNUMBER(B1600))), "Unknown",B1600&lt;18,"Underage",B1600&lt;=24,"Young Adult",B1600&lt;=34,"Early Career",B1600&lt;=44,"Mid Career",B1600&lt;=54,"Mature",B1600&lt;=65,"Pre-Senior",B1600&gt;65,"Senior")</f>
        <v>Pre-Senior</v>
      </c>
      <c r="D1600" s="1" t="s">
        <v>18</v>
      </c>
      <c r="E1600" s="1" t="s">
        <v>15</v>
      </c>
      <c r="F1600" s="1">
        <v>1825000</v>
      </c>
      <c r="G1600" s="1">
        <v>74</v>
      </c>
      <c r="H1600" s="1" t="str" cm="1">
        <f t="array" ref="H1600">_xlfn.IFS( OR(G1600=" ",NOT(ISNUMBER(G1600))),"Unknown",G1600&lt;=33,"Low Spender",G1600&lt;=66,"Medium Spender",TRUE, "High Spender")</f>
        <v>High Spender</v>
      </c>
      <c r="I1600" s="1">
        <v>57</v>
      </c>
      <c r="J1600" s="1">
        <v>3800</v>
      </c>
      <c r="K1600" s="1">
        <v>166</v>
      </c>
      <c r="L1600" s="1" t="s">
        <v>16</v>
      </c>
      <c r="M1600" s="1" t="s">
        <v>30</v>
      </c>
      <c r="N1600" s="1" t="str">
        <f t="shared" si="48"/>
        <v>Higher</v>
      </c>
      <c r="O1600" s="1" t="str">
        <f t="shared" si="49"/>
        <v>Pre-Senior | High Spender | Higher</v>
      </c>
    </row>
    <row r="1601" spans="1:15" x14ac:dyDescent="0.25">
      <c r="A1601" s="1" t="s">
        <v>1631</v>
      </c>
      <c r="B1601" s="1">
        <v>55</v>
      </c>
      <c r="C1601" s="1" t="str" cm="1">
        <f t="array" ref="C1601">_xlfn.IFS(OR(B1601=" ", B1601="NA",NOT(ISNUMBER(B1601))), "Unknown",B1601&lt;18,"Underage",B1601&lt;=24,"Young Adult",B1601&lt;=34,"Early Career",B1601&lt;=44,"Mid Career",B1601&lt;=54,"Mature",B1601&lt;=65,"Pre-Senior",B1601&gt;65,"Senior")</f>
        <v>Pre-Senior</v>
      </c>
      <c r="E1601" s="1" t="s">
        <v>13</v>
      </c>
      <c r="F1601" s="1">
        <v>750000</v>
      </c>
      <c r="G1601" s="1">
        <v>10</v>
      </c>
      <c r="H1601" s="1" t="str" cm="1">
        <f t="array" ref="H1601">_xlfn.IFS( OR(G1601=" ",NOT(ISNUMBER(G1601))),"Unknown",G1601&lt;=33,"Low Spender",G1601&lt;=66,"Medium Spender",TRUE, "High Spender")</f>
        <v>Low Spender</v>
      </c>
      <c r="I1601" s="1">
        <v>56</v>
      </c>
      <c r="J1601" s="1">
        <v>5200</v>
      </c>
      <c r="K1601" s="1">
        <v>260</v>
      </c>
      <c r="M1601" s="1" t="s">
        <v>21</v>
      </c>
      <c r="N1601" s="1" t="str">
        <f t="shared" si="48"/>
        <v>Lower</v>
      </c>
      <c r="O1601" s="1" t="str">
        <f t="shared" si="49"/>
        <v>Pre-Senior | Low Spender | Lower</v>
      </c>
    </row>
    <row r="1602" spans="1:15" x14ac:dyDescent="0.25">
      <c r="A1602" s="1" t="s">
        <v>1632</v>
      </c>
      <c r="B1602" s="1">
        <v>51</v>
      </c>
      <c r="C1602" s="1" t="str" cm="1">
        <f t="array" ref="C1602">_xlfn.IFS(OR(B1602=" ", B1602="NA",NOT(ISNUMBER(B1602))), "Unknown",B1602&lt;18,"Underage",B1602&lt;=24,"Young Adult",B1602&lt;=34,"Early Career",B1602&lt;=44,"Mid Career",B1602&lt;=54,"Mature",B1602&lt;=65,"Pre-Senior",B1602&gt;65,"Senior")</f>
        <v>Mature</v>
      </c>
      <c r="E1602" s="1" t="s">
        <v>34</v>
      </c>
      <c r="F1602" s="1">
        <v>1700000</v>
      </c>
      <c r="G1602" s="1">
        <v>88</v>
      </c>
      <c r="H1602" s="1" t="str" cm="1">
        <f t="array" ref="H1602">_xlfn.IFS( OR(G1602=" ",NOT(ISNUMBER(G1602))),"Unknown",G1602&lt;=33,"Low Spender",G1602&lt;=66,"Medium Spender",TRUE, "High Spender")</f>
        <v>High Spender</v>
      </c>
      <c r="I1602" s="1">
        <v>7</v>
      </c>
      <c r="J1602" s="1">
        <v>10900</v>
      </c>
      <c r="K1602" s="1">
        <v>364</v>
      </c>
      <c r="L1602" s="1" t="s">
        <v>20</v>
      </c>
      <c r="N1602" s="1" t="str">
        <f t="shared" ref="N1602:N1665" si="50">IF(OR(UPPER(TRIM(D1602))="Male",UPPER(TRIM(D1602))="Female"),"Higher","Lower")</f>
        <v>Lower</v>
      </c>
      <c r="O1602" s="1" t="str">
        <f t="shared" ref="O1602:O1665" si="51">_xlfn.TEXTJOIN(" | ", TRUE, C1602, H1602, N1602)</f>
        <v>Mature | High Spender | Lower</v>
      </c>
    </row>
    <row r="1603" spans="1:15" x14ac:dyDescent="0.25">
      <c r="A1603" s="1" t="s">
        <v>1633</v>
      </c>
      <c r="B1603" s="1">
        <v>34</v>
      </c>
      <c r="C1603" s="1" t="str" cm="1">
        <f t="array" ref="C1603">_xlfn.IFS(OR(B1603=" ", B1603="NA",NOT(ISNUMBER(B1603))), "Unknown",B1603&lt;18,"Underage",B1603&lt;=24,"Young Adult",B1603&lt;=34,"Early Career",B1603&lt;=44,"Mid Career",B1603&lt;=54,"Mature",B1603&lt;=65,"Pre-Senior",B1603&gt;65,"Senior")</f>
        <v>Early Career</v>
      </c>
      <c r="D1603" s="1" t="s">
        <v>29</v>
      </c>
      <c r="E1603" s="1" t="s">
        <v>58</v>
      </c>
      <c r="F1603" s="1">
        <v>875000</v>
      </c>
      <c r="G1603" s="1">
        <v>34</v>
      </c>
      <c r="H1603" s="1" t="str" cm="1">
        <f t="array" ref="H1603">_xlfn.IFS( OR(G1603=" ",NOT(ISNUMBER(G1603))),"Unknown",G1603&lt;=33,"Low Spender",G1603&lt;=66,"Medium Spender",TRUE, "High Spender")</f>
        <v>Medium Spender</v>
      </c>
      <c r="I1603" s="1">
        <v>51</v>
      </c>
      <c r="J1603" s="1">
        <v>1100</v>
      </c>
      <c r="K1603" s="1">
        <v>190</v>
      </c>
      <c r="L1603" s="1" t="s">
        <v>16</v>
      </c>
      <c r="N1603" s="1" t="str">
        <f t="shared" si="50"/>
        <v>Higher</v>
      </c>
      <c r="O1603" s="1" t="str">
        <f t="shared" si="51"/>
        <v>Early Career | Medium Spender | Higher</v>
      </c>
    </row>
    <row r="1604" spans="1:15" x14ac:dyDescent="0.25">
      <c r="A1604" s="1" t="s">
        <v>1634</v>
      </c>
      <c r="B1604" s="1">
        <v>54</v>
      </c>
      <c r="C1604" s="1" t="str" cm="1">
        <f t="array" ref="C1604">_xlfn.IFS(OR(B1604=" ", B1604="NA",NOT(ISNUMBER(B1604))), "Unknown",B1604&lt;18,"Underage",B1604&lt;=24,"Young Adult",B1604&lt;=34,"Early Career",B1604&lt;=44,"Mid Career",B1604&lt;=54,"Mature",B1604&lt;=65,"Pre-Senior",B1604&gt;65,"Senior")</f>
        <v>Mature</v>
      </c>
      <c r="F1604" s="1">
        <v>1250000</v>
      </c>
      <c r="G1604" s="1">
        <v>61</v>
      </c>
      <c r="H1604" s="1" t="str" cm="1">
        <f t="array" ref="H1604">_xlfn.IFS( OR(G1604=" ",NOT(ISNUMBER(G1604))),"Unknown",G1604&lt;=33,"Low Spender",G1604&lt;=66,"Medium Spender",TRUE, "High Spender")</f>
        <v>Medium Spender</v>
      </c>
      <c r="I1604" s="1">
        <v>58</v>
      </c>
      <c r="J1604" s="1">
        <v>10700</v>
      </c>
      <c r="K1604" s="1">
        <v>338</v>
      </c>
      <c r="L1604" s="1" t="s">
        <v>35</v>
      </c>
      <c r="N1604" s="1" t="str">
        <f t="shared" si="50"/>
        <v>Lower</v>
      </c>
      <c r="O1604" s="1" t="str">
        <f t="shared" si="51"/>
        <v>Mature | Medium Spender | Lower</v>
      </c>
    </row>
    <row r="1605" spans="1:15" x14ac:dyDescent="0.25">
      <c r="A1605" s="1" t="s">
        <v>1635</v>
      </c>
      <c r="B1605" s="1">
        <v>42</v>
      </c>
      <c r="C1605" s="1" t="str" cm="1">
        <f t="array" ref="C1605">_xlfn.IFS(OR(B1605=" ", B1605="NA",NOT(ISNUMBER(B1605))), "Unknown",B1605&lt;18,"Underage",B1605&lt;=24,"Young Adult",B1605&lt;=34,"Early Career",B1605&lt;=44,"Mid Career",B1605&lt;=54,"Mature",B1605&lt;=65,"Pre-Senior",B1605&gt;65,"Senior")</f>
        <v>Mid Career</v>
      </c>
      <c r="D1605" s="1" t="s">
        <v>29</v>
      </c>
      <c r="E1605" s="1" t="s">
        <v>49</v>
      </c>
      <c r="F1605" s="1">
        <v>1650000</v>
      </c>
      <c r="G1605" s="1">
        <v>92</v>
      </c>
      <c r="H1605" s="1" t="str" cm="1">
        <f t="array" ref="H1605">_xlfn.IFS( OR(G1605=" ",NOT(ISNUMBER(G1605))),"Unknown",G1605&lt;=33,"Low Spender",G1605&lt;=66,"Medium Spender",TRUE, "High Spender")</f>
        <v>High Spender</v>
      </c>
      <c r="I1605" s="1">
        <v>64</v>
      </c>
      <c r="J1605" s="1">
        <v>6200</v>
      </c>
      <c r="K1605" s="1">
        <v>266</v>
      </c>
      <c r="L1605" s="1" t="s">
        <v>16</v>
      </c>
      <c r="N1605" s="1" t="str">
        <f t="shared" si="50"/>
        <v>Higher</v>
      </c>
      <c r="O1605" s="1" t="str">
        <f t="shared" si="51"/>
        <v>Mid Career | High Spender | Higher</v>
      </c>
    </row>
    <row r="1606" spans="1:15" x14ac:dyDescent="0.25">
      <c r="A1606" s="1" t="s">
        <v>1636</v>
      </c>
      <c r="B1606" s="1">
        <v>55</v>
      </c>
      <c r="C1606" s="1" t="str" cm="1">
        <f t="array" ref="C1606">_xlfn.IFS(OR(B1606=" ", B1606="NA",NOT(ISNUMBER(B1606))), "Unknown",B1606&lt;18,"Underage",B1606&lt;=24,"Young Adult",B1606&lt;=34,"Early Career",B1606&lt;=44,"Mid Career",B1606&lt;=54,"Mature",B1606&lt;=65,"Pre-Senior",B1606&gt;65,"Senior")</f>
        <v>Pre-Senior</v>
      </c>
      <c r="E1606" s="1" t="s">
        <v>19</v>
      </c>
      <c r="F1606" s="1">
        <v>1400000</v>
      </c>
      <c r="G1606" s="1">
        <v>27</v>
      </c>
      <c r="H1606" s="1" t="str" cm="1">
        <f t="array" ref="H1606">_xlfn.IFS( OR(G1606=" ",NOT(ISNUMBER(G1606))),"Unknown",G1606&lt;=33,"Low Spender",G1606&lt;=66,"Medium Spender",TRUE, "High Spender")</f>
        <v>Low Spender</v>
      </c>
      <c r="I1606" s="1">
        <v>26</v>
      </c>
      <c r="J1606" s="1">
        <v>7400</v>
      </c>
      <c r="K1606" s="1">
        <v>291</v>
      </c>
      <c r="L1606" s="1" t="s">
        <v>37</v>
      </c>
      <c r="M1606" s="1" t="s">
        <v>21</v>
      </c>
      <c r="N1606" s="1" t="str">
        <f t="shared" si="50"/>
        <v>Lower</v>
      </c>
      <c r="O1606" s="1" t="str">
        <f t="shared" si="51"/>
        <v>Pre-Senior | Low Spender | Lower</v>
      </c>
    </row>
    <row r="1607" spans="1:15" x14ac:dyDescent="0.25">
      <c r="A1607" s="1" t="s">
        <v>1637</v>
      </c>
      <c r="B1607" s="1">
        <v>29</v>
      </c>
      <c r="C1607" s="1" t="str" cm="1">
        <f t="array" ref="C1607">_xlfn.IFS(OR(B1607=" ", B1607="NA",NOT(ISNUMBER(B1607))), "Unknown",B1607&lt;18,"Underage",B1607&lt;=24,"Young Adult",B1607&lt;=34,"Early Career",B1607&lt;=44,"Mid Career",B1607&lt;=54,"Mature",B1607&lt;=65,"Pre-Senior",B1607&gt;65,"Senior")</f>
        <v>Early Career</v>
      </c>
      <c r="E1607" s="1" t="s">
        <v>19</v>
      </c>
      <c r="F1607" s="1">
        <v>350000</v>
      </c>
      <c r="G1607" s="1">
        <v>40</v>
      </c>
      <c r="H1607" s="1" t="str" cm="1">
        <f t="array" ref="H1607">_xlfn.IFS( OR(G1607=" ",NOT(ISNUMBER(G1607))),"Unknown",G1607&lt;=33,"Low Spender",G1607&lt;=66,"Medium Spender",TRUE, "High Spender")</f>
        <v>Medium Spender</v>
      </c>
      <c r="I1607" s="1">
        <v>58</v>
      </c>
      <c r="J1607" s="1">
        <v>6900</v>
      </c>
      <c r="K1607" s="1">
        <v>355</v>
      </c>
      <c r="N1607" s="1" t="str">
        <f t="shared" si="50"/>
        <v>Lower</v>
      </c>
      <c r="O1607" s="1" t="str">
        <f t="shared" si="51"/>
        <v>Early Career | Medium Spender | Lower</v>
      </c>
    </row>
    <row r="1608" spans="1:15" x14ac:dyDescent="0.25">
      <c r="A1608" s="1" t="s">
        <v>1638</v>
      </c>
      <c r="B1608" s="1">
        <v>40</v>
      </c>
      <c r="C1608" s="1" t="str" cm="1">
        <f t="array" ref="C1608">_xlfn.IFS(OR(B1608=" ", B1608="NA",NOT(ISNUMBER(B1608))), "Unknown",B1608&lt;18,"Underage",B1608&lt;=24,"Young Adult",B1608&lt;=34,"Early Career",B1608&lt;=44,"Mid Career",B1608&lt;=54,"Mature",B1608&lt;=65,"Pre-Senior",B1608&gt;65,"Senior")</f>
        <v>Mid Career</v>
      </c>
      <c r="D1608" s="1" t="s">
        <v>18</v>
      </c>
      <c r="E1608" s="1" t="s">
        <v>49</v>
      </c>
      <c r="G1608" s="1">
        <v>65</v>
      </c>
      <c r="H1608" s="1" t="str" cm="1">
        <f t="array" ref="H1608">_xlfn.IFS( OR(G1608=" ",NOT(ISNUMBER(G1608))),"Unknown",G1608&lt;=33,"Low Spender",G1608&lt;=66,"Medium Spender",TRUE, "High Spender")</f>
        <v>Medium Spender</v>
      </c>
      <c r="I1608" s="1">
        <v>31</v>
      </c>
      <c r="J1608" s="1">
        <v>5500</v>
      </c>
      <c r="K1608" s="1">
        <v>360</v>
      </c>
      <c r="L1608" s="1" t="s">
        <v>35</v>
      </c>
      <c r="M1608" s="1" t="s">
        <v>32</v>
      </c>
      <c r="N1608" s="1" t="str">
        <f t="shared" si="50"/>
        <v>Higher</v>
      </c>
      <c r="O1608" s="1" t="str">
        <f t="shared" si="51"/>
        <v>Mid Career | Medium Spender | Higher</v>
      </c>
    </row>
    <row r="1609" spans="1:15" x14ac:dyDescent="0.25">
      <c r="A1609" s="1" t="s">
        <v>1639</v>
      </c>
      <c r="C1609" s="1" t="str" cm="1">
        <f t="array" ref="C1609">_xlfn.IFS(OR(B1609=" ", B1609="NA",NOT(ISNUMBER(B1609))), "Unknown",B1609&lt;18,"Underage",B1609&lt;=24,"Young Adult",B1609&lt;=34,"Early Career",B1609&lt;=44,"Mid Career",B1609&lt;=54,"Mature",B1609&lt;=65,"Pre-Senior",B1609&gt;65,"Senior")</f>
        <v>Unknown</v>
      </c>
      <c r="F1609" s="1">
        <v>175000</v>
      </c>
      <c r="G1609" s="1">
        <v>33</v>
      </c>
      <c r="H1609" s="1" t="str" cm="1">
        <f t="array" ref="H1609">_xlfn.IFS( OR(G1609=" ",NOT(ISNUMBER(G1609))),"Unknown",G1609&lt;=33,"Low Spender",G1609&lt;=66,"Medium Spender",TRUE, "High Spender")</f>
        <v>Low Spender</v>
      </c>
      <c r="I1609" s="1">
        <v>66</v>
      </c>
      <c r="J1609" s="1">
        <v>8400</v>
      </c>
      <c r="K1609" s="1">
        <v>279</v>
      </c>
      <c r="L1609" s="1" t="s">
        <v>16</v>
      </c>
      <c r="N1609" s="1" t="str">
        <f t="shared" si="50"/>
        <v>Lower</v>
      </c>
      <c r="O1609" s="1" t="str">
        <f t="shared" si="51"/>
        <v>Unknown | Low Spender | Lower</v>
      </c>
    </row>
    <row r="1610" spans="1:15" x14ac:dyDescent="0.25">
      <c r="A1610" s="1" t="s">
        <v>1640</v>
      </c>
      <c r="B1610" s="1">
        <v>59</v>
      </c>
      <c r="C1610" s="1" t="str" cm="1">
        <f t="array" ref="C1610">_xlfn.IFS(OR(B1610=" ", B1610="NA",NOT(ISNUMBER(B1610))), "Unknown",B1610&lt;18,"Underage",B1610&lt;=24,"Young Adult",B1610&lt;=34,"Early Career",B1610&lt;=44,"Mid Career",B1610&lt;=54,"Mature",B1610&lt;=65,"Pre-Senior",B1610&gt;65,"Senior")</f>
        <v>Pre-Senior</v>
      </c>
      <c r="D1610" s="1" t="s">
        <v>12</v>
      </c>
      <c r="E1610" s="1" t="s">
        <v>13</v>
      </c>
      <c r="F1610" s="1">
        <v>250000</v>
      </c>
      <c r="G1610" s="1">
        <v>68</v>
      </c>
      <c r="H1610" s="1" t="str" cm="1">
        <f t="array" ref="H1610">_xlfn.IFS( OR(G1610=" ",NOT(ISNUMBER(G1610))),"Unknown",G1610&lt;=33,"Low Spender",G1610&lt;=66,"Medium Spender",TRUE, "High Spender")</f>
        <v>High Spender</v>
      </c>
      <c r="I1610" s="1">
        <v>13</v>
      </c>
      <c r="J1610" s="1">
        <v>11200</v>
      </c>
      <c r="K1610" s="1">
        <v>217</v>
      </c>
      <c r="L1610" s="1" t="s">
        <v>16</v>
      </c>
      <c r="N1610" s="1" t="str">
        <f t="shared" si="50"/>
        <v>Lower</v>
      </c>
      <c r="O1610" s="1" t="str">
        <f t="shared" si="51"/>
        <v>Pre-Senior | High Spender | Lower</v>
      </c>
    </row>
    <row r="1611" spans="1:15" x14ac:dyDescent="0.25">
      <c r="A1611" s="1" t="s">
        <v>1641</v>
      </c>
      <c r="B1611" s="1">
        <v>39</v>
      </c>
      <c r="C1611" s="1" t="str" cm="1">
        <f t="array" ref="C1611">_xlfn.IFS(OR(B1611=" ", B1611="NA",NOT(ISNUMBER(B1611))), "Unknown",B1611&lt;18,"Underage",B1611&lt;=24,"Young Adult",B1611&lt;=34,"Early Career",B1611&lt;=44,"Mid Career",B1611&lt;=54,"Mature",B1611&lt;=65,"Pre-Senior",B1611&gt;65,"Senior")</f>
        <v>Mid Career</v>
      </c>
      <c r="E1611" s="1" t="s">
        <v>49</v>
      </c>
      <c r="F1611" s="1">
        <v>1675000</v>
      </c>
      <c r="G1611" s="1">
        <v>71</v>
      </c>
      <c r="H1611" s="1" t="str" cm="1">
        <f t="array" ref="H1611">_xlfn.IFS( OR(G1611=" ",NOT(ISNUMBER(G1611))),"Unknown",G1611&lt;=33,"Low Spender",G1611&lt;=66,"Medium Spender",TRUE, "High Spender")</f>
        <v>High Spender</v>
      </c>
      <c r="I1611" s="1">
        <v>18</v>
      </c>
      <c r="J1611" s="1">
        <v>10100</v>
      </c>
      <c r="K1611" s="1">
        <v>321</v>
      </c>
      <c r="M1611" s="1" t="s">
        <v>41</v>
      </c>
      <c r="N1611" s="1" t="str">
        <f t="shared" si="50"/>
        <v>Lower</v>
      </c>
      <c r="O1611" s="1" t="str">
        <f t="shared" si="51"/>
        <v>Mid Career | High Spender | Lower</v>
      </c>
    </row>
    <row r="1612" spans="1:15" x14ac:dyDescent="0.25">
      <c r="A1612" s="1" t="s">
        <v>1642</v>
      </c>
      <c r="B1612" s="1">
        <v>38</v>
      </c>
      <c r="C1612" s="1" t="str" cm="1">
        <f t="array" ref="C1612">_xlfn.IFS(OR(B1612=" ", B1612="NA",NOT(ISNUMBER(B1612))), "Unknown",B1612&lt;18,"Underage",B1612&lt;=24,"Young Adult",B1612&lt;=34,"Early Career",B1612&lt;=44,"Mid Career",B1612&lt;=54,"Mature",B1612&lt;=65,"Pre-Senior",B1612&gt;65,"Senior")</f>
        <v>Mid Career</v>
      </c>
      <c r="D1612" s="1" t="s">
        <v>29</v>
      </c>
      <c r="F1612" s="1">
        <v>1850000</v>
      </c>
      <c r="G1612" s="1">
        <v>9</v>
      </c>
      <c r="H1612" s="1" t="str" cm="1">
        <f t="array" ref="H1612">_xlfn.IFS( OR(G1612=" ",NOT(ISNUMBER(G1612))),"Unknown",G1612&lt;=33,"Low Spender",G1612&lt;=66,"Medium Spender",TRUE, "High Spender")</f>
        <v>Low Spender</v>
      </c>
      <c r="I1612" s="1">
        <v>75</v>
      </c>
      <c r="J1612" s="1">
        <v>1900</v>
      </c>
      <c r="K1612" s="1">
        <v>338</v>
      </c>
      <c r="L1612" s="1" t="s">
        <v>37</v>
      </c>
      <c r="M1612" s="1" t="s">
        <v>32</v>
      </c>
      <c r="N1612" s="1" t="str">
        <f t="shared" si="50"/>
        <v>Higher</v>
      </c>
      <c r="O1612" s="1" t="str">
        <f t="shared" si="51"/>
        <v>Mid Career | Low Spender | Higher</v>
      </c>
    </row>
    <row r="1613" spans="1:15" x14ac:dyDescent="0.25">
      <c r="A1613" s="1" t="s">
        <v>1643</v>
      </c>
      <c r="B1613" s="1">
        <v>44</v>
      </c>
      <c r="C1613" s="1" t="str" cm="1">
        <f t="array" ref="C1613">_xlfn.IFS(OR(B1613=" ", B1613="NA",NOT(ISNUMBER(B1613))), "Unknown",B1613&lt;18,"Underage",B1613&lt;=24,"Young Adult",B1613&lt;=34,"Early Career",B1613&lt;=44,"Mid Career",B1613&lt;=54,"Mature",B1613&lt;=65,"Pre-Senior",B1613&gt;65,"Senior")</f>
        <v>Mid Career</v>
      </c>
      <c r="D1613" s="1" t="s">
        <v>29</v>
      </c>
      <c r="E1613" s="1" t="s">
        <v>15</v>
      </c>
      <c r="F1613" s="1">
        <v>1425000</v>
      </c>
      <c r="G1613" s="1">
        <v>16</v>
      </c>
      <c r="H1613" s="1" t="str" cm="1">
        <f t="array" ref="H1613">_xlfn.IFS( OR(G1613=" ",NOT(ISNUMBER(G1613))),"Unknown",G1613&lt;=33,"Low Spender",G1613&lt;=66,"Medium Spender",TRUE, "High Spender")</f>
        <v>Low Spender</v>
      </c>
      <c r="I1613" s="1">
        <v>13</v>
      </c>
      <c r="J1613" s="1">
        <v>10200</v>
      </c>
      <c r="K1613" s="1">
        <v>207</v>
      </c>
      <c r="L1613" s="1" t="s">
        <v>35</v>
      </c>
      <c r="N1613" s="1" t="str">
        <f t="shared" si="50"/>
        <v>Higher</v>
      </c>
      <c r="O1613" s="1" t="str">
        <f t="shared" si="51"/>
        <v>Mid Career | Low Spender | Higher</v>
      </c>
    </row>
    <row r="1614" spans="1:15" x14ac:dyDescent="0.25">
      <c r="A1614" s="1" t="s">
        <v>1644</v>
      </c>
      <c r="B1614" s="1">
        <v>48</v>
      </c>
      <c r="C1614" s="1" t="str" cm="1">
        <f t="array" ref="C1614">_xlfn.IFS(OR(B1614=" ", B1614="NA",NOT(ISNUMBER(B1614))), "Unknown",B1614&lt;18,"Underage",B1614&lt;=24,"Young Adult",B1614&lt;=34,"Early Career",B1614&lt;=44,"Mid Career",B1614&lt;=54,"Mature",B1614&lt;=65,"Pre-Senior",B1614&gt;65,"Senior")</f>
        <v>Mature</v>
      </c>
      <c r="D1614" s="1" t="s">
        <v>18</v>
      </c>
      <c r="E1614" s="1" t="s">
        <v>49</v>
      </c>
      <c r="F1614" s="1">
        <v>250000</v>
      </c>
      <c r="G1614" s="1">
        <v>5</v>
      </c>
      <c r="H1614" s="1" t="str" cm="1">
        <f t="array" ref="H1614">_xlfn.IFS( OR(G1614=" ",NOT(ISNUMBER(G1614))),"Unknown",G1614&lt;=33,"Low Spender",G1614&lt;=66,"Medium Spender",TRUE, "High Spender")</f>
        <v>Low Spender</v>
      </c>
      <c r="I1614" s="1">
        <v>24</v>
      </c>
      <c r="J1614" s="1">
        <v>5500</v>
      </c>
      <c r="K1614" s="1">
        <v>153</v>
      </c>
      <c r="L1614" s="1" t="s">
        <v>37</v>
      </c>
      <c r="M1614" s="1" t="s">
        <v>32</v>
      </c>
      <c r="N1614" s="1" t="str">
        <f t="shared" si="50"/>
        <v>Higher</v>
      </c>
      <c r="O1614" s="1" t="str">
        <f t="shared" si="51"/>
        <v>Mature | Low Spender | Higher</v>
      </c>
    </row>
    <row r="1615" spans="1:15" x14ac:dyDescent="0.25">
      <c r="A1615" s="1" t="s">
        <v>1645</v>
      </c>
      <c r="B1615" s="1">
        <v>23</v>
      </c>
      <c r="C1615" s="1" t="str" cm="1">
        <f t="array" ref="C1615">_xlfn.IFS(OR(B1615=" ", B1615="NA",NOT(ISNUMBER(B1615))), "Unknown",B1615&lt;18,"Underage",B1615&lt;=24,"Young Adult",B1615&lt;=34,"Early Career",B1615&lt;=44,"Mid Career",B1615&lt;=54,"Mature",B1615&lt;=65,"Pre-Senior",B1615&gt;65,"Senior")</f>
        <v>Young Adult</v>
      </c>
      <c r="D1615" s="1" t="s">
        <v>29</v>
      </c>
      <c r="F1615" s="1">
        <v>1600000</v>
      </c>
      <c r="G1615" s="1">
        <v>98</v>
      </c>
      <c r="H1615" s="1" t="str" cm="1">
        <f t="array" ref="H1615">_xlfn.IFS( OR(G1615=" ",NOT(ISNUMBER(G1615))),"Unknown",G1615&lt;=33,"Low Spender",G1615&lt;=66,"Medium Spender",TRUE, "High Spender")</f>
        <v>High Spender</v>
      </c>
      <c r="I1615" s="1">
        <v>57</v>
      </c>
      <c r="J1615" s="1">
        <v>3000</v>
      </c>
      <c r="K1615" s="1">
        <v>181</v>
      </c>
      <c r="M1615" s="1" t="s">
        <v>32</v>
      </c>
      <c r="N1615" s="1" t="str">
        <f t="shared" si="50"/>
        <v>Higher</v>
      </c>
      <c r="O1615" s="1" t="str">
        <f t="shared" si="51"/>
        <v>Young Adult | High Spender | Higher</v>
      </c>
    </row>
    <row r="1616" spans="1:15" x14ac:dyDescent="0.25">
      <c r="A1616" s="1" t="s">
        <v>1646</v>
      </c>
      <c r="B1616" s="1">
        <v>44</v>
      </c>
      <c r="C1616" s="1" t="str" cm="1">
        <f t="array" ref="C1616">_xlfn.IFS(OR(B1616=" ", B1616="NA",NOT(ISNUMBER(B1616))), "Unknown",B1616&lt;18,"Underage",B1616&lt;=24,"Young Adult",B1616&lt;=34,"Early Career",B1616&lt;=44,"Mid Career",B1616&lt;=54,"Mature",B1616&lt;=65,"Pre-Senior",B1616&gt;65,"Senior")</f>
        <v>Mid Career</v>
      </c>
      <c r="D1616" s="1" t="s">
        <v>29</v>
      </c>
      <c r="E1616" s="1" t="s">
        <v>58</v>
      </c>
      <c r="F1616" s="1">
        <v>1825000</v>
      </c>
      <c r="G1616" s="1">
        <v>23</v>
      </c>
      <c r="H1616" s="1" t="str" cm="1">
        <f t="array" ref="H1616">_xlfn.IFS( OR(G1616=" ",NOT(ISNUMBER(G1616))),"Unknown",G1616&lt;=33,"Low Spender",G1616&lt;=66,"Medium Spender",TRUE, "High Spender")</f>
        <v>Low Spender</v>
      </c>
      <c r="I1616" s="1">
        <v>29</v>
      </c>
      <c r="J1616" s="1">
        <v>11600</v>
      </c>
      <c r="K1616" s="1">
        <v>212</v>
      </c>
      <c r="L1616" s="1" t="s">
        <v>16</v>
      </c>
      <c r="M1616" s="1" t="s">
        <v>21</v>
      </c>
      <c r="N1616" s="1" t="str">
        <f t="shared" si="50"/>
        <v>Higher</v>
      </c>
      <c r="O1616" s="1" t="str">
        <f t="shared" si="51"/>
        <v>Mid Career | Low Spender | Higher</v>
      </c>
    </row>
    <row r="1617" spans="1:15" x14ac:dyDescent="0.25">
      <c r="A1617" s="1" t="s">
        <v>1647</v>
      </c>
      <c r="B1617" s="1">
        <v>57</v>
      </c>
      <c r="C1617" s="1" t="str" cm="1">
        <f t="array" ref="C1617">_xlfn.IFS(OR(B1617=" ", B1617="NA",NOT(ISNUMBER(B1617))), "Unknown",B1617&lt;18,"Underage",B1617&lt;=24,"Young Adult",B1617&lt;=34,"Early Career",B1617&lt;=44,"Mid Career",B1617&lt;=54,"Mature",B1617&lt;=65,"Pre-Senior",B1617&gt;65,"Senior")</f>
        <v>Pre-Senior</v>
      </c>
      <c r="D1617" s="1" t="s">
        <v>12</v>
      </c>
      <c r="E1617" s="1" t="s">
        <v>23</v>
      </c>
      <c r="F1617" s="1">
        <v>350000</v>
      </c>
      <c r="G1617" s="1">
        <v>43</v>
      </c>
      <c r="H1617" s="1" t="str" cm="1">
        <f t="array" ref="H1617">_xlfn.IFS( OR(G1617=" ",NOT(ISNUMBER(G1617))),"Unknown",G1617&lt;=33,"Low Spender",G1617&lt;=66,"Medium Spender",TRUE, "High Spender")</f>
        <v>Medium Spender</v>
      </c>
      <c r="I1617" s="1">
        <v>56</v>
      </c>
      <c r="J1617" s="1">
        <v>6500</v>
      </c>
      <c r="K1617" s="1">
        <v>273</v>
      </c>
      <c r="L1617" s="1" t="s">
        <v>20</v>
      </c>
      <c r="N1617" s="1" t="str">
        <f t="shared" si="50"/>
        <v>Lower</v>
      </c>
      <c r="O1617" s="1" t="str">
        <f t="shared" si="51"/>
        <v>Pre-Senior | Medium Spender | Lower</v>
      </c>
    </row>
    <row r="1618" spans="1:15" x14ac:dyDescent="0.25">
      <c r="A1618" s="1" t="s">
        <v>1648</v>
      </c>
      <c r="B1618" s="1">
        <v>51</v>
      </c>
      <c r="C1618" s="1" t="str" cm="1">
        <f t="array" ref="C1618">_xlfn.IFS(OR(B1618=" ", B1618="NA",NOT(ISNUMBER(B1618))), "Unknown",B1618&lt;18,"Underage",B1618&lt;=24,"Young Adult",B1618&lt;=34,"Early Career",B1618&lt;=44,"Mid Career",B1618&lt;=54,"Mature",B1618&lt;=65,"Pre-Senior",B1618&gt;65,"Senior")</f>
        <v>Mature</v>
      </c>
      <c r="D1618" s="1" t="s">
        <v>29</v>
      </c>
      <c r="E1618" s="1" t="s">
        <v>27</v>
      </c>
      <c r="F1618" s="1">
        <v>675000</v>
      </c>
      <c r="G1618" s="1">
        <v>89</v>
      </c>
      <c r="H1618" s="1" t="str" cm="1">
        <f t="array" ref="H1618">_xlfn.IFS( OR(G1618=" ",NOT(ISNUMBER(G1618))),"Unknown",G1618&lt;=33,"Low Spender",G1618&lt;=66,"Medium Spender",TRUE, "High Spender")</f>
        <v>High Spender</v>
      </c>
      <c r="I1618" s="1">
        <v>54</v>
      </c>
      <c r="J1618" s="1">
        <v>1700</v>
      </c>
      <c r="K1618" s="1">
        <v>203</v>
      </c>
      <c r="L1618" s="1" t="s">
        <v>20</v>
      </c>
      <c r="M1618" s="1" t="s">
        <v>30</v>
      </c>
      <c r="N1618" s="1" t="str">
        <f t="shared" si="50"/>
        <v>Higher</v>
      </c>
      <c r="O1618" s="1" t="str">
        <f t="shared" si="51"/>
        <v>Mature | High Spender | Higher</v>
      </c>
    </row>
    <row r="1619" spans="1:15" x14ac:dyDescent="0.25">
      <c r="A1619" s="1" t="s">
        <v>1649</v>
      </c>
      <c r="B1619" s="1">
        <v>29</v>
      </c>
      <c r="C1619" s="1" t="str" cm="1">
        <f t="array" ref="C1619">_xlfn.IFS(OR(B1619=" ", B1619="NA",NOT(ISNUMBER(B1619))), "Unknown",B1619&lt;18,"Underage",B1619&lt;=24,"Young Adult",B1619&lt;=34,"Early Career",B1619&lt;=44,"Mid Career",B1619&lt;=54,"Mature",B1619&lt;=65,"Pre-Senior",B1619&gt;65,"Senior")</f>
        <v>Early Career</v>
      </c>
      <c r="D1619" s="1" t="s">
        <v>12</v>
      </c>
      <c r="E1619" s="1" t="s">
        <v>27</v>
      </c>
      <c r="F1619" s="1">
        <v>800000</v>
      </c>
      <c r="G1619" s="1">
        <v>57</v>
      </c>
      <c r="H1619" s="1" t="str" cm="1">
        <f t="array" ref="H1619">_xlfn.IFS( OR(G1619=" ",NOT(ISNUMBER(G1619))),"Unknown",G1619&lt;=33,"Low Spender",G1619&lt;=66,"Medium Spender",TRUE, "High Spender")</f>
        <v>Medium Spender</v>
      </c>
      <c r="I1619" s="1">
        <v>5</v>
      </c>
      <c r="J1619" s="1">
        <v>2100</v>
      </c>
      <c r="K1619" s="1">
        <v>205</v>
      </c>
      <c r="M1619" s="1" t="s">
        <v>21</v>
      </c>
      <c r="N1619" s="1" t="str">
        <f t="shared" si="50"/>
        <v>Lower</v>
      </c>
      <c r="O1619" s="1" t="str">
        <f t="shared" si="51"/>
        <v>Early Career | Medium Spender | Lower</v>
      </c>
    </row>
    <row r="1620" spans="1:15" x14ac:dyDescent="0.25">
      <c r="A1620" s="1" t="s">
        <v>1650</v>
      </c>
      <c r="B1620" s="1">
        <v>62</v>
      </c>
      <c r="C1620" s="1" t="str" cm="1">
        <f t="array" ref="C1620">_xlfn.IFS(OR(B1620=" ", B1620="NA",NOT(ISNUMBER(B1620))), "Unknown",B1620&lt;18,"Underage",B1620&lt;=24,"Young Adult",B1620&lt;=34,"Early Career",B1620&lt;=44,"Mid Career",B1620&lt;=54,"Mature",B1620&lt;=65,"Pre-Senior",B1620&gt;65,"Senior")</f>
        <v>Pre-Senior</v>
      </c>
      <c r="E1620" s="1" t="s">
        <v>34</v>
      </c>
      <c r="F1620" s="1">
        <v>375000</v>
      </c>
      <c r="G1620" s="1">
        <v>51</v>
      </c>
      <c r="H1620" s="1" t="str" cm="1">
        <f t="array" ref="H1620">_xlfn.IFS( OR(G1620=" ",NOT(ISNUMBER(G1620))),"Unknown",G1620&lt;=33,"Low Spender",G1620&lt;=66,"Medium Spender",TRUE, "High Spender")</f>
        <v>Medium Spender</v>
      </c>
      <c r="I1620" s="1">
        <v>35</v>
      </c>
      <c r="J1620" s="1">
        <v>8800</v>
      </c>
      <c r="K1620" s="1">
        <v>153</v>
      </c>
      <c r="L1620" s="1" t="s">
        <v>20</v>
      </c>
      <c r="M1620" s="1" t="s">
        <v>21</v>
      </c>
      <c r="N1620" s="1" t="str">
        <f t="shared" si="50"/>
        <v>Lower</v>
      </c>
      <c r="O1620" s="1" t="str">
        <f t="shared" si="51"/>
        <v>Pre-Senior | Medium Spender | Lower</v>
      </c>
    </row>
    <row r="1621" spans="1:15" x14ac:dyDescent="0.25">
      <c r="A1621" s="1" t="s">
        <v>1651</v>
      </c>
      <c r="C1621" s="1" t="str" cm="1">
        <f t="array" ref="C1621">_xlfn.IFS(OR(B1621=" ", B1621="NA",NOT(ISNUMBER(B1621))), "Unknown",B1621&lt;18,"Underage",B1621&lt;=24,"Young Adult",B1621&lt;=34,"Early Career",B1621&lt;=44,"Mid Career",B1621&lt;=54,"Mature",B1621&lt;=65,"Pre-Senior",B1621&gt;65,"Senior")</f>
        <v>Unknown</v>
      </c>
      <c r="E1621" s="1" t="s">
        <v>13</v>
      </c>
      <c r="F1621" s="1">
        <v>1650000</v>
      </c>
      <c r="G1621" s="1">
        <v>13</v>
      </c>
      <c r="H1621" s="1" t="str" cm="1">
        <f t="array" ref="H1621">_xlfn.IFS( OR(G1621=" ",NOT(ISNUMBER(G1621))),"Unknown",G1621&lt;=33,"Low Spender",G1621&lt;=66,"Medium Spender",TRUE, "High Spender")</f>
        <v>Low Spender</v>
      </c>
      <c r="I1621" s="1">
        <v>19</v>
      </c>
      <c r="J1621" s="1">
        <v>7200</v>
      </c>
      <c r="K1621" s="1">
        <v>170</v>
      </c>
      <c r="M1621" s="1" t="s">
        <v>32</v>
      </c>
      <c r="N1621" s="1" t="str">
        <f t="shared" si="50"/>
        <v>Lower</v>
      </c>
      <c r="O1621" s="1" t="str">
        <f t="shared" si="51"/>
        <v>Unknown | Low Spender | Lower</v>
      </c>
    </row>
    <row r="1622" spans="1:15" x14ac:dyDescent="0.25">
      <c r="A1622" s="1" t="s">
        <v>1652</v>
      </c>
      <c r="B1622" s="1">
        <v>24</v>
      </c>
      <c r="C1622" s="1" t="str" cm="1">
        <f t="array" ref="C1622">_xlfn.IFS(OR(B1622=" ", B1622="NA",NOT(ISNUMBER(B1622))), "Unknown",B1622&lt;18,"Underage",B1622&lt;=24,"Young Adult",B1622&lt;=34,"Early Career",B1622&lt;=44,"Mid Career",B1622&lt;=54,"Mature",B1622&lt;=65,"Pre-Senior",B1622&gt;65,"Senior")</f>
        <v>Young Adult</v>
      </c>
      <c r="D1622" s="1" t="s">
        <v>18</v>
      </c>
      <c r="E1622" s="1" t="s">
        <v>15</v>
      </c>
      <c r="F1622" s="1">
        <v>1400000</v>
      </c>
      <c r="G1622" s="1">
        <v>24</v>
      </c>
      <c r="H1622" s="1" t="str" cm="1">
        <f t="array" ref="H1622">_xlfn.IFS( OR(G1622=" ",NOT(ISNUMBER(G1622))),"Unknown",G1622&lt;=33,"Low Spender",G1622&lt;=66,"Medium Spender",TRUE, "High Spender")</f>
        <v>Low Spender</v>
      </c>
      <c r="I1622" s="1">
        <v>55</v>
      </c>
      <c r="J1622" s="1">
        <v>4900</v>
      </c>
      <c r="K1622" s="1">
        <v>241</v>
      </c>
      <c r="M1622" s="1" t="s">
        <v>30</v>
      </c>
      <c r="N1622" s="1" t="str">
        <f t="shared" si="50"/>
        <v>Higher</v>
      </c>
      <c r="O1622" s="1" t="str">
        <f t="shared" si="51"/>
        <v>Young Adult | Low Spender | Higher</v>
      </c>
    </row>
    <row r="1623" spans="1:15" x14ac:dyDescent="0.25">
      <c r="A1623" s="1" t="s">
        <v>1653</v>
      </c>
      <c r="B1623" s="1">
        <v>27</v>
      </c>
      <c r="C1623" s="1" t="str" cm="1">
        <f t="array" ref="C1623">_xlfn.IFS(OR(B1623=" ", B1623="NA",NOT(ISNUMBER(B1623))), "Unknown",B1623&lt;18,"Underage",B1623&lt;=24,"Young Adult",B1623&lt;=34,"Early Career",B1623&lt;=44,"Mid Career",B1623&lt;=54,"Mature",B1623&lt;=65,"Pre-Senior",B1623&gt;65,"Senior")</f>
        <v>Early Career</v>
      </c>
      <c r="D1623" s="1" t="s">
        <v>18</v>
      </c>
      <c r="E1623" s="1" t="s">
        <v>23</v>
      </c>
      <c r="F1623" s="1">
        <v>375000</v>
      </c>
      <c r="G1623" s="1">
        <v>11</v>
      </c>
      <c r="H1623" s="1" t="str" cm="1">
        <f t="array" ref="H1623">_xlfn.IFS( OR(G1623=" ",NOT(ISNUMBER(G1623))),"Unknown",G1623&lt;=33,"Low Spender",G1623&lt;=66,"Medium Spender",TRUE, "High Spender")</f>
        <v>Low Spender</v>
      </c>
      <c r="I1623" s="1">
        <v>77</v>
      </c>
      <c r="J1623" s="1">
        <v>7300</v>
      </c>
      <c r="K1623" s="1">
        <v>287</v>
      </c>
      <c r="M1623" s="1" t="s">
        <v>21</v>
      </c>
      <c r="N1623" s="1" t="str">
        <f t="shared" si="50"/>
        <v>Higher</v>
      </c>
      <c r="O1623" s="1" t="str">
        <f t="shared" si="51"/>
        <v>Early Career | Low Spender | Higher</v>
      </c>
    </row>
    <row r="1624" spans="1:15" x14ac:dyDescent="0.25">
      <c r="A1624" s="1" t="s">
        <v>1654</v>
      </c>
      <c r="B1624" s="1">
        <v>62</v>
      </c>
      <c r="C1624" s="1" t="str" cm="1">
        <f t="array" ref="C1624">_xlfn.IFS(OR(B1624=" ", B1624="NA",NOT(ISNUMBER(B1624))), "Unknown",B1624&lt;18,"Underage",B1624&lt;=24,"Young Adult",B1624&lt;=34,"Early Career",B1624&lt;=44,"Mid Career",B1624&lt;=54,"Mature",B1624&lt;=65,"Pre-Senior",B1624&gt;65,"Senior")</f>
        <v>Pre-Senior</v>
      </c>
      <c r="D1624" s="1" t="s">
        <v>12</v>
      </c>
      <c r="E1624" s="1" t="s">
        <v>23</v>
      </c>
      <c r="F1624" s="1">
        <v>275000</v>
      </c>
      <c r="G1624" s="1">
        <v>52</v>
      </c>
      <c r="H1624" s="1" t="str" cm="1">
        <f t="array" ref="H1624">_xlfn.IFS( OR(G1624=" ",NOT(ISNUMBER(G1624))),"Unknown",G1624&lt;=33,"Low Spender",G1624&lt;=66,"Medium Spender",TRUE, "High Spender")</f>
        <v>Medium Spender</v>
      </c>
      <c r="I1624" s="1">
        <v>69</v>
      </c>
      <c r="J1624" s="1">
        <v>11000</v>
      </c>
      <c r="K1624" s="1">
        <v>245</v>
      </c>
      <c r="L1624" s="1" t="s">
        <v>35</v>
      </c>
      <c r="M1624" s="1" t="s">
        <v>30</v>
      </c>
      <c r="N1624" s="1" t="str">
        <f t="shared" si="50"/>
        <v>Lower</v>
      </c>
      <c r="O1624" s="1" t="str">
        <f t="shared" si="51"/>
        <v>Pre-Senior | Medium Spender | Lower</v>
      </c>
    </row>
    <row r="1625" spans="1:15" x14ac:dyDescent="0.25">
      <c r="A1625" s="1" t="s">
        <v>1655</v>
      </c>
      <c r="B1625" s="1">
        <v>34</v>
      </c>
      <c r="C1625" s="1" t="str" cm="1">
        <f t="array" ref="C1625">_xlfn.IFS(OR(B1625=" ", B1625="NA",NOT(ISNUMBER(B1625))), "Unknown",B1625&lt;18,"Underage",B1625&lt;=24,"Young Adult",B1625&lt;=34,"Early Career",B1625&lt;=44,"Mid Career",B1625&lt;=54,"Mature",B1625&lt;=65,"Pre-Senior",B1625&gt;65,"Senior")</f>
        <v>Early Career</v>
      </c>
      <c r="D1625" s="1" t="s">
        <v>29</v>
      </c>
      <c r="E1625" s="1" t="s">
        <v>58</v>
      </c>
      <c r="F1625" s="1">
        <v>1675000</v>
      </c>
      <c r="G1625" s="1">
        <v>17</v>
      </c>
      <c r="H1625" s="1" t="str" cm="1">
        <f t="array" ref="H1625">_xlfn.IFS( OR(G1625=" ",NOT(ISNUMBER(G1625))),"Unknown",G1625&lt;=33,"Low Spender",G1625&lt;=66,"Medium Spender",TRUE, "High Spender")</f>
        <v>Low Spender</v>
      </c>
      <c r="I1625" s="1">
        <v>44</v>
      </c>
      <c r="J1625" s="1">
        <v>5000</v>
      </c>
      <c r="K1625" s="1">
        <v>321</v>
      </c>
      <c r="N1625" s="1" t="str">
        <f t="shared" si="50"/>
        <v>Higher</v>
      </c>
      <c r="O1625" s="1" t="str">
        <f t="shared" si="51"/>
        <v>Early Career | Low Spender | Higher</v>
      </c>
    </row>
    <row r="1626" spans="1:15" x14ac:dyDescent="0.25">
      <c r="A1626" s="1" t="s">
        <v>1656</v>
      </c>
      <c r="B1626" s="1">
        <v>43</v>
      </c>
      <c r="C1626" s="1" t="str" cm="1">
        <f t="array" ref="C1626">_xlfn.IFS(OR(B1626=" ", B1626="NA",NOT(ISNUMBER(B1626))), "Unknown",B1626&lt;18,"Underage",B1626&lt;=24,"Young Adult",B1626&lt;=34,"Early Career",B1626&lt;=44,"Mid Career",B1626&lt;=54,"Mature",B1626&lt;=65,"Pre-Senior",B1626&gt;65,"Senior")</f>
        <v>Mid Career</v>
      </c>
      <c r="D1626" s="1" t="s">
        <v>29</v>
      </c>
      <c r="E1626" s="1" t="s">
        <v>49</v>
      </c>
      <c r="F1626" s="1">
        <v>250000</v>
      </c>
      <c r="G1626" s="1">
        <v>37</v>
      </c>
      <c r="H1626" s="1" t="str" cm="1">
        <f t="array" ref="H1626">_xlfn.IFS( OR(G1626=" ",NOT(ISNUMBER(G1626))),"Unknown",G1626&lt;=33,"Low Spender",G1626&lt;=66,"Medium Spender",TRUE, "High Spender")</f>
        <v>Medium Spender</v>
      </c>
      <c r="I1626" s="1">
        <v>78</v>
      </c>
      <c r="J1626" s="1">
        <v>7500</v>
      </c>
      <c r="K1626" s="1">
        <v>80</v>
      </c>
      <c r="L1626" s="1" t="s">
        <v>35</v>
      </c>
      <c r="M1626" s="1" t="s">
        <v>32</v>
      </c>
      <c r="N1626" s="1" t="str">
        <f t="shared" si="50"/>
        <v>Higher</v>
      </c>
      <c r="O1626" s="1" t="str">
        <f t="shared" si="51"/>
        <v>Mid Career | Medium Spender | Higher</v>
      </c>
    </row>
    <row r="1627" spans="1:15" x14ac:dyDescent="0.25">
      <c r="A1627" s="1" t="s">
        <v>1657</v>
      </c>
      <c r="B1627" s="1">
        <v>38</v>
      </c>
      <c r="C1627" s="1" t="str" cm="1">
        <f t="array" ref="C1627">_xlfn.IFS(OR(B1627=" ", B1627="NA",NOT(ISNUMBER(B1627))), "Unknown",B1627&lt;18,"Underage",B1627&lt;=24,"Young Adult",B1627&lt;=34,"Early Career",B1627&lt;=44,"Mid Career",B1627&lt;=54,"Mature",B1627&lt;=65,"Pre-Senior",B1627&gt;65,"Senior")</f>
        <v>Mid Career</v>
      </c>
      <c r="E1627" s="1" t="s">
        <v>13</v>
      </c>
      <c r="F1627" s="1">
        <v>1875000</v>
      </c>
      <c r="G1627" s="1">
        <v>13</v>
      </c>
      <c r="H1627" s="1" t="str" cm="1">
        <f t="array" ref="H1627">_xlfn.IFS( OR(G1627=" ",NOT(ISNUMBER(G1627))),"Unknown",G1627&lt;=33,"Low Spender",G1627&lt;=66,"Medium Spender",TRUE, "High Spender")</f>
        <v>Low Spender</v>
      </c>
      <c r="I1627" s="1">
        <v>38</v>
      </c>
      <c r="J1627" s="1">
        <v>2200</v>
      </c>
      <c r="K1627" s="1">
        <v>92</v>
      </c>
      <c r="L1627" s="1" t="s">
        <v>20</v>
      </c>
      <c r="M1627" s="1" t="s">
        <v>21</v>
      </c>
      <c r="N1627" s="1" t="str">
        <f t="shared" si="50"/>
        <v>Lower</v>
      </c>
      <c r="O1627" s="1" t="str">
        <f t="shared" si="51"/>
        <v>Mid Career | Low Spender | Lower</v>
      </c>
    </row>
    <row r="1628" spans="1:15" x14ac:dyDescent="0.25">
      <c r="A1628" s="1" t="s">
        <v>1658</v>
      </c>
      <c r="B1628" s="1">
        <v>45</v>
      </c>
      <c r="C1628" s="1" t="str" cm="1">
        <f t="array" ref="C1628">_xlfn.IFS(OR(B1628=" ", B1628="NA",NOT(ISNUMBER(B1628))), "Unknown",B1628&lt;18,"Underage",B1628&lt;=24,"Young Adult",B1628&lt;=34,"Early Career",B1628&lt;=44,"Mid Career",B1628&lt;=54,"Mature",B1628&lt;=65,"Pre-Senior",B1628&gt;65,"Senior")</f>
        <v>Mature</v>
      </c>
      <c r="D1628" s="1" t="s">
        <v>29</v>
      </c>
      <c r="E1628" s="1" t="s">
        <v>19</v>
      </c>
      <c r="F1628" s="1">
        <v>1700000</v>
      </c>
      <c r="G1628" s="1">
        <v>62</v>
      </c>
      <c r="H1628" s="1" t="str" cm="1">
        <f t="array" ref="H1628">_xlfn.IFS( OR(G1628=" ",NOT(ISNUMBER(G1628))),"Unknown",G1628&lt;=33,"Low Spender",G1628&lt;=66,"Medium Spender",TRUE, "High Spender")</f>
        <v>Medium Spender</v>
      </c>
      <c r="I1628" s="1">
        <v>62</v>
      </c>
      <c r="J1628" s="1">
        <v>3900</v>
      </c>
      <c r="K1628" s="1">
        <v>149</v>
      </c>
      <c r="L1628" s="1" t="s">
        <v>20</v>
      </c>
      <c r="M1628" s="1" t="s">
        <v>30</v>
      </c>
      <c r="N1628" s="1" t="str">
        <f t="shared" si="50"/>
        <v>Higher</v>
      </c>
      <c r="O1628" s="1" t="str">
        <f t="shared" si="51"/>
        <v>Mature | Medium Spender | Higher</v>
      </c>
    </row>
    <row r="1629" spans="1:15" x14ac:dyDescent="0.25">
      <c r="A1629" s="1" t="s">
        <v>1659</v>
      </c>
      <c r="B1629" s="1">
        <v>63</v>
      </c>
      <c r="C1629" s="1" t="str" cm="1">
        <f t="array" ref="C1629">_xlfn.IFS(OR(B1629=" ", B1629="NA",NOT(ISNUMBER(B1629))), "Unknown",B1629&lt;18,"Underage",B1629&lt;=24,"Young Adult",B1629&lt;=34,"Early Career",B1629&lt;=44,"Mid Career",B1629&lt;=54,"Mature",B1629&lt;=65,"Pre-Senior",B1629&gt;65,"Senior")</f>
        <v>Pre-Senior</v>
      </c>
      <c r="D1629" s="1" t="s">
        <v>18</v>
      </c>
      <c r="E1629" s="1" t="s">
        <v>23</v>
      </c>
      <c r="F1629" s="1">
        <v>1525000</v>
      </c>
      <c r="G1629" s="1">
        <v>91</v>
      </c>
      <c r="H1629" s="1" t="str" cm="1">
        <f t="array" ref="H1629">_xlfn.IFS( OR(G1629=" ",NOT(ISNUMBER(G1629))),"Unknown",G1629&lt;=33,"Low Spender",G1629&lt;=66,"Medium Spender",TRUE, "High Spender")</f>
        <v>High Spender</v>
      </c>
      <c r="I1629" s="1">
        <v>22</v>
      </c>
      <c r="J1629" s="1">
        <v>7700</v>
      </c>
      <c r="K1629" s="1">
        <v>30</v>
      </c>
      <c r="L1629" s="1" t="s">
        <v>16</v>
      </c>
      <c r="N1629" s="1" t="str">
        <f t="shared" si="50"/>
        <v>Higher</v>
      </c>
      <c r="O1629" s="1" t="str">
        <f t="shared" si="51"/>
        <v>Pre-Senior | High Spender | Higher</v>
      </c>
    </row>
    <row r="1630" spans="1:15" x14ac:dyDescent="0.25">
      <c r="A1630" s="1" t="s">
        <v>1660</v>
      </c>
      <c r="B1630" s="1">
        <v>19</v>
      </c>
      <c r="C1630" s="1" t="str" cm="1">
        <f t="array" ref="C1630">_xlfn.IFS(OR(B1630=" ", B1630="NA",NOT(ISNUMBER(B1630))), "Unknown",B1630&lt;18,"Underage",B1630&lt;=24,"Young Adult",B1630&lt;=34,"Early Career",B1630&lt;=44,"Mid Career",B1630&lt;=54,"Mature",B1630&lt;=65,"Pre-Senior",B1630&gt;65,"Senior")</f>
        <v>Young Adult</v>
      </c>
      <c r="F1630" s="1">
        <v>1600000</v>
      </c>
      <c r="G1630" s="1">
        <v>84</v>
      </c>
      <c r="H1630" s="1" t="str" cm="1">
        <f t="array" ref="H1630">_xlfn.IFS( OR(G1630=" ",NOT(ISNUMBER(G1630))),"Unknown",G1630&lt;=33,"Low Spender",G1630&lt;=66,"Medium Spender",TRUE, "High Spender")</f>
        <v>High Spender</v>
      </c>
      <c r="I1630" s="1">
        <v>73</v>
      </c>
      <c r="J1630" s="1">
        <v>400</v>
      </c>
      <c r="K1630" s="1">
        <v>123</v>
      </c>
      <c r="L1630" s="1" t="s">
        <v>35</v>
      </c>
      <c r="M1630" s="1" t="s">
        <v>21</v>
      </c>
      <c r="N1630" s="1" t="str">
        <f t="shared" si="50"/>
        <v>Lower</v>
      </c>
      <c r="O1630" s="1" t="str">
        <f t="shared" si="51"/>
        <v>Young Adult | High Spender | Lower</v>
      </c>
    </row>
    <row r="1631" spans="1:15" x14ac:dyDescent="0.25">
      <c r="A1631" s="1" t="s">
        <v>1661</v>
      </c>
      <c r="C1631" s="1" t="str" cm="1">
        <f t="array" ref="C1631">_xlfn.IFS(OR(B1631=" ", B1631="NA",NOT(ISNUMBER(B1631))), "Unknown",B1631&lt;18,"Underage",B1631&lt;=24,"Young Adult",B1631&lt;=34,"Early Career",B1631&lt;=44,"Mid Career",B1631&lt;=54,"Mature",B1631&lt;=65,"Pre-Senior",B1631&gt;65,"Senior")</f>
        <v>Unknown</v>
      </c>
      <c r="D1631" s="1" t="s">
        <v>12</v>
      </c>
      <c r="E1631" s="1" t="s">
        <v>19</v>
      </c>
      <c r="F1631" s="1">
        <v>1700000</v>
      </c>
      <c r="G1631" s="1">
        <v>97</v>
      </c>
      <c r="H1631" s="1" t="str" cm="1">
        <f t="array" ref="H1631">_xlfn.IFS( OR(G1631=" ",NOT(ISNUMBER(G1631))),"Unknown",G1631&lt;=33,"Low Spender",G1631&lt;=66,"Medium Spender",TRUE, "High Spender")</f>
        <v>High Spender</v>
      </c>
      <c r="I1631" s="1">
        <v>40</v>
      </c>
      <c r="J1631" s="1">
        <v>6600</v>
      </c>
      <c r="K1631" s="1">
        <v>326</v>
      </c>
      <c r="L1631" s="1" t="s">
        <v>37</v>
      </c>
      <c r="M1631" s="1" t="s">
        <v>21</v>
      </c>
      <c r="N1631" s="1" t="str">
        <f t="shared" si="50"/>
        <v>Lower</v>
      </c>
      <c r="O1631" s="1" t="str">
        <f t="shared" si="51"/>
        <v>Unknown | High Spender | Lower</v>
      </c>
    </row>
    <row r="1632" spans="1:15" x14ac:dyDescent="0.25">
      <c r="A1632" s="1" t="s">
        <v>1662</v>
      </c>
      <c r="B1632" s="1">
        <v>60</v>
      </c>
      <c r="C1632" s="1" t="str" cm="1">
        <f t="array" ref="C1632">_xlfn.IFS(OR(B1632=" ", B1632="NA",NOT(ISNUMBER(B1632))), "Unknown",B1632&lt;18,"Underage",B1632&lt;=24,"Young Adult",B1632&lt;=34,"Early Career",B1632&lt;=44,"Mid Career",B1632&lt;=54,"Mature",B1632&lt;=65,"Pre-Senior",B1632&gt;65,"Senior")</f>
        <v>Pre-Senior</v>
      </c>
      <c r="E1632" s="1" t="s">
        <v>34</v>
      </c>
      <c r="F1632" s="1">
        <v>1600000</v>
      </c>
      <c r="G1632" s="1">
        <v>96</v>
      </c>
      <c r="H1632" s="1" t="str" cm="1">
        <f t="array" ref="H1632">_xlfn.IFS( OR(G1632=" ",NOT(ISNUMBER(G1632))),"Unknown",G1632&lt;=33,"Low Spender",G1632&lt;=66,"Medium Spender",TRUE, "High Spender")</f>
        <v>High Spender</v>
      </c>
      <c r="I1632" s="1">
        <v>26</v>
      </c>
      <c r="J1632" s="1">
        <v>8800</v>
      </c>
      <c r="K1632" s="1">
        <v>29</v>
      </c>
      <c r="L1632" s="1" t="s">
        <v>16</v>
      </c>
      <c r="M1632" s="1" t="s">
        <v>21</v>
      </c>
      <c r="N1632" s="1" t="str">
        <f t="shared" si="50"/>
        <v>Lower</v>
      </c>
      <c r="O1632" s="1" t="str">
        <f t="shared" si="51"/>
        <v>Pre-Senior | High Spender | Lower</v>
      </c>
    </row>
    <row r="1633" spans="1:15" x14ac:dyDescent="0.25">
      <c r="A1633" s="1" t="s">
        <v>1663</v>
      </c>
      <c r="B1633" s="1">
        <v>18</v>
      </c>
      <c r="C1633" s="1" t="str" cm="1">
        <f t="array" ref="C1633">_xlfn.IFS(OR(B1633=" ", B1633="NA",NOT(ISNUMBER(B1633))), "Unknown",B1633&lt;18,"Underage",B1633&lt;=24,"Young Adult",B1633&lt;=34,"Early Career",B1633&lt;=44,"Mid Career",B1633&lt;=54,"Mature",B1633&lt;=65,"Pre-Senior",B1633&gt;65,"Senior")</f>
        <v>Young Adult</v>
      </c>
      <c r="D1633" s="1" t="s">
        <v>29</v>
      </c>
      <c r="E1633" s="1" t="s">
        <v>49</v>
      </c>
      <c r="F1633" s="1">
        <v>1400000</v>
      </c>
      <c r="G1633" s="1">
        <v>8</v>
      </c>
      <c r="H1633" s="1" t="str" cm="1">
        <f t="array" ref="H1633">_xlfn.IFS( OR(G1633=" ",NOT(ISNUMBER(G1633))),"Unknown",G1633&lt;=33,"Low Spender",G1633&lt;=66,"Medium Spender",TRUE, "High Spender")</f>
        <v>Low Spender</v>
      </c>
      <c r="I1633" s="1">
        <v>5</v>
      </c>
      <c r="J1633" s="1">
        <v>11400</v>
      </c>
      <c r="K1633" s="1">
        <v>259</v>
      </c>
      <c r="L1633" s="1" t="s">
        <v>35</v>
      </c>
      <c r="M1633" s="1" t="s">
        <v>30</v>
      </c>
      <c r="N1633" s="1" t="str">
        <f t="shared" si="50"/>
        <v>Higher</v>
      </c>
      <c r="O1633" s="1" t="str">
        <f t="shared" si="51"/>
        <v>Young Adult | Low Spender | Higher</v>
      </c>
    </row>
    <row r="1634" spans="1:15" x14ac:dyDescent="0.25">
      <c r="A1634" s="1" t="s">
        <v>1664</v>
      </c>
      <c r="B1634" s="1">
        <v>68</v>
      </c>
      <c r="C1634" s="1" t="str" cm="1">
        <f t="array" ref="C1634">_xlfn.IFS(OR(B1634=" ", B1634="NA",NOT(ISNUMBER(B1634))), "Unknown",B1634&lt;18,"Underage",B1634&lt;=24,"Young Adult",B1634&lt;=34,"Early Career",B1634&lt;=44,"Mid Career",B1634&lt;=54,"Mature",B1634&lt;=65,"Pre-Senior",B1634&gt;65,"Senior")</f>
        <v>Senior</v>
      </c>
      <c r="D1634" s="1" t="s">
        <v>29</v>
      </c>
      <c r="E1634" s="1" t="s">
        <v>49</v>
      </c>
      <c r="F1634" s="1">
        <v>1375000</v>
      </c>
      <c r="G1634" s="1">
        <v>56</v>
      </c>
      <c r="H1634" s="1" t="str" cm="1">
        <f t="array" ref="H1634">_xlfn.IFS( OR(G1634=" ",NOT(ISNUMBER(G1634))),"Unknown",G1634&lt;=33,"Low Spender",G1634&lt;=66,"Medium Spender",TRUE, "High Spender")</f>
        <v>Medium Spender</v>
      </c>
      <c r="I1634" s="1">
        <v>54</v>
      </c>
      <c r="J1634" s="1">
        <v>3800</v>
      </c>
      <c r="K1634" s="1">
        <v>186</v>
      </c>
      <c r="M1634" s="1" t="s">
        <v>41</v>
      </c>
      <c r="N1634" s="1" t="str">
        <f t="shared" si="50"/>
        <v>Higher</v>
      </c>
      <c r="O1634" s="1" t="str">
        <f t="shared" si="51"/>
        <v>Senior | Medium Spender | Higher</v>
      </c>
    </row>
    <row r="1635" spans="1:15" x14ac:dyDescent="0.25">
      <c r="A1635" s="1" t="s">
        <v>1665</v>
      </c>
      <c r="C1635" s="1" t="str" cm="1">
        <f t="array" ref="C1635">_xlfn.IFS(OR(B1635=" ", B1635="NA",NOT(ISNUMBER(B1635))), "Unknown",B1635&lt;18,"Underage",B1635&lt;=24,"Young Adult",B1635&lt;=34,"Early Career",B1635&lt;=44,"Mid Career",B1635&lt;=54,"Mature",B1635&lt;=65,"Pre-Senior",B1635&gt;65,"Senior")</f>
        <v>Unknown</v>
      </c>
      <c r="D1635" s="1" t="s">
        <v>29</v>
      </c>
      <c r="E1635" s="1" t="s">
        <v>15</v>
      </c>
      <c r="F1635" s="1">
        <v>225000</v>
      </c>
      <c r="G1635" s="1">
        <v>93</v>
      </c>
      <c r="H1635" s="1" t="str" cm="1">
        <f t="array" ref="H1635">_xlfn.IFS( OR(G1635=" ",NOT(ISNUMBER(G1635))),"Unknown",G1635&lt;=33,"Low Spender",G1635&lt;=66,"Medium Spender",TRUE, "High Spender")</f>
        <v>High Spender</v>
      </c>
      <c r="I1635" s="1">
        <v>49</v>
      </c>
      <c r="J1635" s="1">
        <v>700</v>
      </c>
      <c r="K1635" s="1">
        <v>75</v>
      </c>
      <c r="N1635" s="1" t="str">
        <f t="shared" si="50"/>
        <v>Higher</v>
      </c>
      <c r="O1635" s="1" t="str">
        <f t="shared" si="51"/>
        <v>Unknown | High Spender | Higher</v>
      </c>
    </row>
    <row r="1636" spans="1:15" x14ac:dyDescent="0.25">
      <c r="A1636" s="1" t="s">
        <v>1666</v>
      </c>
      <c r="B1636" s="1">
        <v>53</v>
      </c>
      <c r="C1636" s="1" t="str" cm="1">
        <f t="array" ref="C1636">_xlfn.IFS(OR(B1636=" ", B1636="NA",NOT(ISNUMBER(B1636))), "Unknown",B1636&lt;18,"Underage",B1636&lt;=24,"Young Adult",B1636&lt;=34,"Early Career",B1636&lt;=44,"Mid Career",B1636&lt;=54,"Mature",B1636&lt;=65,"Pre-Senior",B1636&gt;65,"Senior")</f>
        <v>Mature</v>
      </c>
      <c r="D1636" s="1" t="s">
        <v>18</v>
      </c>
      <c r="E1636" s="1" t="s">
        <v>23</v>
      </c>
      <c r="F1636" s="1">
        <v>1325000</v>
      </c>
      <c r="G1636" s="1">
        <v>83</v>
      </c>
      <c r="H1636" s="1" t="str" cm="1">
        <f t="array" ref="H1636">_xlfn.IFS( OR(G1636=" ",NOT(ISNUMBER(G1636))),"Unknown",G1636&lt;=33,"Low Spender",G1636&lt;=66,"Medium Spender",TRUE, "High Spender")</f>
        <v>High Spender</v>
      </c>
      <c r="I1636" s="1">
        <v>3</v>
      </c>
      <c r="J1636" s="1">
        <v>6600</v>
      </c>
      <c r="K1636" s="1">
        <v>45</v>
      </c>
      <c r="L1636" s="1" t="s">
        <v>35</v>
      </c>
      <c r="M1636" s="1" t="s">
        <v>21</v>
      </c>
      <c r="N1636" s="1" t="str">
        <f t="shared" si="50"/>
        <v>Higher</v>
      </c>
      <c r="O1636" s="1" t="str">
        <f t="shared" si="51"/>
        <v>Mature | High Spender | Higher</v>
      </c>
    </row>
    <row r="1637" spans="1:15" x14ac:dyDescent="0.25">
      <c r="A1637" s="1" t="s">
        <v>1667</v>
      </c>
      <c r="B1637" s="1">
        <v>68</v>
      </c>
      <c r="C1637" s="1" t="str" cm="1">
        <f t="array" ref="C1637">_xlfn.IFS(OR(B1637=" ", B1637="NA",NOT(ISNUMBER(B1637))), "Unknown",B1637&lt;18,"Underage",B1637&lt;=24,"Young Adult",B1637&lt;=34,"Early Career",B1637&lt;=44,"Mid Career",B1637&lt;=54,"Mature",B1637&lt;=65,"Pre-Senior",B1637&gt;65,"Senior")</f>
        <v>Senior</v>
      </c>
      <c r="E1637" s="1" t="s">
        <v>58</v>
      </c>
      <c r="F1637" s="1">
        <v>925000</v>
      </c>
      <c r="G1637" s="1">
        <v>70</v>
      </c>
      <c r="H1637" s="1" t="str" cm="1">
        <f t="array" ref="H1637">_xlfn.IFS( OR(G1637=" ",NOT(ISNUMBER(G1637))),"Unknown",G1637&lt;=33,"Low Spender",G1637&lt;=66,"Medium Spender",TRUE, "High Spender")</f>
        <v>High Spender</v>
      </c>
      <c r="I1637" s="1">
        <v>38</v>
      </c>
      <c r="J1637" s="1">
        <v>900</v>
      </c>
      <c r="K1637" s="1">
        <v>69</v>
      </c>
      <c r="N1637" s="1" t="str">
        <f t="shared" si="50"/>
        <v>Lower</v>
      </c>
      <c r="O1637" s="1" t="str">
        <f t="shared" si="51"/>
        <v>Senior | High Spender | Lower</v>
      </c>
    </row>
    <row r="1638" spans="1:15" x14ac:dyDescent="0.25">
      <c r="A1638" s="1" t="s">
        <v>1668</v>
      </c>
      <c r="B1638" s="1">
        <v>43</v>
      </c>
      <c r="C1638" s="1" t="str" cm="1">
        <f t="array" ref="C1638">_xlfn.IFS(OR(B1638=" ", B1638="NA",NOT(ISNUMBER(B1638))), "Unknown",B1638&lt;18,"Underage",B1638&lt;=24,"Young Adult",B1638&lt;=34,"Early Career",B1638&lt;=44,"Mid Career",B1638&lt;=54,"Mature",B1638&lt;=65,"Pre-Senior",B1638&gt;65,"Senior")</f>
        <v>Mid Career</v>
      </c>
      <c r="D1638" s="1" t="s">
        <v>18</v>
      </c>
      <c r="F1638" s="1">
        <v>1400000</v>
      </c>
      <c r="G1638" s="1">
        <v>44</v>
      </c>
      <c r="H1638" s="1" t="str" cm="1">
        <f t="array" ref="H1638">_xlfn.IFS( OR(G1638=" ",NOT(ISNUMBER(G1638))),"Unknown",G1638&lt;=33,"Low Spender",G1638&lt;=66,"Medium Spender",TRUE, "High Spender")</f>
        <v>Medium Spender</v>
      </c>
      <c r="I1638" s="1">
        <v>14</v>
      </c>
      <c r="J1638" s="1">
        <v>7200</v>
      </c>
      <c r="K1638" s="1">
        <v>210</v>
      </c>
      <c r="N1638" s="1" t="str">
        <f t="shared" si="50"/>
        <v>Higher</v>
      </c>
      <c r="O1638" s="1" t="str">
        <f t="shared" si="51"/>
        <v>Mid Career | Medium Spender | Higher</v>
      </c>
    </row>
    <row r="1639" spans="1:15" x14ac:dyDescent="0.25">
      <c r="A1639" s="1" t="s">
        <v>1669</v>
      </c>
      <c r="B1639" s="1">
        <v>46</v>
      </c>
      <c r="C1639" s="1" t="str" cm="1">
        <f t="array" ref="C1639">_xlfn.IFS(OR(B1639=" ", B1639="NA",NOT(ISNUMBER(B1639))), "Unknown",B1639&lt;18,"Underage",B1639&lt;=24,"Young Adult",B1639&lt;=34,"Early Career",B1639&lt;=44,"Mid Career",B1639&lt;=54,"Mature",B1639&lt;=65,"Pre-Senior",B1639&gt;65,"Senior")</f>
        <v>Mature</v>
      </c>
      <c r="D1639" s="1" t="s">
        <v>18</v>
      </c>
      <c r="F1639" s="1">
        <v>1425000</v>
      </c>
      <c r="G1639" s="1">
        <v>60</v>
      </c>
      <c r="H1639" s="1" t="str" cm="1">
        <f t="array" ref="H1639">_xlfn.IFS( OR(G1639=" ",NOT(ISNUMBER(G1639))),"Unknown",G1639&lt;=33,"Low Spender",G1639&lt;=66,"Medium Spender",TRUE, "High Spender")</f>
        <v>Medium Spender</v>
      </c>
      <c r="I1639" s="1">
        <v>47</v>
      </c>
      <c r="J1639" s="1">
        <v>2400</v>
      </c>
      <c r="K1639" s="1">
        <v>239</v>
      </c>
      <c r="L1639" s="1" t="s">
        <v>20</v>
      </c>
      <c r="M1639" s="1" t="s">
        <v>32</v>
      </c>
      <c r="N1639" s="1" t="str">
        <f t="shared" si="50"/>
        <v>Higher</v>
      </c>
      <c r="O1639" s="1" t="str">
        <f t="shared" si="51"/>
        <v>Mature | Medium Spender | Higher</v>
      </c>
    </row>
    <row r="1640" spans="1:15" x14ac:dyDescent="0.25">
      <c r="A1640" s="1" t="s">
        <v>1670</v>
      </c>
      <c r="B1640" s="1">
        <v>38</v>
      </c>
      <c r="C1640" s="1" t="str" cm="1">
        <f t="array" ref="C1640">_xlfn.IFS(OR(B1640=" ", B1640="NA",NOT(ISNUMBER(B1640))), "Unknown",B1640&lt;18,"Underage",B1640&lt;=24,"Young Adult",B1640&lt;=34,"Early Career",B1640&lt;=44,"Mid Career",B1640&lt;=54,"Mature",B1640&lt;=65,"Pre-Senior",B1640&gt;65,"Senior")</f>
        <v>Mid Career</v>
      </c>
      <c r="D1640" s="1" t="s">
        <v>18</v>
      </c>
      <c r="E1640" s="1" t="s">
        <v>27</v>
      </c>
      <c r="F1640" s="1">
        <v>1975000</v>
      </c>
      <c r="G1640" s="1">
        <v>41</v>
      </c>
      <c r="H1640" s="1" t="str" cm="1">
        <f t="array" ref="H1640">_xlfn.IFS( OR(G1640=" ",NOT(ISNUMBER(G1640))),"Unknown",G1640&lt;=33,"Low Spender",G1640&lt;=66,"Medium Spender",TRUE, "High Spender")</f>
        <v>Medium Spender</v>
      </c>
      <c r="I1640" s="1">
        <v>14</v>
      </c>
      <c r="J1640" s="1">
        <v>7600</v>
      </c>
      <c r="K1640" s="1">
        <v>340</v>
      </c>
      <c r="L1640" s="1" t="s">
        <v>37</v>
      </c>
      <c r="M1640" s="1" t="s">
        <v>41</v>
      </c>
      <c r="N1640" s="1" t="str">
        <f t="shared" si="50"/>
        <v>Higher</v>
      </c>
      <c r="O1640" s="1" t="str">
        <f t="shared" si="51"/>
        <v>Mid Career | Medium Spender | Higher</v>
      </c>
    </row>
    <row r="1641" spans="1:15" x14ac:dyDescent="0.25">
      <c r="A1641" s="1" t="s">
        <v>1671</v>
      </c>
      <c r="B1641" s="1">
        <v>28</v>
      </c>
      <c r="C1641" s="1" t="str" cm="1">
        <f t="array" ref="C1641">_xlfn.IFS(OR(B1641=" ", B1641="NA",NOT(ISNUMBER(B1641))), "Unknown",B1641&lt;18,"Underage",B1641&lt;=24,"Young Adult",B1641&lt;=34,"Early Career",B1641&lt;=44,"Mid Career",B1641&lt;=54,"Mature",B1641&lt;=65,"Pre-Senior",B1641&gt;65,"Senior")</f>
        <v>Early Career</v>
      </c>
      <c r="D1641" s="1" t="s">
        <v>29</v>
      </c>
      <c r="F1641" s="1">
        <v>975000</v>
      </c>
      <c r="G1641" s="1">
        <v>21</v>
      </c>
      <c r="H1641" s="1" t="str" cm="1">
        <f t="array" ref="H1641">_xlfn.IFS( OR(G1641=" ",NOT(ISNUMBER(G1641))),"Unknown",G1641&lt;=33,"Low Spender",G1641&lt;=66,"Medium Spender",TRUE, "High Spender")</f>
        <v>Low Spender</v>
      </c>
      <c r="I1641" s="1">
        <v>75</v>
      </c>
      <c r="J1641" s="1">
        <v>4800</v>
      </c>
      <c r="K1641" s="1">
        <v>308</v>
      </c>
      <c r="L1641" s="1" t="s">
        <v>35</v>
      </c>
      <c r="M1641" s="1" t="s">
        <v>41</v>
      </c>
      <c r="N1641" s="1" t="str">
        <f t="shared" si="50"/>
        <v>Higher</v>
      </c>
      <c r="O1641" s="1" t="str">
        <f t="shared" si="51"/>
        <v>Early Career | Low Spender | Higher</v>
      </c>
    </row>
    <row r="1642" spans="1:15" x14ac:dyDescent="0.25">
      <c r="A1642" s="1" t="s">
        <v>1672</v>
      </c>
      <c r="B1642" s="1">
        <v>57</v>
      </c>
      <c r="C1642" s="1" t="str" cm="1">
        <f t="array" ref="C1642">_xlfn.IFS(OR(B1642=" ", B1642="NA",NOT(ISNUMBER(B1642))), "Unknown",B1642&lt;18,"Underage",B1642&lt;=24,"Young Adult",B1642&lt;=34,"Early Career",B1642&lt;=44,"Mid Career",B1642&lt;=54,"Mature",B1642&lt;=65,"Pre-Senior",B1642&gt;65,"Senior")</f>
        <v>Pre-Senior</v>
      </c>
      <c r="D1642" s="1" t="s">
        <v>29</v>
      </c>
      <c r="E1642" s="1" t="s">
        <v>19</v>
      </c>
      <c r="F1642" s="1">
        <v>1025000</v>
      </c>
      <c r="G1642" s="1">
        <v>86</v>
      </c>
      <c r="H1642" s="1" t="str" cm="1">
        <f t="array" ref="H1642">_xlfn.IFS( OR(G1642=" ",NOT(ISNUMBER(G1642))),"Unknown",G1642&lt;=33,"Low Spender",G1642&lt;=66,"Medium Spender",TRUE, "High Spender")</f>
        <v>High Spender</v>
      </c>
      <c r="I1642" s="1">
        <v>73</v>
      </c>
      <c r="J1642" s="1">
        <v>4200</v>
      </c>
      <c r="K1642" s="1">
        <v>192</v>
      </c>
      <c r="L1642" s="1" t="s">
        <v>37</v>
      </c>
      <c r="M1642" s="1" t="s">
        <v>30</v>
      </c>
      <c r="N1642" s="1" t="str">
        <f t="shared" si="50"/>
        <v>Higher</v>
      </c>
      <c r="O1642" s="1" t="str">
        <f t="shared" si="51"/>
        <v>Pre-Senior | High Spender | Higher</v>
      </c>
    </row>
    <row r="1643" spans="1:15" x14ac:dyDescent="0.25">
      <c r="A1643" s="1" t="s">
        <v>1673</v>
      </c>
      <c r="B1643" s="1">
        <v>28</v>
      </c>
      <c r="C1643" s="1" t="str" cm="1">
        <f t="array" ref="C1643">_xlfn.IFS(OR(B1643=" ", B1643="NA",NOT(ISNUMBER(B1643))), "Unknown",B1643&lt;18,"Underage",B1643&lt;=24,"Young Adult",B1643&lt;=34,"Early Career",B1643&lt;=44,"Mid Career",B1643&lt;=54,"Mature",B1643&lt;=65,"Pre-Senior",B1643&gt;65,"Senior")</f>
        <v>Early Career</v>
      </c>
      <c r="D1643" s="1" t="s">
        <v>29</v>
      </c>
      <c r="E1643" s="1" t="s">
        <v>34</v>
      </c>
      <c r="F1643" s="1">
        <v>1875000</v>
      </c>
      <c r="G1643" s="1">
        <v>42</v>
      </c>
      <c r="H1643" s="1" t="str" cm="1">
        <f t="array" ref="H1643">_xlfn.IFS( OR(G1643=" ",NOT(ISNUMBER(G1643))),"Unknown",G1643&lt;=33,"Low Spender",G1643&lt;=66,"Medium Spender",TRUE, "High Spender")</f>
        <v>Medium Spender</v>
      </c>
      <c r="I1643" s="1">
        <v>38</v>
      </c>
      <c r="J1643" s="1">
        <v>6300</v>
      </c>
      <c r="K1643" s="1">
        <v>103</v>
      </c>
      <c r="M1643" s="1" t="s">
        <v>32</v>
      </c>
      <c r="N1643" s="1" t="str">
        <f t="shared" si="50"/>
        <v>Higher</v>
      </c>
      <c r="O1643" s="1" t="str">
        <f t="shared" si="51"/>
        <v>Early Career | Medium Spender | Higher</v>
      </c>
    </row>
    <row r="1644" spans="1:15" x14ac:dyDescent="0.25">
      <c r="A1644" s="1" t="s">
        <v>1674</v>
      </c>
      <c r="B1644" s="1">
        <v>53</v>
      </c>
      <c r="C1644" s="1" t="str" cm="1">
        <f t="array" ref="C1644">_xlfn.IFS(OR(B1644=" ", B1644="NA",NOT(ISNUMBER(B1644))), "Unknown",B1644&lt;18,"Underage",B1644&lt;=24,"Young Adult",B1644&lt;=34,"Early Career",B1644&lt;=44,"Mid Career",B1644&lt;=54,"Mature",B1644&lt;=65,"Pre-Senior",B1644&gt;65,"Senior")</f>
        <v>Mature</v>
      </c>
      <c r="D1644" s="1" t="s">
        <v>18</v>
      </c>
      <c r="E1644" s="1" t="s">
        <v>27</v>
      </c>
      <c r="F1644" s="1">
        <v>1200000</v>
      </c>
      <c r="G1644" s="1">
        <v>74</v>
      </c>
      <c r="H1644" s="1" t="str" cm="1">
        <f t="array" ref="H1644">_xlfn.IFS( OR(G1644=" ",NOT(ISNUMBER(G1644))),"Unknown",G1644&lt;=33,"Low Spender",G1644&lt;=66,"Medium Spender",TRUE, "High Spender")</f>
        <v>High Spender</v>
      </c>
      <c r="I1644" s="1">
        <v>64</v>
      </c>
      <c r="J1644" s="1">
        <v>11200</v>
      </c>
      <c r="K1644" s="1">
        <v>241</v>
      </c>
      <c r="L1644" s="1" t="s">
        <v>20</v>
      </c>
      <c r="M1644" s="1" t="s">
        <v>30</v>
      </c>
      <c r="N1644" s="1" t="str">
        <f t="shared" si="50"/>
        <v>Higher</v>
      </c>
      <c r="O1644" s="1" t="str">
        <f t="shared" si="51"/>
        <v>Mature | High Spender | Higher</v>
      </c>
    </row>
    <row r="1645" spans="1:15" x14ac:dyDescent="0.25">
      <c r="A1645" s="1" t="s">
        <v>1675</v>
      </c>
      <c r="B1645" s="1">
        <v>66</v>
      </c>
      <c r="C1645" s="1" t="str" cm="1">
        <f t="array" ref="C1645">_xlfn.IFS(OR(B1645=" ", B1645="NA",NOT(ISNUMBER(B1645))), "Unknown",B1645&lt;18,"Underage",B1645&lt;=24,"Young Adult",B1645&lt;=34,"Early Career",B1645&lt;=44,"Mid Career",B1645&lt;=54,"Mature",B1645&lt;=65,"Pre-Senior",B1645&gt;65,"Senior")</f>
        <v>Senior</v>
      </c>
      <c r="D1645" s="1" t="s">
        <v>29</v>
      </c>
      <c r="E1645" s="1" t="s">
        <v>49</v>
      </c>
      <c r="F1645" s="1">
        <v>525000</v>
      </c>
      <c r="G1645" s="1">
        <v>74</v>
      </c>
      <c r="H1645" s="1" t="str" cm="1">
        <f t="array" ref="H1645">_xlfn.IFS( OR(G1645=" ",NOT(ISNUMBER(G1645))),"Unknown",G1645&lt;=33,"Low Spender",G1645&lt;=66,"Medium Spender",TRUE, "High Spender")</f>
        <v>High Spender</v>
      </c>
      <c r="I1645" s="1">
        <v>44</v>
      </c>
      <c r="J1645" s="1">
        <v>4800</v>
      </c>
      <c r="K1645" s="1">
        <v>253</v>
      </c>
      <c r="L1645" s="1" t="s">
        <v>37</v>
      </c>
      <c r="M1645" s="1" t="s">
        <v>32</v>
      </c>
      <c r="N1645" s="1" t="str">
        <f t="shared" si="50"/>
        <v>Higher</v>
      </c>
      <c r="O1645" s="1" t="str">
        <f t="shared" si="51"/>
        <v>Senior | High Spender | Higher</v>
      </c>
    </row>
    <row r="1646" spans="1:15" x14ac:dyDescent="0.25">
      <c r="A1646" s="1" t="s">
        <v>1676</v>
      </c>
      <c r="B1646" s="1">
        <v>56</v>
      </c>
      <c r="C1646" s="1" t="str" cm="1">
        <f t="array" ref="C1646">_xlfn.IFS(OR(B1646=" ", B1646="NA",NOT(ISNUMBER(B1646))), "Unknown",B1646&lt;18,"Underage",B1646&lt;=24,"Young Adult",B1646&lt;=34,"Early Career",B1646&lt;=44,"Mid Career",B1646&lt;=54,"Mature",B1646&lt;=65,"Pre-Senior",B1646&gt;65,"Senior")</f>
        <v>Pre-Senior</v>
      </c>
      <c r="E1646" s="1" t="s">
        <v>19</v>
      </c>
      <c r="F1646" s="1">
        <v>1600000</v>
      </c>
      <c r="G1646" s="1">
        <v>29</v>
      </c>
      <c r="H1646" s="1" t="str" cm="1">
        <f t="array" ref="H1646">_xlfn.IFS( OR(G1646=" ",NOT(ISNUMBER(G1646))),"Unknown",G1646&lt;=33,"Low Spender",G1646&lt;=66,"Medium Spender",TRUE, "High Spender")</f>
        <v>Low Spender</v>
      </c>
      <c r="I1646" s="1">
        <v>70</v>
      </c>
      <c r="J1646" s="1">
        <v>8600</v>
      </c>
      <c r="K1646" s="1">
        <v>220</v>
      </c>
      <c r="L1646" s="1" t="s">
        <v>16</v>
      </c>
      <c r="N1646" s="1" t="str">
        <f t="shared" si="50"/>
        <v>Lower</v>
      </c>
      <c r="O1646" s="1" t="str">
        <f t="shared" si="51"/>
        <v>Pre-Senior | Low Spender | Lower</v>
      </c>
    </row>
    <row r="1647" spans="1:15" x14ac:dyDescent="0.25">
      <c r="A1647" s="1" t="s">
        <v>1677</v>
      </c>
      <c r="B1647" s="1">
        <v>57</v>
      </c>
      <c r="C1647" s="1" t="str" cm="1">
        <f t="array" ref="C1647">_xlfn.IFS(OR(B1647=" ", B1647="NA",NOT(ISNUMBER(B1647))), "Unknown",B1647&lt;18,"Underage",B1647&lt;=24,"Young Adult",B1647&lt;=34,"Early Career",B1647&lt;=44,"Mid Career",B1647&lt;=54,"Mature",B1647&lt;=65,"Pre-Senior",B1647&gt;65,"Senior")</f>
        <v>Pre-Senior</v>
      </c>
      <c r="D1647" s="1" t="s">
        <v>18</v>
      </c>
      <c r="E1647" s="1" t="s">
        <v>13</v>
      </c>
      <c r="F1647" s="1">
        <v>1450000</v>
      </c>
      <c r="G1647" s="1">
        <v>80</v>
      </c>
      <c r="H1647" s="1" t="str" cm="1">
        <f t="array" ref="H1647">_xlfn.IFS( OR(G1647=" ",NOT(ISNUMBER(G1647))),"Unknown",G1647&lt;=33,"Low Spender",G1647&lt;=66,"Medium Spender",TRUE, "High Spender")</f>
        <v>High Spender</v>
      </c>
      <c r="I1647" s="1">
        <v>65</v>
      </c>
      <c r="J1647" s="1">
        <v>3000</v>
      </c>
      <c r="K1647" s="1">
        <v>336</v>
      </c>
      <c r="M1647" s="1" t="s">
        <v>41</v>
      </c>
      <c r="N1647" s="1" t="str">
        <f t="shared" si="50"/>
        <v>Higher</v>
      </c>
      <c r="O1647" s="1" t="str">
        <f t="shared" si="51"/>
        <v>Pre-Senior | High Spender | Higher</v>
      </c>
    </row>
    <row r="1648" spans="1:15" x14ac:dyDescent="0.25">
      <c r="A1648" s="1" t="s">
        <v>1678</v>
      </c>
      <c r="B1648" s="1">
        <v>52</v>
      </c>
      <c r="C1648" s="1" t="str" cm="1">
        <f t="array" ref="C1648">_xlfn.IFS(OR(B1648=" ", B1648="NA",NOT(ISNUMBER(B1648))), "Unknown",B1648&lt;18,"Underage",B1648&lt;=24,"Young Adult",B1648&lt;=34,"Early Career",B1648&lt;=44,"Mid Career",B1648&lt;=54,"Mature",B1648&lt;=65,"Pre-Senior",B1648&gt;65,"Senior")</f>
        <v>Mature</v>
      </c>
      <c r="D1648" s="1" t="s">
        <v>29</v>
      </c>
      <c r="E1648" s="1" t="s">
        <v>23</v>
      </c>
      <c r="F1648" s="1">
        <v>600000</v>
      </c>
      <c r="G1648" s="1">
        <v>65</v>
      </c>
      <c r="H1648" s="1" t="str" cm="1">
        <f t="array" ref="H1648">_xlfn.IFS( OR(G1648=" ",NOT(ISNUMBER(G1648))),"Unknown",G1648&lt;=33,"Low Spender",G1648&lt;=66,"Medium Spender",TRUE, "High Spender")</f>
        <v>Medium Spender</v>
      </c>
      <c r="I1648" s="1">
        <v>25</v>
      </c>
      <c r="J1648" s="1">
        <v>8900</v>
      </c>
      <c r="K1648" s="1">
        <v>217</v>
      </c>
      <c r="L1648" s="1" t="s">
        <v>16</v>
      </c>
      <c r="N1648" s="1" t="str">
        <f t="shared" si="50"/>
        <v>Higher</v>
      </c>
      <c r="O1648" s="1" t="str">
        <f t="shared" si="51"/>
        <v>Mature | Medium Spender | Higher</v>
      </c>
    </row>
    <row r="1649" spans="1:15" x14ac:dyDescent="0.25">
      <c r="A1649" s="1" t="s">
        <v>1679</v>
      </c>
      <c r="C1649" s="1" t="str" cm="1">
        <f t="array" ref="C1649">_xlfn.IFS(OR(B1649=" ", B1649="NA",NOT(ISNUMBER(B1649))), "Unknown",B1649&lt;18,"Underage",B1649&lt;=24,"Young Adult",B1649&lt;=34,"Early Career",B1649&lt;=44,"Mid Career",B1649&lt;=54,"Mature",B1649&lt;=65,"Pre-Senior",B1649&gt;65,"Senior")</f>
        <v>Unknown</v>
      </c>
      <c r="E1649" s="1" t="s">
        <v>34</v>
      </c>
      <c r="F1649" s="1">
        <v>1150000</v>
      </c>
      <c r="G1649" s="1">
        <v>17</v>
      </c>
      <c r="H1649" s="1" t="str" cm="1">
        <f t="array" ref="H1649">_xlfn.IFS( OR(G1649=" ",NOT(ISNUMBER(G1649))),"Unknown",G1649&lt;=33,"Low Spender",G1649&lt;=66,"Medium Spender",TRUE, "High Spender")</f>
        <v>Low Spender</v>
      </c>
      <c r="I1649" s="1">
        <v>16</v>
      </c>
      <c r="J1649" s="1">
        <v>3700</v>
      </c>
      <c r="K1649" s="1">
        <v>202</v>
      </c>
      <c r="M1649" s="1" t="s">
        <v>30</v>
      </c>
      <c r="N1649" s="1" t="str">
        <f t="shared" si="50"/>
        <v>Lower</v>
      </c>
      <c r="O1649" s="1" t="str">
        <f t="shared" si="51"/>
        <v>Unknown | Low Spender | Lower</v>
      </c>
    </row>
    <row r="1650" spans="1:15" x14ac:dyDescent="0.25">
      <c r="A1650" s="1" t="s">
        <v>1680</v>
      </c>
      <c r="B1650" s="1">
        <v>51</v>
      </c>
      <c r="C1650" s="1" t="str" cm="1">
        <f t="array" ref="C1650">_xlfn.IFS(OR(B1650=" ", B1650="NA",NOT(ISNUMBER(B1650))), "Unknown",B1650&lt;18,"Underage",B1650&lt;=24,"Young Adult",B1650&lt;=34,"Early Career",B1650&lt;=44,"Mid Career",B1650&lt;=54,"Mature",B1650&lt;=65,"Pre-Senior",B1650&gt;65,"Senior")</f>
        <v>Mature</v>
      </c>
      <c r="D1650" s="1" t="s">
        <v>18</v>
      </c>
      <c r="E1650" s="1" t="s">
        <v>13</v>
      </c>
      <c r="F1650" s="1">
        <v>1300000</v>
      </c>
      <c r="G1650" s="1">
        <v>30</v>
      </c>
      <c r="H1650" s="1" t="str" cm="1">
        <f t="array" ref="H1650">_xlfn.IFS( OR(G1650=" ",NOT(ISNUMBER(G1650))),"Unknown",G1650&lt;=33,"Low Spender",G1650&lt;=66,"Medium Spender",TRUE, "High Spender")</f>
        <v>Low Spender</v>
      </c>
      <c r="I1650" s="1">
        <v>15</v>
      </c>
      <c r="J1650" s="1">
        <v>300</v>
      </c>
      <c r="K1650" s="1">
        <v>29</v>
      </c>
      <c r="L1650" s="1" t="s">
        <v>37</v>
      </c>
      <c r="M1650" s="1" t="s">
        <v>32</v>
      </c>
      <c r="N1650" s="1" t="str">
        <f t="shared" si="50"/>
        <v>Higher</v>
      </c>
      <c r="O1650" s="1" t="str">
        <f t="shared" si="51"/>
        <v>Mature | Low Spender | Higher</v>
      </c>
    </row>
    <row r="1651" spans="1:15" x14ac:dyDescent="0.25">
      <c r="A1651" s="1" t="s">
        <v>1681</v>
      </c>
      <c r="B1651" s="1" t="s">
        <v>73</v>
      </c>
      <c r="C1651" s="1" t="str" cm="1">
        <f t="array" ref="C1651">_xlfn.IFS(OR(B1651=" ", B1651="NA",NOT(ISNUMBER(B1651))), "Unknown",B1651&lt;18,"Underage",B1651&lt;=24,"Young Adult",B1651&lt;=34,"Early Career",B1651&lt;=44,"Mid Career",B1651&lt;=54,"Mature",B1651&lt;=65,"Pre-Senior",B1651&gt;65,"Senior")</f>
        <v>Unknown</v>
      </c>
      <c r="D1651" s="1" t="s">
        <v>12</v>
      </c>
      <c r="E1651" s="1" t="s">
        <v>58</v>
      </c>
      <c r="F1651" s="1">
        <v>1475000</v>
      </c>
      <c r="G1651" s="1">
        <v>26</v>
      </c>
      <c r="H1651" s="1" t="str" cm="1">
        <f t="array" ref="H1651">_xlfn.IFS( OR(G1651=" ",NOT(ISNUMBER(G1651))),"Unknown",G1651&lt;=33,"Low Spender",G1651&lt;=66,"Medium Spender",TRUE, "High Spender")</f>
        <v>Low Spender</v>
      </c>
      <c r="J1651" s="1">
        <v>3100</v>
      </c>
      <c r="K1651" s="1">
        <v>212</v>
      </c>
      <c r="L1651" s="1" t="s">
        <v>37</v>
      </c>
      <c r="M1651" s="1" t="s">
        <v>41</v>
      </c>
      <c r="N1651" s="1" t="str">
        <f t="shared" si="50"/>
        <v>Lower</v>
      </c>
      <c r="O1651" s="1" t="str">
        <f t="shared" si="51"/>
        <v>Unknown | Low Spender | Lower</v>
      </c>
    </row>
    <row r="1652" spans="1:15" x14ac:dyDescent="0.25">
      <c r="A1652" s="1" t="s">
        <v>1682</v>
      </c>
      <c r="B1652" s="1">
        <v>64</v>
      </c>
      <c r="C1652" s="1" t="str" cm="1">
        <f t="array" ref="C1652">_xlfn.IFS(OR(B1652=" ", B1652="NA",NOT(ISNUMBER(B1652))), "Unknown",B1652&lt;18,"Underage",B1652&lt;=24,"Young Adult",B1652&lt;=34,"Early Career",B1652&lt;=44,"Mid Career",B1652&lt;=54,"Mature",B1652&lt;=65,"Pre-Senior",B1652&gt;65,"Senior")</f>
        <v>Pre-Senior</v>
      </c>
      <c r="E1652" s="1" t="s">
        <v>23</v>
      </c>
      <c r="F1652" s="1">
        <v>1500000</v>
      </c>
      <c r="G1652" s="1">
        <v>53</v>
      </c>
      <c r="H1652" s="1" t="str" cm="1">
        <f t="array" ref="H1652">_xlfn.IFS( OR(G1652=" ",NOT(ISNUMBER(G1652))),"Unknown",G1652&lt;=33,"Low Spender",G1652&lt;=66,"Medium Spender",TRUE, "High Spender")</f>
        <v>Medium Spender</v>
      </c>
      <c r="I1652" s="1">
        <v>3</v>
      </c>
      <c r="J1652" s="1">
        <v>1100</v>
      </c>
      <c r="K1652" s="1">
        <v>154</v>
      </c>
      <c r="L1652" s="1" t="s">
        <v>37</v>
      </c>
      <c r="M1652" s="1" t="s">
        <v>41</v>
      </c>
      <c r="N1652" s="1" t="str">
        <f t="shared" si="50"/>
        <v>Lower</v>
      </c>
      <c r="O1652" s="1" t="str">
        <f t="shared" si="51"/>
        <v>Pre-Senior | Medium Spender | Lower</v>
      </c>
    </row>
    <row r="1653" spans="1:15" x14ac:dyDescent="0.25">
      <c r="A1653" s="1" t="s">
        <v>1683</v>
      </c>
      <c r="B1653" s="1">
        <v>41</v>
      </c>
      <c r="C1653" s="1" t="str" cm="1">
        <f t="array" ref="C1653">_xlfn.IFS(OR(B1653=" ", B1653="NA",NOT(ISNUMBER(B1653))), "Unknown",B1653&lt;18,"Underage",B1653&lt;=24,"Young Adult",B1653&lt;=34,"Early Career",B1653&lt;=44,"Mid Career",B1653&lt;=54,"Mature",B1653&lt;=65,"Pre-Senior",B1653&gt;65,"Senior")</f>
        <v>Mid Career</v>
      </c>
      <c r="D1653" s="1" t="s">
        <v>18</v>
      </c>
      <c r="E1653" s="1" t="s">
        <v>19</v>
      </c>
      <c r="F1653" s="1">
        <v>600000</v>
      </c>
      <c r="G1653" s="1">
        <v>19</v>
      </c>
      <c r="H1653" s="1" t="str" cm="1">
        <f t="array" ref="H1653">_xlfn.IFS( OR(G1653=" ",NOT(ISNUMBER(G1653))),"Unknown",G1653&lt;=33,"Low Spender",G1653&lt;=66,"Medium Spender",TRUE, "High Spender")</f>
        <v>Low Spender</v>
      </c>
      <c r="I1653" s="1">
        <v>67</v>
      </c>
      <c r="J1653" s="1">
        <v>1100</v>
      </c>
      <c r="K1653" s="1">
        <v>231</v>
      </c>
      <c r="M1653" s="1" t="s">
        <v>21</v>
      </c>
      <c r="N1653" s="1" t="str">
        <f t="shared" si="50"/>
        <v>Higher</v>
      </c>
      <c r="O1653" s="1" t="str">
        <f t="shared" si="51"/>
        <v>Mid Career | Low Spender | Higher</v>
      </c>
    </row>
    <row r="1654" spans="1:15" x14ac:dyDescent="0.25">
      <c r="A1654" s="1" t="s">
        <v>1684</v>
      </c>
      <c r="C1654" s="1" t="str" cm="1">
        <f t="array" ref="C1654">_xlfn.IFS(OR(B1654=" ", B1654="NA",NOT(ISNUMBER(B1654))), "Unknown",B1654&lt;18,"Underage",B1654&lt;=24,"Young Adult",B1654&lt;=34,"Early Career",B1654&lt;=44,"Mid Career",B1654&lt;=54,"Mature",B1654&lt;=65,"Pre-Senior",B1654&gt;65,"Senior")</f>
        <v>Unknown</v>
      </c>
      <c r="D1654" s="1" t="s">
        <v>29</v>
      </c>
      <c r="E1654" s="1" t="s">
        <v>23</v>
      </c>
      <c r="F1654" s="1">
        <v>1675000</v>
      </c>
      <c r="G1654" s="1">
        <v>53</v>
      </c>
      <c r="H1654" s="1" t="str" cm="1">
        <f t="array" ref="H1654">_xlfn.IFS( OR(G1654=" ",NOT(ISNUMBER(G1654))),"Unknown",G1654&lt;=33,"Low Spender",G1654&lt;=66,"Medium Spender",TRUE, "High Spender")</f>
        <v>Medium Spender</v>
      </c>
      <c r="I1654" s="1">
        <v>37</v>
      </c>
      <c r="J1654" s="1">
        <v>2400</v>
      </c>
      <c r="K1654" s="1">
        <v>102</v>
      </c>
      <c r="L1654" s="1" t="s">
        <v>35</v>
      </c>
      <c r="M1654" s="1" t="s">
        <v>30</v>
      </c>
      <c r="N1654" s="1" t="str">
        <f t="shared" si="50"/>
        <v>Higher</v>
      </c>
      <c r="O1654" s="1" t="str">
        <f t="shared" si="51"/>
        <v>Unknown | Medium Spender | Higher</v>
      </c>
    </row>
    <row r="1655" spans="1:15" x14ac:dyDescent="0.25">
      <c r="A1655" s="1" t="s">
        <v>1685</v>
      </c>
      <c r="B1655" s="1">
        <v>39</v>
      </c>
      <c r="C1655" s="1" t="str" cm="1">
        <f t="array" ref="C1655">_xlfn.IFS(OR(B1655=" ", B1655="NA",NOT(ISNUMBER(B1655))), "Unknown",B1655&lt;18,"Underage",B1655&lt;=24,"Young Adult",B1655&lt;=34,"Early Career",B1655&lt;=44,"Mid Career",B1655&lt;=54,"Mature",B1655&lt;=65,"Pre-Senior",B1655&gt;65,"Senior")</f>
        <v>Mid Career</v>
      </c>
      <c r="D1655" s="1" t="s">
        <v>12</v>
      </c>
      <c r="E1655" s="1" t="s">
        <v>27</v>
      </c>
      <c r="F1655" s="1">
        <v>1600000</v>
      </c>
      <c r="G1655" s="1">
        <v>85</v>
      </c>
      <c r="H1655" s="1" t="str" cm="1">
        <f t="array" ref="H1655">_xlfn.IFS( OR(G1655=" ",NOT(ISNUMBER(G1655))),"Unknown",G1655&lt;=33,"Low Spender",G1655&lt;=66,"Medium Spender",TRUE, "High Spender")</f>
        <v>High Spender</v>
      </c>
      <c r="J1655" s="1">
        <v>6500</v>
      </c>
      <c r="K1655" s="1">
        <v>315</v>
      </c>
      <c r="M1655" s="1" t="s">
        <v>21</v>
      </c>
      <c r="N1655" s="1" t="str">
        <f t="shared" si="50"/>
        <v>Lower</v>
      </c>
      <c r="O1655" s="1" t="str">
        <f t="shared" si="51"/>
        <v>Mid Career | High Spender | Lower</v>
      </c>
    </row>
    <row r="1656" spans="1:15" x14ac:dyDescent="0.25">
      <c r="A1656" s="1" t="s">
        <v>1686</v>
      </c>
      <c r="B1656" s="1">
        <v>22</v>
      </c>
      <c r="C1656" s="1" t="str" cm="1">
        <f t="array" ref="C1656">_xlfn.IFS(OR(B1656=" ", B1656="NA",NOT(ISNUMBER(B1656))), "Unknown",B1656&lt;18,"Underage",B1656&lt;=24,"Young Adult",B1656&lt;=34,"Early Career",B1656&lt;=44,"Mid Career",B1656&lt;=54,"Mature",B1656&lt;=65,"Pre-Senior",B1656&gt;65,"Senior")</f>
        <v>Young Adult</v>
      </c>
      <c r="D1656" s="1" t="s">
        <v>29</v>
      </c>
      <c r="E1656" s="1" t="s">
        <v>15</v>
      </c>
      <c r="F1656" s="1">
        <v>1750000</v>
      </c>
      <c r="G1656" s="1">
        <v>17</v>
      </c>
      <c r="H1656" s="1" t="str" cm="1">
        <f t="array" ref="H1656">_xlfn.IFS( OR(G1656=" ",NOT(ISNUMBER(G1656))),"Unknown",G1656&lt;=33,"Low Spender",G1656&lt;=66,"Medium Spender",TRUE, "High Spender")</f>
        <v>Low Spender</v>
      </c>
      <c r="I1656" s="1">
        <v>55</v>
      </c>
      <c r="J1656" s="1">
        <v>6800</v>
      </c>
      <c r="K1656" s="1">
        <v>177</v>
      </c>
      <c r="M1656" s="1" t="s">
        <v>41</v>
      </c>
      <c r="N1656" s="1" t="str">
        <f t="shared" si="50"/>
        <v>Higher</v>
      </c>
      <c r="O1656" s="1" t="str">
        <f t="shared" si="51"/>
        <v>Young Adult | Low Spender | Higher</v>
      </c>
    </row>
    <row r="1657" spans="1:15" x14ac:dyDescent="0.25">
      <c r="A1657" s="1" t="s">
        <v>1687</v>
      </c>
      <c r="B1657" s="1">
        <v>50</v>
      </c>
      <c r="C1657" s="1" t="str" cm="1">
        <f t="array" ref="C1657">_xlfn.IFS(OR(B1657=" ", B1657="NA",NOT(ISNUMBER(B1657))), "Unknown",B1657&lt;18,"Underage",B1657&lt;=24,"Young Adult",B1657&lt;=34,"Early Career",B1657&lt;=44,"Mid Career",B1657&lt;=54,"Mature",B1657&lt;=65,"Pre-Senior",B1657&gt;65,"Senior")</f>
        <v>Mature</v>
      </c>
      <c r="E1657" s="1" t="s">
        <v>27</v>
      </c>
      <c r="F1657" s="1">
        <v>1825000</v>
      </c>
      <c r="G1657" s="1">
        <v>46</v>
      </c>
      <c r="H1657" s="1" t="str" cm="1">
        <f t="array" ref="H1657">_xlfn.IFS( OR(G1657=" ",NOT(ISNUMBER(G1657))),"Unknown",G1657&lt;=33,"Low Spender",G1657&lt;=66,"Medium Spender",TRUE, "High Spender")</f>
        <v>Medium Spender</v>
      </c>
      <c r="I1657" s="1">
        <v>38</v>
      </c>
      <c r="J1657" s="1">
        <v>8200</v>
      </c>
      <c r="K1657" s="1">
        <v>181</v>
      </c>
      <c r="M1657" s="1" t="s">
        <v>30</v>
      </c>
      <c r="N1657" s="1" t="str">
        <f t="shared" si="50"/>
        <v>Lower</v>
      </c>
      <c r="O1657" s="1" t="str">
        <f t="shared" si="51"/>
        <v>Mature | Medium Spender | Lower</v>
      </c>
    </row>
    <row r="1658" spans="1:15" x14ac:dyDescent="0.25">
      <c r="A1658" s="1" t="s">
        <v>1688</v>
      </c>
      <c r="B1658" s="1">
        <v>53</v>
      </c>
      <c r="C1658" s="1" t="str" cm="1">
        <f t="array" ref="C1658">_xlfn.IFS(OR(B1658=" ", B1658="NA",NOT(ISNUMBER(B1658))), "Unknown",B1658&lt;18,"Underage",B1658&lt;=24,"Young Adult",B1658&lt;=34,"Early Career",B1658&lt;=44,"Mid Career",B1658&lt;=54,"Mature",B1658&lt;=65,"Pre-Senior",B1658&gt;65,"Senior")</f>
        <v>Mature</v>
      </c>
      <c r="D1658" s="1" t="s">
        <v>29</v>
      </c>
      <c r="E1658" s="1" t="s">
        <v>58</v>
      </c>
      <c r="F1658" s="1">
        <v>825000</v>
      </c>
      <c r="G1658" s="1">
        <v>85</v>
      </c>
      <c r="H1658" s="1" t="str" cm="1">
        <f t="array" ref="H1658">_xlfn.IFS( OR(G1658=" ",NOT(ISNUMBER(G1658))),"Unknown",G1658&lt;=33,"Low Spender",G1658&lt;=66,"Medium Spender",TRUE, "High Spender")</f>
        <v>High Spender</v>
      </c>
      <c r="I1658" s="1">
        <v>63</v>
      </c>
      <c r="J1658" s="1">
        <v>10600</v>
      </c>
      <c r="K1658" s="1">
        <v>232</v>
      </c>
      <c r="L1658" s="1" t="s">
        <v>35</v>
      </c>
      <c r="M1658" s="1" t="s">
        <v>30</v>
      </c>
      <c r="N1658" s="1" t="str">
        <f t="shared" si="50"/>
        <v>Higher</v>
      </c>
      <c r="O1658" s="1" t="str">
        <f t="shared" si="51"/>
        <v>Mature | High Spender | Higher</v>
      </c>
    </row>
    <row r="1659" spans="1:15" x14ac:dyDescent="0.25">
      <c r="A1659" s="1" t="s">
        <v>1689</v>
      </c>
      <c r="B1659" s="1">
        <v>64</v>
      </c>
      <c r="C1659" s="1" t="str" cm="1">
        <f t="array" ref="C1659">_xlfn.IFS(OR(B1659=" ", B1659="NA",NOT(ISNUMBER(B1659))), "Unknown",B1659&lt;18,"Underage",B1659&lt;=24,"Young Adult",B1659&lt;=34,"Early Career",B1659&lt;=44,"Mid Career",B1659&lt;=54,"Mature",B1659&lt;=65,"Pre-Senior",B1659&gt;65,"Senior")</f>
        <v>Pre-Senior</v>
      </c>
      <c r="D1659" s="1" t="s">
        <v>29</v>
      </c>
      <c r="F1659" s="1">
        <v>575000</v>
      </c>
      <c r="G1659" s="1">
        <v>53</v>
      </c>
      <c r="H1659" s="1" t="str" cm="1">
        <f t="array" ref="H1659">_xlfn.IFS( OR(G1659=" ",NOT(ISNUMBER(G1659))),"Unknown",G1659&lt;=33,"Low Spender",G1659&lt;=66,"Medium Spender",TRUE, "High Spender")</f>
        <v>Medium Spender</v>
      </c>
      <c r="I1659" s="1">
        <v>1</v>
      </c>
      <c r="J1659" s="1">
        <v>6000</v>
      </c>
      <c r="K1659" s="1">
        <v>12</v>
      </c>
      <c r="L1659" s="1" t="s">
        <v>37</v>
      </c>
      <c r="N1659" s="1" t="str">
        <f t="shared" si="50"/>
        <v>Higher</v>
      </c>
      <c r="O1659" s="1" t="str">
        <f t="shared" si="51"/>
        <v>Pre-Senior | Medium Spender | Higher</v>
      </c>
    </row>
    <row r="1660" spans="1:15" x14ac:dyDescent="0.25">
      <c r="A1660" s="1" t="s">
        <v>1690</v>
      </c>
      <c r="B1660" s="1">
        <v>37</v>
      </c>
      <c r="C1660" s="1" t="str" cm="1">
        <f t="array" ref="C1660">_xlfn.IFS(OR(B1660=" ", B1660="NA",NOT(ISNUMBER(B1660))), "Unknown",B1660&lt;18,"Underage",B1660&lt;=24,"Young Adult",B1660&lt;=34,"Early Career",B1660&lt;=44,"Mid Career",B1660&lt;=54,"Mature",B1660&lt;=65,"Pre-Senior",B1660&gt;65,"Senior")</f>
        <v>Mid Career</v>
      </c>
      <c r="D1660" s="1" t="s">
        <v>29</v>
      </c>
      <c r="E1660" s="1" t="s">
        <v>13</v>
      </c>
      <c r="F1660" s="1">
        <v>775000</v>
      </c>
      <c r="G1660" s="1">
        <v>64</v>
      </c>
      <c r="H1660" s="1" t="str" cm="1">
        <f t="array" ref="H1660">_xlfn.IFS( OR(G1660=" ",NOT(ISNUMBER(G1660))),"Unknown",G1660&lt;=33,"Low Spender",G1660&lt;=66,"Medium Spender",TRUE, "High Spender")</f>
        <v>Medium Spender</v>
      </c>
      <c r="I1660" s="1">
        <v>71</v>
      </c>
      <c r="J1660" s="1">
        <v>7200</v>
      </c>
      <c r="K1660" s="1">
        <v>186</v>
      </c>
      <c r="L1660" s="1" t="s">
        <v>37</v>
      </c>
      <c r="N1660" s="1" t="str">
        <f t="shared" si="50"/>
        <v>Higher</v>
      </c>
      <c r="O1660" s="1" t="str">
        <f t="shared" si="51"/>
        <v>Mid Career | Medium Spender | Higher</v>
      </c>
    </row>
    <row r="1661" spans="1:15" x14ac:dyDescent="0.25">
      <c r="A1661" s="1" t="s">
        <v>1691</v>
      </c>
      <c r="B1661" s="1">
        <v>36</v>
      </c>
      <c r="C1661" s="1" t="str" cm="1">
        <f t="array" ref="C1661">_xlfn.IFS(OR(B1661=" ", B1661="NA",NOT(ISNUMBER(B1661))), "Unknown",B1661&lt;18,"Underage",B1661&lt;=24,"Young Adult",B1661&lt;=34,"Early Career",B1661&lt;=44,"Mid Career",B1661&lt;=54,"Mature",B1661&lt;=65,"Pre-Senior",B1661&gt;65,"Senior")</f>
        <v>Mid Career</v>
      </c>
      <c r="D1661" s="1" t="s">
        <v>29</v>
      </c>
      <c r="E1661" s="1" t="s">
        <v>27</v>
      </c>
      <c r="F1661" s="1">
        <v>600000</v>
      </c>
      <c r="G1661" s="1">
        <v>45</v>
      </c>
      <c r="H1661" s="1" t="str" cm="1">
        <f t="array" ref="H1661">_xlfn.IFS( OR(G1661=" ",NOT(ISNUMBER(G1661))),"Unknown",G1661&lt;=33,"Low Spender",G1661&lt;=66,"Medium Spender",TRUE, "High Spender")</f>
        <v>Medium Spender</v>
      </c>
      <c r="I1661" s="1">
        <v>19</v>
      </c>
      <c r="J1661" s="1">
        <v>5700</v>
      </c>
      <c r="K1661" s="1">
        <v>249</v>
      </c>
      <c r="M1661" s="1" t="s">
        <v>32</v>
      </c>
      <c r="N1661" s="1" t="str">
        <f t="shared" si="50"/>
        <v>Higher</v>
      </c>
      <c r="O1661" s="1" t="str">
        <f t="shared" si="51"/>
        <v>Mid Career | Medium Spender | Higher</v>
      </c>
    </row>
    <row r="1662" spans="1:15" x14ac:dyDescent="0.25">
      <c r="A1662" s="1" t="s">
        <v>1692</v>
      </c>
      <c r="B1662" s="1">
        <v>52</v>
      </c>
      <c r="C1662" s="1" t="str" cm="1">
        <f t="array" ref="C1662">_xlfn.IFS(OR(B1662=" ", B1662="NA",NOT(ISNUMBER(B1662))), "Unknown",B1662&lt;18,"Underage",B1662&lt;=24,"Young Adult",B1662&lt;=34,"Early Career",B1662&lt;=44,"Mid Career",B1662&lt;=54,"Mature",B1662&lt;=65,"Pre-Senior",B1662&gt;65,"Senior")</f>
        <v>Mature</v>
      </c>
      <c r="D1662" s="1" t="s">
        <v>12</v>
      </c>
      <c r="E1662" s="1" t="s">
        <v>15</v>
      </c>
      <c r="F1662" s="1">
        <v>1500000</v>
      </c>
      <c r="G1662" s="1">
        <v>49</v>
      </c>
      <c r="H1662" s="1" t="str" cm="1">
        <f t="array" ref="H1662">_xlfn.IFS( OR(G1662=" ",NOT(ISNUMBER(G1662))),"Unknown",G1662&lt;=33,"Low Spender",G1662&lt;=66,"Medium Spender",TRUE, "High Spender")</f>
        <v>Medium Spender</v>
      </c>
      <c r="I1662" s="1">
        <v>52</v>
      </c>
      <c r="J1662" s="1">
        <v>1500</v>
      </c>
      <c r="K1662" s="1">
        <v>266</v>
      </c>
      <c r="L1662" s="1" t="s">
        <v>16</v>
      </c>
      <c r="N1662" s="1" t="str">
        <f t="shared" si="50"/>
        <v>Lower</v>
      </c>
      <c r="O1662" s="1" t="str">
        <f t="shared" si="51"/>
        <v>Mature | Medium Spender | Lower</v>
      </c>
    </row>
    <row r="1663" spans="1:15" x14ac:dyDescent="0.25">
      <c r="A1663" s="1" t="s">
        <v>1693</v>
      </c>
      <c r="B1663" s="1">
        <v>69</v>
      </c>
      <c r="C1663" s="1" t="str" cm="1">
        <f t="array" ref="C1663">_xlfn.IFS(OR(B1663=" ", B1663="NA",NOT(ISNUMBER(B1663))), "Unknown",B1663&lt;18,"Underage",B1663&lt;=24,"Young Adult",B1663&lt;=34,"Early Career",B1663&lt;=44,"Mid Career",B1663&lt;=54,"Mature",B1663&lt;=65,"Pre-Senior",B1663&gt;65,"Senior")</f>
        <v>Senior</v>
      </c>
      <c r="D1663" s="1" t="s">
        <v>29</v>
      </c>
      <c r="F1663" s="1">
        <v>1550000</v>
      </c>
      <c r="G1663" s="1">
        <v>19</v>
      </c>
      <c r="H1663" s="1" t="str" cm="1">
        <f t="array" ref="H1663">_xlfn.IFS( OR(G1663=" ",NOT(ISNUMBER(G1663))),"Unknown",G1663&lt;=33,"Low Spender",G1663&lt;=66,"Medium Spender",TRUE, "High Spender")</f>
        <v>Low Spender</v>
      </c>
      <c r="I1663" s="1">
        <v>30</v>
      </c>
      <c r="J1663" s="1">
        <v>9900</v>
      </c>
      <c r="K1663" s="1">
        <v>135</v>
      </c>
      <c r="L1663" s="1" t="s">
        <v>35</v>
      </c>
      <c r="N1663" s="1" t="str">
        <f t="shared" si="50"/>
        <v>Higher</v>
      </c>
      <c r="O1663" s="1" t="str">
        <f t="shared" si="51"/>
        <v>Senior | Low Spender | Higher</v>
      </c>
    </row>
    <row r="1664" spans="1:15" x14ac:dyDescent="0.25">
      <c r="A1664" s="1" t="s">
        <v>1694</v>
      </c>
      <c r="B1664" s="1">
        <v>60</v>
      </c>
      <c r="C1664" s="1" t="str" cm="1">
        <f t="array" ref="C1664">_xlfn.IFS(OR(B1664=" ", B1664="NA",NOT(ISNUMBER(B1664))), "Unknown",B1664&lt;18,"Underage",B1664&lt;=24,"Young Adult",B1664&lt;=34,"Early Career",B1664&lt;=44,"Mid Career",B1664&lt;=54,"Mature",B1664&lt;=65,"Pre-Senior",B1664&gt;65,"Senior")</f>
        <v>Pre-Senior</v>
      </c>
      <c r="D1664" s="1" t="s">
        <v>12</v>
      </c>
      <c r="E1664" s="1" t="s">
        <v>27</v>
      </c>
      <c r="F1664" s="1">
        <v>275000</v>
      </c>
      <c r="G1664" s="1">
        <v>71</v>
      </c>
      <c r="H1664" s="1" t="str" cm="1">
        <f t="array" ref="H1664">_xlfn.IFS( OR(G1664=" ",NOT(ISNUMBER(G1664))),"Unknown",G1664&lt;=33,"Low Spender",G1664&lt;=66,"Medium Spender",TRUE, "High Spender")</f>
        <v>High Spender</v>
      </c>
      <c r="I1664" s="1">
        <v>55</v>
      </c>
      <c r="J1664" s="1">
        <v>2100</v>
      </c>
      <c r="K1664" s="1">
        <v>245</v>
      </c>
      <c r="L1664" s="1" t="s">
        <v>20</v>
      </c>
      <c r="M1664" s="1" t="s">
        <v>41</v>
      </c>
      <c r="N1664" s="1" t="str">
        <f t="shared" si="50"/>
        <v>Lower</v>
      </c>
      <c r="O1664" s="1" t="str">
        <f t="shared" si="51"/>
        <v>Pre-Senior | High Spender | Lower</v>
      </c>
    </row>
    <row r="1665" spans="1:15" x14ac:dyDescent="0.25">
      <c r="A1665" s="1" t="s">
        <v>1695</v>
      </c>
      <c r="B1665" s="1">
        <v>34</v>
      </c>
      <c r="C1665" s="1" t="str" cm="1">
        <f t="array" ref="C1665">_xlfn.IFS(OR(B1665=" ", B1665="NA",NOT(ISNUMBER(B1665))), "Unknown",B1665&lt;18,"Underage",B1665&lt;=24,"Young Adult",B1665&lt;=34,"Early Career",B1665&lt;=44,"Mid Career",B1665&lt;=54,"Mature",B1665&lt;=65,"Pre-Senior",B1665&gt;65,"Senior")</f>
        <v>Early Career</v>
      </c>
      <c r="D1665" s="1" t="s">
        <v>29</v>
      </c>
      <c r="E1665" s="1" t="s">
        <v>49</v>
      </c>
      <c r="F1665" s="1">
        <v>150000</v>
      </c>
      <c r="G1665" s="1">
        <v>81</v>
      </c>
      <c r="H1665" s="1" t="str" cm="1">
        <f t="array" ref="H1665">_xlfn.IFS( OR(G1665=" ",NOT(ISNUMBER(G1665))),"Unknown",G1665&lt;=33,"Low Spender",G1665&lt;=66,"Medium Spender",TRUE, "High Spender")</f>
        <v>High Spender</v>
      </c>
      <c r="I1665" s="1">
        <v>14</v>
      </c>
      <c r="J1665" s="1">
        <v>8100</v>
      </c>
      <c r="K1665" s="1">
        <v>31</v>
      </c>
      <c r="L1665" s="1" t="s">
        <v>35</v>
      </c>
      <c r="N1665" s="1" t="str">
        <f t="shared" si="50"/>
        <v>Higher</v>
      </c>
      <c r="O1665" s="1" t="str">
        <f t="shared" si="51"/>
        <v>Early Career | High Spender | Higher</v>
      </c>
    </row>
    <row r="1666" spans="1:15" x14ac:dyDescent="0.25">
      <c r="A1666" s="1" t="s">
        <v>1696</v>
      </c>
      <c r="B1666" s="1">
        <v>62</v>
      </c>
      <c r="C1666" s="1" t="str" cm="1">
        <f t="array" ref="C1666">_xlfn.IFS(OR(B1666=" ", B1666="NA",NOT(ISNUMBER(B1666))), "Unknown",B1666&lt;18,"Underage",B1666&lt;=24,"Young Adult",B1666&lt;=34,"Early Career",B1666&lt;=44,"Mid Career",B1666&lt;=54,"Mature",B1666&lt;=65,"Pre-Senior",B1666&gt;65,"Senior")</f>
        <v>Pre-Senior</v>
      </c>
      <c r="E1666" s="1" t="s">
        <v>15</v>
      </c>
      <c r="F1666" s="1">
        <v>325000</v>
      </c>
      <c r="G1666" s="1">
        <v>65</v>
      </c>
      <c r="H1666" s="1" t="str" cm="1">
        <f t="array" ref="H1666">_xlfn.IFS( OR(G1666=" ",NOT(ISNUMBER(G1666))),"Unknown",G1666&lt;=33,"Low Spender",G1666&lt;=66,"Medium Spender",TRUE, "High Spender")</f>
        <v>Medium Spender</v>
      </c>
      <c r="I1666" s="1">
        <v>13</v>
      </c>
      <c r="J1666" s="1">
        <v>3500</v>
      </c>
      <c r="K1666" s="1">
        <v>347</v>
      </c>
      <c r="M1666" s="1" t="s">
        <v>32</v>
      </c>
      <c r="N1666" s="1" t="str">
        <f t="shared" ref="N1666:N1729" si="52">IF(OR(UPPER(TRIM(D1666))="Male",UPPER(TRIM(D1666))="Female"),"Higher","Lower")</f>
        <v>Lower</v>
      </c>
      <c r="O1666" s="1" t="str">
        <f t="shared" ref="O1666:O1729" si="53">_xlfn.TEXTJOIN(" | ", TRUE, C1666, H1666, N1666)</f>
        <v>Pre-Senior | Medium Spender | Lower</v>
      </c>
    </row>
    <row r="1667" spans="1:15" x14ac:dyDescent="0.25">
      <c r="A1667" s="1" t="s">
        <v>1697</v>
      </c>
      <c r="B1667" s="1">
        <v>60</v>
      </c>
      <c r="C1667" s="1" t="str" cm="1">
        <f t="array" ref="C1667">_xlfn.IFS(OR(B1667=" ", B1667="NA",NOT(ISNUMBER(B1667))), "Unknown",B1667&lt;18,"Underage",B1667&lt;=24,"Young Adult",B1667&lt;=34,"Early Career",B1667&lt;=44,"Mid Career",B1667&lt;=54,"Mature",B1667&lt;=65,"Pre-Senior",B1667&gt;65,"Senior")</f>
        <v>Pre-Senior</v>
      </c>
      <c r="D1667" s="1" t="s">
        <v>12</v>
      </c>
      <c r="E1667" s="1" t="s">
        <v>13</v>
      </c>
      <c r="F1667" s="1">
        <v>1400000</v>
      </c>
      <c r="G1667" s="1">
        <v>37</v>
      </c>
      <c r="H1667" s="1" t="str" cm="1">
        <f t="array" ref="H1667">_xlfn.IFS( OR(G1667=" ",NOT(ISNUMBER(G1667))),"Unknown",G1667&lt;=33,"Low Spender",G1667&lt;=66,"Medium Spender",TRUE, "High Spender")</f>
        <v>Medium Spender</v>
      </c>
      <c r="I1667" s="1">
        <v>27</v>
      </c>
      <c r="J1667" s="1">
        <v>7600</v>
      </c>
      <c r="K1667" s="1">
        <v>259</v>
      </c>
      <c r="L1667" s="1" t="s">
        <v>16</v>
      </c>
      <c r="N1667" s="1" t="str">
        <f t="shared" si="52"/>
        <v>Lower</v>
      </c>
      <c r="O1667" s="1" t="str">
        <f t="shared" si="53"/>
        <v>Pre-Senior | Medium Spender | Lower</v>
      </c>
    </row>
    <row r="1668" spans="1:15" x14ac:dyDescent="0.25">
      <c r="A1668" s="1" t="s">
        <v>1698</v>
      </c>
      <c r="B1668" s="1">
        <v>51</v>
      </c>
      <c r="C1668" s="1" t="str" cm="1">
        <f t="array" ref="C1668">_xlfn.IFS(OR(B1668=" ", B1668="NA",NOT(ISNUMBER(B1668))), "Unknown",B1668&lt;18,"Underage",B1668&lt;=24,"Young Adult",B1668&lt;=34,"Early Career",B1668&lt;=44,"Mid Career",B1668&lt;=54,"Mature",B1668&lt;=65,"Pre-Senior",B1668&gt;65,"Senior")</f>
        <v>Mature</v>
      </c>
      <c r="E1668" s="1" t="s">
        <v>34</v>
      </c>
      <c r="F1668" s="1">
        <v>750000</v>
      </c>
      <c r="G1668" s="1">
        <v>70</v>
      </c>
      <c r="H1668" s="1" t="str" cm="1">
        <f t="array" ref="H1668">_xlfn.IFS( OR(G1668=" ",NOT(ISNUMBER(G1668))),"Unknown",G1668&lt;=33,"Low Spender",G1668&lt;=66,"Medium Spender",TRUE, "High Spender")</f>
        <v>High Spender</v>
      </c>
      <c r="I1668" s="1">
        <v>9</v>
      </c>
      <c r="J1668" s="1">
        <v>6700</v>
      </c>
      <c r="K1668" s="1">
        <v>104</v>
      </c>
      <c r="L1668" s="1" t="s">
        <v>16</v>
      </c>
      <c r="N1668" s="1" t="str">
        <f t="shared" si="52"/>
        <v>Lower</v>
      </c>
      <c r="O1668" s="1" t="str">
        <f t="shared" si="53"/>
        <v>Mature | High Spender | Lower</v>
      </c>
    </row>
    <row r="1669" spans="1:15" x14ac:dyDescent="0.25">
      <c r="A1669" s="1" t="s">
        <v>1699</v>
      </c>
      <c r="B1669" s="1">
        <v>26</v>
      </c>
      <c r="C1669" s="1" t="str" cm="1">
        <f t="array" ref="C1669">_xlfn.IFS(OR(B1669=" ", B1669="NA",NOT(ISNUMBER(B1669))), "Unknown",B1669&lt;18,"Underage",B1669&lt;=24,"Young Adult",B1669&lt;=34,"Early Career",B1669&lt;=44,"Mid Career",B1669&lt;=54,"Mature",B1669&lt;=65,"Pre-Senior",B1669&gt;65,"Senior")</f>
        <v>Early Career</v>
      </c>
      <c r="D1669" s="1" t="s">
        <v>29</v>
      </c>
      <c r="F1669" s="1">
        <v>1300000</v>
      </c>
      <c r="G1669" s="1">
        <v>26</v>
      </c>
      <c r="H1669" s="1" t="str" cm="1">
        <f t="array" ref="H1669">_xlfn.IFS( OR(G1669=" ",NOT(ISNUMBER(G1669))),"Unknown",G1669&lt;=33,"Low Spender",G1669&lt;=66,"Medium Spender",TRUE, "High Spender")</f>
        <v>Low Spender</v>
      </c>
      <c r="I1669" s="1">
        <v>41</v>
      </c>
      <c r="J1669" s="1">
        <v>6200</v>
      </c>
      <c r="K1669" s="1">
        <v>1</v>
      </c>
      <c r="L1669" s="1" t="s">
        <v>16</v>
      </c>
      <c r="M1669" s="1" t="s">
        <v>30</v>
      </c>
      <c r="N1669" s="1" t="str">
        <f t="shared" si="52"/>
        <v>Higher</v>
      </c>
      <c r="O1669" s="1" t="str">
        <f t="shared" si="53"/>
        <v>Early Career | Low Spender | Higher</v>
      </c>
    </row>
    <row r="1670" spans="1:15" x14ac:dyDescent="0.25">
      <c r="A1670" s="1" t="s">
        <v>1700</v>
      </c>
      <c r="B1670" s="1">
        <v>43</v>
      </c>
      <c r="C1670" s="1" t="str" cm="1">
        <f t="array" ref="C1670">_xlfn.IFS(OR(B1670=" ", B1670="NA",NOT(ISNUMBER(B1670))), "Unknown",B1670&lt;18,"Underage",B1670&lt;=24,"Young Adult",B1670&lt;=34,"Early Career",B1670&lt;=44,"Mid Career",B1670&lt;=54,"Mature",B1670&lt;=65,"Pre-Senior",B1670&gt;65,"Senior")</f>
        <v>Mid Career</v>
      </c>
      <c r="D1670" s="1" t="s">
        <v>29</v>
      </c>
      <c r="F1670" s="1">
        <v>1500000</v>
      </c>
      <c r="G1670" s="1">
        <v>2</v>
      </c>
      <c r="H1670" s="1" t="str" cm="1">
        <f t="array" ref="H1670">_xlfn.IFS( OR(G1670=" ",NOT(ISNUMBER(G1670))),"Unknown",G1670&lt;=33,"Low Spender",G1670&lt;=66,"Medium Spender",TRUE, "High Spender")</f>
        <v>Low Spender</v>
      </c>
      <c r="I1670" s="1">
        <v>48</v>
      </c>
      <c r="J1670" s="1">
        <v>1400</v>
      </c>
      <c r="K1670" s="1">
        <v>207</v>
      </c>
      <c r="L1670" s="1" t="s">
        <v>37</v>
      </c>
      <c r="M1670" s="1" t="s">
        <v>41</v>
      </c>
      <c r="N1670" s="1" t="str">
        <f t="shared" si="52"/>
        <v>Higher</v>
      </c>
      <c r="O1670" s="1" t="str">
        <f t="shared" si="53"/>
        <v>Mid Career | Low Spender | Higher</v>
      </c>
    </row>
    <row r="1671" spans="1:15" x14ac:dyDescent="0.25">
      <c r="A1671" s="1" t="s">
        <v>1701</v>
      </c>
      <c r="B1671" s="1">
        <v>19</v>
      </c>
      <c r="C1671" s="1" t="str" cm="1">
        <f t="array" ref="C1671">_xlfn.IFS(OR(B1671=" ", B1671="NA",NOT(ISNUMBER(B1671))), "Unknown",B1671&lt;18,"Underage",B1671&lt;=24,"Young Adult",B1671&lt;=34,"Early Career",B1671&lt;=44,"Mid Career",B1671&lt;=54,"Mature",B1671&lt;=65,"Pre-Senior",B1671&gt;65,"Senior")</f>
        <v>Young Adult</v>
      </c>
      <c r="D1671" s="1" t="s">
        <v>18</v>
      </c>
      <c r="E1671" s="1" t="s">
        <v>49</v>
      </c>
      <c r="F1671" s="1">
        <v>1725000</v>
      </c>
      <c r="G1671" s="1">
        <v>59</v>
      </c>
      <c r="H1671" s="1" t="str" cm="1">
        <f t="array" ref="H1671">_xlfn.IFS( OR(G1671=" ",NOT(ISNUMBER(G1671))),"Unknown",G1671&lt;=33,"Low Spender",G1671&lt;=66,"Medium Spender",TRUE, "High Spender")</f>
        <v>Medium Spender</v>
      </c>
      <c r="I1671" s="1">
        <v>12</v>
      </c>
      <c r="J1671" s="1">
        <v>4500</v>
      </c>
      <c r="K1671" s="1">
        <v>135</v>
      </c>
      <c r="L1671" s="1" t="s">
        <v>20</v>
      </c>
      <c r="N1671" s="1" t="str">
        <f t="shared" si="52"/>
        <v>Higher</v>
      </c>
      <c r="O1671" s="1" t="str">
        <f t="shared" si="53"/>
        <v>Young Adult | Medium Spender | Higher</v>
      </c>
    </row>
    <row r="1672" spans="1:15" x14ac:dyDescent="0.25">
      <c r="A1672" s="1" t="s">
        <v>1702</v>
      </c>
      <c r="C1672" s="1" t="str" cm="1">
        <f t="array" ref="C1672">_xlfn.IFS(OR(B1672=" ", B1672="NA",NOT(ISNUMBER(B1672))), "Unknown",B1672&lt;18,"Underage",B1672&lt;=24,"Young Adult",B1672&lt;=34,"Early Career",B1672&lt;=44,"Mid Career",B1672&lt;=54,"Mature",B1672&lt;=65,"Pre-Senior",B1672&gt;65,"Senior")</f>
        <v>Unknown</v>
      </c>
      <c r="D1672" s="1" t="s">
        <v>29</v>
      </c>
      <c r="E1672" s="1" t="s">
        <v>34</v>
      </c>
      <c r="F1672" s="1">
        <v>375000</v>
      </c>
      <c r="G1672" s="1">
        <v>96</v>
      </c>
      <c r="H1672" s="1" t="str" cm="1">
        <f t="array" ref="H1672">_xlfn.IFS( OR(G1672=" ",NOT(ISNUMBER(G1672))),"Unknown",G1672&lt;=33,"Low Spender",G1672&lt;=66,"Medium Spender",TRUE, "High Spender")</f>
        <v>High Spender</v>
      </c>
      <c r="I1672" s="1">
        <v>10</v>
      </c>
      <c r="J1672" s="1">
        <v>9500</v>
      </c>
      <c r="K1672" s="1">
        <v>271</v>
      </c>
      <c r="L1672" s="1" t="s">
        <v>16</v>
      </c>
      <c r="M1672" s="1" t="s">
        <v>32</v>
      </c>
      <c r="N1672" s="1" t="str">
        <f t="shared" si="52"/>
        <v>Higher</v>
      </c>
      <c r="O1672" s="1" t="str">
        <f t="shared" si="53"/>
        <v>Unknown | High Spender | Higher</v>
      </c>
    </row>
    <row r="1673" spans="1:15" x14ac:dyDescent="0.25">
      <c r="A1673" s="1" t="s">
        <v>1703</v>
      </c>
      <c r="B1673" s="1">
        <v>26</v>
      </c>
      <c r="C1673" s="1" t="str" cm="1">
        <f t="array" ref="C1673">_xlfn.IFS(OR(B1673=" ", B1673="NA",NOT(ISNUMBER(B1673))), "Unknown",B1673&lt;18,"Underage",B1673&lt;=24,"Young Adult",B1673&lt;=34,"Early Career",B1673&lt;=44,"Mid Career",B1673&lt;=54,"Mature",B1673&lt;=65,"Pre-Senior",B1673&gt;65,"Senior")</f>
        <v>Early Career</v>
      </c>
      <c r="D1673" s="1" t="s">
        <v>29</v>
      </c>
      <c r="E1673" s="1" t="s">
        <v>19</v>
      </c>
      <c r="F1673" s="1">
        <v>1525000</v>
      </c>
      <c r="G1673" s="1">
        <v>5</v>
      </c>
      <c r="H1673" s="1" t="str" cm="1">
        <f t="array" ref="H1673">_xlfn.IFS( OR(G1673=" ",NOT(ISNUMBER(G1673))),"Unknown",G1673&lt;=33,"Low Spender",G1673&lt;=66,"Medium Spender",TRUE, "High Spender")</f>
        <v>Low Spender</v>
      </c>
      <c r="I1673" s="1">
        <v>6</v>
      </c>
      <c r="J1673" s="1">
        <v>1900</v>
      </c>
      <c r="K1673" s="1">
        <v>89</v>
      </c>
      <c r="M1673" s="1" t="s">
        <v>21</v>
      </c>
      <c r="N1673" s="1" t="str">
        <f t="shared" si="52"/>
        <v>Higher</v>
      </c>
      <c r="O1673" s="1" t="str">
        <f t="shared" si="53"/>
        <v>Early Career | Low Spender | Higher</v>
      </c>
    </row>
    <row r="1674" spans="1:15" x14ac:dyDescent="0.25">
      <c r="A1674" s="1" t="s">
        <v>1704</v>
      </c>
      <c r="B1674" s="1">
        <v>26</v>
      </c>
      <c r="C1674" s="1" t="str" cm="1">
        <f t="array" ref="C1674">_xlfn.IFS(OR(B1674=" ", B1674="NA",NOT(ISNUMBER(B1674))), "Unknown",B1674&lt;18,"Underage",B1674&lt;=24,"Young Adult",B1674&lt;=34,"Early Career",B1674&lt;=44,"Mid Career",B1674&lt;=54,"Mature",B1674&lt;=65,"Pre-Senior",B1674&gt;65,"Senior")</f>
        <v>Early Career</v>
      </c>
      <c r="D1674" s="1" t="s">
        <v>18</v>
      </c>
      <c r="E1674" s="1" t="s">
        <v>15</v>
      </c>
      <c r="F1674" s="1">
        <v>425000</v>
      </c>
      <c r="G1674" s="1">
        <v>37</v>
      </c>
      <c r="H1674" s="1" t="str" cm="1">
        <f t="array" ref="H1674">_xlfn.IFS( OR(G1674=" ",NOT(ISNUMBER(G1674))),"Unknown",G1674&lt;=33,"Low Spender",G1674&lt;=66,"Medium Spender",TRUE, "High Spender")</f>
        <v>Medium Spender</v>
      </c>
      <c r="I1674" s="1">
        <v>34</v>
      </c>
      <c r="J1674" s="1">
        <v>7000</v>
      </c>
      <c r="K1674" s="1">
        <v>195</v>
      </c>
      <c r="L1674" s="1" t="s">
        <v>37</v>
      </c>
      <c r="M1674" s="1" t="s">
        <v>21</v>
      </c>
      <c r="N1674" s="1" t="str">
        <f t="shared" si="52"/>
        <v>Higher</v>
      </c>
      <c r="O1674" s="1" t="str">
        <f t="shared" si="53"/>
        <v>Early Career | Medium Spender | Higher</v>
      </c>
    </row>
    <row r="1675" spans="1:15" x14ac:dyDescent="0.25">
      <c r="A1675" s="1" t="s">
        <v>1705</v>
      </c>
      <c r="B1675" s="1">
        <v>57</v>
      </c>
      <c r="C1675" s="1" t="str" cm="1">
        <f t="array" ref="C1675">_xlfn.IFS(OR(B1675=" ", B1675="NA",NOT(ISNUMBER(B1675))), "Unknown",B1675&lt;18,"Underage",B1675&lt;=24,"Young Adult",B1675&lt;=34,"Early Career",B1675&lt;=44,"Mid Career",B1675&lt;=54,"Mature",B1675&lt;=65,"Pre-Senior",B1675&gt;65,"Senior")</f>
        <v>Pre-Senior</v>
      </c>
      <c r="D1675" s="1" t="s">
        <v>29</v>
      </c>
      <c r="E1675" s="1" t="s">
        <v>49</v>
      </c>
      <c r="F1675" s="1">
        <v>950000</v>
      </c>
      <c r="G1675" s="1">
        <v>31</v>
      </c>
      <c r="H1675" s="1" t="str" cm="1">
        <f t="array" ref="H1675">_xlfn.IFS( OR(G1675=" ",NOT(ISNUMBER(G1675))),"Unknown",G1675&lt;=33,"Low Spender",G1675&lt;=66,"Medium Spender",TRUE, "High Spender")</f>
        <v>Low Spender</v>
      </c>
      <c r="I1675" s="1">
        <v>52</v>
      </c>
      <c r="J1675" s="1">
        <v>3100</v>
      </c>
      <c r="K1675" s="1">
        <v>122</v>
      </c>
      <c r="L1675" s="1" t="s">
        <v>20</v>
      </c>
      <c r="M1675" s="1" t="s">
        <v>41</v>
      </c>
      <c r="N1675" s="1" t="str">
        <f t="shared" si="52"/>
        <v>Higher</v>
      </c>
      <c r="O1675" s="1" t="str">
        <f t="shared" si="53"/>
        <v>Pre-Senior | Low Spender | Higher</v>
      </c>
    </row>
    <row r="1676" spans="1:15" x14ac:dyDescent="0.25">
      <c r="A1676" s="1" t="s">
        <v>1706</v>
      </c>
      <c r="B1676" s="1">
        <v>34</v>
      </c>
      <c r="C1676" s="1" t="str" cm="1">
        <f t="array" ref="C1676">_xlfn.IFS(OR(B1676=" ", B1676="NA",NOT(ISNUMBER(B1676))), "Unknown",B1676&lt;18,"Underage",B1676&lt;=24,"Young Adult",B1676&lt;=34,"Early Career",B1676&lt;=44,"Mid Career",B1676&lt;=54,"Mature",B1676&lt;=65,"Pre-Senior",B1676&gt;65,"Senior")</f>
        <v>Early Career</v>
      </c>
      <c r="D1676" s="1" t="s">
        <v>18</v>
      </c>
      <c r="E1676" s="1" t="s">
        <v>23</v>
      </c>
      <c r="F1676" s="1">
        <v>1900000</v>
      </c>
      <c r="G1676" s="1">
        <v>76</v>
      </c>
      <c r="H1676" s="1" t="str" cm="1">
        <f t="array" ref="H1676">_xlfn.IFS( OR(G1676=" ",NOT(ISNUMBER(G1676))),"Unknown",G1676&lt;=33,"Low Spender",G1676&lt;=66,"Medium Spender",TRUE, "High Spender")</f>
        <v>High Spender</v>
      </c>
      <c r="I1676" s="1">
        <v>41</v>
      </c>
      <c r="J1676" s="1">
        <v>5700</v>
      </c>
      <c r="K1676" s="1">
        <v>116</v>
      </c>
      <c r="M1676" s="1" t="s">
        <v>21</v>
      </c>
      <c r="N1676" s="1" t="str">
        <f t="shared" si="52"/>
        <v>Higher</v>
      </c>
      <c r="O1676" s="1" t="str">
        <f t="shared" si="53"/>
        <v>Early Career | High Spender | Higher</v>
      </c>
    </row>
    <row r="1677" spans="1:15" x14ac:dyDescent="0.25">
      <c r="A1677" s="1" t="s">
        <v>1707</v>
      </c>
      <c r="B1677" s="1">
        <v>18</v>
      </c>
      <c r="C1677" s="1" t="str" cm="1">
        <f t="array" ref="C1677">_xlfn.IFS(OR(B1677=" ", B1677="NA",NOT(ISNUMBER(B1677))), "Unknown",B1677&lt;18,"Underage",B1677&lt;=24,"Young Adult",B1677&lt;=34,"Early Career",B1677&lt;=44,"Mid Career",B1677&lt;=54,"Mature",B1677&lt;=65,"Pre-Senior",B1677&gt;65,"Senior")</f>
        <v>Young Adult</v>
      </c>
      <c r="E1677" s="1" t="s">
        <v>19</v>
      </c>
      <c r="F1677" s="1">
        <v>550000</v>
      </c>
      <c r="G1677" s="1">
        <v>99</v>
      </c>
      <c r="H1677" s="1" t="str" cm="1">
        <f t="array" ref="H1677">_xlfn.IFS( OR(G1677=" ",NOT(ISNUMBER(G1677))),"Unknown",G1677&lt;=33,"Low Spender",G1677&lt;=66,"Medium Spender",TRUE, "High Spender")</f>
        <v>High Spender</v>
      </c>
      <c r="I1677" s="1">
        <v>6</v>
      </c>
      <c r="J1677" s="1">
        <v>900</v>
      </c>
      <c r="K1677" s="1">
        <v>196</v>
      </c>
      <c r="L1677" s="1" t="s">
        <v>20</v>
      </c>
      <c r="M1677" s="1" t="s">
        <v>30</v>
      </c>
      <c r="N1677" s="1" t="str">
        <f t="shared" si="52"/>
        <v>Lower</v>
      </c>
      <c r="O1677" s="1" t="str">
        <f t="shared" si="53"/>
        <v>Young Adult | High Spender | Lower</v>
      </c>
    </row>
    <row r="1678" spans="1:15" x14ac:dyDescent="0.25">
      <c r="A1678" s="1" t="s">
        <v>1708</v>
      </c>
      <c r="B1678" s="1">
        <v>42</v>
      </c>
      <c r="C1678" s="1" t="str" cm="1">
        <f t="array" ref="C1678">_xlfn.IFS(OR(B1678=" ", B1678="NA",NOT(ISNUMBER(B1678))), "Unknown",B1678&lt;18,"Underage",B1678&lt;=24,"Young Adult",B1678&lt;=34,"Early Career",B1678&lt;=44,"Mid Career",B1678&lt;=54,"Mature",B1678&lt;=65,"Pre-Senior",B1678&gt;65,"Senior")</f>
        <v>Mid Career</v>
      </c>
      <c r="D1678" s="1" t="s">
        <v>18</v>
      </c>
      <c r="E1678" s="1" t="s">
        <v>19</v>
      </c>
      <c r="F1678" s="1">
        <v>1650000</v>
      </c>
      <c r="G1678" s="1">
        <v>94</v>
      </c>
      <c r="H1678" s="1" t="str" cm="1">
        <f t="array" ref="H1678">_xlfn.IFS( OR(G1678=" ",NOT(ISNUMBER(G1678))),"Unknown",G1678&lt;=33,"Low Spender",G1678&lt;=66,"Medium Spender",TRUE, "High Spender")</f>
        <v>High Spender</v>
      </c>
      <c r="I1678" s="1">
        <v>2</v>
      </c>
      <c r="J1678" s="1">
        <v>4600</v>
      </c>
      <c r="K1678" s="1">
        <v>36</v>
      </c>
      <c r="M1678" s="1" t="s">
        <v>30</v>
      </c>
      <c r="N1678" s="1" t="str">
        <f t="shared" si="52"/>
        <v>Higher</v>
      </c>
      <c r="O1678" s="1" t="str">
        <f t="shared" si="53"/>
        <v>Mid Career | High Spender | Higher</v>
      </c>
    </row>
    <row r="1679" spans="1:15" x14ac:dyDescent="0.25">
      <c r="A1679" s="1" t="s">
        <v>1709</v>
      </c>
      <c r="B1679" s="1">
        <v>60</v>
      </c>
      <c r="C1679" s="1" t="str" cm="1">
        <f t="array" ref="C1679">_xlfn.IFS(OR(B1679=" ", B1679="NA",NOT(ISNUMBER(B1679))), "Unknown",B1679&lt;18,"Underage",B1679&lt;=24,"Young Adult",B1679&lt;=34,"Early Career",B1679&lt;=44,"Mid Career",B1679&lt;=54,"Mature",B1679&lt;=65,"Pre-Senior",B1679&gt;65,"Senior")</f>
        <v>Pre-Senior</v>
      </c>
      <c r="D1679" s="1" t="s">
        <v>18</v>
      </c>
      <c r="F1679" s="1">
        <v>375000</v>
      </c>
      <c r="G1679" s="1">
        <v>48</v>
      </c>
      <c r="H1679" s="1" t="str" cm="1">
        <f t="array" ref="H1679">_xlfn.IFS( OR(G1679=" ",NOT(ISNUMBER(G1679))),"Unknown",G1679&lt;=33,"Low Spender",G1679&lt;=66,"Medium Spender",TRUE, "High Spender")</f>
        <v>Medium Spender</v>
      </c>
      <c r="I1679" s="1">
        <v>15</v>
      </c>
      <c r="J1679" s="1">
        <v>7900</v>
      </c>
      <c r="K1679" s="1">
        <v>67</v>
      </c>
      <c r="L1679" s="1" t="s">
        <v>20</v>
      </c>
      <c r="M1679" s="1" t="s">
        <v>32</v>
      </c>
      <c r="N1679" s="1" t="str">
        <f t="shared" si="52"/>
        <v>Higher</v>
      </c>
      <c r="O1679" s="1" t="str">
        <f t="shared" si="53"/>
        <v>Pre-Senior | Medium Spender | Higher</v>
      </c>
    </row>
    <row r="1680" spans="1:15" x14ac:dyDescent="0.25">
      <c r="A1680" s="1" t="s">
        <v>1710</v>
      </c>
      <c r="B1680" s="1">
        <v>57</v>
      </c>
      <c r="C1680" s="1" t="str" cm="1">
        <f t="array" ref="C1680">_xlfn.IFS(OR(B1680=" ", B1680="NA",NOT(ISNUMBER(B1680))), "Unknown",B1680&lt;18,"Underage",B1680&lt;=24,"Young Adult",B1680&lt;=34,"Early Career",B1680&lt;=44,"Mid Career",B1680&lt;=54,"Mature",B1680&lt;=65,"Pre-Senior",B1680&gt;65,"Senior")</f>
        <v>Pre-Senior</v>
      </c>
      <c r="E1680" s="1" t="s">
        <v>15</v>
      </c>
      <c r="F1680" s="1">
        <v>900000</v>
      </c>
      <c r="G1680" s="1">
        <v>6</v>
      </c>
      <c r="H1680" s="1" t="str" cm="1">
        <f t="array" ref="H1680">_xlfn.IFS( OR(G1680=" ",NOT(ISNUMBER(G1680))),"Unknown",G1680&lt;=33,"Low Spender",G1680&lt;=66,"Medium Spender",TRUE, "High Spender")</f>
        <v>Low Spender</v>
      </c>
      <c r="I1680" s="1">
        <v>17</v>
      </c>
      <c r="J1680" s="1">
        <v>700</v>
      </c>
      <c r="K1680" s="1">
        <v>133</v>
      </c>
      <c r="N1680" s="1" t="str">
        <f t="shared" si="52"/>
        <v>Lower</v>
      </c>
      <c r="O1680" s="1" t="str">
        <f t="shared" si="53"/>
        <v>Pre-Senior | Low Spender | Lower</v>
      </c>
    </row>
    <row r="1681" spans="1:15" x14ac:dyDescent="0.25">
      <c r="A1681" s="1" t="s">
        <v>1711</v>
      </c>
      <c r="B1681" s="1">
        <v>59</v>
      </c>
      <c r="C1681" s="1" t="str" cm="1">
        <f t="array" ref="C1681">_xlfn.IFS(OR(B1681=" ", B1681="NA",NOT(ISNUMBER(B1681))), "Unknown",B1681&lt;18,"Underage",B1681&lt;=24,"Young Adult",B1681&lt;=34,"Early Career",B1681&lt;=44,"Mid Career",B1681&lt;=54,"Mature",B1681&lt;=65,"Pre-Senior",B1681&gt;65,"Senior")</f>
        <v>Pre-Senior</v>
      </c>
      <c r="D1681" s="1" t="s">
        <v>18</v>
      </c>
      <c r="E1681" s="1" t="s">
        <v>49</v>
      </c>
      <c r="F1681" s="1">
        <v>1625000</v>
      </c>
      <c r="G1681" s="1">
        <v>15</v>
      </c>
      <c r="H1681" s="1" t="str" cm="1">
        <f t="array" ref="H1681">_xlfn.IFS( OR(G1681=" ",NOT(ISNUMBER(G1681))),"Unknown",G1681&lt;=33,"Low Spender",G1681&lt;=66,"Medium Spender",TRUE, "High Spender")</f>
        <v>Low Spender</v>
      </c>
      <c r="I1681" s="1">
        <v>16</v>
      </c>
      <c r="J1681" s="1">
        <v>6200</v>
      </c>
      <c r="K1681" s="1">
        <v>281</v>
      </c>
      <c r="L1681" s="1" t="s">
        <v>35</v>
      </c>
      <c r="M1681" s="1" t="s">
        <v>41</v>
      </c>
      <c r="N1681" s="1" t="str">
        <f t="shared" si="52"/>
        <v>Higher</v>
      </c>
      <c r="O1681" s="1" t="str">
        <f t="shared" si="53"/>
        <v>Pre-Senior | Low Spender | Higher</v>
      </c>
    </row>
    <row r="1682" spans="1:15" x14ac:dyDescent="0.25">
      <c r="A1682" s="1" t="s">
        <v>1712</v>
      </c>
      <c r="B1682" s="1">
        <v>42</v>
      </c>
      <c r="C1682" s="1" t="str" cm="1">
        <f t="array" ref="C1682">_xlfn.IFS(OR(B1682=" ", B1682="NA",NOT(ISNUMBER(B1682))), "Unknown",B1682&lt;18,"Underage",B1682&lt;=24,"Young Adult",B1682&lt;=34,"Early Career",B1682&lt;=44,"Mid Career",B1682&lt;=54,"Mature",B1682&lt;=65,"Pre-Senior",B1682&gt;65,"Senior")</f>
        <v>Mid Career</v>
      </c>
      <c r="E1682" s="1" t="s">
        <v>58</v>
      </c>
      <c r="F1682" s="1">
        <v>1875000</v>
      </c>
      <c r="G1682" s="1">
        <v>15</v>
      </c>
      <c r="H1682" s="1" t="str" cm="1">
        <f t="array" ref="H1682">_xlfn.IFS( OR(G1682=" ",NOT(ISNUMBER(G1682))),"Unknown",G1682&lt;=33,"Low Spender",G1682&lt;=66,"Medium Spender",TRUE, "High Spender")</f>
        <v>Low Spender</v>
      </c>
      <c r="I1682" s="1">
        <v>28</v>
      </c>
      <c r="J1682" s="1">
        <v>800</v>
      </c>
      <c r="K1682" s="1">
        <v>11</v>
      </c>
      <c r="L1682" s="1" t="s">
        <v>20</v>
      </c>
      <c r="M1682" s="1" t="s">
        <v>41</v>
      </c>
      <c r="N1682" s="1" t="str">
        <f t="shared" si="52"/>
        <v>Lower</v>
      </c>
      <c r="O1682" s="1" t="str">
        <f t="shared" si="53"/>
        <v>Mid Career | Low Spender | Lower</v>
      </c>
    </row>
    <row r="1683" spans="1:15" x14ac:dyDescent="0.25">
      <c r="A1683" s="1" t="s">
        <v>1713</v>
      </c>
      <c r="B1683" s="1">
        <v>56</v>
      </c>
      <c r="C1683" s="1" t="str" cm="1">
        <f t="array" ref="C1683">_xlfn.IFS(OR(B1683=" ", B1683="NA",NOT(ISNUMBER(B1683))), "Unknown",B1683&lt;18,"Underage",B1683&lt;=24,"Young Adult",B1683&lt;=34,"Early Career",B1683&lt;=44,"Mid Career",B1683&lt;=54,"Mature",B1683&lt;=65,"Pre-Senior",B1683&gt;65,"Senior")</f>
        <v>Pre-Senior</v>
      </c>
      <c r="D1683" s="1" t="s">
        <v>29</v>
      </c>
      <c r="E1683" s="1" t="s">
        <v>49</v>
      </c>
      <c r="F1683" s="1">
        <v>550000</v>
      </c>
      <c r="G1683" s="1">
        <v>61</v>
      </c>
      <c r="H1683" s="1" t="str" cm="1">
        <f t="array" ref="H1683">_xlfn.IFS( OR(G1683=" ",NOT(ISNUMBER(G1683))),"Unknown",G1683&lt;=33,"Low Spender",G1683&lt;=66,"Medium Spender",TRUE, "High Spender")</f>
        <v>Medium Spender</v>
      </c>
      <c r="I1683" s="1">
        <v>72</v>
      </c>
      <c r="J1683" s="1">
        <v>10000</v>
      </c>
      <c r="K1683" s="1">
        <v>218</v>
      </c>
      <c r="L1683" s="1" t="s">
        <v>35</v>
      </c>
      <c r="M1683" s="1" t="s">
        <v>21</v>
      </c>
      <c r="N1683" s="1" t="str">
        <f t="shared" si="52"/>
        <v>Higher</v>
      </c>
      <c r="O1683" s="1" t="str">
        <f t="shared" si="53"/>
        <v>Pre-Senior | Medium Spender | Higher</v>
      </c>
    </row>
    <row r="1684" spans="1:15" x14ac:dyDescent="0.25">
      <c r="A1684" s="1" t="s">
        <v>1714</v>
      </c>
      <c r="B1684" s="1">
        <v>52</v>
      </c>
      <c r="C1684" s="1" t="str" cm="1">
        <f t="array" ref="C1684">_xlfn.IFS(OR(B1684=" ", B1684="NA",NOT(ISNUMBER(B1684))), "Unknown",B1684&lt;18,"Underage",B1684&lt;=24,"Young Adult",B1684&lt;=34,"Early Career",B1684&lt;=44,"Mid Career",B1684&lt;=54,"Mature",B1684&lt;=65,"Pre-Senior",B1684&gt;65,"Senior")</f>
        <v>Mature</v>
      </c>
      <c r="D1684" s="1" t="s">
        <v>29</v>
      </c>
      <c r="E1684" s="1" t="s">
        <v>27</v>
      </c>
      <c r="F1684" s="1">
        <v>1375000</v>
      </c>
      <c r="G1684" s="1">
        <v>16</v>
      </c>
      <c r="H1684" s="1" t="str" cm="1">
        <f t="array" ref="H1684">_xlfn.IFS( OR(G1684=" ",NOT(ISNUMBER(G1684))),"Unknown",G1684&lt;=33,"Low Spender",G1684&lt;=66,"Medium Spender",TRUE, "High Spender")</f>
        <v>Low Spender</v>
      </c>
      <c r="I1684" s="1">
        <v>10</v>
      </c>
      <c r="J1684" s="1">
        <v>11900</v>
      </c>
      <c r="K1684" s="1">
        <v>322</v>
      </c>
      <c r="L1684" s="1" t="s">
        <v>20</v>
      </c>
      <c r="N1684" s="1" t="str">
        <f t="shared" si="52"/>
        <v>Higher</v>
      </c>
      <c r="O1684" s="1" t="str">
        <f t="shared" si="53"/>
        <v>Mature | Low Spender | Higher</v>
      </c>
    </row>
    <row r="1685" spans="1:15" x14ac:dyDescent="0.25">
      <c r="A1685" s="1" t="s">
        <v>1715</v>
      </c>
      <c r="B1685" s="1">
        <v>20</v>
      </c>
      <c r="C1685" s="1" t="str" cm="1">
        <f t="array" ref="C1685">_xlfn.IFS(OR(B1685=" ", B1685="NA",NOT(ISNUMBER(B1685))), "Unknown",B1685&lt;18,"Underage",B1685&lt;=24,"Young Adult",B1685&lt;=34,"Early Career",B1685&lt;=44,"Mid Career",B1685&lt;=54,"Mature",B1685&lt;=65,"Pre-Senior",B1685&gt;65,"Senior")</f>
        <v>Young Adult</v>
      </c>
      <c r="D1685" s="1" t="s">
        <v>12</v>
      </c>
      <c r="E1685" s="1" t="s">
        <v>19</v>
      </c>
      <c r="F1685" s="1">
        <v>1050000</v>
      </c>
      <c r="G1685" s="1">
        <v>20</v>
      </c>
      <c r="H1685" s="1" t="str" cm="1">
        <f t="array" ref="H1685">_xlfn.IFS( OR(G1685=" ",NOT(ISNUMBER(G1685))),"Unknown",G1685&lt;=33,"Low Spender",G1685&lt;=66,"Medium Spender",TRUE, "High Spender")</f>
        <v>Low Spender</v>
      </c>
      <c r="I1685" s="1">
        <v>10</v>
      </c>
      <c r="J1685" s="1">
        <v>900</v>
      </c>
      <c r="K1685" s="1">
        <v>156</v>
      </c>
      <c r="N1685" s="1" t="str">
        <f t="shared" si="52"/>
        <v>Lower</v>
      </c>
      <c r="O1685" s="1" t="str">
        <f t="shared" si="53"/>
        <v>Young Adult | Low Spender | Lower</v>
      </c>
    </row>
    <row r="1686" spans="1:15" x14ac:dyDescent="0.25">
      <c r="A1686" s="1" t="s">
        <v>1716</v>
      </c>
      <c r="B1686" s="1">
        <v>67</v>
      </c>
      <c r="C1686" s="1" t="str" cm="1">
        <f t="array" ref="C1686">_xlfn.IFS(OR(B1686=" ", B1686="NA",NOT(ISNUMBER(B1686))), "Unknown",B1686&lt;18,"Underage",B1686&lt;=24,"Young Adult",B1686&lt;=34,"Early Career",B1686&lt;=44,"Mid Career",B1686&lt;=54,"Mature",B1686&lt;=65,"Pre-Senior",B1686&gt;65,"Senior")</f>
        <v>Senior</v>
      </c>
      <c r="E1686" s="1" t="s">
        <v>13</v>
      </c>
      <c r="F1686" s="1">
        <v>1675000</v>
      </c>
      <c r="G1686" s="1">
        <v>77</v>
      </c>
      <c r="H1686" s="1" t="str" cm="1">
        <f t="array" ref="H1686">_xlfn.IFS( OR(G1686=" ",NOT(ISNUMBER(G1686))),"Unknown",G1686&lt;=33,"Low Spender",G1686&lt;=66,"Medium Spender",TRUE, "High Spender")</f>
        <v>High Spender</v>
      </c>
      <c r="I1686" s="1">
        <v>10</v>
      </c>
      <c r="J1686" s="1">
        <v>4800</v>
      </c>
      <c r="K1686" s="1">
        <v>240</v>
      </c>
      <c r="N1686" s="1" t="str">
        <f t="shared" si="52"/>
        <v>Lower</v>
      </c>
      <c r="O1686" s="1" t="str">
        <f t="shared" si="53"/>
        <v>Senior | High Spender | Lower</v>
      </c>
    </row>
    <row r="1687" spans="1:15" x14ac:dyDescent="0.25">
      <c r="A1687" s="1" t="s">
        <v>1717</v>
      </c>
      <c r="B1687" s="1">
        <v>54</v>
      </c>
      <c r="C1687" s="1" t="str" cm="1">
        <f t="array" ref="C1687">_xlfn.IFS(OR(B1687=" ", B1687="NA",NOT(ISNUMBER(B1687))), "Unknown",B1687&lt;18,"Underage",B1687&lt;=24,"Young Adult",B1687&lt;=34,"Early Career",B1687&lt;=44,"Mid Career",B1687&lt;=54,"Mature",B1687&lt;=65,"Pre-Senior",B1687&gt;65,"Senior")</f>
        <v>Mature</v>
      </c>
      <c r="E1687" s="1" t="s">
        <v>19</v>
      </c>
      <c r="F1687" s="1">
        <v>1925000</v>
      </c>
      <c r="G1687" s="1">
        <v>44</v>
      </c>
      <c r="H1687" s="1" t="str" cm="1">
        <f t="array" ref="H1687">_xlfn.IFS( OR(G1687=" ",NOT(ISNUMBER(G1687))),"Unknown",G1687&lt;=33,"Low Spender",G1687&lt;=66,"Medium Spender",TRUE, "High Spender")</f>
        <v>Medium Spender</v>
      </c>
      <c r="I1687" s="1">
        <v>73</v>
      </c>
      <c r="J1687" s="1">
        <v>5900</v>
      </c>
      <c r="K1687" s="1">
        <v>60</v>
      </c>
      <c r="L1687" s="1" t="s">
        <v>20</v>
      </c>
      <c r="N1687" s="1" t="str">
        <f t="shared" si="52"/>
        <v>Lower</v>
      </c>
      <c r="O1687" s="1" t="str">
        <f t="shared" si="53"/>
        <v>Mature | Medium Spender | Lower</v>
      </c>
    </row>
    <row r="1688" spans="1:15" x14ac:dyDescent="0.25">
      <c r="A1688" s="1" t="s">
        <v>1718</v>
      </c>
      <c r="B1688" s="1">
        <v>61</v>
      </c>
      <c r="C1688" s="1" t="str" cm="1">
        <f t="array" ref="C1688">_xlfn.IFS(OR(B1688=" ", B1688="NA",NOT(ISNUMBER(B1688))), "Unknown",B1688&lt;18,"Underage",B1688&lt;=24,"Young Adult",B1688&lt;=34,"Early Career",B1688&lt;=44,"Mid Career",B1688&lt;=54,"Mature",B1688&lt;=65,"Pre-Senior",B1688&gt;65,"Senior")</f>
        <v>Pre-Senior</v>
      </c>
      <c r="E1688" s="1" t="s">
        <v>19</v>
      </c>
      <c r="F1688" s="1" t="s">
        <v>25</v>
      </c>
      <c r="G1688" s="1">
        <v>42</v>
      </c>
      <c r="H1688" s="1" t="str" cm="1">
        <f t="array" ref="H1688">_xlfn.IFS( OR(G1688=" ",NOT(ISNUMBER(G1688))),"Unknown",G1688&lt;=33,"Low Spender",G1688&lt;=66,"Medium Spender",TRUE, "High Spender")</f>
        <v>Medium Spender</v>
      </c>
      <c r="I1688" s="1">
        <v>28</v>
      </c>
      <c r="J1688" s="1">
        <v>5600</v>
      </c>
      <c r="K1688" s="1">
        <v>138</v>
      </c>
      <c r="L1688" s="1" t="s">
        <v>16</v>
      </c>
      <c r="N1688" s="1" t="str">
        <f t="shared" si="52"/>
        <v>Lower</v>
      </c>
      <c r="O1688" s="1" t="str">
        <f t="shared" si="53"/>
        <v>Pre-Senior | Medium Spender | Lower</v>
      </c>
    </row>
    <row r="1689" spans="1:15" x14ac:dyDescent="0.25">
      <c r="A1689" s="1" t="s">
        <v>1719</v>
      </c>
      <c r="B1689" s="1">
        <v>61</v>
      </c>
      <c r="C1689" s="1" t="str" cm="1">
        <f t="array" ref="C1689">_xlfn.IFS(OR(B1689=" ", B1689="NA",NOT(ISNUMBER(B1689))), "Unknown",B1689&lt;18,"Underage",B1689&lt;=24,"Young Adult",B1689&lt;=34,"Early Career",B1689&lt;=44,"Mid Career",B1689&lt;=54,"Mature",B1689&lt;=65,"Pre-Senior",B1689&gt;65,"Senior")</f>
        <v>Pre-Senior</v>
      </c>
      <c r="D1689" s="1" t="s">
        <v>29</v>
      </c>
      <c r="F1689" s="1">
        <v>850000</v>
      </c>
      <c r="G1689" s="1">
        <v>46</v>
      </c>
      <c r="H1689" s="1" t="str" cm="1">
        <f t="array" ref="H1689">_xlfn.IFS( OR(G1689=" ",NOT(ISNUMBER(G1689))),"Unknown",G1689&lt;=33,"Low Spender",G1689&lt;=66,"Medium Spender",TRUE, "High Spender")</f>
        <v>Medium Spender</v>
      </c>
      <c r="I1689" s="1">
        <v>24</v>
      </c>
      <c r="J1689" s="1">
        <v>9400</v>
      </c>
      <c r="K1689" s="1">
        <v>50</v>
      </c>
      <c r="M1689" s="1" t="s">
        <v>32</v>
      </c>
      <c r="N1689" s="1" t="str">
        <f t="shared" si="52"/>
        <v>Higher</v>
      </c>
      <c r="O1689" s="1" t="str">
        <f t="shared" si="53"/>
        <v>Pre-Senior | Medium Spender | Higher</v>
      </c>
    </row>
    <row r="1690" spans="1:15" x14ac:dyDescent="0.25">
      <c r="A1690" s="1" t="s">
        <v>1720</v>
      </c>
      <c r="B1690" s="1">
        <v>68</v>
      </c>
      <c r="C1690" s="1" t="str" cm="1">
        <f t="array" ref="C1690">_xlfn.IFS(OR(B1690=" ", B1690="NA",NOT(ISNUMBER(B1690))), "Unknown",B1690&lt;18,"Underage",B1690&lt;=24,"Young Adult",B1690&lt;=34,"Early Career",B1690&lt;=44,"Mid Career",B1690&lt;=54,"Mature",B1690&lt;=65,"Pre-Senior",B1690&gt;65,"Senior")</f>
        <v>Senior</v>
      </c>
      <c r="D1690" s="1" t="s">
        <v>18</v>
      </c>
      <c r="E1690" s="1" t="s">
        <v>23</v>
      </c>
      <c r="F1690" s="1">
        <v>925000</v>
      </c>
      <c r="G1690" s="1">
        <v>95</v>
      </c>
      <c r="H1690" s="1" t="str" cm="1">
        <f t="array" ref="H1690">_xlfn.IFS( OR(G1690=" ",NOT(ISNUMBER(G1690))),"Unknown",G1690&lt;=33,"Low Spender",G1690&lt;=66,"Medium Spender",TRUE, "High Spender")</f>
        <v>High Spender</v>
      </c>
      <c r="I1690" s="1">
        <v>19</v>
      </c>
      <c r="J1690" s="1">
        <v>4800</v>
      </c>
      <c r="K1690" s="1">
        <v>167</v>
      </c>
      <c r="L1690" s="1" t="s">
        <v>16</v>
      </c>
      <c r="M1690" s="1" t="s">
        <v>41</v>
      </c>
      <c r="N1690" s="1" t="str">
        <f t="shared" si="52"/>
        <v>Higher</v>
      </c>
      <c r="O1690" s="1" t="str">
        <f t="shared" si="53"/>
        <v>Senior | High Spender | Higher</v>
      </c>
    </row>
    <row r="1691" spans="1:15" x14ac:dyDescent="0.25">
      <c r="A1691" s="1" t="s">
        <v>1721</v>
      </c>
      <c r="B1691" s="1">
        <v>47</v>
      </c>
      <c r="C1691" s="1" t="str" cm="1">
        <f t="array" ref="C1691">_xlfn.IFS(OR(B1691=" ", B1691="NA",NOT(ISNUMBER(B1691))), "Unknown",B1691&lt;18,"Underage",B1691&lt;=24,"Young Adult",B1691&lt;=34,"Early Career",B1691&lt;=44,"Mid Career",B1691&lt;=54,"Mature",B1691&lt;=65,"Pre-Senior",B1691&gt;65,"Senior")</f>
        <v>Mature</v>
      </c>
      <c r="E1691" s="1" t="s">
        <v>58</v>
      </c>
      <c r="F1691" s="1">
        <v>400000</v>
      </c>
      <c r="G1691" s="1">
        <v>34</v>
      </c>
      <c r="H1691" s="1" t="str" cm="1">
        <f t="array" ref="H1691">_xlfn.IFS( OR(G1691=" ",NOT(ISNUMBER(G1691))),"Unknown",G1691&lt;=33,"Low Spender",G1691&lt;=66,"Medium Spender",TRUE, "High Spender")</f>
        <v>Medium Spender</v>
      </c>
      <c r="I1691" s="1">
        <v>68</v>
      </c>
      <c r="J1691" s="1">
        <v>1200</v>
      </c>
      <c r="K1691" s="1">
        <v>165</v>
      </c>
      <c r="M1691" s="1" t="s">
        <v>21</v>
      </c>
      <c r="N1691" s="1" t="str">
        <f t="shared" si="52"/>
        <v>Lower</v>
      </c>
      <c r="O1691" s="1" t="str">
        <f t="shared" si="53"/>
        <v>Mature | Medium Spender | Lower</v>
      </c>
    </row>
    <row r="1692" spans="1:15" x14ac:dyDescent="0.25">
      <c r="A1692" s="1" t="s">
        <v>1722</v>
      </c>
      <c r="B1692" s="1">
        <v>55</v>
      </c>
      <c r="C1692" s="1" t="str" cm="1">
        <f t="array" ref="C1692">_xlfn.IFS(OR(B1692=" ", B1692="NA",NOT(ISNUMBER(B1692))), "Unknown",B1692&lt;18,"Underage",B1692&lt;=24,"Young Adult",B1692&lt;=34,"Early Career",B1692&lt;=44,"Mid Career",B1692&lt;=54,"Mature",B1692&lt;=65,"Pre-Senior",B1692&gt;65,"Senior")</f>
        <v>Pre-Senior</v>
      </c>
      <c r="D1692" s="1" t="s">
        <v>29</v>
      </c>
      <c r="E1692" s="1" t="s">
        <v>34</v>
      </c>
      <c r="F1692" s="1">
        <v>275000</v>
      </c>
      <c r="G1692" s="1">
        <v>64</v>
      </c>
      <c r="H1692" s="1" t="str" cm="1">
        <f t="array" ref="H1692">_xlfn.IFS( OR(G1692=" ",NOT(ISNUMBER(G1692))),"Unknown",G1692&lt;=33,"Low Spender",G1692&lt;=66,"Medium Spender",TRUE, "High Spender")</f>
        <v>Medium Spender</v>
      </c>
      <c r="I1692" s="1">
        <v>56</v>
      </c>
      <c r="J1692" s="1">
        <v>600</v>
      </c>
      <c r="K1692" s="1">
        <v>319</v>
      </c>
      <c r="M1692" s="1" t="s">
        <v>32</v>
      </c>
      <c r="N1692" s="1" t="str">
        <f t="shared" si="52"/>
        <v>Higher</v>
      </c>
      <c r="O1692" s="1" t="str">
        <f t="shared" si="53"/>
        <v>Pre-Senior | Medium Spender | Higher</v>
      </c>
    </row>
    <row r="1693" spans="1:15" x14ac:dyDescent="0.25">
      <c r="A1693" s="1" t="s">
        <v>1723</v>
      </c>
      <c r="B1693" s="1">
        <v>51</v>
      </c>
      <c r="C1693" s="1" t="str" cm="1">
        <f t="array" ref="C1693">_xlfn.IFS(OR(B1693=" ", B1693="NA",NOT(ISNUMBER(B1693))), "Unknown",B1693&lt;18,"Underage",B1693&lt;=24,"Young Adult",B1693&lt;=34,"Early Career",B1693&lt;=44,"Mid Career",B1693&lt;=54,"Mature",B1693&lt;=65,"Pre-Senior",B1693&gt;65,"Senior")</f>
        <v>Mature</v>
      </c>
      <c r="D1693" s="1" t="s">
        <v>29</v>
      </c>
      <c r="E1693" s="1" t="s">
        <v>34</v>
      </c>
      <c r="F1693" s="1">
        <v>1000000</v>
      </c>
      <c r="G1693" s="1">
        <v>29</v>
      </c>
      <c r="H1693" s="1" t="str" cm="1">
        <f t="array" ref="H1693">_xlfn.IFS( OR(G1693=" ",NOT(ISNUMBER(G1693))),"Unknown",G1693&lt;=33,"Low Spender",G1693&lt;=66,"Medium Spender",TRUE, "High Spender")</f>
        <v>Low Spender</v>
      </c>
      <c r="I1693" s="1">
        <v>67</v>
      </c>
      <c r="J1693" s="1">
        <v>6900</v>
      </c>
      <c r="K1693" s="1">
        <v>189</v>
      </c>
      <c r="L1693" s="1" t="s">
        <v>20</v>
      </c>
      <c r="M1693" s="1" t="s">
        <v>30</v>
      </c>
      <c r="N1693" s="1" t="str">
        <f t="shared" si="52"/>
        <v>Higher</v>
      </c>
      <c r="O1693" s="1" t="str">
        <f t="shared" si="53"/>
        <v>Mature | Low Spender | Higher</v>
      </c>
    </row>
    <row r="1694" spans="1:15" x14ac:dyDescent="0.25">
      <c r="A1694" s="1" t="s">
        <v>1724</v>
      </c>
      <c r="B1694" s="1">
        <v>29</v>
      </c>
      <c r="C1694" s="1" t="str" cm="1">
        <f t="array" ref="C1694">_xlfn.IFS(OR(B1694=" ", B1694="NA",NOT(ISNUMBER(B1694))), "Unknown",B1694&lt;18,"Underage",B1694&lt;=24,"Young Adult",B1694&lt;=34,"Early Career",B1694&lt;=44,"Mid Career",B1694&lt;=54,"Mature",B1694&lt;=65,"Pre-Senior",B1694&gt;65,"Senior")</f>
        <v>Early Career</v>
      </c>
      <c r="D1694" s="1" t="s">
        <v>18</v>
      </c>
      <c r="E1694" s="1" t="s">
        <v>23</v>
      </c>
      <c r="F1694" s="1">
        <v>950000</v>
      </c>
      <c r="G1694" s="1">
        <v>3</v>
      </c>
      <c r="H1694" s="1" t="str" cm="1">
        <f t="array" ref="H1694">_xlfn.IFS( OR(G1694=" ",NOT(ISNUMBER(G1694))),"Unknown",G1694&lt;=33,"Low Spender",G1694&lt;=66,"Medium Spender",TRUE, "High Spender")</f>
        <v>Low Spender</v>
      </c>
      <c r="I1694" s="1">
        <v>42</v>
      </c>
      <c r="J1694" s="1">
        <v>2700</v>
      </c>
      <c r="K1694" s="1">
        <v>92</v>
      </c>
      <c r="M1694" s="1" t="s">
        <v>30</v>
      </c>
      <c r="N1694" s="1" t="str">
        <f t="shared" si="52"/>
        <v>Higher</v>
      </c>
      <c r="O1694" s="1" t="str">
        <f t="shared" si="53"/>
        <v>Early Career | Low Spender | Higher</v>
      </c>
    </row>
    <row r="1695" spans="1:15" x14ac:dyDescent="0.25">
      <c r="A1695" s="1" t="s">
        <v>1725</v>
      </c>
      <c r="B1695" s="1">
        <v>36</v>
      </c>
      <c r="C1695" s="1" t="str" cm="1">
        <f t="array" ref="C1695">_xlfn.IFS(OR(B1695=" ", B1695="NA",NOT(ISNUMBER(B1695))), "Unknown",B1695&lt;18,"Underage",B1695&lt;=24,"Young Adult",B1695&lt;=34,"Early Career",B1695&lt;=44,"Mid Career",B1695&lt;=54,"Mature",B1695&lt;=65,"Pre-Senior",B1695&gt;65,"Senior")</f>
        <v>Mid Career</v>
      </c>
      <c r="D1695" s="1" t="s">
        <v>18</v>
      </c>
      <c r="E1695" s="1" t="s">
        <v>19</v>
      </c>
      <c r="F1695" s="1">
        <v>575000</v>
      </c>
      <c r="G1695" s="1">
        <v>9</v>
      </c>
      <c r="H1695" s="1" t="str" cm="1">
        <f t="array" ref="H1695">_xlfn.IFS( OR(G1695=" ",NOT(ISNUMBER(G1695))),"Unknown",G1695&lt;=33,"Low Spender",G1695&lt;=66,"Medium Spender",TRUE, "High Spender")</f>
        <v>Low Spender</v>
      </c>
      <c r="I1695" s="1">
        <v>12</v>
      </c>
      <c r="J1695" s="1">
        <v>8900</v>
      </c>
      <c r="K1695" s="1">
        <v>294</v>
      </c>
      <c r="M1695" s="1" t="s">
        <v>30</v>
      </c>
      <c r="N1695" s="1" t="str">
        <f t="shared" si="52"/>
        <v>Higher</v>
      </c>
      <c r="O1695" s="1" t="str">
        <f t="shared" si="53"/>
        <v>Mid Career | Low Spender | Higher</v>
      </c>
    </row>
    <row r="1696" spans="1:15" x14ac:dyDescent="0.25">
      <c r="A1696" s="1" t="s">
        <v>1726</v>
      </c>
      <c r="B1696" s="1">
        <v>54</v>
      </c>
      <c r="C1696" s="1" t="str" cm="1">
        <f t="array" ref="C1696">_xlfn.IFS(OR(B1696=" ", B1696="NA",NOT(ISNUMBER(B1696))), "Unknown",B1696&lt;18,"Underage",B1696&lt;=24,"Young Adult",B1696&lt;=34,"Early Career",B1696&lt;=44,"Mid Career",B1696&lt;=54,"Mature",B1696&lt;=65,"Pre-Senior",B1696&gt;65,"Senior")</f>
        <v>Mature</v>
      </c>
      <c r="D1696" s="1" t="s">
        <v>18</v>
      </c>
      <c r="E1696" s="1" t="s">
        <v>34</v>
      </c>
      <c r="F1696" s="1">
        <v>1050000</v>
      </c>
      <c r="G1696" s="1">
        <v>75</v>
      </c>
      <c r="H1696" s="1" t="str" cm="1">
        <f t="array" ref="H1696">_xlfn.IFS( OR(G1696=" ",NOT(ISNUMBER(G1696))),"Unknown",G1696&lt;=33,"Low Spender",G1696&lt;=66,"Medium Spender",TRUE, "High Spender")</f>
        <v>High Spender</v>
      </c>
      <c r="I1696" s="1">
        <v>18</v>
      </c>
      <c r="J1696" s="1">
        <v>9300</v>
      </c>
      <c r="K1696" s="1">
        <v>289</v>
      </c>
      <c r="L1696" s="1" t="s">
        <v>37</v>
      </c>
      <c r="N1696" s="1" t="str">
        <f t="shared" si="52"/>
        <v>Higher</v>
      </c>
      <c r="O1696" s="1" t="str">
        <f t="shared" si="53"/>
        <v>Mature | High Spender | Higher</v>
      </c>
    </row>
    <row r="1697" spans="1:15" x14ac:dyDescent="0.25">
      <c r="A1697" s="1" t="s">
        <v>1727</v>
      </c>
      <c r="B1697" s="1">
        <v>61</v>
      </c>
      <c r="C1697" s="1" t="str" cm="1">
        <f t="array" ref="C1697">_xlfn.IFS(OR(B1697=" ", B1697="NA",NOT(ISNUMBER(B1697))), "Unknown",B1697&lt;18,"Underage",B1697&lt;=24,"Young Adult",B1697&lt;=34,"Early Career",B1697&lt;=44,"Mid Career",B1697&lt;=54,"Mature",B1697&lt;=65,"Pre-Senior",B1697&gt;65,"Senior")</f>
        <v>Pre-Senior</v>
      </c>
      <c r="D1697" s="1" t="s">
        <v>29</v>
      </c>
      <c r="E1697" s="1" t="s">
        <v>15</v>
      </c>
      <c r="F1697" s="1">
        <v>450000</v>
      </c>
      <c r="G1697" s="1">
        <v>75</v>
      </c>
      <c r="H1697" s="1" t="str" cm="1">
        <f t="array" ref="H1697">_xlfn.IFS( OR(G1697=" ",NOT(ISNUMBER(G1697))),"Unknown",G1697&lt;=33,"Low Spender",G1697&lt;=66,"Medium Spender",TRUE, "High Spender")</f>
        <v>High Spender</v>
      </c>
      <c r="I1697" s="1">
        <v>23</v>
      </c>
      <c r="J1697" s="1">
        <v>8000</v>
      </c>
      <c r="K1697" s="1">
        <v>75</v>
      </c>
      <c r="N1697" s="1" t="str">
        <f t="shared" si="52"/>
        <v>Higher</v>
      </c>
      <c r="O1697" s="1" t="str">
        <f t="shared" si="53"/>
        <v>Pre-Senior | High Spender | Higher</v>
      </c>
    </row>
    <row r="1698" spans="1:15" x14ac:dyDescent="0.25">
      <c r="A1698" s="1" t="s">
        <v>1728</v>
      </c>
      <c r="B1698" s="1">
        <v>66</v>
      </c>
      <c r="C1698" s="1" t="str" cm="1">
        <f t="array" ref="C1698">_xlfn.IFS(OR(B1698=" ", B1698="NA",NOT(ISNUMBER(B1698))), "Unknown",B1698&lt;18,"Underage",B1698&lt;=24,"Young Adult",B1698&lt;=34,"Early Career",B1698&lt;=44,"Mid Career",B1698&lt;=54,"Mature",B1698&lt;=65,"Pre-Senior",B1698&gt;65,"Senior")</f>
        <v>Senior</v>
      </c>
      <c r="D1698" s="1" t="s">
        <v>29</v>
      </c>
      <c r="E1698" s="1" t="s">
        <v>58</v>
      </c>
      <c r="F1698" s="1">
        <v>1975000</v>
      </c>
      <c r="G1698" s="1">
        <v>25</v>
      </c>
      <c r="H1698" s="1" t="str" cm="1">
        <f t="array" ref="H1698">_xlfn.IFS( OR(G1698=" ",NOT(ISNUMBER(G1698))),"Unknown",G1698&lt;=33,"Low Spender",G1698&lt;=66,"Medium Spender",TRUE, "High Spender")</f>
        <v>Low Spender</v>
      </c>
      <c r="I1698" s="1">
        <v>6</v>
      </c>
      <c r="J1698" s="1">
        <v>6300</v>
      </c>
      <c r="K1698" s="1">
        <v>45</v>
      </c>
      <c r="L1698" s="1" t="s">
        <v>35</v>
      </c>
      <c r="M1698" s="1" t="s">
        <v>41</v>
      </c>
      <c r="N1698" s="1" t="str">
        <f t="shared" si="52"/>
        <v>Higher</v>
      </c>
      <c r="O1698" s="1" t="str">
        <f t="shared" si="53"/>
        <v>Senior | Low Spender | Higher</v>
      </c>
    </row>
    <row r="1699" spans="1:15" x14ac:dyDescent="0.25">
      <c r="A1699" s="1" t="s">
        <v>1729</v>
      </c>
      <c r="B1699" s="1">
        <v>34</v>
      </c>
      <c r="C1699" s="1" t="str" cm="1">
        <f t="array" ref="C1699">_xlfn.IFS(OR(B1699=" ", B1699="NA",NOT(ISNUMBER(B1699))), "Unknown",B1699&lt;18,"Underage",B1699&lt;=24,"Young Adult",B1699&lt;=34,"Early Career",B1699&lt;=44,"Mid Career",B1699&lt;=54,"Mature",B1699&lt;=65,"Pre-Senior",B1699&gt;65,"Senior")</f>
        <v>Early Career</v>
      </c>
      <c r="D1699" s="1" t="s">
        <v>18</v>
      </c>
      <c r="E1699" s="1" t="s">
        <v>34</v>
      </c>
      <c r="F1699" s="1">
        <v>1725000</v>
      </c>
      <c r="G1699" s="1">
        <v>86</v>
      </c>
      <c r="H1699" s="1" t="str" cm="1">
        <f t="array" ref="H1699">_xlfn.IFS( OR(G1699=" ",NOT(ISNUMBER(G1699))),"Unknown",G1699&lt;=33,"Low Spender",G1699&lt;=66,"Medium Spender",TRUE, "High Spender")</f>
        <v>High Spender</v>
      </c>
      <c r="I1699" s="1">
        <v>53</v>
      </c>
      <c r="J1699" s="1">
        <v>4000</v>
      </c>
      <c r="K1699" s="1">
        <v>53</v>
      </c>
      <c r="L1699" s="1" t="s">
        <v>20</v>
      </c>
      <c r="M1699" s="1" t="s">
        <v>30</v>
      </c>
      <c r="N1699" s="1" t="str">
        <f t="shared" si="52"/>
        <v>Higher</v>
      </c>
      <c r="O1699" s="1" t="str">
        <f t="shared" si="53"/>
        <v>Early Career | High Spender | Higher</v>
      </c>
    </row>
    <row r="1700" spans="1:15" x14ac:dyDescent="0.25">
      <c r="A1700" s="1" t="s">
        <v>1730</v>
      </c>
      <c r="B1700" s="1">
        <v>27</v>
      </c>
      <c r="C1700" s="1" t="str" cm="1">
        <f t="array" ref="C1700">_xlfn.IFS(OR(B1700=" ", B1700="NA",NOT(ISNUMBER(B1700))), "Unknown",B1700&lt;18,"Underage",B1700&lt;=24,"Young Adult",B1700&lt;=34,"Early Career",B1700&lt;=44,"Mid Career",B1700&lt;=54,"Mature",B1700&lt;=65,"Pre-Senior",B1700&gt;65,"Senior")</f>
        <v>Early Career</v>
      </c>
      <c r="E1700" s="1" t="s">
        <v>23</v>
      </c>
      <c r="F1700" s="1">
        <v>150000</v>
      </c>
      <c r="G1700" s="1">
        <v>42</v>
      </c>
      <c r="H1700" s="1" t="str" cm="1">
        <f t="array" ref="H1700">_xlfn.IFS( OR(G1700=" ",NOT(ISNUMBER(G1700))),"Unknown",G1700&lt;=33,"Low Spender",G1700&lt;=66,"Medium Spender",TRUE, "High Spender")</f>
        <v>Medium Spender</v>
      </c>
      <c r="I1700" s="1">
        <v>42</v>
      </c>
      <c r="J1700" s="1">
        <v>3400</v>
      </c>
      <c r="K1700" s="1">
        <v>175</v>
      </c>
      <c r="L1700" s="1" t="s">
        <v>16</v>
      </c>
      <c r="N1700" s="1" t="str">
        <f t="shared" si="52"/>
        <v>Lower</v>
      </c>
      <c r="O1700" s="1" t="str">
        <f t="shared" si="53"/>
        <v>Early Career | Medium Spender | Lower</v>
      </c>
    </row>
    <row r="1701" spans="1:15" x14ac:dyDescent="0.25">
      <c r="A1701" s="1" t="s">
        <v>1731</v>
      </c>
      <c r="B1701" s="1" t="s">
        <v>73</v>
      </c>
      <c r="C1701" s="1" t="str" cm="1">
        <f t="array" ref="C1701">_xlfn.IFS(OR(B1701=" ", B1701="NA",NOT(ISNUMBER(B1701))), "Unknown",B1701&lt;18,"Underage",B1701&lt;=24,"Young Adult",B1701&lt;=34,"Early Career",B1701&lt;=44,"Mid Career",B1701&lt;=54,"Mature",B1701&lt;=65,"Pre-Senior",B1701&gt;65,"Senior")</f>
        <v>Unknown</v>
      </c>
      <c r="D1701" s="1" t="s">
        <v>12</v>
      </c>
      <c r="E1701" s="1" t="s">
        <v>27</v>
      </c>
      <c r="F1701" s="1">
        <v>1700000</v>
      </c>
      <c r="G1701" s="1">
        <v>46</v>
      </c>
      <c r="H1701" s="1" t="str" cm="1">
        <f t="array" ref="H1701">_xlfn.IFS( OR(G1701=" ",NOT(ISNUMBER(G1701))),"Unknown",G1701&lt;=33,"Low Spender",G1701&lt;=66,"Medium Spender",TRUE, "High Spender")</f>
        <v>Medium Spender</v>
      </c>
      <c r="I1701" s="1">
        <v>66</v>
      </c>
      <c r="J1701" s="1">
        <v>2500</v>
      </c>
      <c r="K1701" s="1">
        <v>161</v>
      </c>
      <c r="N1701" s="1" t="str">
        <f t="shared" si="52"/>
        <v>Lower</v>
      </c>
      <c r="O1701" s="1" t="str">
        <f t="shared" si="53"/>
        <v>Unknown | Medium Spender | Lower</v>
      </c>
    </row>
    <row r="1702" spans="1:15" x14ac:dyDescent="0.25">
      <c r="A1702" s="1" t="s">
        <v>1732</v>
      </c>
      <c r="B1702" s="1">
        <v>66</v>
      </c>
      <c r="C1702" s="1" t="str" cm="1">
        <f t="array" ref="C1702">_xlfn.IFS(OR(B1702=" ", B1702="NA",NOT(ISNUMBER(B1702))), "Unknown",B1702&lt;18,"Underage",B1702&lt;=24,"Young Adult",B1702&lt;=34,"Early Career",B1702&lt;=44,"Mid Career",B1702&lt;=54,"Mature",B1702&lt;=65,"Pre-Senior",B1702&gt;65,"Senior")</f>
        <v>Senior</v>
      </c>
      <c r="D1702" s="1" t="s">
        <v>29</v>
      </c>
      <c r="E1702" s="1" t="s">
        <v>34</v>
      </c>
      <c r="F1702" s="1">
        <v>975000</v>
      </c>
      <c r="G1702" s="1">
        <v>73</v>
      </c>
      <c r="H1702" s="1" t="str" cm="1">
        <f t="array" ref="H1702">_xlfn.IFS( OR(G1702=" ",NOT(ISNUMBER(G1702))),"Unknown",G1702&lt;=33,"Low Spender",G1702&lt;=66,"Medium Spender",TRUE, "High Spender")</f>
        <v>High Spender</v>
      </c>
      <c r="I1702" s="1">
        <v>30</v>
      </c>
      <c r="J1702" s="1">
        <v>11300</v>
      </c>
      <c r="K1702" s="1">
        <v>67</v>
      </c>
      <c r="L1702" s="1" t="s">
        <v>16</v>
      </c>
      <c r="N1702" s="1" t="str">
        <f t="shared" si="52"/>
        <v>Higher</v>
      </c>
      <c r="O1702" s="1" t="str">
        <f t="shared" si="53"/>
        <v>Senior | High Spender | Higher</v>
      </c>
    </row>
    <row r="1703" spans="1:15" x14ac:dyDescent="0.25">
      <c r="A1703" s="1" t="s">
        <v>1733</v>
      </c>
      <c r="B1703" s="1">
        <v>64</v>
      </c>
      <c r="C1703" s="1" t="str" cm="1">
        <f t="array" ref="C1703">_xlfn.IFS(OR(B1703=" ", B1703="NA",NOT(ISNUMBER(B1703))), "Unknown",B1703&lt;18,"Underage",B1703&lt;=24,"Young Adult",B1703&lt;=34,"Early Career",B1703&lt;=44,"Mid Career",B1703&lt;=54,"Mature",B1703&lt;=65,"Pre-Senior",B1703&gt;65,"Senior")</f>
        <v>Pre-Senior</v>
      </c>
      <c r="D1703" s="1" t="s">
        <v>12</v>
      </c>
      <c r="E1703" s="1" t="s">
        <v>58</v>
      </c>
      <c r="F1703" s="1">
        <v>375000</v>
      </c>
      <c r="G1703" s="1">
        <v>84</v>
      </c>
      <c r="H1703" s="1" t="str" cm="1">
        <f t="array" ref="H1703">_xlfn.IFS( OR(G1703=" ",NOT(ISNUMBER(G1703))),"Unknown",G1703&lt;=33,"Low Spender",G1703&lt;=66,"Medium Spender",TRUE, "High Spender")</f>
        <v>High Spender</v>
      </c>
      <c r="I1703" s="1">
        <v>9</v>
      </c>
      <c r="J1703" s="1">
        <v>10600</v>
      </c>
      <c r="K1703" s="1">
        <v>361</v>
      </c>
      <c r="L1703" s="1" t="s">
        <v>37</v>
      </c>
      <c r="N1703" s="1" t="str">
        <f t="shared" si="52"/>
        <v>Lower</v>
      </c>
      <c r="O1703" s="1" t="str">
        <f t="shared" si="53"/>
        <v>Pre-Senior | High Spender | Lower</v>
      </c>
    </row>
    <row r="1704" spans="1:15" x14ac:dyDescent="0.25">
      <c r="A1704" s="1" t="s">
        <v>1734</v>
      </c>
      <c r="B1704" s="1">
        <v>29</v>
      </c>
      <c r="C1704" s="1" t="str" cm="1">
        <f t="array" ref="C1704">_xlfn.IFS(OR(B1704=" ", B1704="NA",NOT(ISNUMBER(B1704))), "Unknown",B1704&lt;18,"Underage",B1704&lt;=24,"Young Adult",B1704&lt;=34,"Early Career",B1704&lt;=44,"Mid Career",B1704&lt;=54,"Mature",B1704&lt;=65,"Pre-Senior",B1704&gt;65,"Senior")</f>
        <v>Early Career</v>
      </c>
      <c r="D1704" s="1" t="s">
        <v>29</v>
      </c>
      <c r="F1704" s="1">
        <v>300000</v>
      </c>
      <c r="G1704" s="1">
        <v>59</v>
      </c>
      <c r="H1704" s="1" t="str" cm="1">
        <f t="array" ref="H1704">_xlfn.IFS( OR(G1704=" ",NOT(ISNUMBER(G1704))),"Unknown",G1704&lt;=33,"Low Spender",G1704&lt;=66,"Medium Spender",TRUE, "High Spender")</f>
        <v>Medium Spender</v>
      </c>
      <c r="I1704" s="1">
        <v>42</v>
      </c>
      <c r="J1704" s="1">
        <v>3900</v>
      </c>
      <c r="K1704" s="1">
        <v>270</v>
      </c>
      <c r="L1704" s="1" t="s">
        <v>20</v>
      </c>
      <c r="M1704" s="1" t="s">
        <v>30</v>
      </c>
      <c r="N1704" s="1" t="str">
        <f t="shared" si="52"/>
        <v>Higher</v>
      </c>
      <c r="O1704" s="1" t="str">
        <f t="shared" si="53"/>
        <v>Early Career | Medium Spender | Higher</v>
      </c>
    </row>
    <row r="1705" spans="1:15" x14ac:dyDescent="0.25">
      <c r="A1705" s="1" t="s">
        <v>1735</v>
      </c>
      <c r="B1705" s="1">
        <v>33</v>
      </c>
      <c r="C1705" s="1" t="str" cm="1">
        <f t="array" ref="C1705">_xlfn.IFS(OR(B1705=" ", B1705="NA",NOT(ISNUMBER(B1705))), "Unknown",B1705&lt;18,"Underage",B1705&lt;=24,"Young Adult",B1705&lt;=34,"Early Career",B1705&lt;=44,"Mid Career",B1705&lt;=54,"Mature",B1705&lt;=65,"Pre-Senior",B1705&gt;65,"Senior")</f>
        <v>Early Career</v>
      </c>
      <c r="D1705" s="1" t="s">
        <v>18</v>
      </c>
      <c r="F1705" s="1">
        <v>1525000</v>
      </c>
      <c r="G1705" s="1">
        <v>21</v>
      </c>
      <c r="H1705" s="1" t="str" cm="1">
        <f t="array" ref="H1705">_xlfn.IFS( OR(G1705=" ",NOT(ISNUMBER(G1705))),"Unknown",G1705&lt;=33,"Low Spender",G1705&lt;=66,"Medium Spender",TRUE, "High Spender")</f>
        <v>Low Spender</v>
      </c>
      <c r="I1705" s="1">
        <v>34</v>
      </c>
      <c r="J1705" s="1">
        <v>500</v>
      </c>
      <c r="K1705" s="1">
        <v>124</v>
      </c>
      <c r="M1705" s="1" t="s">
        <v>32</v>
      </c>
      <c r="N1705" s="1" t="str">
        <f t="shared" si="52"/>
        <v>Higher</v>
      </c>
      <c r="O1705" s="1" t="str">
        <f t="shared" si="53"/>
        <v>Early Career | Low Spender | Higher</v>
      </c>
    </row>
    <row r="1706" spans="1:15" x14ac:dyDescent="0.25">
      <c r="A1706" s="1" t="s">
        <v>1736</v>
      </c>
      <c r="B1706" s="1">
        <v>41</v>
      </c>
      <c r="C1706" s="1" t="str" cm="1">
        <f t="array" ref="C1706">_xlfn.IFS(OR(B1706=" ", B1706="NA",NOT(ISNUMBER(B1706))), "Unknown",B1706&lt;18,"Underage",B1706&lt;=24,"Young Adult",B1706&lt;=34,"Early Career",B1706&lt;=44,"Mid Career",B1706&lt;=54,"Mature",B1706&lt;=65,"Pre-Senior",B1706&gt;65,"Senior")</f>
        <v>Mid Career</v>
      </c>
      <c r="D1706" s="1" t="s">
        <v>29</v>
      </c>
      <c r="E1706" s="1" t="s">
        <v>15</v>
      </c>
      <c r="F1706" s="1">
        <v>1050000</v>
      </c>
      <c r="G1706" s="1">
        <v>74</v>
      </c>
      <c r="H1706" s="1" t="str" cm="1">
        <f t="array" ref="H1706">_xlfn.IFS( OR(G1706=" ",NOT(ISNUMBER(G1706))),"Unknown",G1706&lt;=33,"Low Spender",G1706&lt;=66,"Medium Spender",TRUE, "High Spender")</f>
        <v>High Spender</v>
      </c>
      <c r="I1706" s="1">
        <v>40</v>
      </c>
      <c r="J1706" s="1">
        <v>10100</v>
      </c>
      <c r="K1706" s="1">
        <v>182</v>
      </c>
      <c r="L1706" s="1" t="s">
        <v>16</v>
      </c>
      <c r="M1706" s="1" t="s">
        <v>30</v>
      </c>
      <c r="N1706" s="1" t="str">
        <f t="shared" si="52"/>
        <v>Higher</v>
      </c>
      <c r="O1706" s="1" t="str">
        <f t="shared" si="53"/>
        <v>Mid Career | High Spender | Higher</v>
      </c>
    </row>
    <row r="1707" spans="1:15" x14ac:dyDescent="0.25">
      <c r="A1707" s="1" t="s">
        <v>1737</v>
      </c>
      <c r="B1707" s="1">
        <v>36</v>
      </c>
      <c r="C1707" s="1" t="str" cm="1">
        <f t="array" ref="C1707">_xlfn.IFS(OR(B1707=" ", B1707="NA",NOT(ISNUMBER(B1707))), "Unknown",B1707&lt;18,"Underage",B1707&lt;=24,"Young Adult",B1707&lt;=34,"Early Career",B1707&lt;=44,"Mid Career",B1707&lt;=54,"Mature",B1707&lt;=65,"Pre-Senior",B1707&gt;65,"Senior")</f>
        <v>Mid Career</v>
      </c>
      <c r="E1707" s="1" t="s">
        <v>49</v>
      </c>
      <c r="F1707" s="1">
        <v>850000</v>
      </c>
      <c r="G1707" s="1">
        <v>22</v>
      </c>
      <c r="H1707" s="1" t="str" cm="1">
        <f t="array" ref="H1707">_xlfn.IFS( OR(G1707=" ",NOT(ISNUMBER(G1707))),"Unknown",G1707&lt;=33,"Low Spender",G1707&lt;=66,"Medium Spender",TRUE, "High Spender")</f>
        <v>Low Spender</v>
      </c>
      <c r="I1707" s="1">
        <v>17</v>
      </c>
      <c r="J1707" s="1">
        <v>1500</v>
      </c>
      <c r="K1707" s="1">
        <v>182</v>
      </c>
      <c r="N1707" s="1" t="str">
        <f t="shared" si="52"/>
        <v>Lower</v>
      </c>
      <c r="O1707" s="1" t="str">
        <f t="shared" si="53"/>
        <v>Mid Career | Low Spender | Lower</v>
      </c>
    </row>
    <row r="1708" spans="1:15" x14ac:dyDescent="0.25">
      <c r="A1708" s="1" t="s">
        <v>1738</v>
      </c>
      <c r="B1708" s="1">
        <v>25</v>
      </c>
      <c r="C1708" s="1" t="str" cm="1">
        <f t="array" ref="C1708">_xlfn.IFS(OR(B1708=" ", B1708="NA",NOT(ISNUMBER(B1708))), "Unknown",B1708&lt;18,"Underage",B1708&lt;=24,"Young Adult",B1708&lt;=34,"Early Career",B1708&lt;=44,"Mid Career",B1708&lt;=54,"Mature",B1708&lt;=65,"Pre-Senior",B1708&gt;65,"Senior")</f>
        <v>Early Career</v>
      </c>
      <c r="D1708" s="1" t="s">
        <v>29</v>
      </c>
      <c r="E1708" s="1" t="s">
        <v>49</v>
      </c>
      <c r="F1708" s="1">
        <v>425000</v>
      </c>
      <c r="G1708" s="1">
        <v>29</v>
      </c>
      <c r="H1708" s="1" t="str" cm="1">
        <f t="array" ref="H1708">_xlfn.IFS( OR(G1708=" ",NOT(ISNUMBER(G1708))),"Unknown",G1708&lt;=33,"Low Spender",G1708&lt;=66,"Medium Spender",TRUE, "High Spender")</f>
        <v>Low Spender</v>
      </c>
      <c r="I1708" s="1">
        <v>29</v>
      </c>
      <c r="J1708" s="1">
        <v>3600</v>
      </c>
      <c r="K1708" s="1">
        <v>36</v>
      </c>
      <c r="M1708" s="1" t="s">
        <v>30</v>
      </c>
      <c r="N1708" s="1" t="str">
        <f t="shared" si="52"/>
        <v>Higher</v>
      </c>
      <c r="O1708" s="1" t="str">
        <f t="shared" si="53"/>
        <v>Early Career | Low Spender | Higher</v>
      </c>
    </row>
    <row r="1709" spans="1:15" x14ac:dyDescent="0.25">
      <c r="A1709" s="1" t="s">
        <v>1739</v>
      </c>
      <c r="B1709" s="1">
        <v>48</v>
      </c>
      <c r="C1709" s="1" t="str" cm="1">
        <f t="array" ref="C1709">_xlfn.IFS(OR(B1709=" ", B1709="NA",NOT(ISNUMBER(B1709))), "Unknown",B1709&lt;18,"Underage",B1709&lt;=24,"Young Adult",B1709&lt;=34,"Early Career",B1709&lt;=44,"Mid Career",B1709&lt;=54,"Mature",B1709&lt;=65,"Pre-Senior",B1709&gt;65,"Senior")</f>
        <v>Mature</v>
      </c>
      <c r="D1709" s="1" t="s">
        <v>12</v>
      </c>
      <c r="E1709" s="1" t="s">
        <v>34</v>
      </c>
      <c r="F1709" s="1">
        <v>550000</v>
      </c>
      <c r="G1709" s="1">
        <v>63</v>
      </c>
      <c r="H1709" s="1" t="str" cm="1">
        <f t="array" ref="H1709">_xlfn.IFS( OR(G1709=" ",NOT(ISNUMBER(G1709))),"Unknown",G1709&lt;=33,"Low Spender",G1709&lt;=66,"Medium Spender",TRUE, "High Spender")</f>
        <v>Medium Spender</v>
      </c>
      <c r="I1709" s="1">
        <v>50</v>
      </c>
      <c r="J1709" s="1">
        <v>9000</v>
      </c>
      <c r="K1709" s="1">
        <v>212</v>
      </c>
      <c r="L1709" s="1" t="s">
        <v>37</v>
      </c>
      <c r="M1709" s="1" t="s">
        <v>21</v>
      </c>
      <c r="N1709" s="1" t="str">
        <f t="shared" si="52"/>
        <v>Lower</v>
      </c>
      <c r="O1709" s="1" t="str">
        <f t="shared" si="53"/>
        <v>Mature | Medium Spender | Lower</v>
      </c>
    </row>
    <row r="1710" spans="1:15" x14ac:dyDescent="0.25">
      <c r="A1710" s="1" t="s">
        <v>1740</v>
      </c>
      <c r="B1710" s="1">
        <v>38</v>
      </c>
      <c r="C1710" s="1" t="str" cm="1">
        <f t="array" ref="C1710">_xlfn.IFS(OR(B1710=" ", B1710="NA",NOT(ISNUMBER(B1710))), "Unknown",B1710&lt;18,"Underage",B1710&lt;=24,"Young Adult",B1710&lt;=34,"Early Career",B1710&lt;=44,"Mid Career",B1710&lt;=54,"Mature",B1710&lt;=65,"Pre-Senior",B1710&gt;65,"Senior")</f>
        <v>Mid Career</v>
      </c>
      <c r="D1710" s="1" t="s">
        <v>29</v>
      </c>
      <c r="E1710" s="1" t="s">
        <v>13</v>
      </c>
      <c r="F1710" s="1">
        <v>1325000</v>
      </c>
      <c r="G1710" s="1">
        <v>73</v>
      </c>
      <c r="H1710" s="1" t="str" cm="1">
        <f t="array" ref="H1710">_xlfn.IFS( OR(G1710=" ",NOT(ISNUMBER(G1710))),"Unknown",G1710&lt;=33,"Low Spender",G1710&lt;=66,"Medium Spender",TRUE, "High Spender")</f>
        <v>High Spender</v>
      </c>
      <c r="I1710" s="1">
        <v>76</v>
      </c>
      <c r="J1710" s="1">
        <v>6700</v>
      </c>
      <c r="K1710" s="1">
        <v>134</v>
      </c>
      <c r="N1710" s="1" t="str">
        <f t="shared" si="52"/>
        <v>Higher</v>
      </c>
      <c r="O1710" s="1" t="str">
        <f t="shared" si="53"/>
        <v>Mid Career | High Spender | Higher</v>
      </c>
    </row>
    <row r="1711" spans="1:15" x14ac:dyDescent="0.25">
      <c r="A1711" s="1" t="s">
        <v>1741</v>
      </c>
      <c r="B1711" s="1">
        <v>34</v>
      </c>
      <c r="C1711" s="1" t="str" cm="1">
        <f t="array" ref="C1711">_xlfn.IFS(OR(B1711=" ", B1711="NA",NOT(ISNUMBER(B1711))), "Unknown",B1711&lt;18,"Underage",B1711&lt;=24,"Young Adult",B1711&lt;=34,"Early Career",B1711&lt;=44,"Mid Career",B1711&lt;=54,"Mature",B1711&lt;=65,"Pre-Senior",B1711&gt;65,"Senior")</f>
        <v>Early Career</v>
      </c>
      <c r="D1711" s="1" t="s">
        <v>18</v>
      </c>
      <c r="E1711" s="1" t="s">
        <v>27</v>
      </c>
      <c r="F1711" s="1">
        <v>775000</v>
      </c>
      <c r="G1711" s="1">
        <v>61</v>
      </c>
      <c r="H1711" s="1" t="str" cm="1">
        <f t="array" ref="H1711">_xlfn.IFS( OR(G1711=" ",NOT(ISNUMBER(G1711))),"Unknown",G1711&lt;=33,"Low Spender",G1711&lt;=66,"Medium Spender",TRUE, "High Spender")</f>
        <v>Medium Spender</v>
      </c>
      <c r="I1711" s="1">
        <v>49</v>
      </c>
      <c r="J1711" s="1">
        <v>7800</v>
      </c>
      <c r="K1711" s="1">
        <v>353</v>
      </c>
      <c r="L1711" s="1" t="s">
        <v>16</v>
      </c>
      <c r="M1711" s="1" t="s">
        <v>41</v>
      </c>
      <c r="N1711" s="1" t="str">
        <f t="shared" si="52"/>
        <v>Higher</v>
      </c>
      <c r="O1711" s="1" t="str">
        <f t="shared" si="53"/>
        <v>Early Career | Medium Spender | Higher</v>
      </c>
    </row>
    <row r="1712" spans="1:15" x14ac:dyDescent="0.25">
      <c r="A1712" s="1" t="s">
        <v>1742</v>
      </c>
      <c r="B1712" s="1">
        <v>40</v>
      </c>
      <c r="C1712" s="1" t="str" cm="1">
        <f t="array" ref="C1712">_xlfn.IFS(OR(B1712=" ", B1712="NA",NOT(ISNUMBER(B1712))), "Unknown",B1712&lt;18,"Underage",B1712&lt;=24,"Young Adult",B1712&lt;=34,"Early Career",B1712&lt;=44,"Mid Career",B1712&lt;=54,"Mature",B1712&lt;=65,"Pre-Senior",B1712&gt;65,"Senior")</f>
        <v>Mid Career</v>
      </c>
      <c r="E1712" s="1" t="s">
        <v>23</v>
      </c>
      <c r="F1712" s="1">
        <v>425000</v>
      </c>
      <c r="G1712" s="1">
        <v>64</v>
      </c>
      <c r="H1712" s="1" t="str" cm="1">
        <f t="array" ref="H1712">_xlfn.IFS( OR(G1712=" ",NOT(ISNUMBER(G1712))),"Unknown",G1712&lt;=33,"Low Spender",G1712&lt;=66,"Medium Spender",TRUE, "High Spender")</f>
        <v>Medium Spender</v>
      </c>
      <c r="I1712" s="1">
        <v>73</v>
      </c>
      <c r="J1712" s="1">
        <v>1000</v>
      </c>
      <c r="K1712" s="1">
        <v>178</v>
      </c>
      <c r="L1712" s="1" t="s">
        <v>16</v>
      </c>
      <c r="M1712" s="1" t="s">
        <v>30</v>
      </c>
      <c r="N1712" s="1" t="str">
        <f t="shared" si="52"/>
        <v>Lower</v>
      </c>
      <c r="O1712" s="1" t="str">
        <f t="shared" si="53"/>
        <v>Mid Career | Medium Spender | Lower</v>
      </c>
    </row>
    <row r="1713" spans="1:15" x14ac:dyDescent="0.25">
      <c r="A1713" s="1" t="s">
        <v>1743</v>
      </c>
      <c r="B1713" s="1">
        <v>54</v>
      </c>
      <c r="C1713" s="1" t="str" cm="1">
        <f t="array" ref="C1713">_xlfn.IFS(OR(B1713=" ", B1713="NA",NOT(ISNUMBER(B1713))), "Unknown",B1713&lt;18,"Underage",B1713&lt;=24,"Young Adult",B1713&lt;=34,"Early Career",B1713&lt;=44,"Mid Career",B1713&lt;=54,"Mature",B1713&lt;=65,"Pre-Senior",B1713&gt;65,"Senior")</f>
        <v>Mature</v>
      </c>
      <c r="D1713" s="1" t="s">
        <v>12</v>
      </c>
      <c r="E1713" s="1" t="s">
        <v>27</v>
      </c>
      <c r="F1713" s="1">
        <v>650000</v>
      </c>
      <c r="G1713" s="1">
        <v>69</v>
      </c>
      <c r="H1713" s="1" t="str" cm="1">
        <f t="array" ref="H1713">_xlfn.IFS( OR(G1713=" ",NOT(ISNUMBER(G1713))),"Unknown",G1713&lt;=33,"Low Spender",G1713&lt;=66,"Medium Spender",TRUE, "High Spender")</f>
        <v>High Spender</v>
      </c>
      <c r="I1713" s="1">
        <v>61</v>
      </c>
      <c r="J1713" s="1">
        <v>8500</v>
      </c>
      <c r="K1713" s="1">
        <v>166</v>
      </c>
      <c r="L1713" s="1" t="s">
        <v>20</v>
      </c>
      <c r="N1713" s="1" t="str">
        <f t="shared" si="52"/>
        <v>Lower</v>
      </c>
      <c r="O1713" s="1" t="str">
        <f t="shared" si="53"/>
        <v>Mature | High Spender | Lower</v>
      </c>
    </row>
    <row r="1714" spans="1:15" x14ac:dyDescent="0.25">
      <c r="A1714" s="1" t="s">
        <v>1744</v>
      </c>
      <c r="C1714" s="1" t="str" cm="1">
        <f t="array" ref="C1714">_xlfn.IFS(OR(B1714=" ", B1714="NA",NOT(ISNUMBER(B1714))), "Unknown",B1714&lt;18,"Underage",B1714&lt;=24,"Young Adult",B1714&lt;=34,"Early Career",B1714&lt;=44,"Mid Career",B1714&lt;=54,"Mature",B1714&lt;=65,"Pre-Senior",B1714&gt;65,"Senior")</f>
        <v>Unknown</v>
      </c>
      <c r="F1714" s="1">
        <v>1175000</v>
      </c>
      <c r="G1714" s="1">
        <v>40</v>
      </c>
      <c r="H1714" s="1" t="str" cm="1">
        <f t="array" ref="H1714">_xlfn.IFS( OR(G1714=" ",NOT(ISNUMBER(G1714))),"Unknown",G1714&lt;=33,"Low Spender",G1714&lt;=66,"Medium Spender",TRUE, "High Spender")</f>
        <v>Medium Spender</v>
      </c>
      <c r="I1714" s="1">
        <v>46</v>
      </c>
      <c r="J1714" s="1">
        <v>1100</v>
      </c>
      <c r="K1714" s="1">
        <v>337</v>
      </c>
      <c r="L1714" s="1" t="s">
        <v>20</v>
      </c>
      <c r="M1714" s="1" t="s">
        <v>32</v>
      </c>
      <c r="N1714" s="1" t="str">
        <f t="shared" si="52"/>
        <v>Lower</v>
      </c>
      <c r="O1714" s="1" t="str">
        <f t="shared" si="53"/>
        <v>Unknown | Medium Spender | Lower</v>
      </c>
    </row>
    <row r="1715" spans="1:15" x14ac:dyDescent="0.25">
      <c r="A1715" s="1" t="s">
        <v>1745</v>
      </c>
      <c r="B1715" s="1">
        <v>33</v>
      </c>
      <c r="C1715" s="1" t="str" cm="1">
        <f t="array" ref="C1715">_xlfn.IFS(OR(B1715=" ", B1715="NA",NOT(ISNUMBER(B1715))), "Unknown",B1715&lt;18,"Underage",B1715&lt;=24,"Young Adult",B1715&lt;=34,"Early Career",B1715&lt;=44,"Mid Career",B1715&lt;=54,"Mature",B1715&lt;=65,"Pre-Senior",B1715&gt;65,"Senior")</f>
        <v>Early Career</v>
      </c>
      <c r="D1715" s="1" t="s">
        <v>29</v>
      </c>
      <c r="E1715" s="1" t="s">
        <v>34</v>
      </c>
      <c r="F1715" s="1">
        <v>1650000</v>
      </c>
      <c r="G1715" s="1">
        <v>75</v>
      </c>
      <c r="H1715" s="1" t="str" cm="1">
        <f t="array" ref="H1715">_xlfn.IFS( OR(G1715=" ",NOT(ISNUMBER(G1715))),"Unknown",G1715&lt;=33,"Low Spender",G1715&lt;=66,"Medium Spender",TRUE, "High Spender")</f>
        <v>High Spender</v>
      </c>
      <c r="I1715" s="1">
        <v>46</v>
      </c>
      <c r="J1715" s="1">
        <v>3000</v>
      </c>
      <c r="K1715" s="1">
        <v>329</v>
      </c>
      <c r="L1715" s="1" t="s">
        <v>16</v>
      </c>
      <c r="M1715" s="1" t="s">
        <v>30</v>
      </c>
      <c r="N1715" s="1" t="str">
        <f t="shared" si="52"/>
        <v>Higher</v>
      </c>
      <c r="O1715" s="1" t="str">
        <f t="shared" si="53"/>
        <v>Early Career | High Spender | Higher</v>
      </c>
    </row>
    <row r="1716" spans="1:15" x14ac:dyDescent="0.25">
      <c r="A1716" s="1" t="s">
        <v>1746</v>
      </c>
      <c r="B1716" s="1">
        <v>23</v>
      </c>
      <c r="C1716" s="1" t="str" cm="1">
        <f t="array" ref="C1716">_xlfn.IFS(OR(B1716=" ", B1716="NA",NOT(ISNUMBER(B1716))), "Unknown",B1716&lt;18,"Underage",B1716&lt;=24,"Young Adult",B1716&lt;=34,"Early Career",B1716&lt;=44,"Mid Career",B1716&lt;=54,"Mature",B1716&lt;=65,"Pre-Senior",B1716&gt;65,"Senior")</f>
        <v>Young Adult</v>
      </c>
      <c r="D1716" s="1" t="s">
        <v>29</v>
      </c>
      <c r="E1716" s="1" t="s">
        <v>58</v>
      </c>
      <c r="F1716" s="1">
        <v>1575000</v>
      </c>
      <c r="G1716" s="1">
        <v>1</v>
      </c>
      <c r="H1716" s="1" t="str" cm="1">
        <f t="array" ref="H1716">_xlfn.IFS( OR(G1716=" ",NOT(ISNUMBER(G1716))),"Unknown",G1716&lt;=33,"Low Spender",G1716&lt;=66,"Medium Spender",TRUE, "High Spender")</f>
        <v>Low Spender</v>
      </c>
      <c r="I1716" s="1">
        <v>17</v>
      </c>
      <c r="J1716" s="1">
        <v>8000</v>
      </c>
      <c r="K1716" s="1">
        <v>327</v>
      </c>
      <c r="M1716" s="1" t="s">
        <v>32</v>
      </c>
      <c r="N1716" s="1" t="str">
        <f t="shared" si="52"/>
        <v>Higher</v>
      </c>
      <c r="O1716" s="1" t="str">
        <f t="shared" si="53"/>
        <v>Young Adult | Low Spender | Higher</v>
      </c>
    </row>
    <row r="1717" spans="1:15" x14ac:dyDescent="0.25">
      <c r="A1717" s="1" t="s">
        <v>1747</v>
      </c>
      <c r="B1717" s="1">
        <v>25</v>
      </c>
      <c r="C1717" s="1" t="str" cm="1">
        <f t="array" ref="C1717">_xlfn.IFS(OR(B1717=" ", B1717="NA",NOT(ISNUMBER(B1717))), "Unknown",B1717&lt;18,"Underage",B1717&lt;=24,"Young Adult",B1717&lt;=34,"Early Career",B1717&lt;=44,"Mid Career",B1717&lt;=54,"Mature",B1717&lt;=65,"Pre-Senior",B1717&gt;65,"Senior")</f>
        <v>Early Career</v>
      </c>
      <c r="E1717" s="1" t="s">
        <v>23</v>
      </c>
      <c r="F1717" s="1">
        <v>1475000</v>
      </c>
      <c r="G1717" s="1">
        <v>65</v>
      </c>
      <c r="H1717" s="1" t="str" cm="1">
        <f t="array" ref="H1717">_xlfn.IFS( OR(G1717=" ",NOT(ISNUMBER(G1717))),"Unknown",G1717&lt;=33,"Low Spender",G1717&lt;=66,"Medium Spender",TRUE, "High Spender")</f>
        <v>Medium Spender</v>
      </c>
      <c r="I1717" s="1">
        <v>66</v>
      </c>
      <c r="J1717" s="1">
        <v>9300</v>
      </c>
      <c r="K1717" s="1">
        <v>46</v>
      </c>
      <c r="L1717" s="1" t="s">
        <v>20</v>
      </c>
      <c r="M1717" s="1" t="s">
        <v>21</v>
      </c>
      <c r="N1717" s="1" t="str">
        <f t="shared" si="52"/>
        <v>Lower</v>
      </c>
      <c r="O1717" s="1" t="str">
        <f t="shared" si="53"/>
        <v>Early Career | Medium Spender | Lower</v>
      </c>
    </row>
    <row r="1718" spans="1:15" x14ac:dyDescent="0.25">
      <c r="A1718" s="1" t="s">
        <v>1748</v>
      </c>
      <c r="B1718" s="1">
        <v>42</v>
      </c>
      <c r="C1718" s="1" t="str" cm="1">
        <f t="array" ref="C1718">_xlfn.IFS(OR(B1718=" ", B1718="NA",NOT(ISNUMBER(B1718))), "Unknown",B1718&lt;18,"Underage",B1718&lt;=24,"Young Adult",B1718&lt;=34,"Early Career",B1718&lt;=44,"Mid Career",B1718&lt;=54,"Mature",B1718&lt;=65,"Pre-Senior",B1718&gt;65,"Senior")</f>
        <v>Mid Career</v>
      </c>
      <c r="D1718" s="1" t="s">
        <v>18</v>
      </c>
      <c r="E1718" s="1" t="s">
        <v>27</v>
      </c>
      <c r="F1718" s="1">
        <v>975000</v>
      </c>
      <c r="G1718" s="1">
        <v>62</v>
      </c>
      <c r="H1718" s="1" t="str" cm="1">
        <f t="array" ref="H1718">_xlfn.IFS( OR(G1718=" ",NOT(ISNUMBER(G1718))),"Unknown",G1718&lt;=33,"Low Spender",G1718&lt;=66,"Medium Spender",TRUE, "High Spender")</f>
        <v>Medium Spender</v>
      </c>
      <c r="I1718" s="1">
        <v>5</v>
      </c>
      <c r="J1718" s="1">
        <v>2000</v>
      </c>
      <c r="K1718" s="1">
        <v>156</v>
      </c>
      <c r="L1718" s="1" t="s">
        <v>16</v>
      </c>
      <c r="M1718" s="1" t="s">
        <v>41</v>
      </c>
      <c r="N1718" s="1" t="str">
        <f t="shared" si="52"/>
        <v>Higher</v>
      </c>
      <c r="O1718" s="1" t="str">
        <f t="shared" si="53"/>
        <v>Mid Career | Medium Spender | Higher</v>
      </c>
    </row>
    <row r="1719" spans="1:15" x14ac:dyDescent="0.25">
      <c r="A1719" s="1" t="s">
        <v>1749</v>
      </c>
      <c r="B1719" s="1">
        <v>35</v>
      </c>
      <c r="C1719" s="1" t="str" cm="1">
        <f t="array" ref="C1719">_xlfn.IFS(OR(B1719=" ", B1719="NA",NOT(ISNUMBER(B1719))), "Unknown",B1719&lt;18,"Underage",B1719&lt;=24,"Young Adult",B1719&lt;=34,"Early Career",B1719&lt;=44,"Mid Career",B1719&lt;=54,"Mature",B1719&lt;=65,"Pre-Senior",B1719&gt;65,"Senior")</f>
        <v>Mid Career</v>
      </c>
      <c r="D1719" s="1" t="s">
        <v>29</v>
      </c>
      <c r="E1719" s="1" t="s">
        <v>58</v>
      </c>
      <c r="F1719" s="1">
        <v>300000</v>
      </c>
      <c r="G1719" s="1">
        <v>54</v>
      </c>
      <c r="H1719" s="1" t="str" cm="1">
        <f t="array" ref="H1719">_xlfn.IFS( OR(G1719=" ",NOT(ISNUMBER(G1719))),"Unknown",G1719&lt;=33,"Low Spender",G1719&lt;=66,"Medium Spender",TRUE, "High Spender")</f>
        <v>Medium Spender</v>
      </c>
      <c r="I1719" s="1">
        <v>54</v>
      </c>
      <c r="J1719" s="1">
        <v>4400</v>
      </c>
      <c r="K1719" s="1">
        <v>236</v>
      </c>
      <c r="N1719" s="1" t="str">
        <f t="shared" si="52"/>
        <v>Higher</v>
      </c>
      <c r="O1719" s="1" t="str">
        <f t="shared" si="53"/>
        <v>Mid Career | Medium Spender | Higher</v>
      </c>
    </row>
    <row r="1720" spans="1:15" x14ac:dyDescent="0.25">
      <c r="A1720" s="1" t="s">
        <v>1750</v>
      </c>
      <c r="B1720" s="1">
        <v>42</v>
      </c>
      <c r="C1720" s="1" t="str" cm="1">
        <f t="array" ref="C1720">_xlfn.IFS(OR(B1720=" ", B1720="NA",NOT(ISNUMBER(B1720))), "Unknown",B1720&lt;18,"Underage",B1720&lt;=24,"Young Adult",B1720&lt;=34,"Early Career",B1720&lt;=44,"Mid Career",B1720&lt;=54,"Mature",B1720&lt;=65,"Pre-Senior",B1720&gt;65,"Senior")</f>
        <v>Mid Career</v>
      </c>
      <c r="D1720" s="1" t="s">
        <v>29</v>
      </c>
      <c r="E1720" s="1" t="s">
        <v>23</v>
      </c>
      <c r="F1720" s="1">
        <v>1000000</v>
      </c>
      <c r="G1720" s="1">
        <v>60</v>
      </c>
      <c r="H1720" s="1" t="str" cm="1">
        <f t="array" ref="H1720">_xlfn.IFS( OR(G1720=" ",NOT(ISNUMBER(G1720))),"Unknown",G1720&lt;=33,"Low Spender",G1720&lt;=66,"Medium Spender",TRUE, "High Spender")</f>
        <v>Medium Spender</v>
      </c>
      <c r="I1720" s="1">
        <v>16</v>
      </c>
      <c r="J1720" s="1">
        <v>4300</v>
      </c>
      <c r="K1720" s="1">
        <v>316</v>
      </c>
      <c r="L1720" s="1" t="s">
        <v>35</v>
      </c>
      <c r="N1720" s="1" t="str">
        <f t="shared" si="52"/>
        <v>Higher</v>
      </c>
      <c r="O1720" s="1" t="str">
        <f t="shared" si="53"/>
        <v>Mid Career | Medium Spender | Higher</v>
      </c>
    </row>
    <row r="1721" spans="1:15" x14ac:dyDescent="0.25">
      <c r="A1721" s="1" t="s">
        <v>1751</v>
      </c>
      <c r="B1721" s="1">
        <v>29</v>
      </c>
      <c r="C1721" s="1" t="str" cm="1">
        <f t="array" ref="C1721">_xlfn.IFS(OR(B1721=" ", B1721="NA",NOT(ISNUMBER(B1721))), "Unknown",B1721&lt;18,"Underage",B1721&lt;=24,"Young Adult",B1721&lt;=34,"Early Career",B1721&lt;=44,"Mid Career",B1721&lt;=54,"Mature",B1721&lt;=65,"Pre-Senior",B1721&gt;65,"Senior")</f>
        <v>Early Career</v>
      </c>
      <c r="E1721" s="1" t="s">
        <v>27</v>
      </c>
      <c r="F1721" s="1">
        <v>500000</v>
      </c>
      <c r="G1721" s="1">
        <v>46</v>
      </c>
      <c r="H1721" s="1" t="str" cm="1">
        <f t="array" ref="H1721">_xlfn.IFS( OR(G1721=" ",NOT(ISNUMBER(G1721))),"Unknown",G1721&lt;=33,"Low Spender",G1721&lt;=66,"Medium Spender",TRUE, "High Spender")</f>
        <v>Medium Spender</v>
      </c>
      <c r="J1721" s="1">
        <v>7200</v>
      </c>
      <c r="K1721" s="1">
        <v>60</v>
      </c>
      <c r="N1721" s="1" t="str">
        <f t="shared" si="52"/>
        <v>Lower</v>
      </c>
      <c r="O1721" s="1" t="str">
        <f t="shared" si="53"/>
        <v>Early Career | Medium Spender | Lower</v>
      </c>
    </row>
    <row r="1722" spans="1:15" x14ac:dyDescent="0.25">
      <c r="A1722" s="1" t="s">
        <v>1752</v>
      </c>
      <c r="B1722" s="1">
        <v>32</v>
      </c>
      <c r="C1722" s="1" t="str" cm="1">
        <f t="array" ref="C1722">_xlfn.IFS(OR(B1722=" ", B1722="NA",NOT(ISNUMBER(B1722))), "Unknown",B1722&lt;18,"Underage",B1722&lt;=24,"Young Adult",B1722&lt;=34,"Early Career",B1722&lt;=44,"Mid Career",B1722&lt;=54,"Mature",B1722&lt;=65,"Pre-Senior",B1722&gt;65,"Senior")</f>
        <v>Early Career</v>
      </c>
      <c r="D1722" s="1" t="s">
        <v>12</v>
      </c>
      <c r="E1722" s="1" t="s">
        <v>15</v>
      </c>
      <c r="F1722" s="1">
        <v>1750000</v>
      </c>
      <c r="G1722" s="1">
        <v>5</v>
      </c>
      <c r="H1722" s="1" t="str" cm="1">
        <f t="array" ref="H1722">_xlfn.IFS( OR(G1722=" ",NOT(ISNUMBER(G1722))),"Unknown",G1722&lt;=33,"Low Spender",G1722&lt;=66,"Medium Spender",TRUE, "High Spender")</f>
        <v>Low Spender</v>
      </c>
      <c r="I1722" s="1">
        <v>7</v>
      </c>
      <c r="J1722" s="1">
        <v>3500</v>
      </c>
      <c r="K1722" s="1">
        <v>5</v>
      </c>
      <c r="L1722" s="1" t="s">
        <v>35</v>
      </c>
      <c r="M1722" s="1" t="s">
        <v>41</v>
      </c>
      <c r="N1722" s="1" t="str">
        <f t="shared" si="52"/>
        <v>Lower</v>
      </c>
      <c r="O1722" s="1" t="str">
        <f t="shared" si="53"/>
        <v>Early Career | Low Spender | Lower</v>
      </c>
    </row>
    <row r="1723" spans="1:15" x14ac:dyDescent="0.25">
      <c r="A1723" s="1" t="s">
        <v>1753</v>
      </c>
      <c r="B1723" s="1">
        <v>43</v>
      </c>
      <c r="C1723" s="1" t="str" cm="1">
        <f t="array" ref="C1723">_xlfn.IFS(OR(B1723=" ", B1723="NA",NOT(ISNUMBER(B1723))), "Unknown",B1723&lt;18,"Underage",B1723&lt;=24,"Young Adult",B1723&lt;=34,"Early Career",B1723&lt;=44,"Mid Career",B1723&lt;=54,"Mature",B1723&lt;=65,"Pre-Senior",B1723&gt;65,"Senior")</f>
        <v>Mid Career</v>
      </c>
      <c r="D1723" s="1" t="s">
        <v>29</v>
      </c>
      <c r="F1723" s="1">
        <v>750000</v>
      </c>
      <c r="G1723" s="1">
        <v>22</v>
      </c>
      <c r="H1723" s="1" t="str" cm="1">
        <f t="array" ref="H1723">_xlfn.IFS( OR(G1723=" ",NOT(ISNUMBER(G1723))),"Unknown",G1723&lt;=33,"Low Spender",G1723&lt;=66,"Medium Spender",TRUE, "High Spender")</f>
        <v>Low Spender</v>
      </c>
      <c r="I1723" s="1">
        <v>8</v>
      </c>
      <c r="J1723" s="1">
        <v>10300</v>
      </c>
      <c r="K1723" s="1">
        <v>181</v>
      </c>
      <c r="L1723" s="1" t="s">
        <v>35</v>
      </c>
      <c r="M1723" s="1" t="s">
        <v>21</v>
      </c>
      <c r="N1723" s="1" t="str">
        <f t="shared" si="52"/>
        <v>Higher</v>
      </c>
      <c r="O1723" s="1" t="str">
        <f t="shared" si="53"/>
        <v>Mid Career | Low Spender | Higher</v>
      </c>
    </row>
    <row r="1724" spans="1:15" x14ac:dyDescent="0.25">
      <c r="A1724" s="1" t="s">
        <v>1754</v>
      </c>
      <c r="B1724" s="1">
        <v>58</v>
      </c>
      <c r="C1724" s="1" t="str" cm="1">
        <f t="array" ref="C1724">_xlfn.IFS(OR(B1724=" ", B1724="NA",NOT(ISNUMBER(B1724))), "Unknown",B1724&lt;18,"Underage",B1724&lt;=24,"Young Adult",B1724&lt;=34,"Early Career",B1724&lt;=44,"Mid Career",B1724&lt;=54,"Mature",B1724&lt;=65,"Pre-Senior",B1724&gt;65,"Senior")</f>
        <v>Pre-Senior</v>
      </c>
      <c r="D1724" s="1" t="s">
        <v>18</v>
      </c>
      <c r="E1724" s="1" t="s">
        <v>19</v>
      </c>
      <c r="F1724" s="1">
        <v>1600000</v>
      </c>
      <c r="G1724" s="1">
        <v>90</v>
      </c>
      <c r="H1724" s="1" t="str" cm="1">
        <f t="array" ref="H1724">_xlfn.IFS( OR(G1724=" ",NOT(ISNUMBER(G1724))),"Unknown",G1724&lt;=33,"Low Spender",G1724&lt;=66,"Medium Spender",TRUE, "High Spender")</f>
        <v>High Spender</v>
      </c>
      <c r="I1724" s="1">
        <v>72</v>
      </c>
      <c r="J1724" s="1">
        <v>10800</v>
      </c>
      <c r="K1724" s="1">
        <v>145</v>
      </c>
      <c r="M1724" s="1" t="s">
        <v>21</v>
      </c>
      <c r="N1724" s="1" t="str">
        <f t="shared" si="52"/>
        <v>Higher</v>
      </c>
      <c r="O1724" s="1" t="str">
        <f t="shared" si="53"/>
        <v>Pre-Senior | High Spender | Higher</v>
      </c>
    </row>
    <row r="1725" spans="1:15" x14ac:dyDescent="0.25">
      <c r="A1725" s="1" t="s">
        <v>1755</v>
      </c>
      <c r="B1725" s="1">
        <v>62</v>
      </c>
      <c r="C1725" s="1" t="str" cm="1">
        <f t="array" ref="C1725">_xlfn.IFS(OR(B1725=" ", B1725="NA",NOT(ISNUMBER(B1725))), "Unknown",B1725&lt;18,"Underage",B1725&lt;=24,"Young Adult",B1725&lt;=34,"Early Career",B1725&lt;=44,"Mid Career",B1725&lt;=54,"Mature",B1725&lt;=65,"Pre-Senior",B1725&gt;65,"Senior")</f>
        <v>Pre-Senior</v>
      </c>
      <c r="E1725" s="1" t="s">
        <v>23</v>
      </c>
      <c r="F1725" s="1">
        <v>275000</v>
      </c>
      <c r="G1725" s="1">
        <v>53</v>
      </c>
      <c r="H1725" s="1" t="str" cm="1">
        <f t="array" ref="H1725">_xlfn.IFS( OR(G1725=" ",NOT(ISNUMBER(G1725))),"Unknown",G1725&lt;=33,"Low Spender",G1725&lt;=66,"Medium Spender",TRUE, "High Spender")</f>
        <v>Medium Spender</v>
      </c>
      <c r="I1725" s="1">
        <v>38</v>
      </c>
      <c r="J1725" s="1">
        <v>9100</v>
      </c>
      <c r="K1725" s="1">
        <v>315</v>
      </c>
      <c r="L1725" s="1" t="s">
        <v>16</v>
      </c>
      <c r="M1725" s="1" t="s">
        <v>30</v>
      </c>
      <c r="N1725" s="1" t="str">
        <f t="shared" si="52"/>
        <v>Lower</v>
      </c>
      <c r="O1725" s="1" t="str">
        <f t="shared" si="53"/>
        <v>Pre-Senior | Medium Spender | Lower</v>
      </c>
    </row>
    <row r="1726" spans="1:15" x14ac:dyDescent="0.25">
      <c r="A1726" s="1" t="s">
        <v>1756</v>
      </c>
      <c r="B1726" s="1">
        <v>43</v>
      </c>
      <c r="C1726" s="1" t="str" cm="1">
        <f t="array" ref="C1726">_xlfn.IFS(OR(B1726=" ", B1726="NA",NOT(ISNUMBER(B1726))), "Unknown",B1726&lt;18,"Underage",B1726&lt;=24,"Young Adult",B1726&lt;=34,"Early Career",B1726&lt;=44,"Mid Career",B1726&lt;=54,"Mature",B1726&lt;=65,"Pre-Senior",B1726&gt;65,"Senior")</f>
        <v>Mid Career</v>
      </c>
      <c r="F1726" s="1">
        <v>1425000</v>
      </c>
      <c r="G1726" s="1">
        <v>70</v>
      </c>
      <c r="H1726" s="1" t="str" cm="1">
        <f t="array" ref="H1726">_xlfn.IFS( OR(G1726=" ",NOT(ISNUMBER(G1726))),"Unknown",G1726&lt;=33,"Low Spender",G1726&lt;=66,"Medium Spender",TRUE, "High Spender")</f>
        <v>High Spender</v>
      </c>
      <c r="I1726" s="1">
        <v>54</v>
      </c>
      <c r="J1726" s="1">
        <v>7900</v>
      </c>
      <c r="K1726" s="1">
        <v>265</v>
      </c>
      <c r="L1726" s="1" t="s">
        <v>16</v>
      </c>
      <c r="M1726" s="1" t="s">
        <v>21</v>
      </c>
      <c r="N1726" s="1" t="str">
        <f t="shared" si="52"/>
        <v>Lower</v>
      </c>
      <c r="O1726" s="1" t="str">
        <f t="shared" si="53"/>
        <v>Mid Career | High Spender | Lower</v>
      </c>
    </row>
    <row r="1727" spans="1:15" x14ac:dyDescent="0.25">
      <c r="A1727" s="1" t="s">
        <v>1757</v>
      </c>
      <c r="B1727" s="1">
        <v>64</v>
      </c>
      <c r="C1727" s="1" t="str" cm="1">
        <f t="array" ref="C1727">_xlfn.IFS(OR(B1727=" ", B1727="NA",NOT(ISNUMBER(B1727))), "Unknown",B1727&lt;18,"Underage",B1727&lt;=24,"Young Adult",B1727&lt;=34,"Early Career",B1727&lt;=44,"Mid Career",B1727&lt;=54,"Mature",B1727&lt;=65,"Pre-Senior",B1727&gt;65,"Senior")</f>
        <v>Pre-Senior</v>
      </c>
      <c r="F1727" s="1">
        <v>650000</v>
      </c>
      <c r="G1727" s="1">
        <v>32</v>
      </c>
      <c r="H1727" s="1" t="str" cm="1">
        <f t="array" ref="H1727">_xlfn.IFS( OR(G1727=" ",NOT(ISNUMBER(G1727))),"Unknown",G1727&lt;=33,"Low Spender",G1727&lt;=66,"Medium Spender",TRUE, "High Spender")</f>
        <v>Low Spender</v>
      </c>
      <c r="I1727" s="1">
        <v>76</v>
      </c>
      <c r="J1727" s="1">
        <v>5600</v>
      </c>
      <c r="K1727" s="1">
        <v>223</v>
      </c>
      <c r="L1727" s="1" t="s">
        <v>20</v>
      </c>
      <c r="M1727" s="1" t="s">
        <v>30</v>
      </c>
      <c r="N1727" s="1" t="str">
        <f t="shared" si="52"/>
        <v>Lower</v>
      </c>
      <c r="O1727" s="1" t="str">
        <f t="shared" si="53"/>
        <v>Pre-Senior | Low Spender | Lower</v>
      </c>
    </row>
    <row r="1728" spans="1:15" x14ac:dyDescent="0.25">
      <c r="A1728" s="1" t="s">
        <v>1758</v>
      </c>
      <c r="B1728" s="1">
        <v>49</v>
      </c>
      <c r="C1728" s="1" t="str" cm="1">
        <f t="array" ref="C1728">_xlfn.IFS(OR(B1728=" ", B1728="NA",NOT(ISNUMBER(B1728))), "Unknown",B1728&lt;18,"Underage",B1728&lt;=24,"Young Adult",B1728&lt;=34,"Early Career",B1728&lt;=44,"Mid Career",B1728&lt;=54,"Mature",B1728&lt;=65,"Pre-Senior",B1728&gt;65,"Senior")</f>
        <v>Mature</v>
      </c>
      <c r="D1728" s="1" t="s">
        <v>18</v>
      </c>
      <c r="E1728" s="1" t="s">
        <v>13</v>
      </c>
      <c r="F1728" s="1">
        <v>1900000</v>
      </c>
      <c r="G1728" s="1">
        <v>11</v>
      </c>
      <c r="H1728" s="1" t="str" cm="1">
        <f t="array" ref="H1728">_xlfn.IFS( OR(G1728=" ",NOT(ISNUMBER(G1728))),"Unknown",G1728&lt;=33,"Low Spender",G1728&lt;=66,"Medium Spender",TRUE, "High Spender")</f>
        <v>Low Spender</v>
      </c>
      <c r="I1728" s="1">
        <v>15</v>
      </c>
      <c r="J1728" s="1">
        <v>8900</v>
      </c>
      <c r="K1728" s="1">
        <v>301</v>
      </c>
      <c r="L1728" s="1" t="s">
        <v>37</v>
      </c>
      <c r="M1728" s="1" t="s">
        <v>32</v>
      </c>
      <c r="N1728" s="1" t="str">
        <f t="shared" si="52"/>
        <v>Higher</v>
      </c>
      <c r="O1728" s="1" t="str">
        <f t="shared" si="53"/>
        <v>Mature | Low Spender | Higher</v>
      </c>
    </row>
    <row r="1729" spans="1:15" x14ac:dyDescent="0.25">
      <c r="A1729" s="1" t="s">
        <v>1759</v>
      </c>
      <c r="B1729" s="1">
        <v>27</v>
      </c>
      <c r="C1729" s="1" t="str" cm="1">
        <f t="array" ref="C1729">_xlfn.IFS(OR(B1729=" ", B1729="NA",NOT(ISNUMBER(B1729))), "Unknown",B1729&lt;18,"Underage",B1729&lt;=24,"Young Adult",B1729&lt;=34,"Early Career",B1729&lt;=44,"Mid Career",B1729&lt;=54,"Mature",B1729&lt;=65,"Pre-Senior",B1729&gt;65,"Senior")</f>
        <v>Early Career</v>
      </c>
      <c r="D1729" s="1" t="s">
        <v>29</v>
      </c>
      <c r="E1729" s="1" t="s">
        <v>34</v>
      </c>
      <c r="F1729" s="1">
        <v>925000</v>
      </c>
      <c r="G1729" s="1">
        <v>10</v>
      </c>
      <c r="H1729" s="1" t="str" cm="1">
        <f t="array" ref="H1729">_xlfn.IFS( OR(G1729=" ",NOT(ISNUMBER(G1729))),"Unknown",G1729&lt;=33,"Low Spender",G1729&lt;=66,"Medium Spender",TRUE, "High Spender")</f>
        <v>Low Spender</v>
      </c>
      <c r="I1729" s="1">
        <v>50</v>
      </c>
      <c r="J1729" s="1">
        <v>3800</v>
      </c>
      <c r="K1729" s="1">
        <v>336</v>
      </c>
      <c r="L1729" s="1" t="s">
        <v>16</v>
      </c>
      <c r="M1729" s="1" t="s">
        <v>41</v>
      </c>
      <c r="N1729" s="1" t="str">
        <f t="shared" si="52"/>
        <v>Higher</v>
      </c>
      <c r="O1729" s="1" t="str">
        <f t="shared" si="53"/>
        <v>Early Career | Low Spender | Higher</v>
      </c>
    </row>
    <row r="1730" spans="1:15" x14ac:dyDescent="0.25">
      <c r="A1730" s="1" t="s">
        <v>1760</v>
      </c>
      <c r="B1730" s="1">
        <v>33</v>
      </c>
      <c r="C1730" s="1" t="str" cm="1">
        <f t="array" ref="C1730">_xlfn.IFS(OR(B1730=" ", B1730="NA",NOT(ISNUMBER(B1730))), "Unknown",B1730&lt;18,"Underage",B1730&lt;=24,"Young Adult",B1730&lt;=34,"Early Career",B1730&lt;=44,"Mid Career",B1730&lt;=54,"Mature",B1730&lt;=65,"Pre-Senior",B1730&gt;65,"Senior")</f>
        <v>Early Career</v>
      </c>
      <c r="D1730" s="1" t="s">
        <v>12</v>
      </c>
      <c r="F1730" s="1">
        <v>1450000</v>
      </c>
      <c r="G1730" s="1">
        <v>39</v>
      </c>
      <c r="H1730" s="1" t="str" cm="1">
        <f t="array" ref="H1730">_xlfn.IFS( OR(G1730=" ",NOT(ISNUMBER(G1730))),"Unknown",G1730&lt;=33,"Low Spender",G1730&lt;=66,"Medium Spender",TRUE, "High Spender")</f>
        <v>Medium Spender</v>
      </c>
      <c r="I1730" s="1">
        <v>56</v>
      </c>
      <c r="J1730" s="1">
        <v>9900</v>
      </c>
      <c r="K1730" s="1">
        <v>237</v>
      </c>
      <c r="M1730" s="1" t="s">
        <v>32</v>
      </c>
      <c r="N1730" s="1" t="str">
        <f t="shared" ref="N1730:N1793" si="54">IF(OR(UPPER(TRIM(D1730))="Male",UPPER(TRIM(D1730))="Female"),"Higher","Lower")</f>
        <v>Lower</v>
      </c>
      <c r="O1730" s="1" t="str">
        <f t="shared" ref="O1730:O1793" si="55">_xlfn.TEXTJOIN(" | ", TRUE, C1730, H1730, N1730)</f>
        <v>Early Career | Medium Spender | Lower</v>
      </c>
    </row>
    <row r="1731" spans="1:15" x14ac:dyDescent="0.25">
      <c r="A1731" s="1" t="s">
        <v>1761</v>
      </c>
      <c r="B1731" s="1">
        <v>24</v>
      </c>
      <c r="C1731" s="1" t="str" cm="1">
        <f t="array" ref="C1731">_xlfn.IFS(OR(B1731=" ", B1731="NA",NOT(ISNUMBER(B1731))), "Unknown",B1731&lt;18,"Underage",B1731&lt;=24,"Young Adult",B1731&lt;=34,"Early Career",B1731&lt;=44,"Mid Career",B1731&lt;=54,"Mature",B1731&lt;=65,"Pre-Senior",B1731&gt;65,"Senior")</f>
        <v>Young Adult</v>
      </c>
      <c r="D1731" s="1" t="s">
        <v>18</v>
      </c>
      <c r="E1731" s="1" t="s">
        <v>58</v>
      </c>
      <c r="F1731" s="1">
        <v>1600000</v>
      </c>
      <c r="G1731" s="1">
        <v>98</v>
      </c>
      <c r="H1731" s="1" t="str" cm="1">
        <f t="array" ref="H1731">_xlfn.IFS( OR(G1731=" ",NOT(ISNUMBER(G1731))),"Unknown",G1731&lt;=33,"Low Spender",G1731&lt;=66,"Medium Spender",TRUE, "High Spender")</f>
        <v>High Spender</v>
      </c>
      <c r="I1731" s="1">
        <v>9</v>
      </c>
      <c r="J1731" s="1">
        <v>8700</v>
      </c>
      <c r="K1731" s="1">
        <v>13</v>
      </c>
      <c r="L1731" s="1" t="s">
        <v>37</v>
      </c>
      <c r="M1731" s="1" t="s">
        <v>32</v>
      </c>
      <c r="N1731" s="1" t="str">
        <f t="shared" si="54"/>
        <v>Higher</v>
      </c>
      <c r="O1731" s="1" t="str">
        <f t="shared" si="55"/>
        <v>Young Adult | High Spender | Higher</v>
      </c>
    </row>
    <row r="1732" spans="1:15" x14ac:dyDescent="0.25">
      <c r="A1732" s="1" t="s">
        <v>1762</v>
      </c>
      <c r="B1732" s="1">
        <v>34</v>
      </c>
      <c r="C1732" s="1" t="str" cm="1">
        <f t="array" ref="C1732">_xlfn.IFS(OR(B1732=" ", B1732="NA",NOT(ISNUMBER(B1732))), "Unknown",B1732&lt;18,"Underage",B1732&lt;=24,"Young Adult",B1732&lt;=34,"Early Career",B1732&lt;=44,"Mid Career",B1732&lt;=54,"Mature",B1732&lt;=65,"Pre-Senior",B1732&gt;65,"Senior")</f>
        <v>Early Career</v>
      </c>
      <c r="E1732" s="1" t="s">
        <v>23</v>
      </c>
      <c r="F1732" s="1">
        <v>1850000</v>
      </c>
      <c r="G1732" s="1">
        <v>31</v>
      </c>
      <c r="H1732" s="1" t="str" cm="1">
        <f t="array" ref="H1732">_xlfn.IFS( OR(G1732=" ",NOT(ISNUMBER(G1732))),"Unknown",G1732&lt;=33,"Low Spender",G1732&lt;=66,"Medium Spender",TRUE, "High Spender")</f>
        <v>Low Spender</v>
      </c>
      <c r="I1732" s="1">
        <v>8</v>
      </c>
      <c r="J1732" s="1">
        <v>10000</v>
      </c>
      <c r="K1732" s="1">
        <v>339</v>
      </c>
      <c r="M1732" s="1" t="s">
        <v>32</v>
      </c>
      <c r="N1732" s="1" t="str">
        <f t="shared" si="54"/>
        <v>Lower</v>
      </c>
      <c r="O1732" s="1" t="str">
        <f t="shared" si="55"/>
        <v>Early Career | Low Spender | Lower</v>
      </c>
    </row>
    <row r="1733" spans="1:15" x14ac:dyDescent="0.25">
      <c r="A1733" s="1" t="s">
        <v>1763</v>
      </c>
      <c r="B1733" s="1">
        <v>40</v>
      </c>
      <c r="C1733" s="1" t="str" cm="1">
        <f t="array" ref="C1733">_xlfn.IFS(OR(B1733=" ", B1733="NA",NOT(ISNUMBER(B1733))), "Unknown",B1733&lt;18,"Underage",B1733&lt;=24,"Young Adult",B1733&lt;=34,"Early Career",B1733&lt;=44,"Mid Career",B1733&lt;=54,"Mature",B1733&lt;=65,"Pre-Senior",B1733&gt;65,"Senior")</f>
        <v>Mid Career</v>
      </c>
      <c r="E1733" s="1" t="s">
        <v>34</v>
      </c>
      <c r="F1733" s="1">
        <v>1675000</v>
      </c>
      <c r="G1733" s="1">
        <v>12</v>
      </c>
      <c r="H1733" s="1" t="str" cm="1">
        <f t="array" ref="H1733">_xlfn.IFS( OR(G1733=" ",NOT(ISNUMBER(G1733))),"Unknown",G1733&lt;=33,"Low Spender",G1733&lt;=66,"Medium Spender",TRUE, "High Spender")</f>
        <v>Low Spender</v>
      </c>
      <c r="I1733" s="1">
        <v>19</v>
      </c>
      <c r="J1733" s="1">
        <v>5800</v>
      </c>
      <c r="K1733" s="1">
        <v>268</v>
      </c>
      <c r="M1733" s="1" t="s">
        <v>32</v>
      </c>
      <c r="N1733" s="1" t="str">
        <f t="shared" si="54"/>
        <v>Lower</v>
      </c>
      <c r="O1733" s="1" t="str">
        <f t="shared" si="55"/>
        <v>Mid Career | Low Spender | Lower</v>
      </c>
    </row>
    <row r="1734" spans="1:15" x14ac:dyDescent="0.25">
      <c r="A1734" s="1" t="s">
        <v>1764</v>
      </c>
      <c r="B1734" s="1">
        <v>43</v>
      </c>
      <c r="C1734" s="1" t="str" cm="1">
        <f t="array" ref="C1734">_xlfn.IFS(OR(B1734=" ", B1734="NA",NOT(ISNUMBER(B1734))), "Unknown",B1734&lt;18,"Underage",B1734&lt;=24,"Young Adult",B1734&lt;=34,"Early Career",B1734&lt;=44,"Mid Career",B1734&lt;=54,"Mature",B1734&lt;=65,"Pre-Senior",B1734&gt;65,"Senior")</f>
        <v>Mid Career</v>
      </c>
      <c r="E1734" s="1" t="s">
        <v>34</v>
      </c>
      <c r="F1734" s="1">
        <v>225000</v>
      </c>
      <c r="G1734" s="1">
        <v>80</v>
      </c>
      <c r="H1734" s="1" t="str" cm="1">
        <f t="array" ref="H1734">_xlfn.IFS( OR(G1734=" ",NOT(ISNUMBER(G1734))),"Unknown",G1734&lt;=33,"Low Spender",G1734&lt;=66,"Medium Spender",TRUE, "High Spender")</f>
        <v>High Spender</v>
      </c>
      <c r="I1734" s="1">
        <v>51</v>
      </c>
      <c r="J1734" s="1">
        <v>10200</v>
      </c>
      <c r="K1734" s="1">
        <v>266</v>
      </c>
      <c r="N1734" s="1" t="str">
        <f t="shared" si="54"/>
        <v>Lower</v>
      </c>
      <c r="O1734" s="1" t="str">
        <f t="shared" si="55"/>
        <v>Mid Career | High Spender | Lower</v>
      </c>
    </row>
    <row r="1735" spans="1:15" x14ac:dyDescent="0.25">
      <c r="A1735" s="1" t="s">
        <v>1765</v>
      </c>
      <c r="B1735" s="1">
        <v>38</v>
      </c>
      <c r="C1735" s="1" t="str" cm="1">
        <f t="array" ref="C1735">_xlfn.IFS(OR(B1735=" ", B1735="NA",NOT(ISNUMBER(B1735))), "Unknown",B1735&lt;18,"Underage",B1735&lt;=24,"Young Adult",B1735&lt;=34,"Early Career",B1735&lt;=44,"Mid Career",B1735&lt;=54,"Mature",B1735&lt;=65,"Pre-Senior",B1735&gt;65,"Senior")</f>
        <v>Mid Career</v>
      </c>
      <c r="F1735" s="1">
        <v>575000</v>
      </c>
      <c r="G1735" s="1">
        <v>38</v>
      </c>
      <c r="H1735" s="1" t="str" cm="1">
        <f t="array" ref="H1735">_xlfn.IFS( OR(G1735=" ",NOT(ISNUMBER(G1735))),"Unknown",G1735&lt;=33,"Low Spender",G1735&lt;=66,"Medium Spender",TRUE, "High Spender")</f>
        <v>Medium Spender</v>
      </c>
      <c r="I1735" s="1">
        <v>72</v>
      </c>
      <c r="J1735" s="1">
        <v>1900</v>
      </c>
      <c r="K1735" s="1">
        <v>16</v>
      </c>
      <c r="L1735" s="1" t="s">
        <v>37</v>
      </c>
      <c r="M1735" s="1" t="s">
        <v>21</v>
      </c>
      <c r="N1735" s="1" t="str">
        <f t="shared" si="54"/>
        <v>Lower</v>
      </c>
      <c r="O1735" s="1" t="str">
        <f t="shared" si="55"/>
        <v>Mid Career | Medium Spender | Lower</v>
      </c>
    </row>
    <row r="1736" spans="1:15" x14ac:dyDescent="0.25">
      <c r="A1736" s="1" t="s">
        <v>1766</v>
      </c>
      <c r="B1736" s="1">
        <v>39</v>
      </c>
      <c r="C1736" s="1" t="str" cm="1">
        <f t="array" ref="C1736">_xlfn.IFS(OR(B1736=" ", B1736="NA",NOT(ISNUMBER(B1736))), "Unknown",B1736&lt;18,"Underage",B1736&lt;=24,"Young Adult",B1736&lt;=34,"Early Career",B1736&lt;=44,"Mid Career",B1736&lt;=54,"Mature",B1736&lt;=65,"Pre-Senior",B1736&gt;65,"Senior")</f>
        <v>Mid Career</v>
      </c>
      <c r="F1736" s="1">
        <v>1525000</v>
      </c>
      <c r="G1736" s="1">
        <v>67</v>
      </c>
      <c r="H1736" s="1" t="str" cm="1">
        <f t="array" ref="H1736">_xlfn.IFS( OR(G1736=" ",NOT(ISNUMBER(G1736))),"Unknown",G1736&lt;=33,"Low Spender",G1736&lt;=66,"Medium Spender",TRUE, "High Spender")</f>
        <v>High Spender</v>
      </c>
      <c r="I1736" s="1">
        <v>57</v>
      </c>
      <c r="J1736" s="1">
        <v>1200</v>
      </c>
      <c r="K1736" s="1">
        <v>92</v>
      </c>
      <c r="L1736" s="1" t="s">
        <v>35</v>
      </c>
      <c r="M1736" s="1" t="s">
        <v>41</v>
      </c>
      <c r="N1736" s="1" t="str">
        <f t="shared" si="54"/>
        <v>Lower</v>
      </c>
      <c r="O1736" s="1" t="str">
        <f t="shared" si="55"/>
        <v>Mid Career | High Spender | Lower</v>
      </c>
    </row>
    <row r="1737" spans="1:15" x14ac:dyDescent="0.25">
      <c r="A1737" s="1" t="s">
        <v>1767</v>
      </c>
      <c r="B1737" s="1">
        <v>24</v>
      </c>
      <c r="C1737" s="1" t="str" cm="1">
        <f t="array" ref="C1737">_xlfn.IFS(OR(B1737=" ", B1737="NA",NOT(ISNUMBER(B1737))), "Unknown",B1737&lt;18,"Underage",B1737&lt;=24,"Young Adult",B1737&lt;=34,"Early Career",B1737&lt;=44,"Mid Career",B1737&lt;=54,"Mature",B1737&lt;=65,"Pre-Senior",B1737&gt;65,"Senior")</f>
        <v>Young Adult</v>
      </c>
      <c r="E1737" s="1" t="s">
        <v>19</v>
      </c>
      <c r="F1737" s="1">
        <v>725000</v>
      </c>
      <c r="G1737" s="1">
        <v>66</v>
      </c>
      <c r="H1737" s="1" t="str" cm="1">
        <f t="array" ref="H1737">_xlfn.IFS( OR(G1737=" ",NOT(ISNUMBER(G1737))),"Unknown",G1737&lt;=33,"Low Spender",G1737&lt;=66,"Medium Spender",TRUE, "High Spender")</f>
        <v>Medium Spender</v>
      </c>
      <c r="I1737" s="1">
        <v>68</v>
      </c>
      <c r="J1737" s="1">
        <v>8900</v>
      </c>
      <c r="K1737" s="1">
        <v>248</v>
      </c>
      <c r="M1737" s="1" t="s">
        <v>41</v>
      </c>
      <c r="N1737" s="1" t="str">
        <f t="shared" si="54"/>
        <v>Lower</v>
      </c>
      <c r="O1737" s="1" t="str">
        <f t="shared" si="55"/>
        <v>Young Adult | Medium Spender | Lower</v>
      </c>
    </row>
    <row r="1738" spans="1:15" x14ac:dyDescent="0.25">
      <c r="A1738" s="1" t="s">
        <v>1768</v>
      </c>
      <c r="B1738" s="1">
        <v>31</v>
      </c>
      <c r="C1738" s="1" t="str" cm="1">
        <f t="array" ref="C1738">_xlfn.IFS(OR(B1738=" ", B1738="NA",NOT(ISNUMBER(B1738))), "Unknown",B1738&lt;18,"Underage",B1738&lt;=24,"Young Adult",B1738&lt;=34,"Early Career",B1738&lt;=44,"Mid Career",B1738&lt;=54,"Mature",B1738&lt;=65,"Pre-Senior",B1738&gt;65,"Senior")</f>
        <v>Early Career</v>
      </c>
      <c r="D1738" s="1" t="s">
        <v>29</v>
      </c>
      <c r="E1738" s="1" t="s">
        <v>27</v>
      </c>
      <c r="F1738" s="1">
        <v>1775000</v>
      </c>
      <c r="G1738" s="1">
        <v>52</v>
      </c>
      <c r="H1738" s="1" t="str" cm="1">
        <f t="array" ref="H1738">_xlfn.IFS( OR(G1738=" ",NOT(ISNUMBER(G1738))),"Unknown",G1738&lt;=33,"Low Spender",G1738&lt;=66,"Medium Spender",TRUE, "High Spender")</f>
        <v>Medium Spender</v>
      </c>
      <c r="I1738" s="1">
        <v>31</v>
      </c>
      <c r="J1738" s="1">
        <v>4600</v>
      </c>
      <c r="K1738" s="1">
        <v>19</v>
      </c>
      <c r="N1738" s="1" t="str">
        <f t="shared" si="54"/>
        <v>Higher</v>
      </c>
      <c r="O1738" s="1" t="str">
        <f t="shared" si="55"/>
        <v>Early Career | Medium Spender | Higher</v>
      </c>
    </row>
    <row r="1739" spans="1:15" x14ac:dyDescent="0.25">
      <c r="A1739" s="1" t="s">
        <v>1769</v>
      </c>
      <c r="B1739" s="1">
        <v>32</v>
      </c>
      <c r="C1739" s="1" t="str" cm="1">
        <f t="array" ref="C1739">_xlfn.IFS(OR(B1739=" ", B1739="NA",NOT(ISNUMBER(B1739))), "Unknown",B1739&lt;18,"Underage",B1739&lt;=24,"Young Adult",B1739&lt;=34,"Early Career",B1739&lt;=44,"Mid Career",B1739&lt;=54,"Mature",B1739&lt;=65,"Pre-Senior",B1739&gt;65,"Senior")</f>
        <v>Early Career</v>
      </c>
      <c r="E1739" s="1" t="s">
        <v>23</v>
      </c>
      <c r="F1739" s="1">
        <v>450000</v>
      </c>
      <c r="G1739" s="1">
        <v>5</v>
      </c>
      <c r="H1739" s="1" t="str" cm="1">
        <f t="array" ref="H1739">_xlfn.IFS( OR(G1739=" ",NOT(ISNUMBER(G1739))),"Unknown",G1739&lt;=33,"Low Spender",G1739&lt;=66,"Medium Spender",TRUE, "High Spender")</f>
        <v>Low Spender</v>
      </c>
      <c r="I1739" s="1">
        <v>3</v>
      </c>
      <c r="J1739" s="1">
        <v>400</v>
      </c>
      <c r="K1739" s="1">
        <v>360</v>
      </c>
      <c r="L1739" s="1" t="s">
        <v>20</v>
      </c>
      <c r="M1739" s="1" t="s">
        <v>32</v>
      </c>
      <c r="N1739" s="1" t="str">
        <f t="shared" si="54"/>
        <v>Lower</v>
      </c>
      <c r="O1739" s="1" t="str">
        <f t="shared" si="55"/>
        <v>Early Career | Low Spender | Lower</v>
      </c>
    </row>
    <row r="1740" spans="1:15" x14ac:dyDescent="0.25">
      <c r="A1740" s="1" t="s">
        <v>1770</v>
      </c>
      <c r="C1740" s="1" t="str" cm="1">
        <f t="array" ref="C1740">_xlfn.IFS(OR(B1740=" ", B1740="NA",NOT(ISNUMBER(B1740))), "Unknown",B1740&lt;18,"Underage",B1740&lt;=24,"Young Adult",B1740&lt;=34,"Early Career",B1740&lt;=44,"Mid Career",B1740&lt;=54,"Mature",B1740&lt;=65,"Pre-Senior",B1740&gt;65,"Senior")</f>
        <v>Unknown</v>
      </c>
      <c r="D1740" s="1" t="s">
        <v>12</v>
      </c>
      <c r="F1740" s="1">
        <v>1675000</v>
      </c>
      <c r="G1740" s="1">
        <v>11</v>
      </c>
      <c r="H1740" s="1" t="str" cm="1">
        <f t="array" ref="H1740">_xlfn.IFS( OR(G1740=" ",NOT(ISNUMBER(G1740))),"Unknown",G1740&lt;=33,"Low Spender",G1740&lt;=66,"Medium Spender",TRUE, "High Spender")</f>
        <v>Low Spender</v>
      </c>
      <c r="I1740" s="1">
        <v>43</v>
      </c>
      <c r="J1740" s="1">
        <v>10100</v>
      </c>
      <c r="K1740" s="1">
        <v>103</v>
      </c>
      <c r="L1740" s="1" t="s">
        <v>16</v>
      </c>
      <c r="M1740" s="1" t="s">
        <v>41</v>
      </c>
      <c r="N1740" s="1" t="str">
        <f t="shared" si="54"/>
        <v>Lower</v>
      </c>
      <c r="O1740" s="1" t="str">
        <f t="shared" si="55"/>
        <v>Unknown | Low Spender | Lower</v>
      </c>
    </row>
    <row r="1741" spans="1:15" x14ac:dyDescent="0.25">
      <c r="A1741" s="1" t="s">
        <v>1771</v>
      </c>
      <c r="B1741" s="1">
        <v>24</v>
      </c>
      <c r="C1741" s="1" t="str" cm="1">
        <f t="array" ref="C1741">_xlfn.IFS(OR(B1741=" ", B1741="NA",NOT(ISNUMBER(B1741))), "Unknown",B1741&lt;18,"Underage",B1741&lt;=24,"Young Adult",B1741&lt;=34,"Early Career",B1741&lt;=44,"Mid Career",B1741&lt;=54,"Mature",B1741&lt;=65,"Pre-Senior",B1741&gt;65,"Senior")</f>
        <v>Young Adult</v>
      </c>
      <c r="D1741" s="1" t="s">
        <v>18</v>
      </c>
      <c r="E1741" s="1" t="s">
        <v>49</v>
      </c>
      <c r="F1741" s="1">
        <v>1475000</v>
      </c>
      <c r="G1741" s="1">
        <v>25</v>
      </c>
      <c r="H1741" s="1" t="str" cm="1">
        <f t="array" ref="H1741">_xlfn.IFS( OR(G1741=" ",NOT(ISNUMBER(G1741))),"Unknown",G1741&lt;=33,"Low Spender",G1741&lt;=66,"Medium Spender",TRUE, "High Spender")</f>
        <v>Low Spender</v>
      </c>
      <c r="I1741" s="1">
        <v>29</v>
      </c>
      <c r="J1741" s="1">
        <v>1600</v>
      </c>
      <c r="K1741" s="1">
        <v>95</v>
      </c>
      <c r="M1741" s="1" t="s">
        <v>30</v>
      </c>
      <c r="N1741" s="1" t="str">
        <f t="shared" si="54"/>
        <v>Higher</v>
      </c>
      <c r="O1741" s="1" t="str">
        <f t="shared" si="55"/>
        <v>Young Adult | Low Spender | Higher</v>
      </c>
    </row>
    <row r="1742" spans="1:15" x14ac:dyDescent="0.25">
      <c r="A1742" s="1" t="s">
        <v>1772</v>
      </c>
      <c r="B1742" s="1">
        <v>26</v>
      </c>
      <c r="C1742" s="1" t="str" cm="1">
        <f t="array" ref="C1742">_xlfn.IFS(OR(B1742=" ", B1742="NA",NOT(ISNUMBER(B1742))), "Unknown",B1742&lt;18,"Underage",B1742&lt;=24,"Young Adult",B1742&lt;=34,"Early Career",B1742&lt;=44,"Mid Career",B1742&lt;=54,"Mature",B1742&lt;=65,"Pre-Senior",B1742&gt;65,"Senior")</f>
        <v>Early Career</v>
      </c>
      <c r="D1742" s="1" t="s">
        <v>12</v>
      </c>
      <c r="E1742" s="1" t="s">
        <v>23</v>
      </c>
      <c r="F1742" s="1">
        <v>500000</v>
      </c>
      <c r="G1742" s="1">
        <v>35</v>
      </c>
      <c r="H1742" s="1" t="str" cm="1">
        <f t="array" ref="H1742">_xlfn.IFS( OR(G1742=" ",NOT(ISNUMBER(G1742))),"Unknown",G1742&lt;=33,"Low Spender",G1742&lt;=66,"Medium Spender",TRUE, "High Spender")</f>
        <v>Medium Spender</v>
      </c>
      <c r="I1742" s="1">
        <v>10</v>
      </c>
      <c r="J1742" s="1">
        <v>11300</v>
      </c>
      <c r="K1742" s="1">
        <v>283</v>
      </c>
      <c r="L1742" s="1" t="s">
        <v>16</v>
      </c>
      <c r="M1742" s="1" t="s">
        <v>41</v>
      </c>
      <c r="N1742" s="1" t="str">
        <f t="shared" si="54"/>
        <v>Lower</v>
      </c>
      <c r="O1742" s="1" t="str">
        <f t="shared" si="55"/>
        <v>Early Career | Medium Spender | Lower</v>
      </c>
    </row>
    <row r="1743" spans="1:15" x14ac:dyDescent="0.25">
      <c r="A1743" s="1" t="s">
        <v>1773</v>
      </c>
      <c r="B1743" s="1">
        <v>68</v>
      </c>
      <c r="C1743" s="1" t="str" cm="1">
        <f t="array" ref="C1743">_xlfn.IFS(OR(B1743=" ", B1743="NA",NOT(ISNUMBER(B1743))), "Unknown",B1743&lt;18,"Underage",B1743&lt;=24,"Young Adult",B1743&lt;=34,"Early Career",B1743&lt;=44,"Mid Career",B1743&lt;=54,"Mature",B1743&lt;=65,"Pre-Senior",B1743&gt;65,"Senior")</f>
        <v>Senior</v>
      </c>
      <c r="D1743" s="1" t="s">
        <v>18</v>
      </c>
      <c r="E1743" s="1" t="s">
        <v>23</v>
      </c>
      <c r="F1743" s="1">
        <v>1850000</v>
      </c>
      <c r="G1743" s="1">
        <v>35</v>
      </c>
      <c r="H1743" s="1" t="str" cm="1">
        <f t="array" ref="H1743">_xlfn.IFS( OR(G1743=" ",NOT(ISNUMBER(G1743))),"Unknown",G1743&lt;=33,"Low Spender",G1743&lt;=66,"Medium Spender",TRUE, "High Spender")</f>
        <v>Medium Spender</v>
      </c>
      <c r="I1743" s="1">
        <v>12</v>
      </c>
      <c r="J1743" s="1">
        <v>11100</v>
      </c>
      <c r="K1743" s="1">
        <v>213</v>
      </c>
      <c r="L1743" s="1" t="s">
        <v>16</v>
      </c>
      <c r="M1743" s="1" t="s">
        <v>32</v>
      </c>
      <c r="N1743" s="1" t="str">
        <f t="shared" si="54"/>
        <v>Higher</v>
      </c>
      <c r="O1743" s="1" t="str">
        <f t="shared" si="55"/>
        <v>Senior | Medium Spender | Higher</v>
      </c>
    </row>
    <row r="1744" spans="1:15" x14ac:dyDescent="0.25">
      <c r="A1744" s="1" t="s">
        <v>1774</v>
      </c>
      <c r="B1744" s="1">
        <v>65</v>
      </c>
      <c r="C1744" s="1" t="str" cm="1">
        <f t="array" ref="C1744">_xlfn.IFS(OR(B1744=" ", B1744="NA",NOT(ISNUMBER(B1744))), "Unknown",B1744&lt;18,"Underage",B1744&lt;=24,"Young Adult",B1744&lt;=34,"Early Career",B1744&lt;=44,"Mid Career",B1744&lt;=54,"Mature",B1744&lt;=65,"Pre-Senior",B1744&gt;65,"Senior")</f>
        <v>Pre-Senior</v>
      </c>
      <c r="E1744" s="1" t="s">
        <v>23</v>
      </c>
      <c r="F1744" s="1">
        <v>200000</v>
      </c>
      <c r="G1744" s="1">
        <v>22</v>
      </c>
      <c r="H1744" s="1" t="str" cm="1">
        <f t="array" ref="H1744">_xlfn.IFS( OR(G1744=" ",NOT(ISNUMBER(G1744))),"Unknown",G1744&lt;=33,"Low Spender",G1744&lt;=66,"Medium Spender",TRUE, "High Spender")</f>
        <v>Low Spender</v>
      </c>
      <c r="I1744" s="1">
        <v>46</v>
      </c>
      <c r="J1744" s="1">
        <v>4300</v>
      </c>
      <c r="K1744" s="1">
        <v>37</v>
      </c>
      <c r="L1744" s="1" t="s">
        <v>37</v>
      </c>
      <c r="M1744" s="1" t="s">
        <v>41</v>
      </c>
      <c r="N1744" s="1" t="str">
        <f t="shared" si="54"/>
        <v>Lower</v>
      </c>
      <c r="O1744" s="1" t="str">
        <f t="shared" si="55"/>
        <v>Pre-Senior | Low Spender | Lower</v>
      </c>
    </row>
    <row r="1745" spans="1:15" x14ac:dyDescent="0.25">
      <c r="A1745" s="1" t="s">
        <v>1775</v>
      </c>
      <c r="B1745" s="1">
        <v>25</v>
      </c>
      <c r="C1745" s="1" t="str" cm="1">
        <f t="array" ref="C1745">_xlfn.IFS(OR(B1745=" ", B1745="NA",NOT(ISNUMBER(B1745))), "Unknown",B1745&lt;18,"Underage",B1745&lt;=24,"Young Adult",B1745&lt;=34,"Early Career",B1745&lt;=44,"Mid Career",B1745&lt;=54,"Mature",B1745&lt;=65,"Pre-Senior",B1745&gt;65,"Senior")</f>
        <v>Early Career</v>
      </c>
      <c r="D1745" s="1" t="s">
        <v>18</v>
      </c>
      <c r="E1745" s="1" t="s">
        <v>34</v>
      </c>
      <c r="F1745" s="1">
        <v>1050000</v>
      </c>
      <c r="G1745" s="1">
        <v>37</v>
      </c>
      <c r="H1745" s="1" t="str" cm="1">
        <f t="array" ref="H1745">_xlfn.IFS( OR(G1745=" ",NOT(ISNUMBER(G1745))),"Unknown",G1745&lt;=33,"Low Spender",G1745&lt;=66,"Medium Spender",TRUE, "High Spender")</f>
        <v>Medium Spender</v>
      </c>
      <c r="I1745" s="1">
        <v>30</v>
      </c>
      <c r="J1745" s="1">
        <v>400</v>
      </c>
      <c r="K1745" s="1">
        <v>61</v>
      </c>
      <c r="L1745" s="1" t="s">
        <v>20</v>
      </c>
      <c r="M1745" s="1" t="s">
        <v>21</v>
      </c>
      <c r="N1745" s="1" t="str">
        <f t="shared" si="54"/>
        <v>Higher</v>
      </c>
      <c r="O1745" s="1" t="str">
        <f t="shared" si="55"/>
        <v>Early Career | Medium Spender | Higher</v>
      </c>
    </row>
    <row r="1746" spans="1:15" x14ac:dyDescent="0.25">
      <c r="A1746" s="1" t="s">
        <v>1776</v>
      </c>
      <c r="B1746" s="1">
        <v>67</v>
      </c>
      <c r="C1746" s="1" t="str" cm="1">
        <f t="array" ref="C1746">_xlfn.IFS(OR(B1746=" ", B1746="NA",NOT(ISNUMBER(B1746))), "Unknown",B1746&lt;18,"Underage",B1746&lt;=24,"Young Adult",B1746&lt;=34,"Early Career",B1746&lt;=44,"Mid Career",B1746&lt;=54,"Mature",B1746&lt;=65,"Pre-Senior",B1746&gt;65,"Senior")</f>
        <v>Senior</v>
      </c>
      <c r="D1746" s="1" t="s">
        <v>29</v>
      </c>
      <c r="E1746" s="1" t="s">
        <v>58</v>
      </c>
      <c r="F1746" s="1">
        <v>1050000</v>
      </c>
      <c r="G1746" s="1">
        <v>86</v>
      </c>
      <c r="H1746" s="1" t="str" cm="1">
        <f t="array" ref="H1746">_xlfn.IFS( OR(G1746=" ",NOT(ISNUMBER(G1746))),"Unknown",G1746&lt;=33,"Low Spender",G1746&lt;=66,"Medium Spender",TRUE, "High Spender")</f>
        <v>High Spender</v>
      </c>
      <c r="I1746" s="1">
        <v>32</v>
      </c>
      <c r="J1746" s="1">
        <v>2100</v>
      </c>
      <c r="K1746" s="1">
        <v>291</v>
      </c>
      <c r="L1746" s="1" t="s">
        <v>20</v>
      </c>
      <c r="M1746" s="1" t="s">
        <v>32</v>
      </c>
      <c r="N1746" s="1" t="str">
        <f t="shared" si="54"/>
        <v>Higher</v>
      </c>
      <c r="O1746" s="1" t="str">
        <f t="shared" si="55"/>
        <v>Senior | High Spender | Higher</v>
      </c>
    </row>
    <row r="1747" spans="1:15" x14ac:dyDescent="0.25">
      <c r="A1747" s="1" t="s">
        <v>1777</v>
      </c>
      <c r="B1747" s="1">
        <v>40</v>
      </c>
      <c r="C1747" s="1" t="str" cm="1">
        <f t="array" ref="C1747">_xlfn.IFS(OR(B1747=" ", B1747="NA",NOT(ISNUMBER(B1747))), "Unknown",B1747&lt;18,"Underage",B1747&lt;=24,"Young Adult",B1747&lt;=34,"Early Career",B1747&lt;=44,"Mid Career",B1747&lt;=54,"Mature",B1747&lt;=65,"Pre-Senior",B1747&gt;65,"Senior")</f>
        <v>Mid Career</v>
      </c>
      <c r="D1747" s="1" t="s">
        <v>29</v>
      </c>
      <c r="E1747" s="1" t="s">
        <v>34</v>
      </c>
      <c r="F1747" s="1">
        <v>200000</v>
      </c>
      <c r="G1747" s="1">
        <v>55</v>
      </c>
      <c r="H1747" s="1" t="str" cm="1">
        <f t="array" ref="H1747">_xlfn.IFS( OR(G1747=" ",NOT(ISNUMBER(G1747))),"Unknown",G1747&lt;=33,"Low Spender",G1747&lt;=66,"Medium Spender",TRUE, "High Spender")</f>
        <v>Medium Spender</v>
      </c>
      <c r="I1747" s="1">
        <v>73</v>
      </c>
      <c r="J1747" s="1">
        <v>8200</v>
      </c>
      <c r="K1747" s="1">
        <v>362</v>
      </c>
      <c r="N1747" s="1" t="str">
        <f t="shared" si="54"/>
        <v>Higher</v>
      </c>
      <c r="O1747" s="1" t="str">
        <f t="shared" si="55"/>
        <v>Mid Career | Medium Spender | Higher</v>
      </c>
    </row>
    <row r="1748" spans="1:15" x14ac:dyDescent="0.25">
      <c r="A1748" s="1" t="s">
        <v>1778</v>
      </c>
      <c r="B1748" s="1">
        <v>46</v>
      </c>
      <c r="C1748" s="1" t="str" cm="1">
        <f t="array" ref="C1748">_xlfn.IFS(OR(B1748=" ", B1748="NA",NOT(ISNUMBER(B1748))), "Unknown",B1748&lt;18,"Underage",B1748&lt;=24,"Young Adult",B1748&lt;=34,"Early Career",B1748&lt;=44,"Mid Career",B1748&lt;=54,"Mature",B1748&lt;=65,"Pre-Senior",B1748&gt;65,"Senior")</f>
        <v>Mature</v>
      </c>
      <c r="D1748" s="1" t="s">
        <v>18</v>
      </c>
      <c r="E1748" s="1" t="s">
        <v>58</v>
      </c>
      <c r="F1748" s="1">
        <v>1700000</v>
      </c>
      <c r="G1748" s="1">
        <v>75</v>
      </c>
      <c r="H1748" s="1" t="str" cm="1">
        <f t="array" ref="H1748">_xlfn.IFS( OR(G1748=" ",NOT(ISNUMBER(G1748))),"Unknown",G1748&lt;=33,"Low Spender",G1748&lt;=66,"Medium Spender",TRUE, "High Spender")</f>
        <v>High Spender</v>
      </c>
      <c r="I1748" s="1">
        <v>47</v>
      </c>
      <c r="J1748" s="1">
        <v>10900</v>
      </c>
      <c r="K1748" s="1">
        <v>303</v>
      </c>
      <c r="L1748" s="1" t="s">
        <v>20</v>
      </c>
      <c r="M1748" s="1" t="s">
        <v>21</v>
      </c>
      <c r="N1748" s="1" t="str">
        <f t="shared" si="54"/>
        <v>Higher</v>
      </c>
      <c r="O1748" s="1" t="str">
        <f t="shared" si="55"/>
        <v>Mature | High Spender | Higher</v>
      </c>
    </row>
    <row r="1749" spans="1:15" x14ac:dyDescent="0.25">
      <c r="A1749" s="1" t="s">
        <v>1779</v>
      </c>
      <c r="B1749" s="1">
        <v>35</v>
      </c>
      <c r="C1749" s="1" t="str" cm="1">
        <f t="array" ref="C1749">_xlfn.IFS(OR(B1749=" ", B1749="NA",NOT(ISNUMBER(B1749))), "Unknown",B1749&lt;18,"Underage",B1749&lt;=24,"Young Adult",B1749&lt;=34,"Early Career",B1749&lt;=44,"Mid Career",B1749&lt;=54,"Mature",B1749&lt;=65,"Pre-Senior",B1749&gt;65,"Senior")</f>
        <v>Mid Career</v>
      </c>
      <c r="F1749" s="1">
        <v>1000000</v>
      </c>
      <c r="G1749" s="1">
        <v>96</v>
      </c>
      <c r="H1749" s="1" t="str" cm="1">
        <f t="array" ref="H1749">_xlfn.IFS( OR(G1749=" ",NOT(ISNUMBER(G1749))),"Unknown",G1749&lt;=33,"Low Spender",G1749&lt;=66,"Medium Spender",TRUE, "High Spender")</f>
        <v>High Spender</v>
      </c>
      <c r="I1749" s="1">
        <v>63</v>
      </c>
      <c r="J1749" s="1">
        <v>11000</v>
      </c>
      <c r="K1749" s="1">
        <v>244</v>
      </c>
      <c r="L1749" s="1" t="s">
        <v>20</v>
      </c>
      <c r="M1749" s="1" t="s">
        <v>41</v>
      </c>
      <c r="N1749" s="1" t="str">
        <f t="shared" si="54"/>
        <v>Lower</v>
      </c>
      <c r="O1749" s="1" t="str">
        <f t="shared" si="55"/>
        <v>Mid Career | High Spender | Lower</v>
      </c>
    </row>
    <row r="1750" spans="1:15" x14ac:dyDescent="0.25">
      <c r="A1750" s="1" t="s">
        <v>1780</v>
      </c>
      <c r="B1750" s="1">
        <v>48</v>
      </c>
      <c r="C1750" s="1" t="str" cm="1">
        <f t="array" ref="C1750">_xlfn.IFS(OR(B1750=" ", B1750="NA",NOT(ISNUMBER(B1750))), "Unknown",B1750&lt;18,"Underage",B1750&lt;=24,"Young Adult",B1750&lt;=34,"Early Career",B1750&lt;=44,"Mid Career",B1750&lt;=54,"Mature",B1750&lt;=65,"Pre-Senior",B1750&gt;65,"Senior")</f>
        <v>Mature</v>
      </c>
      <c r="D1750" s="1" t="s">
        <v>12</v>
      </c>
      <c r="E1750" s="1" t="s">
        <v>49</v>
      </c>
      <c r="F1750" s="1">
        <v>1425000</v>
      </c>
      <c r="G1750" s="1">
        <v>99</v>
      </c>
      <c r="H1750" s="1" t="str" cm="1">
        <f t="array" ref="H1750">_xlfn.IFS( OR(G1750=" ",NOT(ISNUMBER(G1750))),"Unknown",G1750&lt;=33,"Low Spender",G1750&lt;=66,"Medium Spender",TRUE, "High Spender")</f>
        <v>High Spender</v>
      </c>
      <c r="I1750" s="1">
        <v>26</v>
      </c>
      <c r="J1750" s="1">
        <v>9100</v>
      </c>
      <c r="K1750" s="1">
        <v>311</v>
      </c>
      <c r="L1750" s="1" t="s">
        <v>20</v>
      </c>
      <c r="N1750" s="1" t="str">
        <f t="shared" si="54"/>
        <v>Lower</v>
      </c>
      <c r="O1750" s="1" t="str">
        <f t="shared" si="55"/>
        <v>Mature | High Spender | Lower</v>
      </c>
    </row>
    <row r="1751" spans="1:15" x14ac:dyDescent="0.25">
      <c r="A1751" s="1" t="s">
        <v>1781</v>
      </c>
      <c r="B1751" s="1">
        <v>47</v>
      </c>
      <c r="C1751" s="1" t="str" cm="1">
        <f t="array" ref="C1751">_xlfn.IFS(OR(B1751=" ", B1751="NA",NOT(ISNUMBER(B1751))), "Unknown",B1751&lt;18,"Underage",B1751&lt;=24,"Young Adult",B1751&lt;=34,"Early Career",B1751&lt;=44,"Mid Career",B1751&lt;=54,"Mature",B1751&lt;=65,"Pre-Senior",B1751&gt;65,"Senior")</f>
        <v>Mature</v>
      </c>
      <c r="D1751" s="1" t="s">
        <v>18</v>
      </c>
      <c r="E1751" s="1" t="s">
        <v>34</v>
      </c>
      <c r="F1751" s="1">
        <v>825000</v>
      </c>
      <c r="G1751" s="1">
        <v>95</v>
      </c>
      <c r="H1751" s="1" t="str" cm="1">
        <f t="array" ref="H1751">_xlfn.IFS( OR(G1751=" ",NOT(ISNUMBER(G1751))),"Unknown",G1751&lt;=33,"Low Spender",G1751&lt;=66,"Medium Spender",TRUE, "High Spender")</f>
        <v>High Spender</v>
      </c>
      <c r="I1751" s="1">
        <v>3</v>
      </c>
      <c r="J1751" s="1">
        <v>300</v>
      </c>
      <c r="K1751" s="1">
        <v>344</v>
      </c>
      <c r="N1751" s="1" t="str">
        <f t="shared" si="54"/>
        <v>Higher</v>
      </c>
      <c r="O1751" s="1" t="str">
        <f t="shared" si="55"/>
        <v>Mature | High Spender | Higher</v>
      </c>
    </row>
    <row r="1752" spans="1:15" x14ac:dyDescent="0.25">
      <c r="A1752" s="1" t="s">
        <v>1782</v>
      </c>
      <c r="B1752" s="1">
        <v>69</v>
      </c>
      <c r="C1752" s="1" t="str" cm="1">
        <f t="array" ref="C1752">_xlfn.IFS(OR(B1752=" ", B1752="NA",NOT(ISNUMBER(B1752))), "Unknown",B1752&lt;18,"Underage",B1752&lt;=24,"Young Adult",B1752&lt;=34,"Early Career",B1752&lt;=44,"Mid Career",B1752&lt;=54,"Mature",B1752&lt;=65,"Pre-Senior",B1752&gt;65,"Senior")</f>
        <v>Senior</v>
      </c>
      <c r="D1752" s="1" t="s">
        <v>29</v>
      </c>
      <c r="E1752" s="1" t="s">
        <v>58</v>
      </c>
      <c r="F1752" s="1">
        <v>575000</v>
      </c>
      <c r="G1752" s="1">
        <v>72</v>
      </c>
      <c r="H1752" s="1" t="str" cm="1">
        <f t="array" ref="H1752">_xlfn.IFS( OR(G1752=" ",NOT(ISNUMBER(G1752))),"Unknown",G1752&lt;=33,"Low Spender",G1752&lt;=66,"Medium Spender",TRUE, "High Spender")</f>
        <v>High Spender</v>
      </c>
      <c r="I1752" s="1">
        <v>23</v>
      </c>
      <c r="J1752" s="1">
        <v>400</v>
      </c>
      <c r="K1752" s="1">
        <v>351</v>
      </c>
      <c r="L1752" s="1" t="s">
        <v>35</v>
      </c>
      <c r="M1752" s="1" t="s">
        <v>21</v>
      </c>
      <c r="N1752" s="1" t="str">
        <f t="shared" si="54"/>
        <v>Higher</v>
      </c>
      <c r="O1752" s="1" t="str">
        <f t="shared" si="55"/>
        <v>Senior | High Spender | Higher</v>
      </c>
    </row>
    <row r="1753" spans="1:15" x14ac:dyDescent="0.25">
      <c r="A1753" s="1" t="s">
        <v>1783</v>
      </c>
      <c r="B1753" s="1">
        <v>56</v>
      </c>
      <c r="C1753" s="1" t="str" cm="1">
        <f t="array" ref="C1753">_xlfn.IFS(OR(B1753=" ", B1753="NA",NOT(ISNUMBER(B1753))), "Unknown",B1753&lt;18,"Underage",B1753&lt;=24,"Young Adult",B1753&lt;=34,"Early Career",B1753&lt;=44,"Mid Career",B1753&lt;=54,"Mature",B1753&lt;=65,"Pre-Senior",B1753&gt;65,"Senior")</f>
        <v>Pre-Senior</v>
      </c>
      <c r="D1753" s="1" t="s">
        <v>18</v>
      </c>
      <c r="E1753" s="1" t="s">
        <v>34</v>
      </c>
      <c r="F1753" s="1">
        <v>1025000</v>
      </c>
      <c r="G1753" s="1">
        <v>64</v>
      </c>
      <c r="H1753" s="1" t="str" cm="1">
        <f t="array" ref="H1753">_xlfn.IFS( OR(G1753=" ",NOT(ISNUMBER(G1753))),"Unknown",G1753&lt;=33,"Low Spender",G1753&lt;=66,"Medium Spender",TRUE, "High Spender")</f>
        <v>Medium Spender</v>
      </c>
      <c r="I1753" s="1">
        <v>75</v>
      </c>
      <c r="J1753" s="1">
        <v>11400</v>
      </c>
      <c r="K1753" s="1">
        <v>6</v>
      </c>
      <c r="L1753" s="1" t="s">
        <v>20</v>
      </c>
      <c r="N1753" s="1" t="str">
        <f t="shared" si="54"/>
        <v>Higher</v>
      </c>
      <c r="O1753" s="1" t="str">
        <f t="shared" si="55"/>
        <v>Pre-Senior | Medium Spender | Higher</v>
      </c>
    </row>
    <row r="1754" spans="1:15" x14ac:dyDescent="0.25">
      <c r="A1754" s="1" t="s">
        <v>1784</v>
      </c>
      <c r="B1754" s="1">
        <v>52</v>
      </c>
      <c r="C1754" s="1" t="str" cm="1">
        <f t="array" ref="C1754">_xlfn.IFS(OR(B1754=" ", B1754="NA",NOT(ISNUMBER(B1754))), "Unknown",B1754&lt;18,"Underage",B1754&lt;=24,"Young Adult",B1754&lt;=34,"Early Career",B1754&lt;=44,"Mid Career",B1754&lt;=54,"Mature",B1754&lt;=65,"Pre-Senior",B1754&gt;65,"Senior")</f>
        <v>Mature</v>
      </c>
      <c r="E1754" s="1" t="s">
        <v>13</v>
      </c>
      <c r="F1754" s="1">
        <v>950000</v>
      </c>
      <c r="G1754" s="1">
        <v>20</v>
      </c>
      <c r="H1754" s="1" t="str" cm="1">
        <f t="array" ref="H1754">_xlfn.IFS( OR(G1754=" ",NOT(ISNUMBER(G1754))),"Unknown",G1754&lt;=33,"Low Spender",G1754&lt;=66,"Medium Spender",TRUE, "High Spender")</f>
        <v>Low Spender</v>
      </c>
      <c r="I1754" s="1">
        <v>74</v>
      </c>
      <c r="J1754" s="1">
        <v>2900</v>
      </c>
      <c r="K1754" s="1">
        <v>306</v>
      </c>
      <c r="L1754" s="1" t="s">
        <v>20</v>
      </c>
      <c r="M1754" s="1" t="s">
        <v>30</v>
      </c>
      <c r="N1754" s="1" t="str">
        <f t="shared" si="54"/>
        <v>Lower</v>
      </c>
      <c r="O1754" s="1" t="str">
        <f t="shared" si="55"/>
        <v>Mature | Low Spender | Lower</v>
      </c>
    </row>
    <row r="1755" spans="1:15" x14ac:dyDescent="0.25">
      <c r="A1755" s="1" t="s">
        <v>1785</v>
      </c>
      <c r="B1755" s="1">
        <v>35</v>
      </c>
      <c r="C1755" s="1" t="str" cm="1">
        <f t="array" ref="C1755">_xlfn.IFS(OR(B1755=" ", B1755="NA",NOT(ISNUMBER(B1755))), "Unknown",B1755&lt;18,"Underage",B1755&lt;=24,"Young Adult",B1755&lt;=34,"Early Career",B1755&lt;=44,"Mid Career",B1755&lt;=54,"Mature",B1755&lt;=65,"Pre-Senior",B1755&gt;65,"Senior")</f>
        <v>Mid Career</v>
      </c>
      <c r="D1755" s="1" t="s">
        <v>18</v>
      </c>
      <c r="E1755" s="1" t="s">
        <v>34</v>
      </c>
      <c r="F1755" s="1">
        <v>1725000</v>
      </c>
      <c r="G1755" s="1">
        <v>98</v>
      </c>
      <c r="H1755" s="1" t="str" cm="1">
        <f t="array" ref="H1755">_xlfn.IFS( OR(G1755=" ",NOT(ISNUMBER(G1755))),"Unknown",G1755&lt;=33,"Low Spender",G1755&lt;=66,"Medium Spender",TRUE, "High Spender")</f>
        <v>High Spender</v>
      </c>
      <c r="I1755" s="1">
        <v>50</v>
      </c>
      <c r="J1755" s="1">
        <v>400</v>
      </c>
      <c r="K1755" s="1">
        <v>165</v>
      </c>
      <c r="L1755" s="1" t="s">
        <v>37</v>
      </c>
      <c r="M1755" s="1" t="s">
        <v>21</v>
      </c>
      <c r="N1755" s="1" t="str">
        <f t="shared" si="54"/>
        <v>Higher</v>
      </c>
      <c r="O1755" s="1" t="str">
        <f t="shared" si="55"/>
        <v>Mid Career | High Spender | Higher</v>
      </c>
    </row>
    <row r="1756" spans="1:15" x14ac:dyDescent="0.25">
      <c r="A1756" s="1" t="s">
        <v>1786</v>
      </c>
      <c r="B1756" s="1">
        <v>59</v>
      </c>
      <c r="C1756" s="1" t="str" cm="1">
        <f t="array" ref="C1756">_xlfn.IFS(OR(B1756=" ", B1756="NA",NOT(ISNUMBER(B1756))), "Unknown",B1756&lt;18,"Underage",B1756&lt;=24,"Young Adult",B1756&lt;=34,"Early Career",B1756&lt;=44,"Mid Career",B1756&lt;=54,"Mature",B1756&lt;=65,"Pre-Senior",B1756&gt;65,"Senior")</f>
        <v>Pre-Senior</v>
      </c>
      <c r="D1756" s="1" t="s">
        <v>12</v>
      </c>
      <c r="E1756" s="1" t="s">
        <v>49</v>
      </c>
      <c r="F1756" s="1">
        <v>775000</v>
      </c>
      <c r="G1756" s="1">
        <v>4</v>
      </c>
      <c r="H1756" s="1" t="str" cm="1">
        <f t="array" ref="H1756">_xlfn.IFS( OR(G1756=" ",NOT(ISNUMBER(G1756))),"Unknown",G1756&lt;=33,"Low Spender",G1756&lt;=66,"Medium Spender",TRUE, "High Spender")</f>
        <v>Low Spender</v>
      </c>
      <c r="I1756" s="1">
        <v>36</v>
      </c>
      <c r="J1756" s="1">
        <v>9600</v>
      </c>
      <c r="K1756" s="1">
        <v>13</v>
      </c>
      <c r="L1756" s="1" t="s">
        <v>37</v>
      </c>
      <c r="N1756" s="1" t="str">
        <f t="shared" si="54"/>
        <v>Lower</v>
      </c>
      <c r="O1756" s="1" t="str">
        <f t="shared" si="55"/>
        <v>Pre-Senior | Low Spender | Lower</v>
      </c>
    </row>
    <row r="1757" spans="1:15" x14ac:dyDescent="0.25">
      <c r="A1757" s="1" t="s">
        <v>1787</v>
      </c>
      <c r="B1757" s="1">
        <v>56</v>
      </c>
      <c r="C1757" s="1" t="str" cm="1">
        <f t="array" ref="C1757">_xlfn.IFS(OR(B1757=" ", B1757="NA",NOT(ISNUMBER(B1757))), "Unknown",B1757&lt;18,"Underage",B1757&lt;=24,"Young Adult",B1757&lt;=34,"Early Career",B1757&lt;=44,"Mid Career",B1757&lt;=54,"Mature",B1757&lt;=65,"Pre-Senior",B1757&gt;65,"Senior")</f>
        <v>Pre-Senior</v>
      </c>
      <c r="D1757" s="1" t="s">
        <v>18</v>
      </c>
      <c r="E1757" s="1" t="s">
        <v>49</v>
      </c>
      <c r="F1757" s="1">
        <v>1325000</v>
      </c>
      <c r="G1757" s="1">
        <v>18</v>
      </c>
      <c r="H1757" s="1" t="str" cm="1">
        <f t="array" ref="H1757">_xlfn.IFS( OR(G1757=" ",NOT(ISNUMBER(G1757))),"Unknown",G1757&lt;=33,"Low Spender",G1757&lt;=66,"Medium Spender",TRUE, "High Spender")</f>
        <v>Low Spender</v>
      </c>
      <c r="I1757" s="1">
        <v>13</v>
      </c>
      <c r="J1757" s="1">
        <v>5300</v>
      </c>
      <c r="K1757" s="1">
        <v>25</v>
      </c>
      <c r="L1757" s="1" t="s">
        <v>20</v>
      </c>
      <c r="N1757" s="1" t="str">
        <f t="shared" si="54"/>
        <v>Higher</v>
      </c>
      <c r="O1757" s="1" t="str">
        <f t="shared" si="55"/>
        <v>Pre-Senior | Low Spender | Higher</v>
      </c>
    </row>
    <row r="1758" spans="1:15" x14ac:dyDescent="0.25">
      <c r="A1758" s="1" t="s">
        <v>1788</v>
      </c>
      <c r="B1758" s="1">
        <v>34</v>
      </c>
      <c r="C1758" s="1" t="str" cm="1">
        <f t="array" ref="C1758">_xlfn.IFS(OR(B1758=" ", B1758="NA",NOT(ISNUMBER(B1758))), "Unknown",B1758&lt;18,"Underage",B1758&lt;=24,"Young Adult",B1758&lt;=34,"Early Career",B1758&lt;=44,"Mid Career",B1758&lt;=54,"Mature",B1758&lt;=65,"Pre-Senior",B1758&gt;65,"Senior")</f>
        <v>Early Career</v>
      </c>
      <c r="E1758" s="1" t="s">
        <v>58</v>
      </c>
      <c r="F1758" s="1">
        <v>1125000</v>
      </c>
      <c r="G1758" s="1">
        <v>51</v>
      </c>
      <c r="H1758" s="1" t="str" cm="1">
        <f t="array" ref="H1758">_xlfn.IFS( OR(G1758=" ",NOT(ISNUMBER(G1758))),"Unknown",G1758&lt;=33,"Low Spender",G1758&lt;=66,"Medium Spender",TRUE, "High Spender")</f>
        <v>Medium Spender</v>
      </c>
      <c r="I1758" s="1">
        <v>29</v>
      </c>
      <c r="J1758" s="1">
        <v>1200</v>
      </c>
      <c r="K1758" s="1">
        <v>224</v>
      </c>
      <c r="L1758" s="1" t="s">
        <v>35</v>
      </c>
      <c r="M1758" s="1" t="s">
        <v>30</v>
      </c>
      <c r="N1758" s="1" t="str">
        <f t="shared" si="54"/>
        <v>Lower</v>
      </c>
      <c r="O1758" s="1" t="str">
        <f t="shared" si="55"/>
        <v>Early Career | Medium Spender | Lower</v>
      </c>
    </row>
    <row r="1759" spans="1:15" x14ac:dyDescent="0.25">
      <c r="A1759" s="1" t="s">
        <v>1789</v>
      </c>
      <c r="B1759" s="1">
        <v>31</v>
      </c>
      <c r="C1759" s="1" t="str" cm="1">
        <f t="array" ref="C1759">_xlfn.IFS(OR(B1759=" ", B1759="NA",NOT(ISNUMBER(B1759))), "Unknown",B1759&lt;18,"Underage",B1759&lt;=24,"Young Adult",B1759&lt;=34,"Early Career",B1759&lt;=44,"Mid Career",B1759&lt;=54,"Mature",B1759&lt;=65,"Pre-Senior",B1759&gt;65,"Senior")</f>
        <v>Early Career</v>
      </c>
      <c r="D1759" s="1" t="s">
        <v>29</v>
      </c>
      <c r="E1759" s="1" t="s">
        <v>58</v>
      </c>
      <c r="F1759" s="1">
        <v>550000</v>
      </c>
      <c r="G1759" s="1">
        <v>68</v>
      </c>
      <c r="H1759" s="1" t="str" cm="1">
        <f t="array" ref="H1759">_xlfn.IFS( OR(G1759=" ",NOT(ISNUMBER(G1759))),"Unknown",G1759&lt;=33,"Low Spender",G1759&lt;=66,"Medium Spender",TRUE, "High Spender")</f>
        <v>High Spender</v>
      </c>
      <c r="I1759" s="1">
        <v>38</v>
      </c>
      <c r="J1759" s="1">
        <v>2100</v>
      </c>
      <c r="K1759" s="1">
        <v>123</v>
      </c>
      <c r="L1759" s="1" t="s">
        <v>20</v>
      </c>
      <c r="N1759" s="1" t="str">
        <f t="shared" si="54"/>
        <v>Higher</v>
      </c>
      <c r="O1759" s="1" t="str">
        <f t="shared" si="55"/>
        <v>Early Career | High Spender | Higher</v>
      </c>
    </row>
    <row r="1760" spans="1:15" x14ac:dyDescent="0.25">
      <c r="A1760" s="1" t="s">
        <v>1790</v>
      </c>
      <c r="B1760" s="1">
        <v>48</v>
      </c>
      <c r="C1760" s="1" t="str" cm="1">
        <f t="array" ref="C1760">_xlfn.IFS(OR(B1760=" ", B1760="NA",NOT(ISNUMBER(B1760))), "Unknown",B1760&lt;18,"Underage",B1760&lt;=24,"Young Adult",B1760&lt;=34,"Early Career",B1760&lt;=44,"Mid Career",B1760&lt;=54,"Mature",B1760&lt;=65,"Pre-Senior",B1760&gt;65,"Senior")</f>
        <v>Mature</v>
      </c>
      <c r="D1760" s="1" t="s">
        <v>12</v>
      </c>
      <c r="F1760" s="1">
        <v>1125000</v>
      </c>
      <c r="G1760" s="1">
        <v>20</v>
      </c>
      <c r="H1760" s="1" t="str" cm="1">
        <f t="array" ref="H1760">_xlfn.IFS( OR(G1760=" ",NOT(ISNUMBER(G1760))),"Unknown",G1760&lt;=33,"Low Spender",G1760&lt;=66,"Medium Spender",TRUE, "High Spender")</f>
        <v>Low Spender</v>
      </c>
      <c r="I1760" s="1">
        <v>77</v>
      </c>
      <c r="J1760" s="1">
        <v>10800</v>
      </c>
      <c r="K1760" s="1">
        <v>129</v>
      </c>
      <c r="L1760" s="1" t="s">
        <v>20</v>
      </c>
      <c r="M1760" s="1" t="s">
        <v>41</v>
      </c>
      <c r="N1760" s="1" t="str">
        <f t="shared" si="54"/>
        <v>Lower</v>
      </c>
      <c r="O1760" s="1" t="str">
        <f t="shared" si="55"/>
        <v>Mature | Low Spender | Lower</v>
      </c>
    </row>
    <row r="1761" spans="1:15" x14ac:dyDescent="0.25">
      <c r="A1761" s="1" t="s">
        <v>1791</v>
      </c>
      <c r="B1761" s="1">
        <v>41</v>
      </c>
      <c r="C1761" s="1" t="str" cm="1">
        <f t="array" ref="C1761">_xlfn.IFS(OR(B1761=" ", B1761="NA",NOT(ISNUMBER(B1761))), "Unknown",B1761&lt;18,"Underage",B1761&lt;=24,"Young Adult",B1761&lt;=34,"Early Career",B1761&lt;=44,"Mid Career",B1761&lt;=54,"Mature",B1761&lt;=65,"Pre-Senior",B1761&gt;65,"Senior")</f>
        <v>Mid Career</v>
      </c>
      <c r="D1761" s="1" t="s">
        <v>18</v>
      </c>
      <c r="E1761" s="1" t="s">
        <v>49</v>
      </c>
      <c r="F1761" s="1">
        <v>300000</v>
      </c>
      <c r="G1761" s="1">
        <v>9</v>
      </c>
      <c r="H1761" s="1" t="str" cm="1">
        <f t="array" ref="H1761">_xlfn.IFS( OR(G1761=" ",NOT(ISNUMBER(G1761))),"Unknown",G1761&lt;=33,"Low Spender",G1761&lt;=66,"Medium Spender",TRUE, "High Spender")</f>
        <v>Low Spender</v>
      </c>
      <c r="I1761" s="1">
        <v>5</v>
      </c>
      <c r="J1761" s="1">
        <v>8200</v>
      </c>
      <c r="K1761" s="1">
        <v>305</v>
      </c>
      <c r="L1761" s="1" t="s">
        <v>20</v>
      </c>
      <c r="M1761" s="1" t="s">
        <v>32</v>
      </c>
      <c r="N1761" s="1" t="str">
        <f t="shared" si="54"/>
        <v>Higher</v>
      </c>
      <c r="O1761" s="1" t="str">
        <f t="shared" si="55"/>
        <v>Mid Career | Low Spender | Higher</v>
      </c>
    </row>
    <row r="1762" spans="1:15" x14ac:dyDescent="0.25">
      <c r="A1762" s="1" t="s">
        <v>1792</v>
      </c>
      <c r="B1762" s="1">
        <v>52</v>
      </c>
      <c r="C1762" s="1" t="str" cm="1">
        <f t="array" ref="C1762">_xlfn.IFS(OR(B1762=" ", B1762="NA",NOT(ISNUMBER(B1762))), "Unknown",B1762&lt;18,"Underage",B1762&lt;=24,"Young Adult",B1762&lt;=34,"Early Career",B1762&lt;=44,"Mid Career",B1762&lt;=54,"Mature",B1762&lt;=65,"Pre-Senior",B1762&gt;65,"Senior")</f>
        <v>Mature</v>
      </c>
      <c r="D1762" s="1" t="s">
        <v>18</v>
      </c>
      <c r="E1762" s="1" t="s">
        <v>49</v>
      </c>
      <c r="F1762" s="1">
        <v>1550000</v>
      </c>
      <c r="G1762" s="1">
        <v>80</v>
      </c>
      <c r="H1762" s="1" t="str" cm="1">
        <f t="array" ref="H1762">_xlfn.IFS( OR(G1762=" ",NOT(ISNUMBER(G1762))),"Unknown",G1762&lt;=33,"Low Spender",G1762&lt;=66,"Medium Spender",TRUE, "High Spender")</f>
        <v>High Spender</v>
      </c>
      <c r="I1762" s="1">
        <v>20</v>
      </c>
      <c r="J1762" s="1">
        <v>1500</v>
      </c>
      <c r="K1762" s="1">
        <v>122</v>
      </c>
      <c r="N1762" s="1" t="str">
        <f t="shared" si="54"/>
        <v>Higher</v>
      </c>
      <c r="O1762" s="1" t="str">
        <f t="shared" si="55"/>
        <v>Mature | High Spender | Higher</v>
      </c>
    </row>
    <row r="1763" spans="1:15" x14ac:dyDescent="0.25">
      <c r="A1763" s="1" t="s">
        <v>1793</v>
      </c>
      <c r="B1763" s="1">
        <v>61</v>
      </c>
      <c r="C1763" s="1" t="str" cm="1">
        <f t="array" ref="C1763">_xlfn.IFS(OR(B1763=" ", B1763="NA",NOT(ISNUMBER(B1763))), "Unknown",B1763&lt;18,"Underage",B1763&lt;=24,"Young Adult",B1763&lt;=34,"Early Career",B1763&lt;=44,"Mid Career",B1763&lt;=54,"Mature",B1763&lt;=65,"Pre-Senior",B1763&gt;65,"Senior")</f>
        <v>Pre-Senior</v>
      </c>
      <c r="D1763" s="1" t="s">
        <v>18</v>
      </c>
      <c r="E1763" s="1" t="s">
        <v>19</v>
      </c>
      <c r="F1763" s="1">
        <v>325000</v>
      </c>
      <c r="G1763" s="1">
        <v>26</v>
      </c>
      <c r="H1763" s="1" t="str" cm="1">
        <f t="array" ref="H1763">_xlfn.IFS( OR(G1763=" ",NOT(ISNUMBER(G1763))),"Unknown",G1763&lt;=33,"Low Spender",G1763&lt;=66,"Medium Spender",TRUE, "High Spender")</f>
        <v>Low Spender</v>
      </c>
      <c r="I1763" s="1">
        <v>78</v>
      </c>
      <c r="J1763" s="1">
        <v>5000</v>
      </c>
      <c r="K1763" s="1">
        <v>35</v>
      </c>
      <c r="L1763" s="1" t="s">
        <v>35</v>
      </c>
      <c r="M1763" s="1" t="s">
        <v>41</v>
      </c>
      <c r="N1763" s="1" t="str">
        <f t="shared" si="54"/>
        <v>Higher</v>
      </c>
      <c r="O1763" s="1" t="str">
        <f t="shared" si="55"/>
        <v>Pre-Senior | Low Spender | Higher</v>
      </c>
    </row>
    <row r="1764" spans="1:15" x14ac:dyDescent="0.25">
      <c r="A1764" s="1" t="s">
        <v>1794</v>
      </c>
      <c r="B1764" s="1">
        <v>62</v>
      </c>
      <c r="C1764" s="1" t="str" cm="1">
        <f t="array" ref="C1764">_xlfn.IFS(OR(B1764=" ", B1764="NA",NOT(ISNUMBER(B1764))), "Unknown",B1764&lt;18,"Underage",B1764&lt;=24,"Young Adult",B1764&lt;=34,"Early Career",B1764&lt;=44,"Mid Career",B1764&lt;=54,"Mature",B1764&lt;=65,"Pre-Senior",B1764&gt;65,"Senior")</f>
        <v>Pre-Senior</v>
      </c>
      <c r="D1764" s="1" t="s">
        <v>29</v>
      </c>
      <c r="E1764" s="1" t="s">
        <v>23</v>
      </c>
      <c r="F1764" s="1">
        <v>1525000</v>
      </c>
      <c r="H1764" s="1" t="str" cm="1">
        <f t="array" ref="H1764">_xlfn.IFS( OR(G1764=" ",NOT(ISNUMBER(G1764))),"Unknown",G1764&lt;=33,"Low Spender",G1764&lt;=66,"Medium Spender",TRUE, "High Spender")</f>
        <v>Unknown</v>
      </c>
      <c r="I1764" s="1">
        <v>14</v>
      </c>
      <c r="J1764" s="1">
        <v>11600</v>
      </c>
      <c r="K1764" s="1">
        <v>83</v>
      </c>
      <c r="L1764" s="1" t="s">
        <v>16</v>
      </c>
      <c r="M1764" s="1" t="s">
        <v>32</v>
      </c>
      <c r="N1764" s="1" t="str">
        <f t="shared" si="54"/>
        <v>Higher</v>
      </c>
      <c r="O1764" s="1" t="str">
        <f t="shared" si="55"/>
        <v>Pre-Senior | Unknown | Higher</v>
      </c>
    </row>
    <row r="1765" spans="1:15" x14ac:dyDescent="0.25">
      <c r="A1765" s="1" t="s">
        <v>1795</v>
      </c>
      <c r="B1765" s="1">
        <v>51</v>
      </c>
      <c r="C1765" s="1" t="str" cm="1">
        <f t="array" ref="C1765">_xlfn.IFS(OR(B1765=" ", B1765="NA",NOT(ISNUMBER(B1765))), "Unknown",B1765&lt;18,"Underage",B1765&lt;=24,"Young Adult",B1765&lt;=34,"Early Career",B1765&lt;=44,"Mid Career",B1765&lt;=54,"Mature",B1765&lt;=65,"Pre-Senior",B1765&gt;65,"Senior")</f>
        <v>Mature</v>
      </c>
      <c r="D1765" s="1" t="s">
        <v>29</v>
      </c>
      <c r="E1765" s="1" t="s">
        <v>15</v>
      </c>
      <c r="F1765" s="1">
        <v>900000</v>
      </c>
      <c r="G1765" s="1">
        <v>25</v>
      </c>
      <c r="H1765" s="1" t="str" cm="1">
        <f t="array" ref="H1765">_xlfn.IFS( OR(G1765=" ",NOT(ISNUMBER(G1765))),"Unknown",G1765&lt;=33,"Low Spender",G1765&lt;=66,"Medium Spender",TRUE, "High Spender")</f>
        <v>Low Spender</v>
      </c>
      <c r="I1765" s="1">
        <v>8</v>
      </c>
      <c r="J1765" s="1">
        <v>5800</v>
      </c>
      <c r="K1765" s="1">
        <v>309</v>
      </c>
      <c r="L1765" s="1" t="s">
        <v>20</v>
      </c>
      <c r="M1765" s="1" t="s">
        <v>32</v>
      </c>
      <c r="N1765" s="1" t="str">
        <f t="shared" si="54"/>
        <v>Higher</v>
      </c>
      <c r="O1765" s="1" t="str">
        <f t="shared" si="55"/>
        <v>Mature | Low Spender | Higher</v>
      </c>
    </row>
    <row r="1766" spans="1:15" x14ac:dyDescent="0.25">
      <c r="A1766" s="1" t="s">
        <v>1796</v>
      </c>
      <c r="B1766" s="1">
        <v>20</v>
      </c>
      <c r="C1766" s="1" t="str" cm="1">
        <f t="array" ref="C1766">_xlfn.IFS(OR(B1766=" ", B1766="NA",NOT(ISNUMBER(B1766))), "Unknown",B1766&lt;18,"Underage",B1766&lt;=24,"Young Adult",B1766&lt;=34,"Early Career",B1766&lt;=44,"Mid Career",B1766&lt;=54,"Mature",B1766&lt;=65,"Pre-Senior",B1766&gt;65,"Senior")</f>
        <v>Young Adult</v>
      </c>
      <c r="D1766" s="1" t="s">
        <v>29</v>
      </c>
      <c r="E1766" s="1" t="s">
        <v>34</v>
      </c>
      <c r="F1766" s="1">
        <v>1600000</v>
      </c>
      <c r="G1766" s="1">
        <v>68</v>
      </c>
      <c r="H1766" s="1" t="str" cm="1">
        <f t="array" ref="H1766">_xlfn.IFS( OR(G1766=" ",NOT(ISNUMBER(G1766))),"Unknown",G1766&lt;=33,"Low Spender",G1766&lt;=66,"Medium Spender",TRUE, "High Spender")</f>
        <v>High Spender</v>
      </c>
      <c r="I1766" s="1">
        <v>48</v>
      </c>
      <c r="J1766" s="1">
        <v>7400</v>
      </c>
      <c r="K1766" s="1">
        <v>182</v>
      </c>
      <c r="L1766" s="1" t="s">
        <v>16</v>
      </c>
      <c r="N1766" s="1" t="str">
        <f t="shared" si="54"/>
        <v>Higher</v>
      </c>
      <c r="O1766" s="1" t="str">
        <f t="shared" si="55"/>
        <v>Young Adult | High Spender | Higher</v>
      </c>
    </row>
    <row r="1767" spans="1:15" x14ac:dyDescent="0.25">
      <c r="A1767" s="1" t="s">
        <v>1797</v>
      </c>
      <c r="B1767" s="1">
        <v>54</v>
      </c>
      <c r="C1767" s="1" t="str" cm="1">
        <f t="array" ref="C1767">_xlfn.IFS(OR(B1767=" ", B1767="NA",NOT(ISNUMBER(B1767))), "Unknown",B1767&lt;18,"Underage",B1767&lt;=24,"Young Adult",B1767&lt;=34,"Early Career",B1767&lt;=44,"Mid Career",B1767&lt;=54,"Mature",B1767&lt;=65,"Pre-Senior",B1767&gt;65,"Senior")</f>
        <v>Mature</v>
      </c>
      <c r="D1767" s="1" t="s">
        <v>29</v>
      </c>
      <c r="E1767" s="1" t="s">
        <v>27</v>
      </c>
      <c r="F1767" s="1">
        <v>1575000</v>
      </c>
      <c r="G1767" s="1">
        <v>41</v>
      </c>
      <c r="H1767" s="1" t="str" cm="1">
        <f t="array" ref="H1767">_xlfn.IFS( OR(G1767=" ",NOT(ISNUMBER(G1767))),"Unknown",G1767&lt;=33,"Low Spender",G1767&lt;=66,"Medium Spender",TRUE, "High Spender")</f>
        <v>Medium Spender</v>
      </c>
      <c r="I1767" s="1">
        <v>13</v>
      </c>
      <c r="J1767" s="1">
        <v>5800</v>
      </c>
      <c r="K1767" s="1">
        <v>76</v>
      </c>
      <c r="L1767" s="1" t="s">
        <v>35</v>
      </c>
      <c r="M1767" s="1" t="s">
        <v>30</v>
      </c>
      <c r="N1767" s="1" t="str">
        <f t="shared" si="54"/>
        <v>Higher</v>
      </c>
      <c r="O1767" s="1" t="str">
        <f t="shared" si="55"/>
        <v>Mature | Medium Spender | Higher</v>
      </c>
    </row>
    <row r="1768" spans="1:15" x14ac:dyDescent="0.25">
      <c r="A1768" s="1" t="s">
        <v>1798</v>
      </c>
      <c r="B1768" s="1">
        <v>60</v>
      </c>
      <c r="C1768" s="1" t="str" cm="1">
        <f t="array" ref="C1768">_xlfn.IFS(OR(B1768=" ", B1768="NA",NOT(ISNUMBER(B1768))), "Unknown",B1768&lt;18,"Underage",B1768&lt;=24,"Young Adult",B1768&lt;=34,"Early Career",B1768&lt;=44,"Mid Career",B1768&lt;=54,"Mature",B1768&lt;=65,"Pre-Senior",B1768&gt;65,"Senior")</f>
        <v>Pre-Senior</v>
      </c>
      <c r="D1768" s="1" t="s">
        <v>18</v>
      </c>
      <c r="F1768" s="1">
        <v>425000</v>
      </c>
      <c r="G1768" s="1">
        <v>59</v>
      </c>
      <c r="H1768" s="1" t="str" cm="1">
        <f t="array" ref="H1768">_xlfn.IFS( OR(G1768=" ",NOT(ISNUMBER(G1768))),"Unknown",G1768&lt;=33,"Low Spender",G1768&lt;=66,"Medium Spender",TRUE, "High Spender")</f>
        <v>Medium Spender</v>
      </c>
      <c r="I1768" s="1">
        <v>24</v>
      </c>
      <c r="J1768" s="1">
        <v>5200</v>
      </c>
      <c r="K1768" s="1">
        <v>104</v>
      </c>
      <c r="L1768" s="1" t="s">
        <v>20</v>
      </c>
      <c r="M1768" s="1" t="s">
        <v>30</v>
      </c>
      <c r="N1768" s="1" t="str">
        <f t="shared" si="54"/>
        <v>Higher</v>
      </c>
      <c r="O1768" s="1" t="str">
        <f t="shared" si="55"/>
        <v>Pre-Senior | Medium Spender | Higher</v>
      </c>
    </row>
    <row r="1769" spans="1:15" x14ac:dyDescent="0.25">
      <c r="A1769" s="1" t="s">
        <v>1799</v>
      </c>
      <c r="B1769" s="1">
        <v>57</v>
      </c>
      <c r="C1769" s="1" t="str" cm="1">
        <f t="array" ref="C1769">_xlfn.IFS(OR(B1769=" ", B1769="NA",NOT(ISNUMBER(B1769))), "Unknown",B1769&lt;18,"Underage",B1769&lt;=24,"Young Adult",B1769&lt;=34,"Early Career",B1769&lt;=44,"Mid Career",B1769&lt;=54,"Mature",B1769&lt;=65,"Pre-Senior",B1769&gt;65,"Senior")</f>
        <v>Pre-Senior</v>
      </c>
      <c r="E1769" s="1" t="s">
        <v>23</v>
      </c>
      <c r="F1769" s="1">
        <v>1325000</v>
      </c>
      <c r="G1769" s="1">
        <v>45</v>
      </c>
      <c r="H1769" s="1" t="str" cm="1">
        <f t="array" ref="H1769">_xlfn.IFS( OR(G1769=" ",NOT(ISNUMBER(G1769))),"Unknown",G1769&lt;=33,"Low Spender",G1769&lt;=66,"Medium Spender",TRUE, "High Spender")</f>
        <v>Medium Spender</v>
      </c>
      <c r="I1769" s="1">
        <v>79</v>
      </c>
      <c r="J1769" s="1">
        <v>9700</v>
      </c>
      <c r="K1769" s="1">
        <v>232</v>
      </c>
      <c r="L1769" s="1" t="s">
        <v>16</v>
      </c>
      <c r="M1769" s="1" t="s">
        <v>21</v>
      </c>
      <c r="N1769" s="1" t="str">
        <f t="shared" si="54"/>
        <v>Lower</v>
      </c>
      <c r="O1769" s="1" t="str">
        <f t="shared" si="55"/>
        <v>Pre-Senior | Medium Spender | Lower</v>
      </c>
    </row>
    <row r="1770" spans="1:15" x14ac:dyDescent="0.25">
      <c r="A1770" s="1" t="s">
        <v>1800</v>
      </c>
      <c r="B1770" s="1">
        <v>43</v>
      </c>
      <c r="C1770" s="1" t="str" cm="1">
        <f t="array" ref="C1770">_xlfn.IFS(OR(B1770=" ", B1770="NA",NOT(ISNUMBER(B1770))), "Unknown",B1770&lt;18,"Underage",B1770&lt;=24,"Young Adult",B1770&lt;=34,"Early Career",B1770&lt;=44,"Mid Career",B1770&lt;=54,"Mature",B1770&lt;=65,"Pre-Senior",B1770&gt;65,"Senior")</f>
        <v>Mid Career</v>
      </c>
      <c r="D1770" s="1" t="s">
        <v>29</v>
      </c>
      <c r="E1770" s="1" t="s">
        <v>15</v>
      </c>
      <c r="F1770" s="1">
        <v>900000</v>
      </c>
      <c r="G1770" s="1">
        <v>41</v>
      </c>
      <c r="H1770" s="1" t="str" cm="1">
        <f t="array" ref="H1770">_xlfn.IFS( OR(G1770=" ",NOT(ISNUMBER(G1770))),"Unknown",G1770&lt;=33,"Low Spender",G1770&lt;=66,"Medium Spender",TRUE, "High Spender")</f>
        <v>Medium Spender</v>
      </c>
      <c r="I1770" s="1">
        <v>65</v>
      </c>
      <c r="J1770" s="1">
        <v>4700</v>
      </c>
      <c r="K1770" s="1">
        <v>303</v>
      </c>
      <c r="M1770" s="1" t="s">
        <v>41</v>
      </c>
      <c r="N1770" s="1" t="str">
        <f t="shared" si="54"/>
        <v>Higher</v>
      </c>
      <c r="O1770" s="1" t="str">
        <f t="shared" si="55"/>
        <v>Mid Career | Medium Spender | Higher</v>
      </c>
    </row>
    <row r="1771" spans="1:15" x14ac:dyDescent="0.25">
      <c r="A1771" s="1" t="s">
        <v>1801</v>
      </c>
      <c r="B1771" s="1" t="s">
        <v>73</v>
      </c>
      <c r="C1771" s="1" t="str" cm="1">
        <f t="array" ref="C1771">_xlfn.IFS(OR(B1771=" ", B1771="NA",NOT(ISNUMBER(B1771))), "Unknown",B1771&lt;18,"Underage",B1771&lt;=24,"Young Adult",B1771&lt;=34,"Early Career",B1771&lt;=44,"Mid Career",B1771&lt;=54,"Mature",B1771&lt;=65,"Pre-Senior",B1771&gt;65,"Senior")</f>
        <v>Unknown</v>
      </c>
      <c r="D1771" s="1" t="s">
        <v>29</v>
      </c>
      <c r="E1771" s="1" t="s">
        <v>19</v>
      </c>
      <c r="F1771" s="1">
        <v>1700000</v>
      </c>
      <c r="G1771" s="1">
        <v>38</v>
      </c>
      <c r="H1771" s="1" t="str" cm="1">
        <f t="array" ref="H1771">_xlfn.IFS( OR(G1771=" ",NOT(ISNUMBER(G1771))),"Unknown",G1771&lt;=33,"Low Spender",G1771&lt;=66,"Medium Spender",TRUE, "High Spender")</f>
        <v>Medium Spender</v>
      </c>
      <c r="I1771" s="1">
        <v>34</v>
      </c>
      <c r="J1771" s="1">
        <v>9100</v>
      </c>
      <c r="K1771" s="1">
        <v>43</v>
      </c>
      <c r="L1771" s="1" t="s">
        <v>16</v>
      </c>
      <c r="N1771" s="1" t="str">
        <f t="shared" si="54"/>
        <v>Higher</v>
      </c>
      <c r="O1771" s="1" t="str">
        <f t="shared" si="55"/>
        <v>Unknown | Medium Spender | Higher</v>
      </c>
    </row>
    <row r="1772" spans="1:15" x14ac:dyDescent="0.25">
      <c r="A1772" s="1" t="s">
        <v>1802</v>
      </c>
      <c r="B1772" s="1">
        <v>40</v>
      </c>
      <c r="C1772" s="1" t="str" cm="1">
        <f t="array" ref="C1772">_xlfn.IFS(OR(B1772=" ", B1772="NA",NOT(ISNUMBER(B1772))), "Unknown",B1772&lt;18,"Underage",B1772&lt;=24,"Young Adult",B1772&lt;=34,"Early Career",B1772&lt;=44,"Mid Career",B1772&lt;=54,"Mature",B1772&lt;=65,"Pre-Senior",B1772&gt;65,"Senior")</f>
        <v>Mid Career</v>
      </c>
      <c r="D1772" s="1" t="s">
        <v>18</v>
      </c>
      <c r="E1772" s="1" t="s">
        <v>27</v>
      </c>
      <c r="F1772" s="1">
        <v>1975000</v>
      </c>
      <c r="G1772" s="1">
        <v>19</v>
      </c>
      <c r="H1772" s="1" t="str" cm="1">
        <f t="array" ref="H1772">_xlfn.IFS( OR(G1772=" ",NOT(ISNUMBER(G1772))),"Unknown",G1772&lt;=33,"Low Spender",G1772&lt;=66,"Medium Spender",TRUE, "High Spender")</f>
        <v>Low Spender</v>
      </c>
      <c r="I1772" s="1">
        <v>51</v>
      </c>
      <c r="J1772" s="1">
        <v>6100</v>
      </c>
      <c r="K1772" s="1">
        <v>93</v>
      </c>
      <c r="L1772" s="1" t="s">
        <v>35</v>
      </c>
      <c r="N1772" s="1" t="str">
        <f t="shared" si="54"/>
        <v>Higher</v>
      </c>
      <c r="O1772" s="1" t="str">
        <f t="shared" si="55"/>
        <v>Mid Career | Low Spender | Higher</v>
      </c>
    </row>
    <row r="1773" spans="1:15" x14ac:dyDescent="0.25">
      <c r="A1773" s="1" t="s">
        <v>1803</v>
      </c>
      <c r="B1773" s="1">
        <v>61</v>
      </c>
      <c r="C1773" s="1" t="str" cm="1">
        <f t="array" ref="C1773">_xlfn.IFS(OR(B1773=" ", B1773="NA",NOT(ISNUMBER(B1773))), "Unknown",B1773&lt;18,"Underage",B1773&lt;=24,"Young Adult",B1773&lt;=34,"Early Career",B1773&lt;=44,"Mid Career",B1773&lt;=54,"Mature",B1773&lt;=65,"Pre-Senior",B1773&gt;65,"Senior")</f>
        <v>Pre-Senior</v>
      </c>
      <c r="D1773" s="1" t="s">
        <v>18</v>
      </c>
      <c r="E1773" s="1" t="s">
        <v>58</v>
      </c>
      <c r="F1773" s="1">
        <v>1100000</v>
      </c>
      <c r="G1773" s="1">
        <v>14</v>
      </c>
      <c r="H1773" s="1" t="str" cm="1">
        <f t="array" ref="H1773">_xlfn.IFS( OR(G1773=" ",NOT(ISNUMBER(G1773))),"Unknown",G1773&lt;=33,"Low Spender",G1773&lt;=66,"Medium Spender",TRUE, "High Spender")</f>
        <v>Low Spender</v>
      </c>
      <c r="I1773" s="1">
        <v>3</v>
      </c>
      <c r="J1773" s="1">
        <v>4100</v>
      </c>
      <c r="K1773" s="1">
        <v>144</v>
      </c>
      <c r="L1773" s="1" t="s">
        <v>20</v>
      </c>
      <c r="M1773" s="1" t="s">
        <v>41</v>
      </c>
      <c r="N1773" s="1" t="str">
        <f t="shared" si="54"/>
        <v>Higher</v>
      </c>
      <c r="O1773" s="1" t="str">
        <f t="shared" si="55"/>
        <v>Pre-Senior | Low Spender | Higher</v>
      </c>
    </row>
    <row r="1774" spans="1:15" x14ac:dyDescent="0.25">
      <c r="A1774" s="1" t="s">
        <v>1804</v>
      </c>
      <c r="B1774" s="1">
        <v>56</v>
      </c>
      <c r="C1774" s="1" t="str" cm="1">
        <f t="array" ref="C1774">_xlfn.IFS(OR(B1774=" ", B1774="NA",NOT(ISNUMBER(B1774))), "Unknown",B1774&lt;18,"Underage",B1774&lt;=24,"Young Adult",B1774&lt;=34,"Early Career",B1774&lt;=44,"Mid Career",B1774&lt;=54,"Mature",B1774&lt;=65,"Pre-Senior",B1774&gt;65,"Senior")</f>
        <v>Pre-Senior</v>
      </c>
      <c r="D1774" s="1" t="s">
        <v>29</v>
      </c>
      <c r="E1774" s="1" t="s">
        <v>49</v>
      </c>
      <c r="G1774" s="1">
        <v>21</v>
      </c>
      <c r="H1774" s="1" t="str" cm="1">
        <f t="array" ref="H1774">_xlfn.IFS( OR(G1774=" ",NOT(ISNUMBER(G1774))),"Unknown",G1774&lt;=33,"Low Spender",G1774&lt;=66,"Medium Spender",TRUE, "High Spender")</f>
        <v>Low Spender</v>
      </c>
      <c r="I1774" s="1">
        <v>78</v>
      </c>
      <c r="J1774" s="1">
        <v>2300</v>
      </c>
      <c r="K1774" s="1">
        <v>254</v>
      </c>
      <c r="N1774" s="1" t="str">
        <f t="shared" si="54"/>
        <v>Higher</v>
      </c>
      <c r="O1774" s="1" t="str">
        <f t="shared" si="55"/>
        <v>Pre-Senior | Low Spender | Higher</v>
      </c>
    </row>
    <row r="1775" spans="1:15" x14ac:dyDescent="0.25">
      <c r="A1775" s="1" t="s">
        <v>1805</v>
      </c>
      <c r="B1775" s="1">
        <v>32</v>
      </c>
      <c r="C1775" s="1" t="str" cm="1">
        <f t="array" ref="C1775">_xlfn.IFS(OR(B1775=" ", B1775="NA",NOT(ISNUMBER(B1775))), "Unknown",B1775&lt;18,"Underage",B1775&lt;=24,"Young Adult",B1775&lt;=34,"Early Career",B1775&lt;=44,"Mid Career",B1775&lt;=54,"Mature",B1775&lt;=65,"Pre-Senior",B1775&gt;65,"Senior")</f>
        <v>Early Career</v>
      </c>
      <c r="D1775" s="1" t="s">
        <v>29</v>
      </c>
      <c r="E1775" s="1" t="s">
        <v>13</v>
      </c>
      <c r="F1775" s="1">
        <v>625000</v>
      </c>
      <c r="G1775" s="1">
        <v>15</v>
      </c>
      <c r="H1775" s="1" t="str" cm="1">
        <f t="array" ref="H1775">_xlfn.IFS( OR(G1775=" ",NOT(ISNUMBER(G1775))),"Unknown",G1775&lt;=33,"Low Spender",G1775&lt;=66,"Medium Spender",TRUE, "High Spender")</f>
        <v>Low Spender</v>
      </c>
      <c r="I1775" s="1">
        <v>58</v>
      </c>
      <c r="J1775" s="1">
        <v>5700</v>
      </c>
      <c r="K1775" s="1">
        <v>78</v>
      </c>
      <c r="L1775" s="1" t="s">
        <v>35</v>
      </c>
      <c r="N1775" s="1" t="str">
        <f t="shared" si="54"/>
        <v>Higher</v>
      </c>
      <c r="O1775" s="1" t="str">
        <f t="shared" si="55"/>
        <v>Early Career | Low Spender | Higher</v>
      </c>
    </row>
    <row r="1776" spans="1:15" x14ac:dyDescent="0.25">
      <c r="A1776" s="1" t="s">
        <v>1806</v>
      </c>
      <c r="B1776" s="1">
        <v>66</v>
      </c>
      <c r="C1776" s="1" t="str" cm="1">
        <f t="array" ref="C1776">_xlfn.IFS(OR(B1776=" ", B1776="NA",NOT(ISNUMBER(B1776))), "Unknown",B1776&lt;18,"Underage",B1776&lt;=24,"Young Adult",B1776&lt;=34,"Early Career",B1776&lt;=44,"Mid Career",B1776&lt;=54,"Mature",B1776&lt;=65,"Pre-Senior",B1776&gt;65,"Senior")</f>
        <v>Senior</v>
      </c>
      <c r="D1776" s="1" t="s">
        <v>18</v>
      </c>
      <c r="F1776" s="1">
        <v>1325000</v>
      </c>
      <c r="G1776" s="1">
        <v>3</v>
      </c>
      <c r="H1776" s="1" t="str" cm="1">
        <f t="array" ref="H1776">_xlfn.IFS( OR(G1776=" ",NOT(ISNUMBER(G1776))),"Unknown",G1776&lt;=33,"Low Spender",G1776&lt;=66,"Medium Spender",TRUE, "High Spender")</f>
        <v>Low Spender</v>
      </c>
      <c r="I1776" s="1">
        <v>72</v>
      </c>
      <c r="J1776" s="1">
        <v>5900</v>
      </c>
      <c r="K1776" s="1">
        <v>263</v>
      </c>
      <c r="N1776" s="1" t="str">
        <f t="shared" si="54"/>
        <v>Higher</v>
      </c>
      <c r="O1776" s="1" t="str">
        <f t="shared" si="55"/>
        <v>Senior | Low Spender | Higher</v>
      </c>
    </row>
    <row r="1777" spans="1:15" x14ac:dyDescent="0.25">
      <c r="A1777" s="1" t="s">
        <v>1807</v>
      </c>
      <c r="B1777" s="1">
        <v>21</v>
      </c>
      <c r="C1777" s="1" t="str" cm="1">
        <f t="array" ref="C1777">_xlfn.IFS(OR(B1777=" ", B1777="NA",NOT(ISNUMBER(B1777))), "Unknown",B1777&lt;18,"Underage",B1777&lt;=24,"Young Adult",B1777&lt;=34,"Early Career",B1777&lt;=44,"Mid Career",B1777&lt;=54,"Mature",B1777&lt;=65,"Pre-Senior",B1777&gt;65,"Senior")</f>
        <v>Young Adult</v>
      </c>
      <c r="D1777" s="1" t="s">
        <v>18</v>
      </c>
      <c r="F1777" s="1">
        <v>1900000</v>
      </c>
      <c r="G1777" s="1">
        <v>37</v>
      </c>
      <c r="H1777" s="1" t="str" cm="1">
        <f t="array" ref="H1777">_xlfn.IFS( OR(G1777=" ",NOT(ISNUMBER(G1777))),"Unknown",G1777&lt;=33,"Low Spender",G1777&lt;=66,"Medium Spender",TRUE, "High Spender")</f>
        <v>Medium Spender</v>
      </c>
      <c r="I1777" s="1">
        <v>55</v>
      </c>
      <c r="J1777" s="1">
        <v>11600</v>
      </c>
      <c r="K1777" s="1">
        <v>70</v>
      </c>
      <c r="L1777" s="1" t="s">
        <v>20</v>
      </c>
      <c r="M1777" s="1" t="s">
        <v>21</v>
      </c>
      <c r="N1777" s="1" t="str">
        <f t="shared" si="54"/>
        <v>Higher</v>
      </c>
      <c r="O1777" s="1" t="str">
        <f t="shared" si="55"/>
        <v>Young Adult | Medium Spender | Higher</v>
      </c>
    </row>
    <row r="1778" spans="1:15" x14ac:dyDescent="0.25">
      <c r="A1778" s="1" t="s">
        <v>1808</v>
      </c>
      <c r="B1778" s="1">
        <v>46</v>
      </c>
      <c r="C1778" s="1" t="str" cm="1">
        <f t="array" ref="C1778">_xlfn.IFS(OR(B1778=" ", B1778="NA",NOT(ISNUMBER(B1778))), "Unknown",B1778&lt;18,"Underage",B1778&lt;=24,"Young Adult",B1778&lt;=34,"Early Career",B1778&lt;=44,"Mid Career",B1778&lt;=54,"Mature",B1778&lt;=65,"Pre-Senior",B1778&gt;65,"Senior")</f>
        <v>Mature</v>
      </c>
      <c r="D1778" s="1" t="s">
        <v>18</v>
      </c>
      <c r="E1778" s="1" t="s">
        <v>49</v>
      </c>
      <c r="F1778" s="1">
        <v>1475000</v>
      </c>
      <c r="G1778" s="1">
        <v>46</v>
      </c>
      <c r="H1778" s="1" t="str" cm="1">
        <f t="array" ref="H1778">_xlfn.IFS( OR(G1778=" ",NOT(ISNUMBER(G1778))),"Unknown",G1778&lt;=33,"Low Spender",G1778&lt;=66,"Medium Spender",TRUE, "High Spender")</f>
        <v>Medium Spender</v>
      </c>
      <c r="J1778" s="1">
        <v>10400</v>
      </c>
      <c r="K1778" s="1">
        <v>149</v>
      </c>
      <c r="L1778" s="1" t="s">
        <v>16</v>
      </c>
      <c r="M1778" s="1" t="s">
        <v>21</v>
      </c>
      <c r="N1778" s="1" t="str">
        <f t="shared" si="54"/>
        <v>Higher</v>
      </c>
      <c r="O1778" s="1" t="str">
        <f t="shared" si="55"/>
        <v>Mature | Medium Spender | Higher</v>
      </c>
    </row>
    <row r="1779" spans="1:15" x14ac:dyDescent="0.25">
      <c r="A1779" s="1" t="s">
        <v>1809</v>
      </c>
      <c r="B1779" s="1">
        <v>39</v>
      </c>
      <c r="C1779" s="1" t="str" cm="1">
        <f t="array" ref="C1779">_xlfn.IFS(OR(B1779=" ", B1779="NA",NOT(ISNUMBER(B1779))), "Unknown",B1779&lt;18,"Underage",B1779&lt;=24,"Young Adult",B1779&lt;=34,"Early Career",B1779&lt;=44,"Mid Career",B1779&lt;=54,"Mature",B1779&lt;=65,"Pre-Senior",B1779&gt;65,"Senior")</f>
        <v>Mid Career</v>
      </c>
      <c r="E1779" s="1" t="s">
        <v>13</v>
      </c>
      <c r="G1779" s="1">
        <v>16</v>
      </c>
      <c r="H1779" s="1" t="str" cm="1">
        <f t="array" ref="H1779">_xlfn.IFS( OR(G1779=" ",NOT(ISNUMBER(G1779))),"Unknown",G1779&lt;=33,"Low Spender",G1779&lt;=66,"Medium Spender",TRUE, "High Spender")</f>
        <v>Low Spender</v>
      </c>
      <c r="I1779" s="1">
        <v>42</v>
      </c>
      <c r="J1779" s="1">
        <v>4300</v>
      </c>
      <c r="K1779" s="1">
        <v>292</v>
      </c>
      <c r="N1779" s="1" t="str">
        <f t="shared" si="54"/>
        <v>Lower</v>
      </c>
      <c r="O1779" s="1" t="str">
        <f t="shared" si="55"/>
        <v>Mid Career | Low Spender | Lower</v>
      </c>
    </row>
    <row r="1780" spans="1:15" x14ac:dyDescent="0.25">
      <c r="A1780" s="1" t="s">
        <v>1810</v>
      </c>
      <c r="B1780" s="1">
        <v>42</v>
      </c>
      <c r="C1780" s="1" t="str" cm="1">
        <f t="array" ref="C1780">_xlfn.IFS(OR(B1780=" ", B1780="NA",NOT(ISNUMBER(B1780))), "Unknown",B1780&lt;18,"Underage",B1780&lt;=24,"Young Adult",B1780&lt;=34,"Early Career",B1780&lt;=44,"Mid Career",B1780&lt;=54,"Mature",B1780&lt;=65,"Pre-Senior",B1780&gt;65,"Senior")</f>
        <v>Mid Career</v>
      </c>
      <c r="E1780" s="1" t="s">
        <v>15</v>
      </c>
      <c r="F1780" s="1">
        <v>1900000</v>
      </c>
      <c r="G1780" s="1">
        <v>14</v>
      </c>
      <c r="H1780" s="1" t="str" cm="1">
        <f t="array" ref="H1780">_xlfn.IFS( OR(G1780=" ",NOT(ISNUMBER(G1780))),"Unknown",G1780&lt;=33,"Low Spender",G1780&lt;=66,"Medium Spender",TRUE, "High Spender")</f>
        <v>Low Spender</v>
      </c>
      <c r="I1780" s="1">
        <v>21</v>
      </c>
      <c r="J1780" s="1">
        <v>9500</v>
      </c>
      <c r="K1780" s="1">
        <v>214</v>
      </c>
      <c r="M1780" s="1" t="s">
        <v>21</v>
      </c>
      <c r="N1780" s="1" t="str">
        <f t="shared" si="54"/>
        <v>Lower</v>
      </c>
      <c r="O1780" s="1" t="str">
        <f t="shared" si="55"/>
        <v>Mid Career | Low Spender | Lower</v>
      </c>
    </row>
    <row r="1781" spans="1:15" x14ac:dyDescent="0.25">
      <c r="A1781" s="1" t="s">
        <v>1811</v>
      </c>
      <c r="B1781" s="1">
        <v>30</v>
      </c>
      <c r="C1781" s="1" t="str" cm="1">
        <f t="array" ref="C1781">_xlfn.IFS(OR(B1781=" ", B1781="NA",NOT(ISNUMBER(B1781))), "Unknown",B1781&lt;18,"Underage",B1781&lt;=24,"Young Adult",B1781&lt;=34,"Early Career",B1781&lt;=44,"Mid Career",B1781&lt;=54,"Mature",B1781&lt;=65,"Pre-Senior",B1781&gt;65,"Senior")</f>
        <v>Early Career</v>
      </c>
      <c r="D1781" s="1" t="s">
        <v>18</v>
      </c>
      <c r="E1781" s="1" t="s">
        <v>58</v>
      </c>
      <c r="F1781" s="1">
        <v>850000</v>
      </c>
      <c r="G1781" s="1">
        <v>9</v>
      </c>
      <c r="H1781" s="1" t="str" cm="1">
        <f t="array" ref="H1781">_xlfn.IFS( OR(G1781=" ",NOT(ISNUMBER(G1781))),"Unknown",G1781&lt;=33,"Low Spender",G1781&lt;=66,"Medium Spender",TRUE, "High Spender")</f>
        <v>Low Spender</v>
      </c>
      <c r="I1781" s="1">
        <v>10</v>
      </c>
      <c r="J1781" s="1">
        <v>7200</v>
      </c>
      <c r="K1781" s="1">
        <v>360</v>
      </c>
      <c r="L1781" s="1" t="s">
        <v>35</v>
      </c>
      <c r="N1781" s="1" t="str">
        <f t="shared" si="54"/>
        <v>Higher</v>
      </c>
      <c r="O1781" s="1" t="str">
        <f t="shared" si="55"/>
        <v>Early Career | Low Spender | Higher</v>
      </c>
    </row>
    <row r="1782" spans="1:15" x14ac:dyDescent="0.25">
      <c r="A1782" s="1" t="s">
        <v>1812</v>
      </c>
      <c r="B1782" s="1">
        <v>35</v>
      </c>
      <c r="C1782" s="1" t="str" cm="1">
        <f t="array" ref="C1782">_xlfn.IFS(OR(B1782=" ", B1782="NA",NOT(ISNUMBER(B1782))), "Unknown",B1782&lt;18,"Underage",B1782&lt;=24,"Young Adult",B1782&lt;=34,"Early Career",B1782&lt;=44,"Mid Career",B1782&lt;=54,"Mature",B1782&lt;=65,"Pre-Senior",B1782&gt;65,"Senior")</f>
        <v>Mid Career</v>
      </c>
      <c r="D1782" s="1" t="s">
        <v>29</v>
      </c>
      <c r="E1782" s="1" t="s">
        <v>27</v>
      </c>
      <c r="F1782" s="1">
        <v>1975000</v>
      </c>
      <c r="G1782" s="1">
        <v>7</v>
      </c>
      <c r="H1782" s="1" t="str" cm="1">
        <f t="array" ref="H1782">_xlfn.IFS( OR(G1782=" ",NOT(ISNUMBER(G1782))),"Unknown",G1782&lt;=33,"Low Spender",G1782&lt;=66,"Medium Spender",TRUE, "High Spender")</f>
        <v>Low Spender</v>
      </c>
      <c r="I1782" s="1">
        <v>57</v>
      </c>
      <c r="J1782" s="1">
        <v>8400</v>
      </c>
      <c r="K1782" s="1">
        <v>310</v>
      </c>
      <c r="L1782" s="1" t="s">
        <v>35</v>
      </c>
      <c r="M1782" s="1" t="s">
        <v>21</v>
      </c>
      <c r="N1782" s="1" t="str">
        <f t="shared" si="54"/>
        <v>Higher</v>
      </c>
      <c r="O1782" s="1" t="str">
        <f t="shared" si="55"/>
        <v>Mid Career | Low Spender | Higher</v>
      </c>
    </row>
    <row r="1783" spans="1:15" x14ac:dyDescent="0.25">
      <c r="A1783" s="1" t="s">
        <v>1813</v>
      </c>
      <c r="B1783" s="1">
        <v>50</v>
      </c>
      <c r="C1783" s="1" t="str" cm="1">
        <f t="array" ref="C1783">_xlfn.IFS(OR(B1783=" ", B1783="NA",NOT(ISNUMBER(B1783))), "Unknown",B1783&lt;18,"Underage",B1783&lt;=24,"Young Adult",B1783&lt;=34,"Early Career",B1783&lt;=44,"Mid Career",B1783&lt;=54,"Mature",B1783&lt;=65,"Pre-Senior",B1783&gt;65,"Senior")</f>
        <v>Mature</v>
      </c>
      <c r="E1783" s="1" t="s">
        <v>15</v>
      </c>
      <c r="F1783" s="1">
        <v>1950000</v>
      </c>
      <c r="G1783" s="1">
        <v>14</v>
      </c>
      <c r="H1783" s="1" t="str" cm="1">
        <f t="array" ref="H1783">_xlfn.IFS( OR(G1783=" ",NOT(ISNUMBER(G1783))),"Unknown",G1783&lt;=33,"Low Spender",G1783&lt;=66,"Medium Spender",TRUE, "High Spender")</f>
        <v>Low Spender</v>
      </c>
      <c r="I1783" s="1">
        <v>25</v>
      </c>
      <c r="J1783" s="1">
        <v>5100</v>
      </c>
      <c r="K1783" s="1">
        <v>147</v>
      </c>
      <c r="L1783" s="1" t="s">
        <v>35</v>
      </c>
      <c r="M1783" s="1" t="s">
        <v>30</v>
      </c>
      <c r="N1783" s="1" t="str">
        <f t="shared" si="54"/>
        <v>Lower</v>
      </c>
      <c r="O1783" s="1" t="str">
        <f t="shared" si="55"/>
        <v>Mature | Low Spender | Lower</v>
      </c>
    </row>
    <row r="1784" spans="1:15" x14ac:dyDescent="0.25">
      <c r="A1784" s="1" t="s">
        <v>1814</v>
      </c>
      <c r="B1784" s="1">
        <v>33</v>
      </c>
      <c r="C1784" s="1" t="str" cm="1">
        <f t="array" ref="C1784">_xlfn.IFS(OR(B1784=" ", B1784="NA",NOT(ISNUMBER(B1784))), "Unknown",B1784&lt;18,"Underage",B1784&lt;=24,"Young Adult",B1784&lt;=34,"Early Career",B1784&lt;=44,"Mid Career",B1784&lt;=54,"Mature",B1784&lt;=65,"Pre-Senior",B1784&gt;65,"Senior")</f>
        <v>Early Career</v>
      </c>
      <c r="E1784" s="1" t="s">
        <v>49</v>
      </c>
      <c r="F1784" s="1">
        <v>1325000</v>
      </c>
      <c r="G1784" s="1">
        <v>6</v>
      </c>
      <c r="H1784" s="1" t="str" cm="1">
        <f t="array" ref="H1784">_xlfn.IFS( OR(G1784=" ",NOT(ISNUMBER(G1784))),"Unknown",G1784&lt;=33,"Low Spender",G1784&lt;=66,"Medium Spender",TRUE, "High Spender")</f>
        <v>Low Spender</v>
      </c>
      <c r="I1784" s="1">
        <v>56</v>
      </c>
      <c r="J1784" s="1">
        <v>4600</v>
      </c>
      <c r="K1784" s="1">
        <v>25</v>
      </c>
      <c r="L1784" s="1" t="s">
        <v>37</v>
      </c>
      <c r="N1784" s="1" t="str">
        <f t="shared" si="54"/>
        <v>Lower</v>
      </c>
      <c r="O1784" s="1" t="str">
        <f t="shared" si="55"/>
        <v>Early Career | Low Spender | Lower</v>
      </c>
    </row>
    <row r="1785" spans="1:15" x14ac:dyDescent="0.25">
      <c r="A1785" s="1" t="s">
        <v>1815</v>
      </c>
      <c r="B1785" s="1">
        <v>62</v>
      </c>
      <c r="C1785" s="1" t="str" cm="1">
        <f t="array" ref="C1785">_xlfn.IFS(OR(B1785=" ", B1785="NA",NOT(ISNUMBER(B1785))), "Unknown",B1785&lt;18,"Underage",B1785&lt;=24,"Young Adult",B1785&lt;=34,"Early Career",B1785&lt;=44,"Mid Career",B1785&lt;=54,"Mature",B1785&lt;=65,"Pre-Senior",B1785&gt;65,"Senior")</f>
        <v>Pre-Senior</v>
      </c>
      <c r="D1785" s="1" t="s">
        <v>29</v>
      </c>
      <c r="E1785" s="1" t="s">
        <v>49</v>
      </c>
      <c r="F1785" s="1">
        <v>1975000</v>
      </c>
      <c r="G1785" s="1">
        <v>85</v>
      </c>
      <c r="H1785" s="1" t="str" cm="1">
        <f t="array" ref="H1785">_xlfn.IFS( OR(G1785=" ",NOT(ISNUMBER(G1785))),"Unknown",G1785&lt;=33,"Low Spender",G1785&lt;=66,"Medium Spender",TRUE, "High Spender")</f>
        <v>High Spender</v>
      </c>
      <c r="I1785" s="1">
        <v>38</v>
      </c>
      <c r="J1785" s="1">
        <v>3700</v>
      </c>
      <c r="K1785" s="1">
        <v>323</v>
      </c>
      <c r="M1785" s="1" t="s">
        <v>30</v>
      </c>
      <c r="N1785" s="1" t="str">
        <f t="shared" si="54"/>
        <v>Higher</v>
      </c>
      <c r="O1785" s="1" t="str">
        <f t="shared" si="55"/>
        <v>Pre-Senior | High Spender | Higher</v>
      </c>
    </row>
    <row r="1786" spans="1:15" x14ac:dyDescent="0.25">
      <c r="A1786" s="1" t="s">
        <v>1816</v>
      </c>
      <c r="B1786" s="1">
        <v>59</v>
      </c>
      <c r="C1786" s="1" t="str" cm="1">
        <f t="array" ref="C1786">_xlfn.IFS(OR(B1786=" ", B1786="NA",NOT(ISNUMBER(B1786))), "Unknown",B1786&lt;18,"Underage",B1786&lt;=24,"Young Adult",B1786&lt;=34,"Early Career",B1786&lt;=44,"Mid Career",B1786&lt;=54,"Mature",B1786&lt;=65,"Pre-Senior",B1786&gt;65,"Senior")</f>
        <v>Pre-Senior</v>
      </c>
      <c r="D1786" s="1" t="s">
        <v>12</v>
      </c>
      <c r="E1786" s="1" t="s">
        <v>27</v>
      </c>
      <c r="F1786" s="1">
        <v>1525000</v>
      </c>
      <c r="G1786" s="1">
        <v>15</v>
      </c>
      <c r="H1786" s="1" t="str" cm="1">
        <f t="array" ref="H1786">_xlfn.IFS( OR(G1786=" ",NOT(ISNUMBER(G1786))),"Unknown",G1786&lt;=33,"Low Spender",G1786&lt;=66,"Medium Spender",TRUE, "High Spender")</f>
        <v>Low Spender</v>
      </c>
      <c r="I1786" s="1">
        <v>61</v>
      </c>
      <c r="J1786" s="1">
        <v>9300</v>
      </c>
      <c r="K1786" s="1">
        <v>109</v>
      </c>
      <c r="M1786" s="1" t="s">
        <v>30</v>
      </c>
      <c r="N1786" s="1" t="str">
        <f t="shared" si="54"/>
        <v>Lower</v>
      </c>
      <c r="O1786" s="1" t="str">
        <f t="shared" si="55"/>
        <v>Pre-Senior | Low Spender | Lower</v>
      </c>
    </row>
    <row r="1787" spans="1:15" x14ac:dyDescent="0.25">
      <c r="A1787" s="1" t="s">
        <v>1817</v>
      </c>
      <c r="B1787" s="1">
        <v>61</v>
      </c>
      <c r="C1787" s="1" t="str" cm="1">
        <f t="array" ref="C1787">_xlfn.IFS(OR(B1787=" ", B1787="NA",NOT(ISNUMBER(B1787))), "Unknown",B1787&lt;18,"Underage",B1787&lt;=24,"Young Adult",B1787&lt;=34,"Early Career",B1787&lt;=44,"Mid Career",B1787&lt;=54,"Mature",B1787&lt;=65,"Pre-Senior",B1787&gt;65,"Senior")</f>
        <v>Pre-Senior</v>
      </c>
      <c r="F1787" s="1">
        <v>550000</v>
      </c>
      <c r="G1787" s="1">
        <v>52</v>
      </c>
      <c r="H1787" s="1" t="str" cm="1">
        <f t="array" ref="H1787">_xlfn.IFS( OR(G1787=" ",NOT(ISNUMBER(G1787))),"Unknown",G1787&lt;=33,"Low Spender",G1787&lt;=66,"Medium Spender",TRUE, "High Spender")</f>
        <v>Medium Spender</v>
      </c>
      <c r="I1787" s="1">
        <v>47</v>
      </c>
      <c r="J1787" s="1">
        <v>700</v>
      </c>
      <c r="K1787" s="1">
        <v>181</v>
      </c>
      <c r="L1787" s="1" t="s">
        <v>20</v>
      </c>
      <c r="N1787" s="1" t="str">
        <f t="shared" si="54"/>
        <v>Lower</v>
      </c>
      <c r="O1787" s="1" t="str">
        <f t="shared" si="55"/>
        <v>Pre-Senior | Medium Spender | Lower</v>
      </c>
    </row>
    <row r="1788" spans="1:15" x14ac:dyDescent="0.25">
      <c r="A1788" s="1" t="s">
        <v>1818</v>
      </c>
      <c r="B1788" s="1">
        <v>19</v>
      </c>
      <c r="C1788" s="1" t="str" cm="1">
        <f t="array" ref="C1788">_xlfn.IFS(OR(B1788=" ", B1788="NA",NOT(ISNUMBER(B1788))), "Unknown",B1788&lt;18,"Underage",B1788&lt;=24,"Young Adult",B1788&lt;=34,"Early Career",B1788&lt;=44,"Mid Career",B1788&lt;=54,"Mature",B1788&lt;=65,"Pre-Senior",B1788&gt;65,"Senior")</f>
        <v>Young Adult</v>
      </c>
      <c r="E1788" s="1" t="s">
        <v>13</v>
      </c>
      <c r="F1788" s="1">
        <v>350000</v>
      </c>
      <c r="G1788" s="1">
        <v>72</v>
      </c>
      <c r="H1788" s="1" t="str" cm="1">
        <f t="array" ref="H1788">_xlfn.IFS( OR(G1788=" ",NOT(ISNUMBER(G1788))),"Unknown",G1788&lt;=33,"Low Spender",G1788&lt;=66,"Medium Spender",TRUE, "High Spender")</f>
        <v>High Spender</v>
      </c>
      <c r="I1788" s="1">
        <v>54</v>
      </c>
      <c r="J1788" s="1">
        <v>7300</v>
      </c>
      <c r="K1788" s="1">
        <v>251</v>
      </c>
      <c r="L1788" s="1" t="s">
        <v>37</v>
      </c>
      <c r="M1788" s="1" t="s">
        <v>41</v>
      </c>
      <c r="N1788" s="1" t="str">
        <f t="shared" si="54"/>
        <v>Lower</v>
      </c>
      <c r="O1788" s="1" t="str">
        <f t="shared" si="55"/>
        <v>Young Adult | High Spender | Lower</v>
      </c>
    </row>
    <row r="1789" spans="1:15" x14ac:dyDescent="0.25">
      <c r="A1789" s="1" t="s">
        <v>1819</v>
      </c>
      <c r="B1789" s="1" t="s">
        <v>73</v>
      </c>
      <c r="C1789" s="1" t="str" cm="1">
        <f t="array" ref="C1789">_xlfn.IFS(OR(B1789=" ", B1789="NA",NOT(ISNUMBER(B1789))), "Unknown",B1789&lt;18,"Underage",B1789&lt;=24,"Young Adult",B1789&lt;=34,"Early Career",B1789&lt;=44,"Mid Career",B1789&lt;=54,"Mature",B1789&lt;=65,"Pre-Senior",B1789&gt;65,"Senior")</f>
        <v>Unknown</v>
      </c>
      <c r="D1789" s="1" t="s">
        <v>18</v>
      </c>
      <c r="E1789" s="1" t="s">
        <v>15</v>
      </c>
      <c r="F1789" s="1">
        <v>975000</v>
      </c>
      <c r="G1789" s="1">
        <v>34</v>
      </c>
      <c r="H1789" s="1" t="str" cm="1">
        <f t="array" ref="H1789">_xlfn.IFS( OR(G1789=" ",NOT(ISNUMBER(G1789))),"Unknown",G1789&lt;=33,"Low Spender",G1789&lt;=66,"Medium Spender",TRUE, "High Spender")</f>
        <v>Medium Spender</v>
      </c>
      <c r="I1789" s="1">
        <v>46</v>
      </c>
      <c r="J1789" s="1">
        <v>7600</v>
      </c>
      <c r="K1789" s="1">
        <v>203</v>
      </c>
      <c r="L1789" s="1" t="s">
        <v>35</v>
      </c>
      <c r="M1789" s="1" t="s">
        <v>32</v>
      </c>
      <c r="N1789" s="1" t="str">
        <f t="shared" si="54"/>
        <v>Higher</v>
      </c>
      <c r="O1789" s="1" t="str">
        <f t="shared" si="55"/>
        <v>Unknown | Medium Spender | Higher</v>
      </c>
    </row>
    <row r="1790" spans="1:15" x14ac:dyDescent="0.25">
      <c r="A1790" s="1" t="s">
        <v>1820</v>
      </c>
      <c r="B1790" s="1">
        <v>52</v>
      </c>
      <c r="C1790" s="1" t="str" cm="1">
        <f t="array" ref="C1790">_xlfn.IFS(OR(B1790=" ", B1790="NA",NOT(ISNUMBER(B1790))), "Unknown",B1790&lt;18,"Underage",B1790&lt;=24,"Young Adult",B1790&lt;=34,"Early Career",B1790&lt;=44,"Mid Career",B1790&lt;=54,"Mature",B1790&lt;=65,"Pre-Senior",B1790&gt;65,"Senior")</f>
        <v>Mature</v>
      </c>
      <c r="D1790" s="1" t="s">
        <v>29</v>
      </c>
      <c r="E1790" s="1" t="s">
        <v>58</v>
      </c>
      <c r="F1790" s="1">
        <v>1250000</v>
      </c>
      <c r="G1790" s="1">
        <v>1</v>
      </c>
      <c r="H1790" s="1" t="str" cm="1">
        <f t="array" ref="H1790">_xlfn.IFS( OR(G1790=" ",NOT(ISNUMBER(G1790))),"Unknown",G1790&lt;=33,"Low Spender",G1790&lt;=66,"Medium Spender",TRUE, "High Spender")</f>
        <v>Low Spender</v>
      </c>
      <c r="I1790" s="1">
        <v>68</v>
      </c>
      <c r="J1790" s="1">
        <v>7600</v>
      </c>
      <c r="K1790" s="1">
        <v>304</v>
      </c>
      <c r="L1790" s="1" t="s">
        <v>35</v>
      </c>
      <c r="M1790" s="1" t="s">
        <v>21</v>
      </c>
      <c r="N1790" s="1" t="str">
        <f t="shared" si="54"/>
        <v>Higher</v>
      </c>
      <c r="O1790" s="1" t="str">
        <f t="shared" si="55"/>
        <v>Mature | Low Spender | Higher</v>
      </c>
    </row>
    <row r="1791" spans="1:15" x14ac:dyDescent="0.25">
      <c r="A1791" s="1" t="s">
        <v>1821</v>
      </c>
      <c r="B1791" s="1">
        <v>59</v>
      </c>
      <c r="C1791" s="1" t="str" cm="1">
        <f t="array" ref="C1791">_xlfn.IFS(OR(B1791=" ", B1791="NA",NOT(ISNUMBER(B1791))), "Unknown",B1791&lt;18,"Underage",B1791&lt;=24,"Young Adult",B1791&lt;=34,"Early Career",B1791&lt;=44,"Mid Career",B1791&lt;=54,"Mature",B1791&lt;=65,"Pre-Senior",B1791&gt;65,"Senior")</f>
        <v>Pre-Senior</v>
      </c>
      <c r="D1791" s="1" t="s">
        <v>29</v>
      </c>
      <c r="E1791" s="1" t="s">
        <v>49</v>
      </c>
      <c r="F1791" s="1">
        <v>350000</v>
      </c>
      <c r="G1791" s="1">
        <v>96</v>
      </c>
      <c r="H1791" s="1" t="str" cm="1">
        <f t="array" ref="H1791">_xlfn.IFS( OR(G1791=" ",NOT(ISNUMBER(G1791))),"Unknown",G1791&lt;=33,"Low Spender",G1791&lt;=66,"Medium Spender",TRUE, "High Spender")</f>
        <v>High Spender</v>
      </c>
      <c r="I1791" s="1">
        <v>4</v>
      </c>
      <c r="J1791" s="1">
        <v>5300</v>
      </c>
      <c r="K1791" s="1">
        <v>170</v>
      </c>
      <c r="N1791" s="1" t="str">
        <f t="shared" si="54"/>
        <v>Higher</v>
      </c>
      <c r="O1791" s="1" t="str">
        <f t="shared" si="55"/>
        <v>Pre-Senior | High Spender | Higher</v>
      </c>
    </row>
    <row r="1792" spans="1:15" x14ac:dyDescent="0.25">
      <c r="A1792" s="1" t="s">
        <v>1822</v>
      </c>
      <c r="B1792" s="1">
        <v>51</v>
      </c>
      <c r="C1792" s="1" t="str" cm="1">
        <f t="array" ref="C1792">_xlfn.IFS(OR(B1792=" ", B1792="NA",NOT(ISNUMBER(B1792))), "Unknown",B1792&lt;18,"Underage",B1792&lt;=24,"Young Adult",B1792&lt;=34,"Early Career",B1792&lt;=44,"Mid Career",B1792&lt;=54,"Mature",B1792&lt;=65,"Pre-Senior",B1792&gt;65,"Senior")</f>
        <v>Mature</v>
      </c>
      <c r="E1792" s="1" t="s">
        <v>15</v>
      </c>
      <c r="F1792" s="1">
        <v>300000</v>
      </c>
      <c r="G1792" s="1">
        <v>69</v>
      </c>
      <c r="H1792" s="1" t="str" cm="1">
        <f t="array" ref="H1792">_xlfn.IFS( OR(G1792=" ",NOT(ISNUMBER(G1792))),"Unknown",G1792&lt;=33,"Low Spender",G1792&lt;=66,"Medium Spender",TRUE, "High Spender")</f>
        <v>High Spender</v>
      </c>
      <c r="I1792" s="1">
        <v>66</v>
      </c>
      <c r="J1792" s="1">
        <v>5900</v>
      </c>
      <c r="K1792" s="1">
        <v>175</v>
      </c>
      <c r="L1792" s="1" t="s">
        <v>37</v>
      </c>
      <c r="M1792" s="1" t="s">
        <v>21</v>
      </c>
      <c r="N1792" s="1" t="str">
        <f t="shared" si="54"/>
        <v>Lower</v>
      </c>
      <c r="O1792" s="1" t="str">
        <f t="shared" si="55"/>
        <v>Mature | High Spender | Lower</v>
      </c>
    </row>
    <row r="1793" spans="1:15" x14ac:dyDescent="0.25">
      <c r="A1793" s="1" t="s">
        <v>1823</v>
      </c>
      <c r="B1793" s="1">
        <v>47</v>
      </c>
      <c r="C1793" s="1" t="str" cm="1">
        <f t="array" ref="C1793">_xlfn.IFS(OR(B1793=" ", B1793="NA",NOT(ISNUMBER(B1793))), "Unknown",B1793&lt;18,"Underage",B1793&lt;=24,"Young Adult",B1793&lt;=34,"Early Career",B1793&lt;=44,"Mid Career",B1793&lt;=54,"Mature",B1793&lt;=65,"Pre-Senior",B1793&gt;65,"Senior")</f>
        <v>Mature</v>
      </c>
      <c r="D1793" s="1" t="s">
        <v>18</v>
      </c>
      <c r="F1793" s="1">
        <v>525000</v>
      </c>
      <c r="G1793" s="1">
        <v>94</v>
      </c>
      <c r="H1793" s="1" t="str" cm="1">
        <f t="array" ref="H1793">_xlfn.IFS( OR(G1793=" ",NOT(ISNUMBER(G1793))),"Unknown",G1793&lt;=33,"Low Spender",G1793&lt;=66,"Medium Spender",TRUE, "High Spender")</f>
        <v>High Spender</v>
      </c>
      <c r="I1793" s="1">
        <v>43</v>
      </c>
      <c r="J1793" s="1">
        <v>6000</v>
      </c>
      <c r="K1793" s="1">
        <v>347</v>
      </c>
      <c r="L1793" s="1" t="s">
        <v>16</v>
      </c>
      <c r="N1793" s="1" t="str">
        <f t="shared" si="54"/>
        <v>Higher</v>
      </c>
      <c r="O1793" s="1" t="str">
        <f t="shared" si="55"/>
        <v>Mature | High Spender | Higher</v>
      </c>
    </row>
    <row r="1794" spans="1:15" x14ac:dyDescent="0.25">
      <c r="A1794" s="1" t="s">
        <v>1824</v>
      </c>
      <c r="B1794" s="1" t="s">
        <v>73</v>
      </c>
      <c r="C1794" s="1" t="str" cm="1">
        <f t="array" ref="C1794">_xlfn.IFS(OR(B1794=" ", B1794="NA",NOT(ISNUMBER(B1794))), "Unknown",B1794&lt;18,"Underage",B1794&lt;=24,"Young Adult",B1794&lt;=34,"Early Career",B1794&lt;=44,"Mid Career",B1794&lt;=54,"Mature",B1794&lt;=65,"Pre-Senior",B1794&gt;65,"Senior")</f>
        <v>Unknown</v>
      </c>
      <c r="D1794" s="1" t="s">
        <v>18</v>
      </c>
      <c r="E1794" s="1" t="s">
        <v>15</v>
      </c>
      <c r="F1794" s="1">
        <v>600000</v>
      </c>
      <c r="G1794" s="1">
        <v>86</v>
      </c>
      <c r="H1794" s="1" t="str" cm="1">
        <f t="array" ref="H1794">_xlfn.IFS( OR(G1794=" ",NOT(ISNUMBER(G1794))),"Unknown",G1794&lt;=33,"Low Spender",G1794&lt;=66,"Medium Spender",TRUE, "High Spender")</f>
        <v>High Spender</v>
      </c>
      <c r="I1794" s="1">
        <v>62</v>
      </c>
      <c r="J1794" s="1">
        <v>9400</v>
      </c>
      <c r="K1794" s="1">
        <v>170</v>
      </c>
      <c r="M1794" s="1" t="s">
        <v>41</v>
      </c>
      <c r="N1794" s="1" t="str">
        <f t="shared" ref="N1794:N1857" si="56">IF(OR(UPPER(TRIM(D1794))="Male",UPPER(TRIM(D1794))="Female"),"Higher","Lower")</f>
        <v>Higher</v>
      </c>
      <c r="O1794" s="1" t="str">
        <f t="shared" ref="O1794:O1857" si="57">_xlfn.TEXTJOIN(" | ", TRUE, C1794, H1794, N1794)</f>
        <v>Unknown | High Spender | Higher</v>
      </c>
    </row>
    <row r="1795" spans="1:15" x14ac:dyDescent="0.25">
      <c r="A1795" s="1" t="s">
        <v>1825</v>
      </c>
      <c r="B1795" s="1">
        <v>30</v>
      </c>
      <c r="C1795" s="1" t="str" cm="1">
        <f t="array" ref="C1795">_xlfn.IFS(OR(B1795=" ", B1795="NA",NOT(ISNUMBER(B1795))), "Unknown",B1795&lt;18,"Underage",B1795&lt;=24,"Young Adult",B1795&lt;=34,"Early Career",B1795&lt;=44,"Mid Career",B1795&lt;=54,"Mature",B1795&lt;=65,"Pre-Senior",B1795&gt;65,"Senior")</f>
        <v>Early Career</v>
      </c>
      <c r="D1795" s="1" t="s">
        <v>29</v>
      </c>
      <c r="E1795" s="1" t="s">
        <v>27</v>
      </c>
      <c r="F1795" s="1">
        <v>275000</v>
      </c>
      <c r="G1795" s="1">
        <v>20</v>
      </c>
      <c r="H1795" s="1" t="str" cm="1">
        <f t="array" ref="H1795">_xlfn.IFS( OR(G1795=" ",NOT(ISNUMBER(G1795))),"Unknown",G1795&lt;=33,"Low Spender",G1795&lt;=66,"Medium Spender",TRUE, "High Spender")</f>
        <v>Low Spender</v>
      </c>
      <c r="I1795" s="1">
        <v>4</v>
      </c>
      <c r="J1795" s="1">
        <v>3800</v>
      </c>
      <c r="K1795" s="1">
        <v>2</v>
      </c>
      <c r="L1795" s="1" t="s">
        <v>20</v>
      </c>
      <c r="M1795" s="1" t="s">
        <v>32</v>
      </c>
      <c r="N1795" s="1" t="str">
        <f t="shared" si="56"/>
        <v>Higher</v>
      </c>
      <c r="O1795" s="1" t="str">
        <f t="shared" si="57"/>
        <v>Early Career | Low Spender | Higher</v>
      </c>
    </row>
    <row r="1796" spans="1:15" x14ac:dyDescent="0.25">
      <c r="A1796" s="1" t="s">
        <v>1826</v>
      </c>
      <c r="B1796" s="1">
        <v>30</v>
      </c>
      <c r="C1796" s="1" t="str" cm="1">
        <f t="array" ref="C1796">_xlfn.IFS(OR(B1796=" ", B1796="NA",NOT(ISNUMBER(B1796))), "Unknown",B1796&lt;18,"Underage",B1796&lt;=24,"Young Adult",B1796&lt;=34,"Early Career",B1796&lt;=44,"Mid Career",B1796&lt;=54,"Mature",B1796&lt;=65,"Pre-Senior",B1796&gt;65,"Senior")</f>
        <v>Early Career</v>
      </c>
      <c r="D1796" s="1" t="s">
        <v>18</v>
      </c>
      <c r="E1796" s="1" t="s">
        <v>58</v>
      </c>
      <c r="F1796" s="1">
        <v>400000</v>
      </c>
      <c r="G1796" s="1">
        <v>80</v>
      </c>
      <c r="H1796" s="1" t="str" cm="1">
        <f t="array" ref="H1796">_xlfn.IFS( OR(G1796=" ",NOT(ISNUMBER(G1796))),"Unknown",G1796&lt;=33,"Low Spender",G1796&lt;=66,"Medium Spender",TRUE, "High Spender")</f>
        <v>High Spender</v>
      </c>
      <c r="I1796" s="1">
        <v>65</v>
      </c>
      <c r="J1796" s="1">
        <v>1200</v>
      </c>
      <c r="K1796" s="1">
        <v>134</v>
      </c>
      <c r="L1796" s="1" t="s">
        <v>16</v>
      </c>
      <c r="M1796" s="1" t="s">
        <v>41</v>
      </c>
      <c r="N1796" s="1" t="str">
        <f t="shared" si="56"/>
        <v>Higher</v>
      </c>
      <c r="O1796" s="1" t="str">
        <f t="shared" si="57"/>
        <v>Early Career | High Spender | Higher</v>
      </c>
    </row>
    <row r="1797" spans="1:15" x14ac:dyDescent="0.25">
      <c r="A1797" s="1" t="s">
        <v>1827</v>
      </c>
      <c r="B1797" s="1">
        <v>35</v>
      </c>
      <c r="C1797" s="1" t="str" cm="1">
        <f t="array" ref="C1797">_xlfn.IFS(OR(B1797=" ", B1797="NA",NOT(ISNUMBER(B1797))), "Unknown",B1797&lt;18,"Underage",B1797&lt;=24,"Young Adult",B1797&lt;=34,"Early Career",B1797&lt;=44,"Mid Career",B1797&lt;=54,"Mature",B1797&lt;=65,"Pre-Senior",B1797&gt;65,"Senior")</f>
        <v>Mid Career</v>
      </c>
      <c r="D1797" s="1" t="s">
        <v>29</v>
      </c>
      <c r="E1797" s="1" t="s">
        <v>19</v>
      </c>
      <c r="G1797" s="1">
        <v>7</v>
      </c>
      <c r="H1797" s="1" t="str" cm="1">
        <f t="array" ref="H1797">_xlfn.IFS( OR(G1797=" ",NOT(ISNUMBER(G1797))),"Unknown",G1797&lt;=33,"Low Spender",G1797&lt;=66,"Medium Spender",TRUE, "High Spender")</f>
        <v>Low Spender</v>
      </c>
      <c r="I1797" s="1">
        <v>62</v>
      </c>
      <c r="J1797" s="1">
        <v>5200</v>
      </c>
      <c r="K1797" s="1">
        <v>127</v>
      </c>
      <c r="L1797" s="1" t="s">
        <v>16</v>
      </c>
      <c r="M1797" s="1" t="s">
        <v>32</v>
      </c>
      <c r="N1797" s="1" t="str">
        <f t="shared" si="56"/>
        <v>Higher</v>
      </c>
      <c r="O1797" s="1" t="str">
        <f t="shared" si="57"/>
        <v>Mid Career | Low Spender | Higher</v>
      </c>
    </row>
    <row r="1798" spans="1:15" x14ac:dyDescent="0.25">
      <c r="A1798" s="1" t="s">
        <v>1828</v>
      </c>
      <c r="B1798" s="1">
        <v>49</v>
      </c>
      <c r="C1798" s="1" t="str" cm="1">
        <f t="array" ref="C1798">_xlfn.IFS(OR(B1798=" ", B1798="NA",NOT(ISNUMBER(B1798))), "Unknown",B1798&lt;18,"Underage",B1798&lt;=24,"Young Adult",B1798&lt;=34,"Early Career",B1798&lt;=44,"Mid Career",B1798&lt;=54,"Mature",B1798&lt;=65,"Pre-Senior",B1798&gt;65,"Senior")</f>
        <v>Mature</v>
      </c>
      <c r="E1798" s="1" t="s">
        <v>27</v>
      </c>
      <c r="F1798" s="1">
        <v>1650000</v>
      </c>
      <c r="G1798" s="1">
        <v>7</v>
      </c>
      <c r="H1798" s="1" t="str" cm="1">
        <f t="array" ref="H1798">_xlfn.IFS( OR(G1798=" ",NOT(ISNUMBER(G1798))),"Unknown",G1798&lt;=33,"Low Spender",G1798&lt;=66,"Medium Spender",TRUE, "High Spender")</f>
        <v>Low Spender</v>
      </c>
      <c r="I1798" s="1">
        <v>2</v>
      </c>
      <c r="J1798" s="1">
        <v>10100</v>
      </c>
      <c r="K1798" s="1">
        <v>46</v>
      </c>
      <c r="L1798" s="1" t="s">
        <v>20</v>
      </c>
      <c r="N1798" s="1" t="str">
        <f t="shared" si="56"/>
        <v>Lower</v>
      </c>
      <c r="O1798" s="1" t="str">
        <f t="shared" si="57"/>
        <v>Mature | Low Spender | Lower</v>
      </c>
    </row>
    <row r="1799" spans="1:15" x14ac:dyDescent="0.25">
      <c r="A1799" s="1" t="s">
        <v>1829</v>
      </c>
      <c r="B1799" s="1">
        <v>49</v>
      </c>
      <c r="C1799" s="1" t="str" cm="1">
        <f t="array" ref="C1799">_xlfn.IFS(OR(B1799=" ", B1799="NA",NOT(ISNUMBER(B1799))), "Unknown",B1799&lt;18,"Underage",B1799&lt;=24,"Young Adult",B1799&lt;=34,"Early Career",B1799&lt;=44,"Mid Career",B1799&lt;=54,"Mature",B1799&lt;=65,"Pre-Senior",B1799&gt;65,"Senior")</f>
        <v>Mature</v>
      </c>
      <c r="D1799" s="1" t="s">
        <v>18</v>
      </c>
      <c r="E1799" s="1" t="s">
        <v>15</v>
      </c>
      <c r="F1799" s="1">
        <v>1175000</v>
      </c>
      <c r="G1799" s="1">
        <v>50</v>
      </c>
      <c r="H1799" s="1" t="str" cm="1">
        <f t="array" ref="H1799">_xlfn.IFS( OR(G1799=" ",NOT(ISNUMBER(G1799))),"Unknown",G1799&lt;=33,"Low Spender",G1799&lt;=66,"Medium Spender",TRUE, "High Spender")</f>
        <v>Medium Spender</v>
      </c>
      <c r="I1799" s="1">
        <v>9</v>
      </c>
      <c r="J1799" s="1">
        <v>11900</v>
      </c>
      <c r="K1799" s="1">
        <v>194</v>
      </c>
      <c r="L1799" s="1" t="s">
        <v>35</v>
      </c>
      <c r="N1799" s="1" t="str">
        <f t="shared" si="56"/>
        <v>Higher</v>
      </c>
      <c r="O1799" s="1" t="str">
        <f t="shared" si="57"/>
        <v>Mature | Medium Spender | Higher</v>
      </c>
    </row>
    <row r="1800" spans="1:15" x14ac:dyDescent="0.25">
      <c r="A1800" s="1" t="s">
        <v>1830</v>
      </c>
      <c r="B1800" s="1">
        <v>52</v>
      </c>
      <c r="C1800" s="1" t="str" cm="1">
        <f t="array" ref="C1800">_xlfn.IFS(OR(B1800=" ", B1800="NA",NOT(ISNUMBER(B1800))), "Unknown",B1800&lt;18,"Underage",B1800&lt;=24,"Young Adult",B1800&lt;=34,"Early Career",B1800&lt;=44,"Mid Career",B1800&lt;=54,"Mature",B1800&lt;=65,"Pre-Senior",B1800&gt;65,"Senior")</f>
        <v>Mature</v>
      </c>
      <c r="E1800" s="1" t="s">
        <v>19</v>
      </c>
      <c r="F1800" s="1">
        <v>450000</v>
      </c>
      <c r="G1800" s="1">
        <v>2</v>
      </c>
      <c r="H1800" s="1" t="str" cm="1">
        <f t="array" ref="H1800">_xlfn.IFS( OR(G1800=" ",NOT(ISNUMBER(G1800))),"Unknown",G1800&lt;=33,"Low Spender",G1800&lt;=66,"Medium Spender",TRUE, "High Spender")</f>
        <v>Low Spender</v>
      </c>
      <c r="I1800" s="1">
        <v>57</v>
      </c>
      <c r="J1800" s="1">
        <v>10100</v>
      </c>
      <c r="K1800" s="1">
        <v>362</v>
      </c>
      <c r="N1800" s="1" t="str">
        <f t="shared" si="56"/>
        <v>Lower</v>
      </c>
      <c r="O1800" s="1" t="str">
        <f t="shared" si="57"/>
        <v>Mature | Low Spender | Lower</v>
      </c>
    </row>
    <row r="1801" spans="1:15" x14ac:dyDescent="0.25">
      <c r="A1801" s="1" t="s">
        <v>1831</v>
      </c>
      <c r="B1801" s="1">
        <v>56</v>
      </c>
      <c r="C1801" s="1" t="str" cm="1">
        <f t="array" ref="C1801">_xlfn.IFS(OR(B1801=" ", B1801="NA",NOT(ISNUMBER(B1801))), "Unknown",B1801&lt;18,"Underage",B1801&lt;=24,"Young Adult",B1801&lt;=34,"Early Career",B1801&lt;=44,"Mid Career",B1801&lt;=54,"Mature",B1801&lt;=65,"Pre-Senior",B1801&gt;65,"Senior")</f>
        <v>Pre-Senior</v>
      </c>
      <c r="D1801" s="1" t="s">
        <v>12</v>
      </c>
      <c r="E1801" s="1" t="s">
        <v>49</v>
      </c>
      <c r="F1801" s="1">
        <v>425000</v>
      </c>
      <c r="G1801" s="1">
        <v>47</v>
      </c>
      <c r="H1801" s="1" t="str" cm="1">
        <f t="array" ref="H1801">_xlfn.IFS( OR(G1801=" ",NOT(ISNUMBER(G1801))),"Unknown",G1801&lt;=33,"Low Spender",G1801&lt;=66,"Medium Spender",TRUE, "High Spender")</f>
        <v>Medium Spender</v>
      </c>
      <c r="I1801" s="1">
        <v>45</v>
      </c>
      <c r="J1801" s="1">
        <v>3900</v>
      </c>
      <c r="K1801" s="1">
        <v>209</v>
      </c>
      <c r="M1801" s="1" t="s">
        <v>30</v>
      </c>
      <c r="N1801" s="1" t="str">
        <f t="shared" si="56"/>
        <v>Lower</v>
      </c>
      <c r="O1801" s="1" t="str">
        <f t="shared" si="57"/>
        <v>Pre-Senior | Medium Spender | Lower</v>
      </c>
    </row>
    <row r="1802" spans="1:15" x14ac:dyDescent="0.25">
      <c r="A1802" s="1" t="s">
        <v>1832</v>
      </c>
      <c r="B1802" s="1">
        <v>63</v>
      </c>
      <c r="C1802" s="1" t="str" cm="1">
        <f t="array" ref="C1802">_xlfn.IFS(OR(B1802=" ", B1802="NA",NOT(ISNUMBER(B1802))), "Unknown",B1802&lt;18,"Underage",B1802&lt;=24,"Young Adult",B1802&lt;=34,"Early Career",B1802&lt;=44,"Mid Career",B1802&lt;=54,"Mature",B1802&lt;=65,"Pre-Senior",B1802&gt;65,"Senior")</f>
        <v>Pre-Senior</v>
      </c>
      <c r="D1802" s="1" t="s">
        <v>18</v>
      </c>
      <c r="E1802" s="1" t="s">
        <v>19</v>
      </c>
      <c r="F1802" s="1">
        <v>1975000</v>
      </c>
      <c r="G1802" s="1">
        <v>14</v>
      </c>
      <c r="H1802" s="1" t="str" cm="1">
        <f t="array" ref="H1802">_xlfn.IFS( OR(G1802=" ",NOT(ISNUMBER(G1802))),"Unknown",G1802&lt;=33,"Low Spender",G1802&lt;=66,"Medium Spender",TRUE, "High Spender")</f>
        <v>Low Spender</v>
      </c>
      <c r="I1802" s="1">
        <v>18</v>
      </c>
      <c r="J1802" s="1">
        <v>11400</v>
      </c>
      <c r="K1802" s="1">
        <v>296</v>
      </c>
      <c r="L1802" s="1" t="s">
        <v>35</v>
      </c>
      <c r="M1802" s="1" t="s">
        <v>30</v>
      </c>
      <c r="N1802" s="1" t="str">
        <f t="shared" si="56"/>
        <v>Higher</v>
      </c>
      <c r="O1802" s="1" t="str">
        <f t="shared" si="57"/>
        <v>Pre-Senior | Low Spender | Higher</v>
      </c>
    </row>
    <row r="1803" spans="1:15" x14ac:dyDescent="0.25">
      <c r="A1803" s="1" t="s">
        <v>1833</v>
      </c>
      <c r="B1803" s="1">
        <v>69</v>
      </c>
      <c r="C1803" s="1" t="str" cm="1">
        <f t="array" ref="C1803">_xlfn.IFS(OR(B1803=" ", B1803="NA",NOT(ISNUMBER(B1803))), "Unknown",B1803&lt;18,"Underage",B1803&lt;=24,"Young Adult",B1803&lt;=34,"Early Career",B1803&lt;=44,"Mid Career",B1803&lt;=54,"Mature",B1803&lt;=65,"Pre-Senior",B1803&gt;65,"Senior")</f>
        <v>Senior</v>
      </c>
      <c r="F1803" s="1">
        <v>625000</v>
      </c>
      <c r="G1803" s="1">
        <v>31</v>
      </c>
      <c r="H1803" s="1" t="str" cm="1">
        <f t="array" ref="H1803">_xlfn.IFS( OR(G1803=" ",NOT(ISNUMBER(G1803))),"Unknown",G1803&lt;=33,"Low Spender",G1803&lt;=66,"Medium Spender",TRUE, "High Spender")</f>
        <v>Low Spender</v>
      </c>
      <c r="I1803" s="1">
        <v>48</v>
      </c>
      <c r="J1803" s="1">
        <v>2200</v>
      </c>
      <c r="K1803" s="1">
        <v>58</v>
      </c>
      <c r="L1803" s="1" t="s">
        <v>35</v>
      </c>
      <c r="N1803" s="1" t="str">
        <f t="shared" si="56"/>
        <v>Lower</v>
      </c>
      <c r="O1803" s="1" t="str">
        <f t="shared" si="57"/>
        <v>Senior | Low Spender | Lower</v>
      </c>
    </row>
    <row r="1804" spans="1:15" x14ac:dyDescent="0.25">
      <c r="A1804" s="1" t="s">
        <v>1834</v>
      </c>
      <c r="B1804" s="1">
        <v>46</v>
      </c>
      <c r="C1804" s="1" t="str" cm="1">
        <f t="array" ref="C1804">_xlfn.IFS(OR(B1804=" ", B1804="NA",NOT(ISNUMBER(B1804))), "Unknown",B1804&lt;18,"Underage",B1804&lt;=24,"Young Adult",B1804&lt;=34,"Early Career",B1804&lt;=44,"Mid Career",B1804&lt;=54,"Mature",B1804&lt;=65,"Pre-Senior",B1804&gt;65,"Senior")</f>
        <v>Mature</v>
      </c>
      <c r="D1804" s="1" t="s">
        <v>29</v>
      </c>
      <c r="E1804" s="1" t="s">
        <v>34</v>
      </c>
      <c r="F1804" s="1">
        <v>1375000</v>
      </c>
      <c r="G1804" s="1">
        <v>50</v>
      </c>
      <c r="H1804" s="1" t="str" cm="1">
        <f t="array" ref="H1804">_xlfn.IFS( OR(G1804=" ",NOT(ISNUMBER(G1804))),"Unknown",G1804&lt;=33,"Low Spender",G1804&lt;=66,"Medium Spender",TRUE, "High Spender")</f>
        <v>Medium Spender</v>
      </c>
      <c r="I1804" s="1">
        <v>42</v>
      </c>
      <c r="J1804" s="1">
        <v>1500</v>
      </c>
      <c r="K1804" s="1">
        <v>78</v>
      </c>
      <c r="L1804" s="1" t="s">
        <v>37</v>
      </c>
      <c r="N1804" s="1" t="str">
        <f t="shared" si="56"/>
        <v>Higher</v>
      </c>
      <c r="O1804" s="1" t="str">
        <f t="shared" si="57"/>
        <v>Mature | Medium Spender | Higher</v>
      </c>
    </row>
    <row r="1805" spans="1:15" x14ac:dyDescent="0.25">
      <c r="A1805" s="1" t="s">
        <v>1835</v>
      </c>
      <c r="B1805" s="1">
        <v>66</v>
      </c>
      <c r="C1805" s="1" t="str" cm="1">
        <f t="array" ref="C1805">_xlfn.IFS(OR(B1805=" ", B1805="NA",NOT(ISNUMBER(B1805))), "Unknown",B1805&lt;18,"Underage",B1805&lt;=24,"Young Adult",B1805&lt;=34,"Early Career",B1805&lt;=44,"Mid Career",B1805&lt;=54,"Mature",B1805&lt;=65,"Pre-Senior",B1805&gt;65,"Senior")</f>
        <v>Senior</v>
      </c>
      <c r="F1805" s="1">
        <v>1025000</v>
      </c>
      <c r="G1805" s="1">
        <v>61</v>
      </c>
      <c r="H1805" s="1" t="str" cm="1">
        <f t="array" ref="H1805">_xlfn.IFS( OR(G1805=" ",NOT(ISNUMBER(G1805))),"Unknown",G1805&lt;=33,"Low Spender",G1805&lt;=66,"Medium Spender",TRUE, "High Spender")</f>
        <v>Medium Spender</v>
      </c>
      <c r="I1805" s="1">
        <v>41</v>
      </c>
      <c r="J1805" s="1">
        <v>7700</v>
      </c>
      <c r="K1805" s="1">
        <v>202</v>
      </c>
      <c r="L1805" s="1" t="s">
        <v>16</v>
      </c>
      <c r="N1805" s="1" t="str">
        <f t="shared" si="56"/>
        <v>Lower</v>
      </c>
      <c r="O1805" s="1" t="str">
        <f t="shared" si="57"/>
        <v>Senior | Medium Spender | Lower</v>
      </c>
    </row>
    <row r="1806" spans="1:15" x14ac:dyDescent="0.25">
      <c r="A1806" s="1" t="s">
        <v>1836</v>
      </c>
      <c r="B1806" s="1">
        <v>46</v>
      </c>
      <c r="C1806" s="1" t="str" cm="1">
        <f t="array" ref="C1806">_xlfn.IFS(OR(B1806=" ", B1806="NA",NOT(ISNUMBER(B1806))), "Unknown",B1806&lt;18,"Underage",B1806&lt;=24,"Young Adult",B1806&lt;=34,"Early Career",B1806&lt;=44,"Mid Career",B1806&lt;=54,"Mature",B1806&lt;=65,"Pre-Senior",B1806&gt;65,"Senior")</f>
        <v>Mature</v>
      </c>
      <c r="E1806" s="1" t="s">
        <v>27</v>
      </c>
      <c r="F1806" s="1">
        <v>1850000</v>
      </c>
      <c r="G1806" s="1">
        <v>41</v>
      </c>
      <c r="H1806" s="1" t="str" cm="1">
        <f t="array" ref="H1806">_xlfn.IFS( OR(G1806=" ",NOT(ISNUMBER(G1806))),"Unknown",G1806&lt;=33,"Low Spender",G1806&lt;=66,"Medium Spender",TRUE, "High Spender")</f>
        <v>Medium Spender</v>
      </c>
      <c r="I1806" s="1">
        <v>75</v>
      </c>
      <c r="J1806" s="1">
        <v>11100</v>
      </c>
      <c r="K1806" s="1">
        <v>289</v>
      </c>
      <c r="L1806" s="1" t="s">
        <v>16</v>
      </c>
      <c r="M1806" s="1" t="s">
        <v>30</v>
      </c>
      <c r="N1806" s="1" t="str">
        <f t="shared" si="56"/>
        <v>Lower</v>
      </c>
      <c r="O1806" s="1" t="str">
        <f t="shared" si="57"/>
        <v>Mature | Medium Spender | Lower</v>
      </c>
    </row>
    <row r="1807" spans="1:15" x14ac:dyDescent="0.25">
      <c r="A1807" s="1" t="s">
        <v>1837</v>
      </c>
      <c r="C1807" s="1" t="str" cm="1">
        <f t="array" ref="C1807">_xlfn.IFS(OR(B1807=" ", B1807="NA",NOT(ISNUMBER(B1807))), "Unknown",B1807&lt;18,"Underage",B1807&lt;=24,"Young Adult",B1807&lt;=34,"Early Career",B1807&lt;=44,"Mid Career",B1807&lt;=54,"Mature",B1807&lt;=65,"Pre-Senior",B1807&gt;65,"Senior")</f>
        <v>Unknown</v>
      </c>
      <c r="D1807" s="1" t="s">
        <v>29</v>
      </c>
      <c r="E1807" s="1" t="s">
        <v>34</v>
      </c>
      <c r="F1807" s="1">
        <v>1050000</v>
      </c>
      <c r="G1807" s="1">
        <v>14</v>
      </c>
      <c r="H1807" s="1" t="str" cm="1">
        <f t="array" ref="H1807">_xlfn.IFS( OR(G1807=" ",NOT(ISNUMBER(G1807))),"Unknown",G1807&lt;=33,"Low Spender",G1807&lt;=66,"Medium Spender",TRUE, "High Spender")</f>
        <v>Low Spender</v>
      </c>
      <c r="I1807" s="1">
        <v>58</v>
      </c>
      <c r="J1807" s="1">
        <v>2100</v>
      </c>
      <c r="K1807" s="1">
        <v>62</v>
      </c>
      <c r="N1807" s="1" t="str">
        <f t="shared" si="56"/>
        <v>Higher</v>
      </c>
      <c r="O1807" s="1" t="str">
        <f t="shared" si="57"/>
        <v>Unknown | Low Spender | Higher</v>
      </c>
    </row>
    <row r="1808" spans="1:15" x14ac:dyDescent="0.25">
      <c r="A1808" s="1" t="s">
        <v>1838</v>
      </c>
      <c r="B1808" s="1">
        <v>61</v>
      </c>
      <c r="C1808" s="1" t="str" cm="1">
        <f t="array" ref="C1808">_xlfn.IFS(OR(B1808=" ", B1808="NA",NOT(ISNUMBER(B1808))), "Unknown",B1808&lt;18,"Underage",B1808&lt;=24,"Young Adult",B1808&lt;=34,"Early Career",B1808&lt;=44,"Mid Career",B1808&lt;=54,"Mature",B1808&lt;=65,"Pre-Senior",B1808&gt;65,"Senior")</f>
        <v>Pre-Senior</v>
      </c>
      <c r="D1808" s="1" t="s">
        <v>18</v>
      </c>
      <c r="E1808" s="1" t="s">
        <v>27</v>
      </c>
      <c r="F1808" s="1">
        <v>425000</v>
      </c>
      <c r="G1808" s="1">
        <v>5</v>
      </c>
      <c r="H1808" s="1" t="str" cm="1">
        <f t="array" ref="H1808">_xlfn.IFS( OR(G1808=" ",NOT(ISNUMBER(G1808))),"Unknown",G1808&lt;=33,"Low Spender",G1808&lt;=66,"Medium Spender",TRUE, "High Spender")</f>
        <v>Low Spender</v>
      </c>
      <c r="I1808" s="1">
        <v>42</v>
      </c>
      <c r="J1808" s="1">
        <v>9400</v>
      </c>
      <c r="K1808" s="1">
        <v>268</v>
      </c>
      <c r="L1808" s="1" t="s">
        <v>16</v>
      </c>
      <c r="N1808" s="1" t="str">
        <f t="shared" si="56"/>
        <v>Higher</v>
      </c>
      <c r="O1808" s="1" t="str">
        <f t="shared" si="57"/>
        <v>Pre-Senior | Low Spender | Higher</v>
      </c>
    </row>
    <row r="1809" spans="1:15" x14ac:dyDescent="0.25">
      <c r="A1809" s="1" t="s">
        <v>1839</v>
      </c>
      <c r="B1809" s="1">
        <v>33</v>
      </c>
      <c r="C1809" s="1" t="str" cm="1">
        <f t="array" ref="C1809">_xlfn.IFS(OR(B1809=" ", B1809="NA",NOT(ISNUMBER(B1809))), "Unknown",B1809&lt;18,"Underage",B1809&lt;=24,"Young Adult",B1809&lt;=34,"Early Career",B1809&lt;=44,"Mid Career",B1809&lt;=54,"Mature",B1809&lt;=65,"Pre-Senior",B1809&gt;65,"Senior")</f>
        <v>Early Career</v>
      </c>
      <c r="D1809" s="1" t="s">
        <v>29</v>
      </c>
      <c r="F1809" s="1">
        <v>1125000</v>
      </c>
      <c r="G1809" s="1">
        <v>75</v>
      </c>
      <c r="H1809" s="1" t="str" cm="1">
        <f t="array" ref="H1809">_xlfn.IFS( OR(G1809=" ",NOT(ISNUMBER(G1809))),"Unknown",G1809&lt;=33,"Low Spender",G1809&lt;=66,"Medium Spender",TRUE, "High Spender")</f>
        <v>High Spender</v>
      </c>
      <c r="I1809" s="1">
        <v>35</v>
      </c>
      <c r="J1809" s="1">
        <v>10400</v>
      </c>
      <c r="K1809" s="1">
        <v>126</v>
      </c>
      <c r="M1809" s="1" t="s">
        <v>41</v>
      </c>
      <c r="N1809" s="1" t="str">
        <f t="shared" si="56"/>
        <v>Higher</v>
      </c>
      <c r="O1809" s="1" t="str">
        <f t="shared" si="57"/>
        <v>Early Career | High Spender | Higher</v>
      </c>
    </row>
    <row r="1810" spans="1:15" x14ac:dyDescent="0.25">
      <c r="A1810" s="1" t="s">
        <v>1840</v>
      </c>
      <c r="B1810" s="1">
        <v>61</v>
      </c>
      <c r="C1810" s="1" t="str" cm="1">
        <f t="array" ref="C1810">_xlfn.IFS(OR(B1810=" ", B1810="NA",NOT(ISNUMBER(B1810))), "Unknown",B1810&lt;18,"Underage",B1810&lt;=24,"Young Adult",B1810&lt;=34,"Early Career",B1810&lt;=44,"Mid Career",B1810&lt;=54,"Mature",B1810&lt;=65,"Pre-Senior",B1810&gt;65,"Senior")</f>
        <v>Pre-Senior</v>
      </c>
      <c r="D1810" s="1" t="s">
        <v>29</v>
      </c>
      <c r="E1810" s="1" t="s">
        <v>58</v>
      </c>
      <c r="F1810" s="1">
        <v>1475000</v>
      </c>
      <c r="G1810" s="1">
        <v>5</v>
      </c>
      <c r="H1810" s="1" t="str" cm="1">
        <f t="array" ref="H1810">_xlfn.IFS( OR(G1810=" ",NOT(ISNUMBER(G1810))),"Unknown",G1810&lt;=33,"Low Spender",G1810&lt;=66,"Medium Spender",TRUE, "High Spender")</f>
        <v>Low Spender</v>
      </c>
      <c r="I1810" s="1">
        <v>38</v>
      </c>
      <c r="J1810" s="1">
        <v>5800</v>
      </c>
      <c r="K1810" s="1">
        <v>49</v>
      </c>
      <c r="M1810" s="1" t="s">
        <v>21</v>
      </c>
      <c r="N1810" s="1" t="str">
        <f t="shared" si="56"/>
        <v>Higher</v>
      </c>
      <c r="O1810" s="1" t="str">
        <f t="shared" si="57"/>
        <v>Pre-Senior | Low Spender | Higher</v>
      </c>
    </row>
    <row r="1811" spans="1:15" x14ac:dyDescent="0.25">
      <c r="A1811" s="1" t="s">
        <v>1841</v>
      </c>
      <c r="B1811" s="1">
        <v>64</v>
      </c>
      <c r="C1811" s="1" t="str" cm="1">
        <f t="array" ref="C1811">_xlfn.IFS(OR(B1811=" ", B1811="NA",NOT(ISNUMBER(B1811))), "Unknown",B1811&lt;18,"Underage",B1811&lt;=24,"Young Adult",B1811&lt;=34,"Early Career",B1811&lt;=44,"Mid Career",B1811&lt;=54,"Mature",B1811&lt;=65,"Pre-Senior",B1811&gt;65,"Senior")</f>
        <v>Pre-Senior</v>
      </c>
      <c r="E1811" s="1" t="s">
        <v>23</v>
      </c>
      <c r="F1811" s="1">
        <v>175000</v>
      </c>
      <c r="G1811" s="1">
        <v>64</v>
      </c>
      <c r="H1811" s="1" t="str" cm="1">
        <f t="array" ref="H1811">_xlfn.IFS( OR(G1811=" ",NOT(ISNUMBER(G1811))),"Unknown",G1811&lt;=33,"Low Spender",G1811&lt;=66,"Medium Spender",TRUE, "High Spender")</f>
        <v>Medium Spender</v>
      </c>
      <c r="I1811" s="1">
        <v>67</v>
      </c>
      <c r="J1811" s="1">
        <v>4700</v>
      </c>
      <c r="K1811" s="1">
        <v>88</v>
      </c>
      <c r="N1811" s="1" t="str">
        <f t="shared" si="56"/>
        <v>Lower</v>
      </c>
      <c r="O1811" s="1" t="str">
        <f t="shared" si="57"/>
        <v>Pre-Senior | Medium Spender | Lower</v>
      </c>
    </row>
    <row r="1812" spans="1:15" x14ac:dyDescent="0.25">
      <c r="A1812" s="1" t="s">
        <v>1842</v>
      </c>
      <c r="B1812" s="1">
        <v>27</v>
      </c>
      <c r="C1812" s="1" t="str" cm="1">
        <f t="array" ref="C1812">_xlfn.IFS(OR(B1812=" ", B1812="NA",NOT(ISNUMBER(B1812))), "Unknown",B1812&lt;18,"Underage",B1812&lt;=24,"Young Adult",B1812&lt;=34,"Early Career",B1812&lt;=44,"Mid Career",B1812&lt;=54,"Mature",B1812&lt;=65,"Pre-Senior",B1812&gt;65,"Senior")</f>
        <v>Early Career</v>
      </c>
      <c r="D1812" s="1" t="s">
        <v>29</v>
      </c>
      <c r="E1812" s="1" t="s">
        <v>49</v>
      </c>
      <c r="F1812" s="1">
        <v>1375000</v>
      </c>
      <c r="G1812" s="1">
        <v>29</v>
      </c>
      <c r="H1812" s="1" t="str" cm="1">
        <f t="array" ref="H1812">_xlfn.IFS( OR(G1812=" ",NOT(ISNUMBER(G1812))),"Unknown",G1812&lt;=33,"Low Spender",G1812&lt;=66,"Medium Spender",TRUE, "High Spender")</f>
        <v>Low Spender</v>
      </c>
      <c r="I1812" s="1">
        <v>41</v>
      </c>
      <c r="J1812" s="1">
        <v>6200</v>
      </c>
      <c r="K1812" s="1">
        <v>334</v>
      </c>
      <c r="L1812" s="1" t="s">
        <v>20</v>
      </c>
      <c r="N1812" s="1" t="str">
        <f t="shared" si="56"/>
        <v>Higher</v>
      </c>
      <c r="O1812" s="1" t="str">
        <f t="shared" si="57"/>
        <v>Early Career | Low Spender | Higher</v>
      </c>
    </row>
    <row r="1813" spans="1:15" x14ac:dyDescent="0.25">
      <c r="A1813" s="1" t="s">
        <v>1843</v>
      </c>
      <c r="B1813" s="1">
        <v>47</v>
      </c>
      <c r="C1813" s="1" t="str" cm="1">
        <f t="array" ref="C1813">_xlfn.IFS(OR(B1813=" ", B1813="NA",NOT(ISNUMBER(B1813))), "Unknown",B1813&lt;18,"Underage",B1813&lt;=24,"Young Adult",B1813&lt;=34,"Early Career",B1813&lt;=44,"Mid Career",B1813&lt;=54,"Mature",B1813&lt;=65,"Pre-Senior",B1813&gt;65,"Senior")</f>
        <v>Mature</v>
      </c>
      <c r="D1813" s="1" t="s">
        <v>29</v>
      </c>
      <c r="E1813" s="1" t="s">
        <v>49</v>
      </c>
      <c r="F1813" s="1">
        <v>1150000</v>
      </c>
      <c r="G1813" s="1">
        <v>75</v>
      </c>
      <c r="H1813" s="1" t="str" cm="1">
        <f t="array" ref="H1813">_xlfn.IFS( OR(G1813=" ",NOT(ISNUMBER(G1813))),"Unknown",G1813&lt;=33,"Low Spender",G1813&lt;=66,"Medium Spender",TRUE, "High Spender")</f>
        <v>High Spender</v>
      </c>
      <c r="I1813" s="1">
        <v>50</v>
      </c>
      <c r="J1813" s="1">
        <v>7000</v>
      </c>
      <c r="K1813" s="1">
        <v>261</v>
      </c>
      <c r="N1813" s="1" t="str">
        <f t="shared" si="56"/>
        <v>Higher</v>
      </c>
      <c r="O1813" s="1" t="str">
        <f t="shared" si="57"/>
        <v>Mature | High Spender | Higher</v>
      </c>
    </row>
    <row r="1814" spans="1:15" x14ac:dyDescent="0.25">
      <c r="A1814" s="1" t="s">
        <v>1844</v>
      </c>
      <c r="B1814" s="1">
        <v>42</v>
      </c>
      <c r="C1814" s="1" t="str" cm="1">
        <f t="array" ref="C1814">_xlfn.IFS(OR(B1814=" ", B1814="NA",NOT(ISNUMBER(B1814))), "Unknown",B1814&lt;18,"Underage",B1814&lt;=24,"Young Adult",B1814&lt;=34,"Early Career",B1814&lt;=44,"Mid Career",B1814&lt;=54,"Mature",B1814&lt;=65,"Pre-Senior",B1814&gt;65,"Senior")</f>
        <v>Mid Career</v>
      </c>
      <c r="D1814" s="1" t="s">
        <v>18</v>
      </c>
      <c r="F1814" s="1">
        <v>1250000</v>
      </c>
      <c r="G1814" s="1">
        <v>5</v>
      </c>
      <c r="H1814" s="1" t="str" cm="1">
        <f t="array" ref="H1814">_xlfn.IFS( OR(G1814=" ",NOT(ISNUMBER(G1814))),"Unknown",G1814&lt;=33,"Low Spender",G1814&lt;=66,"Medium Spender",TRUE, "High Spender")</f>
        <v>Low Spender</v>
      </c>
      <c r="I1814" s="1">
        <v>72</v>
      </c>
      <c r="J1814" s="1">
        <v>5900</v>
      </c>
      <c r="K1814" s="1">
        <v>179</v>
      </c>
      <c r="N1814" s="1" t="str">
        <f t="shared" si="56"/>
        <v>Higher</v>
      </c>
      <c r="O1814" s="1" t="str">
        <f t="shared" si="57"/>
        <v>Mid Career | Low Spender | Higher</v>
      </c>
    </row>
    <row r="1815" spans="1:15" x14ac:dyDescent="0.25">
      <c r="A1815" s="1" t="s">
        <v>1845</v>
      </c>
      <c r="B1815" s="1">
        <v>56</v>
      </c>
      <c r="C1815" s="1" t="str" cm="1">
        <f t="array" ref="C1815">_xlfn.IFS(OR(B1815=" ", B1815="NA",NOT(ISNUMBER(B1815))), "Unknown",B1815&lt;18,"Underage",B1815&lt;=24,"Young Adult",B1815&lt;=34,"Early Career",B1815&lt;=44,"Mid Career",B1815&lt;=54,"Mature",B1815&lt;=65,"Pre-Senior",B1815&gt;65,"Senior")</f>
        <v>Pre-Senior</v>
      </c>
      <c r="D1815" s="1" t="s">
        <v>29</v>
      </c>
      <c r="E1815" s="1" t="s">
        <v>15</v>
      </c>
      <c r="F1815" s="1">
        <v>350000</v>
      </c>
      <c r="G1815" s="1">
        <v>96</v>
      </c>
      <c r="H1815" s="1" t="str" cm="1">
        <f t="array" ref="H1815">_xlfn.IFS( OR(G1815=" ",NOT(ISNUMBER(G1815))),"Unknown",G1815&lt;=33,"Low Spender",G1815&lt;=66,"Medium Spender",TRUE, "High Spender")</f>
        <v>High Spender</v>
      </c>
      <c r="I1815" s="1">
        <v>79</v>
      </c>
      <c r="J1815" s="1">
        <v>5600</v>
      </c>
      <c r="K1815" s="1">
        <v>69</v>
      </c>
      <c r="L1815" s="1" t="s">
        <v>37</v>
      </c>
      <c r="M1815" s="1" t="s">
        <v>30</v>
      </c>
      <c r="N1815" s="1" t="str">
        <f t="shared" si="56"/>
        <v>Higher</v>
      </c>
      <c r="O1815" s="1" t="str">
        <f t="shared" si="57"/>
        <v>Pre-Senior | High Spender | Higher</v>
      </c>
    </row>
    <row r="1816" spans="1:15" x14ac:dyDescent="0.25">
      <c r="A1816" s="1" t="s">
        <v>1846</v>
      </c>
      <c r="B1816" s="1">
        <v>37</v>
      </c>
      <c r="C1816" s="1" t="str" cm="1">
        <f t="array" ref="C1816">_xlfn.IFS(OR(B1816=" ", B1816="NA",NOT(ISNUMBER(B1816))), "Unknown",B1816&lt;18,"Underage",B1816&lt;=24,"Young Adult",B1816&lt;=34,"Early Career",B1816&lt;=44,"Mid Career",B1816&lt;=54,"Mature",B1816&lt;=65,"Pre-Senior",B1816&gt;65,"Senior")</f>
        <v>Mid Career</v>
      </c>
      <c r="D1816" s="1" t="s">
        <v>18</v>
      </c>
      <c r="E1816" s="1" t="s">
        <v>13</v>
      </c>
      <c r="F1816" s="1">
        <v>1675000</v>
      </c>
      <c r="G1816" s="1">
        <v>36</v>
      </c>
      <c r="H1816" s="1" t="str" cm="1">
        <f t="array" ref="H1816">_xlfn.IFS( OR(G1816=" ",NOT(ISNUMBER(G1816))),"Unknown",G1816&lt;=33,"Low Spender",G1816&lt;=66,"Medium Spender",TRUE, "High Spender")</f>
        <v>Medium Spender</v>
      </c>
      <c r="I1816" s="1">
        <v>45</v>
      </c>
      <c r="J1816" s="1">
        <v>3900</v>
      </c>
      <c r="K1816" s="1">
        <v>60</v>
      </c>
      <c r="L1816" s="1" t="s">
        <v>37</v>
      </c>
      <c r="N1816" s="1" t="str">
        <f t="shared" si="56"/>
        <v>Higher</v>
      </c>
      <c r="O1816" s="1" t="str">
        <f t="shared" si="57"/>
        <v>Mid Career | Medium Spender | Higher</v>
      </c>
    </row>
    <row r="1817" spans="1:15" x14ac:dyDescent="0.25">
      <c r="A1817" s="1" t="s">
        <v>1847</v>
      </c>
      <c r="B1817" s="1">
        <v>22</v>
      </c>
      <c r="C1817" s="1" t="str" cm="1">
        <f t="array" ref="C1817">_xlfn.IFS(OR(B1817=" ", B1817="NA",NOT(ISNUMBER(B1817))), "Unknown",B1817&lt;18,"Underage",B1817&lt;=24,"Young Adult",B1817&lt;=34,"Early Career",B1817&lt;=44,"Mid Career",B1817&lt;=54,"Mature",B1817&lt;=65,"Pre-Senior",B1817&gt;65,"Senior")</f>
        <v>Young Adult</v>
      </c>
      <c r="D1817" s="1" t="s">
        <v>18</v>
      </c>
      <c r="E1817" s="1" t="s">
        <v>27</v>
      </c>
      <c r="F1817" s="1">
        <v>1300000</v>
      </c>
      <c r="G1817" s="1">
        <v>79</v>
      </c>
      <c r="H1817" s="1" t="str" cm="1">
        <f t="array" ref="H1817">_xlfn.IFS( OR(G1817=" ",NOT(ISNUMBER(G1817))),"Unknown",G1817&lt;=33,"Low Spender",G1817&lt;=66,"Medium Spender",TRUE, "High Spender")</f>
        <v>High Spender</v>
      </c>
      <c r="I1817" s="1">
        <v>71</v>
      </c>
      <c r="J1817" s="1">
        <v>8500</v>
      </c>
      <c r="K1817" s="1">
        <v>302</v>
      </c>
      <c r="L1817" s="1" t="s">
        <v>35</v>
      </c>
      <c r="M1817" s="1" t="s">
        <v>30</v>
      </c>
      <c r="N1817" s="1" t="str">
        <f t="shared" si="56"/>
        <v>Higher</v>
      </c>
      <c r="O1817" s="1" t="str">
        <f t="shared" si="57"/>
        <v>Young Adult | High Spender | Higher</v>
      </c>
    </row>
    <row r="1818" spans="1:15" x14ac:dyDescent="0.25">
      <c r="A1818" s="1" t="s">
        <v>1848</v>
      </c>
      <c r="B1818" s="1">
        <v>18</v>
      </c>
      <c r="C1818" s="1" t="str" cm="1">
        <f t="array" ref="C1818">_xlfn.IFS(OR(B1818=" ", B1818="NA",NOT(ISNUMBER(B1818))), "Unknown",B1818&lt;18,"Underage",B1818&lt;=24,"Young Adult",B1818&lt;=34,"Early Career",B1818&lt;=44,"Mid Career",B1818&lt;=54,"Mature",B1818&lt;=65,"Pre-Senior",B1818&gt;65,"Senior")</f>
        <v>Young Adult</v>
      </c>
      <c r="D1818" s="1" t="s">
        <v>12</v>
      </c>
      <c r="E1818" s="1" t="s">
        <v>23</v>
      </c>
      <c r="F1818" s="1">
        <v>250000</v>
      </c>
      <c r="G1818" s="1">
        <v>19</v>
      </c>
      <c r="H1818" s="1" t="str" cm="1">
        <f t="array" ref="H1818">_xlfn.IFS( OR(G1818=" ",NOT(ISNUMBER(G1818))),"Unknown",G1818&lt;=33,"Low Spender",G1818&lt;=66,"Medium Spender",TRUE, "High Spender")</f>
        <v>Low Spender</v>
      </c>
      <c r="I1818" s="1">
        <v>19</v>
      </c>
      <c r="J1818" s="1">
        <v>3900</v>
      </c>
      <c r="K1818" s="1">
        <v>249</v>
      </c>
      <c r="L1818" s="1" t="s">
        <v>35</v>
      </c>
      <c r="N1818" s="1" t="str">
        <f t="shared" si="56"/>
        <v>Lower</v>
      </c>
      <c r="O1818" s="1" t="str">
        <f t="shared" si="57"/>
        <v>Young Adult | Low Spender | Lower</v>
      </c>
    </row>
    <row r="1819" spans="1:15" x14ac:dyDescent="0.25">
      <c r="A1819" s="1" t="s">
        <v>1849</v>
      </c>
      <c r="B1819" s="1">
        <v>47</v>
      </c>
      <c r="C1819" s="1" t="str" cm="1">
        <f t="array" ref="C1819">_xlfn.IFS(OR(B1819=" ", B1819="NA",NOT(ISNUMBER(B1819))), "Unknown",B1819&lt;18,"Underage",B1819&lt;=24,"Young Adult",B1819&lt;=34,"Early Career",B1819&lt;=44,"Mid Career",B1819&lt;=54,"Mature",B1819&lt;=65,"Pre-Senior",B1819&gt;65,"Senior")</f>
        <v>Mature</v>
      </c>
      <c r="D1819" s="1" t="s">
        <v>18</v>
      </c>
      <c r="E1819" s="1" t="s">
        <v>23</v>
      </c>
      <c r="G1819" s="1">
        <v>64</v>
      </c>
      <c r="H1819" s="1" t="str" cm="1">
        <f t="array" ref="H1819">_xlfn.IFS( OR(G1819=" ",NOT(ISNUMBER(G1819))),"Unknown",G1819&lt;=33,"Low Spender",G1819&lt;=66,"Medium Spender",TRUE, "High Spender")</f>
        <v>Medium Spender</v>
      </c>
      <c r="I1819" s="1">
        <v>17</v>
      </c>
      <c r="J1819" s="1">
        <v>11900</v>
      </c>
      <c r="K1819" s="1">
        <v>169</v>
      </c>
      <c r="M1819" s="1" t="s">
        <v>30</v>
      </c>
      <c r="N1819" s="1" t="str">
        <f t="shared" si="56"/>
        <v>Higher</v>
      </c>
      <c r="O1819" s="1" t="str">
        <f t="shared" si="57"/>
        <v>Mature | Medium Spender | Higher</v>
      </c>
    </row>
    <row r="1820" spans="1:15" x14ac:dyDescent="0.25">
      <c r="A1820" s="1" t="s">
        <v>1850</v>
      </c>
      <c r="B1820" s="1">
        <v>66</v>
      </c>
      <c r="C1820" s="1" t="str" cm="1">
        <f t="array" ref="C1820">_xlfn.IFS(OR(B1820=" ", B1820="NA",NOT(ISNUMBER(B1820))), "Unknown",B1820&lt;18,"Underage",B1820&lt;=24,"Young Adult",B1820&lt;=34,"Early Career",B1820&lt;=44,"Mid Career",B1820&lt;=54,"Mature",B1820&lt;=65,"Pre-Senior",B1820&gt;65,"Senior")</f>
        <v>Senior</v>
      </c>
      <c r="D1820" s="1" t="s">
        <v>29</v>
      </c>
      <c r="F1820" s="1">
        <v>150000</v>
      </c>
      <c r="G1820" s="1">
        <v>22</v>
      </c>
      <c r="H1820" s="1" t="str" cm="1">
        <f t="array" ref="H1820">_xlfn.IFS( OR(G1820=" ",NOT(ISNUMBER(G1820))),"Unknown",G1820&lt;=33,"Low Spender",G1820&lt;=66,"Medium Spender",TRUE, "High Spender")</f>
        <v>Low Spender</v>
      </c>
      <c r="I1820" s="1">
        <v>65</v>
      </c>
      <c r="J1820" s="1">
        <v>1600</v>
      </c>
      <c r="K1820" s="1">
        <v>269</v>
      </c>
      <c r="L1820" s="1" t="s">
        <v>35</v>
      </c>
      <c r="M1820" s="1" t="s">
        <v>30</v>
      </c>
      <c r="N1820" s="1" t="str">
        <f t="shared" si="56"/>
        <v>Higher</v>
      </c>
      <c r="O1820" s="1" t="str">
        <f t="shared" si="57"/>
        <v>Senior | Low Spender | Higher</v>
      </c>
    </row>
    <row r="1821" spans="1:15" x14ac:dyDescent="0.25">
      <c r="A1821" s="1" t="s">
        <v>1851</v>
      </c>
      <c r="B1821" s="1">
        <v>20</v>
      </c>
      <c r="C1821" s="1" t="str" cm="1">
        <f t="array" ref="C1821">_xlfn.IFS(OR(B1821=" ", B1821="NA",NOT(ISNUMBER(B1821))), "Unknown",B1821&lt;18,"Underage",B1821&lt;=24,"Young Adult",B1821&lt;=34,"Early Career",B1821&lt;=44,"Mid Career",B1821&lt;=54,"Mature",B1821&lt;=65,"Pre-Senior",B1821&gt;65,"Senior")</f>
        <v>Young Adult</v>
      </c>
      <c r="D1821" s="1" t="s">
        <v>29</v>
      </c>
      <c r="F1821" s="1">
        <v>1225000</v>
      </c>
      <c r="G1821" s="1">
        <v>34</v>
      </c>
      <c r="H1821" s="1" t="str" cm="1">
        <f t="array" ref="H1821">_xlfn.IFS( OR(G1821=" ",NOT(ISNUMBER(G1821))),"Unknown",G1821&lt;=33,"Low Spender",G1821&lt;=66,"Medium Spender",TRUE, "High Spender")</f>
        <v>Medium Spender</v>
      </c>
      <c r="I1821" s="1">
        <v>77</v>
      </c>
      <c r="J1821" s="1">
        <v>9700</v>
      </c>
      <c r="K1821" s="1">
        <v>364</v>
      </c>
      <c r="L1821" s="1" t="s">
        <v>35</v>
      </c>
      <c r="M1821" s="1" t="s">
        <v>41</v>
      </c>
      <c r="N1821" s="1" t="str">
        <f t="shared" si="56"/>
        <v>Higher</v>
      </c>
      <c r="O1821" s="1" t="str">
        <f t="shared" si="57"/>
        <v>Young Adult | Medium Spender | Higher</v>
      </c>
    </row>
    <row r="1822" spans="1:15" x14ac:dyDescent="0.25">
      <c r="A1822" s="1" t="s">
        <v>1852</v>
      </c>
      <c r="B1822" s="1">
        <v>62</v>
      </c>
      <c r="C1822" s="1" t="str" cm="1">
        <f t="array" ref="C1822">_xlfn.IFS(OR(B1822=" ", B1822="NA",NOT(ISNUMBER(B1822))), "Unknown",B1822&lt;18,"Underage",B1822&lt;=24,"Young Adult",B1822&lt;=34,"Early Career",B1822&lt;=44,"Mid Career",B1822&lt;=54,"Mature",B1822&lt;=65,"Pre-Senior",B1822&gt;65,"Senior")</f>
        <v>Pre-Senior</v>
      </c>
      <c r="D1822" s="1" t="s">
        <v>18</v>
      </c>
      <c r="E1822" s="1" t="s">
        <v>13</v>
      </c>
      <c r="F1822" s="1">
        <v>675000</v>
      </c>
      <c r="G1822" s="1">
        <v>56</v>
      </c>
      <c r="H1822" s="1" t="str" cm="1">
        <f t="array" ref="H1822">_xlfn.IFS( OR(G1822=" ",NOT(ISNUMBER(G1822))),"Unknown",G1822&lt;=33,"Low Spender",G1822&lt;=66,"Medium Spender",TRUE, "High Spender")</f>
        <v>Medium Spender</v>
      </c>
      <c r="I1822" s="1">
        <v>56</v>
      </c>
      <c r="J1822" s="1">
        <v>9400</v>
      </c>
      <c r="K1822" s="1">
        <v>112</v>
      </c>
      <c r="L1822" s="1" t="s">
        <v>37</v>
      </c>
      <c r="N1822" s="1" t="str">
        <f t="shared" si="56"/>
        <v>Higher</v>
      </c>
      <c r="O1822" s="1" t="str">
        <f t="shared" si="57"/>
        <v>Pre-Senior | Medium Spender | Higher</v>
      </c>
    </row>
    <row r="1823" spans="1:15" x14ac:dyDescent="0.25">
      <c r="A1823" s="1" t="s">
        <v>1853</v>
      </c>
      <c r="B1823" s="1">
        <v>31</v>
      </c>
      <c r="C1823" s="1" t="str" cm="1">
        <f t="array" ref="C1823">_xlfn.IFS(OR(B1823=" ", B1823="NA",NOT(ISNUMBER(B1823))), "Unknown",B1823&lt;18,"Underage",B1823&lt;=24,"Young Adult",B1823&lt;=34,"Early Career",B1823&lt;=44,"Mid Career",B1823&lt;=54,"Mature",B1823&lt;=65,"Pre-Senior",B1823&gt;65,"Senior")</f>
        <v>Early Career</v>
      </c>
      <c r="D1823" s="1" t="s">
        <v>29</v>
      </c>
      <c r="E1823" s="1" t="s">
        <v>15</v>
      </c>
      <c r="F1823" s="1">
        <v>1075000</v>
      </c>
      <c r="G1823" s="1">
        <v>17</v>
      </c>
      <c r="H1823" s="1" t="str" cm="1">
        <f t="array" ref="H1823">_xlfn.IFS( OR(G1823=" ",NOT(ISNUMBER(G1823))),"Unknown",G1823&lt;=33,"Low Spender",G1823&lt;=66,"Medium Spender",TRUE, "High Spender")</f>
        <v>Low Spender</v>
      </c>
      <c r="I1823" s="1">
        <v>41</v>
      </c>
      <c r="J1823" s="1">
        <v>10200</v>
      </c>
      <c r="K1823" s="1">
        <v>100</v>
      </c>
      <c r="L1823" s="1" t="s">
        <v>35</v>
      </c>
      <c r="M1823" s="1" t="s">
        <v>41</v>
      </c>
      <c r="N1823" s="1" t="str">
        <f t="shared" si="56"/>
        <v>Higher</v>
      </c>
      <c r="O1823" s="1" t="str">
        <f t="shared" si="57"/>
        <v>Early Career | Low Spender | Higher</v>
      </c>
    </row>
    <row r="1824" spans="1:15" x14ac:dyDescent="0.25">
      <c r="A1824" s="1" t="s">
        <v>1854</v>
      </c>
      <c r="B1824" s="1">
        <v>47</v>
      </c>
      <c r="C1824" s="1" t="str" cm="1">
        <f t="array" ref="C1824">_xlfn.IFS(OR(B1824=" ", B1824="NA",NOT(ISNUMBER(B1824))), "Unknown",B1824&lt;18,"Underage",B1824&lt;=24,"Young Adult",B1824&lt;=34,"Early Career",B1824&lt;=44,"Mid Career",B1824&lt;=54,"Mature",B1824&lt;=65,"Pre-Senior",B1824&gt;65,"Senior")</f>
        <v>Mature</v>
      </c>
      <c r="D1824" s="1" t="s">
        <v>18</v>
      </c>
      <c r="F1824" s="1">
        <v>600000</v>
      </c>
      <c r="G1824" s="1">
        <v>76</v>
      </c>
      <c r="H1824" s="1" t="str" cm="1">
        <f t="array" ref="H1824">_xlfn.IFS( OR(G1824=" ",NOT(ISNUMBER(G1824))),"Unknown",G1824&lt;=33,"Low Spender",G1824&lt;=66,"Medium Spender",TRUE, "High Spender")</f>
        <v>High Spender</v>
      </c>
      <c r="I1824" s="1">
        <v>42</v>
      </c>
      <c r="J1824" s="1">
        <v>4600</v>
      </c>
      <c r="K1824" s="1">
        <v>215</v>
      </c>
      <c r="L1824" s="1" t="s">
        <v>37</v>
      </c>
      <c r="M1824" s="1" t="s">
        <v>30</v>
      </c>
      <c r="N1824" s="1" t="str">
        <f t="shared" si="56"/>
        <v>Higher</v>
      </c>
      <c r="O1824" s="1" t="str">
        <f t="shared" si="57"/>
        <v>Mature | High Spender | Higher</v>
      </c>
    </row>
    <row r="1825" spans="1:15" x14ac:dyDescent="0.25">
      <c r="A1825" s="1" t="s">
        <v>1855</v>
      </c>
      <c r="B1825" s="1">
        <v>67</v>
      </c>
      <c r="C1825" s="1" t="str" cm="1">
        <f t="array" ref="C1825">_xlfn.IFS(OR(B1825=" ", B1825="NA",NOT(ISNUMBER(B1825))), "Unknown",B1825&lt;18,"Underage",B1825&lt;=24,"Young Adult",B1825&lt;=34,"Early Career",B1825&lt;=44,"Mid Career",B1825&lt;=54,"Mature",B1825&lt;=65,"Pre-Senior",B1825&gt;65,"Senior")</f>
        <v>Senior</v>
      </c>
      <c r="D1825" s="1" t="s">
        <v>12</v>
      </c>
      <c r="E1825" s="1" t="s">
        <v>19</v>
      </c>
      <c r="F1825" s="1">
        <v>900000</v>
      </c>
      <c r="G1825" s="1">
        <v>89</v>
      </c>
      <c r="H1825" s="1" t="str" cm="1">
        <f t="array" ref="H1825">_xlfn.IFS( OR(G1825=" ",NOT(ISNUMBER(G1825))),"Unknown",G1825&lt;=33,"Low Spender",G1825&lt;=66,"Medium Spender",TRUE, "High Spender")</f>
        <v>High Spender</v>
      </c>
      <c r="I1825" s="1">
        <v>6</v>
      </c>
      <c r="J1825" s="1">
        <v>10400</v>
      </c>
      <c r="K1825" s="1">
        <v>113</v>
      </c>
      <c r="M1825" s="1" t="s">
        <v>41</v>
      </c>
      <c r="N1825" s="1" t="str">
        <f t="shared" si="56"/>
        <v>Lower</v>
      </c>
      <c r="O1825" s="1" t="str">
        <f t="shared" si="57"/>
        <v>Senior | High Spender | Lower</v>
      </c>
    </row>
    <row r="1826" spans="1:15" x14ac:dyDescent="0.25">
      <c r="A1826" s="1" t="s">
        <v>1856</v>
      </c>
      <c r="B1826" s="1">
        <v>21</v>
      </c>
      <c r="C1826" s="1" t="str" cm="1">
        <f t="array" ref="C1826">_xlfn.IFS(OR(B1826=" ", B1826="NA",NOT(ISNUMBER(B1826))), "Unknown",B1826&lt;18,"Underage",B1826&lt;=24,"Young Adult",B1826&lt;=34,"Early Career",B1826&lt;=44,"Mid Career",B1826&lt;=54,"Mature",B1826&lt;=65,"Pre-Senior",B1826&gt;65,"Senior")</f>
        <v>Young Adult</v>
      </c>
      <c r="F1826" s="1">
        <v>1800000</v>
      </c>
      <c r="G1826" s="1">
        <v>56</v>
      </c>
      <c r="H1826" s="1" t="str" cm="1">
        <f t="array" ref="H1826">_xlfn.IFS( OR(G1826=" ",NOT(ISNUMBER(G1826))),"Unknown",G1826&lt;=33,"Low Spender",G1826&lt;=66,"Medium Spender",TRUE, "High Spender")</f>
        <v>Medium Spender</v>
      </c>
      <c r="I1826" s="1">
        <v>69</v>
      </c>
      <c r="J1826" s="1">
        <v>8500</v>
      </c>
      <c r="K1826" s="1">
        <v>97</v>
      </c>
      <c r="N1826" s="1" t="str">
        <f t="shared" si="56"/>
        <v>Lower</v>
      </c>
      <c r="O1826" s="1" t="str">
        <f t="shared" si="57"/>
        <v>Young Adult | Medium Spender | Lower</v>
      </c>
    </row>
    <row r="1827" spans="1:15" x14ac:dyDescent="0.25">
      <c r="A1827" s="1" t="s">
        <v>1857</v>
      </c>
      <c r="B1827" s="1">
        <v>35</v>
      </c>
      <c r="C1827" s="1" t="str" cm="1">
        <f t="array" ref="C1827">_xlfn.IFS(OR(B1827=" ", B1827="NA",NOT(ISNUMBER(B1827))), "Unknown",B1827&lt;18,"Underage",B1827&lt;=24,"Young Adult",B1827&lt;=34,"Early Career",B1827&lt;=44,"Mid Career",B1827&lt;=54,"Mature",B1827&lt;=65,"Pre-Senior",B1827&gt;65,"Senior")</f>
        <v>Mid Career</v>
      </c>
      <c r="D1827" s="1" t="s">
        <v>29</v>
      </c>
      <c r="E1827" s="1" t="s">
        <v>15</v>
      </c>
      <c r="F1827" s="1">
        <v>1175000</v>
      </c>
      <c r="G1827" s="1">
        <v>17</v>
      </c>
      <c r="H1827" s="1" t="str" cm="1">
        <f t="array" ref="H1827">_xlfn.IFS( OR(G1827=" ",NOT(ISNUMBER(G1827))),"Unknown",G1827&lt;=33,"Low Spender",G1827&lt;=66,"Medium Spender",TRUE, "High Spender")</f>
        <v>Low Spender</v>
      </c>
      <c r="I1827" s="1">
        <v>75</v>
      </c>
      <c r="J1827" s="1">
        <v>4400</v>
      </c>
      <c r="K1827" s="1">
        <v>307</v>
      </c>
      <c r="N1827" s="1" t="str">
        <f t="shared" si="56"/>
        <v>Higher</v>
      </c>
      <c r="O1827" s="1" t="str">
        <f t="shared" si="57"/>
        <v>Mid Career | Low Spender | Higher</v>
      </c>
    </row>
    <row r="1828" spans="1:15" x14ac:dyDescent="0.25">
      <c r="A1828" s="1" t="s">
        <v>1858</v>
      </c>
      <c r="B1828" s="1">
        <v>54</v>
      </c>
      <c r="C1828" s="1" t="str" cm="1">
        <f t="array" ref="C1828">_xlfn.IFS(OR(B1828=" ", B1828="NA",NOT(ISNUMBER(B1828))), "Unknown",B1828&lt;18,"Underage",B1828&lt;=24,"Young Adult",B1828&lt;=34,"Early Career",B1828&lt;=44,"Mid Career",B1828&lt;=54,"Mature",B1828&lt;=65,"Pre-Senior",B1828&gt;65,"Senior")</f>
        <v>Mature</v>
      </c>
      <c r="E1828" s="1" t="s">
        <v>58</v>
      </c>
      <c r="F1828" s="1">
        <v>775000</v>
      </c>
      <c r="G1828" s="1">
        <v>74</v>
      </c>
      <c r="H1828" s="1" t="str" cm="1">
        <f t="array" ref="H1828">_xlfn.IFS( OR(G1828=" ",NOT(ISNUMBER(G1828))),"Unknown",G1828&lt;=33,"Low Spender",G1828&lt;=66,"Medium Spender",TRUE, "High Spender")</f>
        <v>High Spender</v>
      </c>
      <c r="I1828" s="1">
        <v>73</v>
      </c>
      <c r="J1828" s="1">
        <v>300</v>
      </c>
      <c r="K1828" s="1">
        <v>118</v>
      </c>
      <c r="L1828" s="1" t="s">
        <v>20</v>
      </c>
      <c r="M1828" s="1" t="s">
        <v>30</v>
      </c>
      <c r="N1828" s="1" t="str">
        <f t="shared" si="56"/>
        <v>Lower</v>
      </c>
      <c r="O1828" s="1" t="str">
        <f t="shared" si="57"/>
        <v>Mature | High Spender | Lower</v>
      </c>
    </row>
    <row r="1829" spans="1:15" x14ac:dyDescent="0.25">
      <c r="A1829" s="1" t="s">
        <v>1859</v>
      </c>
      <c r="B1829" s="1">
        <v>42</v>
      </c>
      <c r="C1829" s="1" t="str" cm="1">
        <f t="array" ref="C1829">_xlfn.IFS(OR(B1829=" ", B1829="NA",NOT(ISNUMBER(B1829))), "Unknown",B1829&lt;18,"Underage",B1829&lt;=24,"Young Adult",B1829&lt;=34,"Early Career",B1829&lt;=44,"Mid Career",B1829&lt;=54,"Mature",B1829&lt;=65,"Pre-Senior",B1829&gt;65,"Senior")</f>
        <v>Mid Career</v>
      </c>
      <c r="D1829" s="1" t="s">
        <v>29</v>
      </c>
      <c r="E1829" s="1" t="s">
        <v>49</v>
      </c>
      <c r="F1829" s="1">
        <v>450000</v>
      </c>
      <c r="G1829" s="1">
        <v>92</v>
      </c>
      <c r="H1829" s="1" t="str" cm="1">
        <f t="array" ref="H1829">_xlfn.IFS( OR(G1829=" ",NOT(ISNUMBER(G1829))),"Unknown",G1829&lt;=33,"Low Spender",G1829&lt;=66,"Medium Spender",TRUE, "High Spender")</f>
        <v>High Spender</v>
      </c>
      <c r="I1829" s="1">
        <v>40</v>
      </c>
      <c r="J1829" s="1">
        <v>2500</v>
      </c>
      <c r="K1829" s="1">
        <v>36</v>
      </c>
      <c r="L1829" s="1" t="s">
        <v>35</v>
      </c>
      <c r="N1829" s="1" t="str">
        <f t="shared" si="56"/>
        <v>Higher</v>
      </c>
      <c r="O1829" s="1" t="str">
        <f t="shared" si="57"/>
        <v>Mid Career | High Spender | Higher</v>
      </c>
    </row>
    <row r="1830" spans="1:15" x14ac:dyDescent="0.25">
      <c r="A1830" s="1" t="s">
        <v>1860</v>
      </c>
      <c r="B1830" s="1">
        <v>65</v>
      </c>
      <c r="C1830" s="1" t="str" cm="1">
        <f t="array" ref="C1830">_xlfn.IFS(OR(B1830=" ", B1830="NA",NOT(ISNUMBER(B1830))), "Unknown",B1830&lt;18,"Underage",B1830&lt;=24,"Young Adult",B1830&lt;=34,"Early Career",B1830&lt;=44,"Mid Career",B1830&lt;=54,"Mature",B1830&lt;=65,"Pre-Senior",B1830&gt;65,"Senior")</f>
        <v>Pre-Senior</v>
      </c>
      <c r="D1830" s="1" t="s">
        <v>12</v>
      </c>
      <c r="E1830" s="1" t="s">
        <v>49</v>
      </c>
      <c r="F1830" s="1">
        <v>1575000</v>
      </c>
      <c r="G1830" s="1">
        <v>82</v>
      </c>
      <c r="H1830" s="1" t="str" cm="1">
        <f t="array" ref="H1830">_xlfn.IFS( OR(G1830=" ",NOT(ISNUMBER(G1830))),"Unknown",G1830&lt;=33,"Low Spender",G1830&lt;=66,"Medium Spender",TRUE, "High Spender")</f>
        <v>High Spender</v>
      </c>
      <c r="I1830" s="1">
        <v>41</v>
      </c>
      <c r="K1830" s="1">
        <v>337</v>
      </c>
      <c r="M1830" s="1" t="s">
        <v>41</v>
      </c>
      <c r="N1830" s="1" t="str">
        <f t="shared" si="56"/>
        <v>Lower</v>
      </c>
      <c r="O1830" s="1" t="str">
        <f t="shared" si="57"/>
        <v>Pre-Senior | High Spender | Lower</v>
      </c>
    </row>
    <row r="1831" spans="1:15" x14ac:dyDescent="0.25">
      <c r="A1831" s="1" t="s">
        <v>1861</v>
      </c>
      <c r="B1831" s="1">
        <v>18</v>
      </c>
      <c r="C1831" s="1" t="str" cm="1">
        <f t="array" ref="C1831">_xlfn.IFS(OR(B1831=" ", B1831="NA",NOT(ISNUMBER(B1831))), "Unknown",B1831&lt;18,"Underage",B1831&lt;=24,"Young Adult",B1831&lt;=34,"Early Career",B1831&lt;=44,"Mid Career",B1831&lt;=54,"Mature",B1831&lt;=65,"Pre-Senior",B1831&gt;65,"Senior")</f>
        <v>Young Adult</v>
      </c>
      <c r="D1831" s="1" t="s">
        <v>29</v>
      </c>
      <c r="E1831" s="1" t="s">
        <v>15</v>
      </c>
      <c r="F1831" s="1">
        <v>575000</v>
      </c>
      <c r="G1831" s="1">
        <v>18</v>
      </c>
      <c r="H1831" s="1" t="str" cm="1">
        <f t="array" ref="H1831">_xlfn.IFS( OR(G1831=" ",NOT(ISNUMBER(G1831))),"Unknown",G1831&lt;=33,"Low Spender",G1831&lt;=66,"Medium Spender",TRUE, "High Spender")</f>
        <v>Low Spender</v>
      </c>
      <c r="I1831" s="1">
        <v>9</v>
      </c>
      <c r="J1831" s="1">
        <v>6600</v>
      </c>
      <c r="K1831" s="1">
        <v>359</v>
      </c>
      <c r="M1831" s="1" t="s">
        <v>32</v>
      </c>
      <c r="N1831" s="1" t="str">
        <f t="shared" si="56"/>
        <v>Higher</v>
      </c>
      <c r="O1831" s="1" t="str">
        <f t="shared" si="57"/>
        <v>Young Adult | Low Spender | Higher</v>
      </c>
    </row>
    <row r="1832" spans="1:15" x14ac:dyDescent="0.25">
      <c r="A1832" s="1" t="s">
        <v>1862</v>
      </c>
      <c r="C1832" s="1" t="str" cm="1">
        <f t="array" ref="C1832">_xlfn.IFS(OR(B1832=" ", B1832="NA",NOT(ISNUMBER(B1832))), "Unknown",B1832&lt;18,"Underage",B1832&lt;=24,"Young Adult",B1832&lt;=34,"Early Career",B1832&lt;=44,"Mid Career",B1832&lt;=54,"Mature",B1832&lt;=65,"Pre-Senior",B1832&gt;65,"Senior")</f>
        <v>Unknown</v>
      </c>
      <c r="E1832" s="1" t="s">
        <v>13</v>
      </c>
      <c r="F1832" s="1">
        <v>1800000</v>
      </c>
      <c r="G1832" s="1">
        <v>45</v>
      </c>
      <c r="H1832" s="1" t="str" cm="1">
        <f t="array" ref="H1832">_xlfn.IFS( OR(G1832=" ",NOT(ISNUMBER(G1832))),"Unknown",G1832&lt;=33,"Low Spender",G1832&lt;=66,"Medium Spender",TRUE, "High Spender")</f>
        <v>Medium Spender</v>
      </c>
      <c r="I1832" s="1">
        <v>8</v>
      </c>
      <c r="J1832" s="1">
        <v>3000</v>
      </c>
      <c r="K1832" s="1">
        <v>290</v>
      </c>
      <c r="N1832" s="1" t="str">
        <f t="shared" si="56"/>
        <v>Lower</v>
      </c>
      <c r="O1832" s="1" t="str">
        <f t="shared" si="57"/>
        <v>Unknown | Medium Spender | Lower</v>
      </c>
    </row>
    <row r="1833" spans="1:15" x14ac:dyDescent="0.25">
      <c r="A1833" s="1" t="s">
        <v>1863</v>
      </c>
      <c r="B1833" s="1">
        <v>63</v>
      </c>
      <c r="C1833" s="1" t="str" cm="1">
        <f t="array" ref="C1833">_xlfn.IFS(OR(B1833=" ", B1833="NA",NOT(ISNUMBER(B1833))), "Unknown",B1833&lt;18,"Underage",B1833&lt;=24,"Young Adult",B1833&lt;=34,"Early Career",B1833&lt;=44,"Mid Career",B1833&lt;=54,"Mature",B1833&lt;=65,"Pre-Senior",B1833&gt;65,"Senior")</f>
        <v>Pre-Senior</v>
      </c>
      <c r="D1833" s="1" t="s">
        <v>18</v>
      </c>
      <c r="F1833" s="1">
        <v>200000</v>
      </c>
      <c r="G1833" s="1">
        <v>96</v>
      </c>
      <c r="H1833" s="1" t="str" cm="1">
        <f t="array" ref="H1833">_xlfn.IFS( OR(G1833=" ",NOT(ISNUMBER(G1833))),"Unknown",G1833&lt;=33,"Low Spender",G1833&lt;=66,"Medium Spender",TRUE, "High Spender")</f>
        <v>High Spender</v>
      </c>
      <c r="I1833" s="1">
        <v>44</v>
      </c>
      <c r="J1833" s="1">
        <v>11400</v>
      </c>
      <c r="K1833" s="1">
        <v>304</v>
      </c>
      <c r="L1833" s="1" t="s">
        <v>16</v>
      </c>
      <c r="M1833" s="1" t="s">
        <v>41</v>
      </c>
      <c r="N1833" s="1" t="str">
        <f t="shared" si="56"/>
        <v>Higher</v>
      </c>
      <c r="O1833" s="1" t="str">
        <f t="shared" si="57"/>
        <v>Pre-Senior | High Spender | Higher</v>
      </c>
    </row>
    <row r="1834" spans="1:15" x14ac:dyDescent="0.25">
      <c r="A1834" s="1" t="s">
        <v>1864</v>
      </c>
      <c r="B1834" s="1">
        <v>32</v>
      </c>
      <c r="C1834" s="1" t="str" cm="1">
        <f t="array" ref="C1834">_xlfn.IFS(OR(B1834=" ", B1834="NA",NOT(ISNUMBER(B1834))), "Unknown",B1834&lt;18,"Underage",B1834&lt;=24,"Young Adult",B1834&lt;=34,"Early Career",B1834&lt;=44,"Mid Career",B1834&lt;=54,"Mature",B1834&lt;=65,"Pre-Senior",B1834&gt;65,"Senior")</f>
        <v>Early Career</v>
      </c>
      <c r="D1834" s="1" t="s">
        <v>18</v>
      </c>
      <c r="E1834" s="1" t="s">
        <v>23</v>
      </c>
      <c r="F1834" s="1">
        <v>1500000</v>
      </c>
      <c r="G1834" s="1">
        <v>78</v>
      </c>
      <c r="H1834" s="1" t="str" cm="1">
        <f t="array" ref="H1834">_xlfn.IFS( OR(G1834=" ",NOT(ISNUMBER(G1834))),"Unknown",G1834&lt;=33,"Low Spender",G1834&lt;=66,"Medium Spender",TRUE, "High Spender")</f>
        <v>High Spender</v>
      </c>
      <c r="I1834" s="1">
        <v>58</v>
      </c>
      <c r="J1834" s="1">
        <v>600</v>
      </c>
      <c r="K1834" s="1">
        <v>360</v>
      </c>
      <c r="L1834" s="1" t="s">
        <v>16</v>
      </c>
      <c r="M1834" s="1" t="s">
        <v>41</v>
      </c>
      <c r="N1834" s="1" t="str">
        <f t="shared" si="56"/>
        <v>Higher</v>
      </c>
      <c r="O1834" s="1" t="str">
        <f t="shared" si="57"/>
        <v>Early Career | High Spender | Higher</v>
      </c>
    </row>
    <row r="1835" spans="1:15" x14ac:dyDescent="0.25">
      <c r="A1835" s="1" t="s">
        <v>1865</v>
      </c>
      <c r="B1835" s="1">
        <v>26</v>
      </c>
      <c r="C1835" s="1" t="str" cm="1">
        <f t="array" ref="C1835">_xlfn.IFS(OR(B1835=" ", B1835="NA",NOT(ISNUMBER(B1835))), "Unknown",B1835&lt;18,"Underage",B1835&lt;=24,"Young Adult",B1835&lt;=34,"Early Career",B1835&lt;=44,"Mid Career",B1835&lt;=54,"Mature",B1835&lt;=65,"Pre-Senior",B1835&gt;65,"Senior")</f>
        <v>Early Career</v>
      </c>
      <c r="E1835" s="1" t="s">
        <v>13</v>
      </c>
      <c r="F1835" s="1">
        <v>1575000</v>
      </c>
      <c r="G1835" s="1">
        <v>56</v>
      </c>
      <c r="H1835" s="1" t="str" cm="1">
        <f t="array" ref="H1835">_xlfn.IFS( OR(G1835=" ",NOT(ISNUMBER(G1835))),"Unknown",G1835&lt;=33,"Low Spender",G1835&lt;=66,"Medium Spender",TRUE, "High Spender")</f>
        <v>Medium Spender</v>
      </c>
      <c r="I1835" s="1">
        <v>67</v>
      </c>
      <c r="J1835" s="1">
        <v>4300</v>
      </c>
      <c r="K1835" s="1">
        <v>347</v>
      </c>
      <c r="M1835" s="1" t="s">
        <v>41</v>
      </c>
      <c r="N1835" s="1" t="str">
        <f t="shared" si="56"/>
        <v>Lower</v>
      </c>
      <c r="O1835" s="1" t="str">
        <f t="shared" si="57"/>
        <v>Early Career | Medium Spender | Lower</v>
      </c>
    </row>
    <row r="1836" spans="1:15" x14ac:dyDescent="0.25">
      <c r="A1836" s="1" t="s">
        <v>1866</v>
      </c>
      <c r="B1836" s="1">
        <v>32</v>
      </c>
      <c r="C1836" s="1" t="str" cm="1">
        <f t="array" ref="C1836">_xlfn.IFS(OR(B1836=" ", B1836="NA",NOT(ISNUMBER(B1836))), "Unknown",B1836&lt;18,"Underage",B1836&lt;=24,"Young Adult",B1836&lt;=34,"Early Career",B1836&lt;=44,"Mid Career",B1836&lt;=54,"Mature",B1836&lt;=65,"Pre-Senior",B1836&gt;65,"Senior")</f>
        <v>Early Career</v>
      </c>
      <c r="D1836" s="1" t="s">
        <v>29</v>
      </c>
      <c r="E1836" s="1" t="s">
        <v>15</v>
      </c>
      <c r="F1836" s="1">
        <v>1700000</v>
      </c>
      <c r="G1836" s="1">
        <v>80</v>
      </c>
      <c r="H1836" s="1" t="str" cm="1">
        <f t="array" ref="H1836">_xlfn.IFS( OR(G1836=" ",NOT(ISNUMBER(G1836))),"Unknown",G1836&lt;=33,"Low Spender",G1836&lt;=66,"Medium Spender",TRUE, "High Spender")</f>
        <v>High Spender</v>
      </c>
      <c r="I1836" s="1">
        <v>13</v>
      </c>
      <c r="J1836" s="1">
        <v>6200</v>
      </c>
      <c r="K1836" s="1">
        <v>124</v>
      </c>
      <c r="L1836" s="1" t="s">
        <v>37</v>
      </c>
      <c r="N1836" s="1" t="str">
        <f t="shared" si="56"/>
        <v>Higher</v>
      </c>
      <c r="O1836" s="1" t="str">
        <f t="shared" si="57"/>
        <v>Early Career | High Spender | Higher</v>
      </c>
    </row>
    <row r="1837" spans="1:15" x14ac:dyDescent="0.25">
      <c r="A1837" s="1" t="s">
        <v>1867</v>
      </c>
      <c r="B1837" s="1">
        <v>66</v>
      </c>
      <c r="C1837" s="1" t="str" cm="1">
        <f t="array" ref="C1837">_xlfn.IFS(OR(B1837=" ", B1837="NA",NOT(ISNUMBER(B1837))), "Unknown",B1837&lt;18,"Underage",B1837&lt;=24,"Young Adult",B1837&lt;=34,"Early Career",B1837&lt;=44,"Mid Career",B1837&lt;=54,"Mature",B1837&lt;=65,"Pre-Senior",B1837&gt;65,"Senior")</f>
        <v>Senior</v>
      </c>
      <c r="D1837" s="1" t="s">
        <v>12</v>
      </c>
      <c r="F1837" s="1">
        <v>1425000</v>
      </c>
      <c r="G1837" s="1">
        <v>50</v>
      </c>
      <c r="H1837" s="1" t="str" cm="1">
        <f t="array" ref="H1837">_xlfn.IFS( OR(G1837=" ",NOT(ISNUMBER(G1837))),"Unknown",G1837&lt;=33,"Low Spender",G1837&lt;=66,"Medium Spender",TRUE, "High Spender")</f>
        <v>Medium Spender</v>
      </c>
      <c r="I1837" s="1">
        <v>19</v>
      </c>
      <c r="J1837" s="1">
        <v>2000</v>
      </c>
      <c r="K1837" s="1">
        <v>40</v>
      </c>
      <c r="L1837" s="1" t="s">
        <v>20</v>
      </c>
      <c r="M1837" s="1" t="s">
        <v>32</v>
      </c>
      <c r="N1837" s="1" t="str">
        <f t="shared" si="56"/>
        <v>Lower</v>
      </c>
      <c r="O1837" s="1" t="str">
        <f t="shared" si="57"/>
        <v>Senior | Medium Spender | Lower</v>
      </c>
    </row>
    <row r="1838" spans="1:15" x14ac:dyDescent="0.25">
      <c r="A1838" s="1" t="s">
        <v>1868</v>
      </c>
      <c r="B1838" s="1">
        <v>41</v>
      </c>
      <c r="C1838" s="1" t="str" cm="1">
        <f t="array" ref="C1838">_xlfn.IFS(OR(B1838=" ", B1838="NA",NOT(ISNUMBER(B1838))), "Unknown",B1838&lt;18,"Underage",B1838&lt;=24,"Young Adult",B1838&lt;=34,"Early Career",B1838&lt;=44,"Mid Career",B1838&lt;=54,"Mature",B1838&lt;=65,"Pre-Senior",B1838&gt;65,"Senior")</f>
        <v>Mid Career</v>
      </c>
      <c r="D1838" s="1" t="s">
        <v>18</v>
      </c>
      <c r="F1838" s="1">
        <v>725000</v>
      </c>
      <c r="G1838" s="1">
        <v>58</v>
      </c>
      <c r="H1838" s="1" t="str" cm="1">
        <f t="array" ref="H1838">_xlfn.IFS( OR(G1838=" ",NOT(ISNUMBER(G1838))),"Unknown",G1838&lt;=33,"Low Spender",G1838&lt;=66,"Medium Spender",TRUE, "High Spender")</f>
        <v>Medium Spender</v>
      </c>
      <c r="I1838" s="1">
        <v>49</v>
      </c>
      <c r="J1838" s="1">
        <v>6500</v>
      </c>
      <c r="K1838" s="1">
        <v>141</v>
      </c>
      <c r="M1838" s="1" t="s">
        <v>30</v>
      </c>
      <c r="N1838" s="1" t="str">
        <f t="shared" si="56"/>
        <v>Higher</v>
      </c>
      <c r="O1838" s="1" t="str">
        <f t="shared" si="57"/>
        <v>Mid Career | Medium Spender | Higher</v>
      </c>
    </row>
    <row r="1839" spans="1:15" x14ac:dyDescent="0.25">
      <c r="A1839" s="1" t="s">
        <v>1869</v>
      </c>
      <c r="B1839" s="1">
        <v>21</v>
      </c>
      <c r="C1839" s="1" t="str" cm="1">
        <f t="array" ref="C1839">_xlfn.IFS(OR(B1839=" ", B1839="NA",NOT(ISNUMBER(B1839))), "Unknown",B1839&lt;18,"Underage",B1839&lt;=24,"Young Adult",B1839&lt;=34,"Early Career",B1839&lt;=44,"Mid Career",B1839&lt;=54,"Mature",B1839&lt;=65,"Pre-Senior",B1839&gt;65,"Senior")</f>
        <v>Young Adult</v>
      </c>
      <c r="D1839" s="1" t="s">
        <v>29</v>
      </c>
      <c r="E1839" s="1" t="s">
        <v>27</v>
      </c>
      <c r="F1839" s="1">
        <v>1925000</v>
      </c>
      <c r="G1839" s="1">
        <v>18</v>
      </c>
      <c r="H1839" s="1" t="str" cm="1">
        <f t="array" ref="H1839">_xlfn.IFS( OR(G1839=" ",NOT(ISNUMBER(G1839))),"Unknown",G1839&lt;=33,"Low Spender",G1839&lt;=66,"Medium Spender",TRUE, "High Spender")</f>
        <v>Low Spender</v>
      </c>
      <c r="J1839" s="1">
        <v>6300</v>
      </c>
      <c r="K1839" s="1">
        <v>26</v>
      </c>
      <c r="L1839" s="1" t="s">
        <v>16</v>
      </c>
      <c r="M1839" s="1" t="s">
        <v>30</v>
      </c>
      <c r="N1839" s="1" t="str">
        <f t="shared" si="56"/>
        <v>Higher</v>
      </c>
      <c r="O1839" s="1" t="str">
        <f t="shared" si="57"/>
        <v>Young Adult | Low Spender | Higher</v>
      </c>
    </row>
    <row r="1840" spans="1:15" x14ac:dyDescent="0.25">
      <c r="A1840" s="1" t="s">
        <v>1870</v>
      </c>
      <c r="B1840" s="1">
        <v>29</v>
      </c>
      <c r="C1840" s="1" t="str" cm="1">
        <f t="array" ref="C1840">_xlfn.IFS(OR(B1840=" ", B1840="NA",NOT(ISNUMBER(B1840))), "Unknown",B1840&lt;18,"Underage",B1840&lt;=24,"Young Adult",B1840&lt;=34,"Early Career",B1840&lt;=44,"Mid Career",B1840&lt;=54,"Mature",B1840&lt;=65,"Pre-Senior",B1840&gt;65,"Senior")</f>
        <v>Early Career</v>
      </c>
      <c r="D1840" s="1" t="s">
        <v>29</v>
      </c>
      <c r="E1840" s="1" t="s">
        <v>34</v>
      </c>
      <c r="F1840" s="1">
        <v>350000</v>
      </c>
      <c r="G1840" s="1">
        <v>80</v>
      </c>
      <c r="H1840" s="1" t="str" cm="1">
        <f t="array" ref="H1840">_xlfn.IFS( OR(G1840=" ",NOT(ISNUMBER(G1840))),"Unknown",G1840&lt;=33,"Low Spender",G1840&lt;=66,"Medium Spender",TRUE, "High Spender")</f>
        <v>High Spender</v>
      </c>
      <c r="I1840" s="1">
        <v>78</v>
      </c>
      <c r="J1840" s="1">
        <v>5100</v>
      </c>
      <c r="K1840" s="1">
        <v>142</v>
      </c>
      <c r="L1840" s="1" t="s">
        <v>20</v>
      </c>
      <c r="N1840" s="1" t="str">
        <f t="shared" si="56"/>
        <v>Higher</v>
      </c>
      <c r="O1840" s="1" t="str">
        <f t="shared" si="57"/>
        <v>Early Career | High Spender | Higher</v>
      </c>
    </row>
    <row r="1841" spans="1:15" x14ac:dyDescent="0.25">
      <c r="A1841" s="1" t="s">
        <v>1871</v>
      </c>
      <c r="B1841" s="1">
        <v>54</v>
      </c>
      <c r="C1841" s="1" t="str" cm="1">
        <f t="array" ref="C1841">_xlfn.IFS(OR(B1841=" ", B1841="NA",NOT(ISNUMBER(B1841))), "Unknown",B1841&lt;18,"Underage",B1841&lt;=24,"Young Adult",B1841&lt;=34,"Early Career",B1841&lt;=44,"Mid Career",B1841&lt;=54,"Mature",B1841&lt;=65,"Pre-Senior",B1841&gt;65,"Senior")</f>
        <v>Mature</v>
      </c>
      <c r="D1841" s="1" t="s">
        <v>12</v>
      </c>
      <c r="E1841" s="1" t="s">
        <v>49</v>
      </c>
      <c r="F1841" s="1">
        <v>1050000</v>
      </c>
      <c r="G1841" s="1">
        <v>81</v>
      </c>
      <c r="H1841" s="1" t="str" cm="1">
        <f t="array" ref="H1841">_xlfn.IFS( OR(G1841=" ",NOT(ISNUMBER(G1841))),"Unknown",G1841&lt;=33,"Low Spender",G1841&lt;=66,"Medium Spender",TRUE, "High Spender")</f>
        <v>High Spender</v>
      </c>
      <c r="I1841" s="1">
        <v>30</v>
      </c>
      <c r="J1841" s="1">
        <v>4900</v>
      </c>
      <c r="K1841" s="1">
        <v>352</v>
      </c>
      <c r="N1841" s="1" t="str">
        <f t="shared" si="56"/>
        <v>Lower</v>
      </c>
      <c r="O1841" s="1" t="str">
        <f t="shared" si="57"/>
        <v>Mature | High Spender | Lower</v>
      </c>
    </row>
    <row r="1842" spans="1:15" x14ac:dyDescent="0.25">
      <c r="A1842" s="1" t="s">
        <v>1872</v>
      </c>
      <c r="B1842" s="1">
        <v>54</v>
      </c>
      <c r="C1842" s="1" t="str" cm="1">
        <f t="array" ref="C1842">_xlfn.IFS(OR(B1842=" ", B1842="NA",NOT(ISNUMBER(B1842))), "Unknown",B1842&lt;18,"Underage",B1842&lt;=24,"Young Adult",B1842&lt;=34,"Early Career",B1842&lt;=44,"Mid Career",B1842&lt;=54,"Mature",B1842&lt;=65,"Pre-Senior",B1842&gt;65,"Senior")</f>
        <v>Mature</v>
      </c>
      <c r="D1842" s="1" t="s">
        <v>18</v>
      </c>
      <c r="E1842" s="1" t="s">
        <v>15</v>
      </c>
      <c r="F1842" s="1">
        <v>1450000</v>
      </c>
      <c r="G1842" s="1">
        <v>7</v>
      </c>
      <c r="H1842" s="1" t="str" cm="1">
        <f t="array" ref="H1842">_xlfn.IFS( OR(G1842=" ",NOT(ISNUMBER(G1842))),"Unknown",G1842&lt;=33,"Low Spender",G1842&lt;=66,"Medium Spender",TRUE, "High Spender")</f>
        <v>Low Spender</v>
      </c>
      <c r="I1842" s="1">
        <v>66</v>
      </c>
      <c r="J1842" s="1">
        <v>11700</v>
      </c>
      <c r="K1842" s="1">
        <v>336</v>
      </c>
      <c r="M1842" s="1" t="s">
        <v>21</v>
      </c>
      <c r="N1842" s="1" t="str">
        <f t="shared" si="56"/>
        <v>Higher</v>
      </c>
      <c r="O1842" s="1" t="str">
        <f t="shared" si="57"/>
        <v>Mature | Low Spender | Higher</v>
      </c>
    </row>
    <row r="1843" spans="1:15" x14ac:dyDescent="0.25">
      <c r="A1843" s="1" t="s">
        <v>1873</v>
      </c>
      <c r="B1843" s="1">
        <v>60</v>
      </c>
      <c r="C1843" s="1" t="str" cm="1">
        <f t="array" ref="C1843">_xlfn.IFS(OR(B1843=" ", B1843="NA",NOT(ISNUMBER(B1843))), "Unknown",B1843&lt;18,"Underage",B1843&lt;=24,"Young Adult",B1843&lt;=34,"Early Career",B1843&lt;=44,"Mid Career",B1843&lt;=54,"Mature",B1843&lt;=65,"Pre-Senior",B1843&gt;65,"Senior")</f>
        <v>Pre-Senior</v>
      </c>
      <c r="E1843" s="1" t="s">
        <v>23</v>
      </c>
      <c r="F1843" s="1">
        <v>725000</v>
      </c>
      <c r="G1843" s="1">
        <v>76</v>
      </c>
      <c r="H1843" s="1" t="str" cm="1">
        <f t="array" ref="H1843">_xlfn.IFS( OR(G1843=" ",NOT(ISNUMBER(G1843))),"Unknown",G1843&lt;=33,"Low Spender",G1843&lt;=66,"Medium Spender",TRUE, "High Spender")</f>
        <v>High Spender</v>
      </c>
      <c r="I1843" s="1">
        <v>77</v>
      </c>
      <c r="J1843" s="1">
        <v>4100</v>
      </c>
      <c r="K1843" s="1">
        <v>57</v>
      </c>
      <c r="L1843" s="1" t="s">
        <v>37</v>
      </c>
      <c r="N1843" s="1" t="str">
        <f t="shared" si="56"/>
        <v>Lower</v>
      </c>
      <c r="O1843" s="1" t="str">
        <f t="shared" si="57"/>
        <v>Pre-Senior | High Spender | Lower</v>
      </c>
    </row>
    <row r="1844" spans="1:15" x14ac:dyDescent="0.25">
      <c r="A1844" s="1" t="s">
        <v>1874</v>
      </c>
      <c r="B1844" s="1">
        <v>23</v>
      </c>
      <c r="C1844" s="1" t="str" cm="1">
        <f t="array" ref="C1844">_xlfn.IFS(OR(B1844=" ", B1844="NA",NOT(ISNUMBER(B1844))), "Unknown",B1844&lt;18,"Underage",B1844&lt;=24,"Young Adult",B1844&lt;=34,"Early Career",B1844&lt;=44,"Mid Career",B1844&lt;=54,"Mature",B1844&lt;=65,"Pre-Senior",B1844&gt;65,"Senior")</f>
        <v>Young Adult</v>
      </c>
      <c r="D1844" s="1" t="s">
        <v>29</v>
      </c>
      <c r="E1844" s="1" t="s">
        <v>34</v>
      </c>
      <c r="F1844" s="1">
        <v>650000</v>
      </c>
      <c r="G1844" s="1">
        <v>98</v>
      </c>
      <c r="H1844" s="1" t="str" cm="1">
        <f t="array" ref="H1844">_xlfn.IFS( OR(G1844=" ",NOT(ISNUMBER(G1844))),"Unknown",G1844&lt;=33,"Low Spender",G1844&lt;=66,"Medium Spender",TRUE, "High Spender")</f>
        <v>High Spender</v>
      </c>
      <c r="I1844" s="1">
        <v>59</v>
      </c>
      <c r="J1844" s="1">
        <v>9100</v>
      </c>
      <c r="K1844" s="1">
        <v>150</v>
      </c>
      <c r="L1844" s="1" t="s">
        <v>20</v>
      </c>
      <c r="M1844" s="1" t="s">
        <v>32</v>
      </c>
      <c r="N1844" s="1" t="str">
        <f t="shared" si="56"/>
        <v>Higher</v>
      </c>
      <c r="O1844" s="1" t="str">
        <f t="shared" si="57"/>
        <v>Young Adult | High Spender | Higher</v>
      </c>
    </row>
    <row r="1845" spans="1:15" x14ac:dyDescent="0.25">
      <c r="A1845" s="1" t="s">
        <v>1875</v>
      </c>
      <c r="B1845" s="1">
        <v>56</v>
      </c>
      <c r="C1845" s="1" t="str" cm="1">
        <f t="array" ref="C1845">_xlfn.IFS(OR(B1845=" ", B1845="NA",NOT(ISNUMBER(B1845))), "Unknown",B1845&lt;18,"Underage",B1845&lt;=24,"Young Adult",B1845&lt;=34,"Early Career",B1845&lt;=44,"Mid Career",B1845&lt;=54,"Mature",B1845&lt;=65,"Pre-Senior",B1845&gt;65,"Senior")</f>
        <v>Pre-Senior</v>
      </c>
      <c r="D1845" s="1" t="s">
        <v>29</v>
      </c>
      <c r="E1845" s="1" t="s">
        <v>58</v>
      </c>
      <c r="F1845" s="1">
        <v>1125000</v>
      </c>
      <c r="G1845" s="1">
        <v>10</v>
      </c>
      <c r="H1845" s="1" t="str" cm="1">
        <f t="array" ref="H1845">_xlfn.IFS( OR(G1845=" ",NOT(ISNUMBER(G1845))),"Unknown",G1845&lt;=33,"Low Spender",G1845&lt;=66,"Medium Spender",TRUE, "High Spender")</f>
        <v>Low Spender</v>
      </c>
      <c r="I1845" s="1">
        <v>53</v>
      </c>
      <c r="J1845" s="1">
        <v>8400</v>
      </c>
      <c r="K1845" s="1">
        <v>205</v>
      </c>
      <c r="L1845" s="1" t="s">
        <v>16</v>
      </c>
      <c r="M1845" s="1" t="s">
        <v>41</v>
      </c>
      <c r="N1845" s="1" t="str">
        <f t="shared" si="56"/>
        <v>Higher</v>
      </c>
      <c r="O1845" s="1" t="str">
        <f t="shared" si="57"/>
        <v>Pre-Senior | Low Spender | Higher</v>
      </c>
    </row>
    <row r="1846" spans="1:15" x14ac:dyDescent="0.25">
      <c r="A1846" s="1" t="s">
        <v>1876</v>
      </c>
      <c r="B1846" s="1">
        <v>63</v>
      </c>
      <c r="C1846" s="1" t="str" cm="1">
        <f t="array" ref="C1846">_xlfn.IFS(OR(B1846=" ", B1846="NA",NOT(ISNUMBER(B1846))), "Unknown",B1846&lt;18,"Underage",B1846&lt;=24,"Young Adult",B1846&lt;=34,"Early Career",B1846&lt;=44,"Mid Career",B1846&lt;=54,"Mature",B1846&lt;=65,"Pre-Senior",B1846&gt;65,"Senior")</f>
        <v>Pre-Senior</v>
      </c>
      <c r="D1846" s="1" t="s">
        <v>18</v>
      </c>
      <c r="F1846" s="1">
        <v>1675000</v>
      </c>
      <c r="G1846" s="1">
        <v>69</v>
      </c>
      <c r="H1846" s="1" t="str" cm="1">
        <f t="array" ref="H1846">_xlfn.IFS( OR(G1846=" ",NOT(ISNUMBER(G1846))),"Unknown",G1846&lt;=33,"Low Spender",G1846&lt;=66,"Medium Spender",TRUE, "High Spender")</f>
        <v>High Spender</v>
      </c>
      <c r="I1846" s="1">
        <v>52</v>
      </c>
      <c r="J1846" s="1">
        <v>800</v>
      </c>
      <c r="K1846" s="1">
        <v>76</v>
      </c>
      <c r="N1846" s="1" t="str">
        <f t="shared" si="56"/>
        <v>Higher</v>
      </c>
      <c r="O1846" s="1" t="str">
        <f t="shared" si="57"/>
        <v>Pre-Senior | High Spender | Higher</v>
      </c>
    </row>
    <row r="1847" spans="1:15" x14ac:dyDescent="0.25">
      <c r="A1847" s="1" t="s">
        <v>1877</v>
      </c>
      <c r="B1847" s="1">
        <v>41</v>
      </c>
      <c r="C1847" s="1" t="str" cm="1">
        <f t="array" ref="C1847">_xlfn.IFS(OR(B1847=" ", B1847="NA",NOT(ISNUMBER(B1847))), "Unknown",B1847&lt;18,"Underage",B1847&lt;=24,"Young Adult",B1847&lt;=34,"Early Career",B1847&lt;=44,"Mid Career",B1847&lt;=54,"Mature",B1847&lt;=65,"Pre-Senior",B1847&gt;65,"Senior")</f>
        <v>Mid Career</v>
      </c>
      <c r="D1847" s="1" t="s">
        <v>29</v>
      </c>
      <c r="E1847" s="1" t="s">
        <v>27</v>
      </c>
      <c r="F1847" s="1">
        <v>1875000</v>
      </c>
      <c r="G1847" s="1">
        <v>85</v>
      </c>
      <c r="H1847" s="1" t="str" cm="1">
        <f t="array" ref="H1847">_xlfn.IFS( OR(G1847=" ",NOT(ISNUMBER(G1847))),"Unknown",G1847&lt;=33,"Low Spender",G1847&lt;=66,"Medium Spender",TRUE, "High Spender")</f>
        <v>High Spender</v>
      </c>
      <c r="J1847" s="1">
        <v>8500</v>
      </c>
      <c r="K1847" s="1">
        <v>285</v>
      </c>
      <c r="M1847" s="1" t="s">
        <v>41</v>
      </c>
      <c r="N1847" s="1" t="str">
        <f t="shared" si="56"/>
        <v>Higher</v>
      </c>
      <c r="O1847" s="1" t="str">
        <f t="shared" si="57"/>
        <v>Mid Career | High Spender | Higher</v>
      </c>
    </row>
    <row r="1848" spans="1:15" x14ac:dyDescent="0.25">
      <c r="A1848" s="1" t="s">
        <v>1878</v>
      </c>
      <c r="B1848" s="1">
        <v>28</v>
      </c>
      <c r="C1848" s="1" t="str" cm="1">
        <f t="array" ref="C1848">_xlfn.IFS(OR(B1848=" ", B1848="NA",NOT(ISNUMBER(B1848))), "Unknown",B1848&lt;18,"Underage",B1848&lt;=24,"Young Adult",B1848&lt;=34,"Early Career",B1848&lt;=44,"Mid Career",B1848&lt;=54,"Mature",B1848&lt;=65,"Pre-Senior",B1848&gt;65,"Senior")</f>
        <v>Early Career</v>
      </c>
      <c r="D1848" s="1" t="s">
        <v>29</v>
      </c>
      <c r="F1848" s="1">
        <v>1850000</v>
      </c>
      <c r="G1848" s="1">
        <v>3</v>
      </c>
      <c r="H1848" s="1" t="str" cm="1">
        <f t="array" ref="H1848">_xlfn.IFS( OR(G1848=" ",NOT(ISNUMBER(G1848))),"Unknown",G1848&lt;=33,"Low Spender",G1848&lt;=66,"Medium Spender",TRUE, "High Spender")</f>
        <v>Low Spender</v>
      </c>
      <c r="I1848" s="1">
        <v>31</v>
      </c>
      <c r="J1848" s="1">
        <v>5500</v>
      </c>
      <c r="K1848" s="1">
        <v>210</v>
      </c>
      <c r="L1848" s="1" t="s">
        <v>35</v>
      </c>
      <c r="N1848" s="1" t="str">
        <f t="shared" si="56"/>
        <v>Higher</v>
      </c>
      <c r="O1848" s="1" t="str">
        <f t="shared" si="57"/>
        <v>Early Career | Low Spender | Higher</v>
      </c>
    </row>
    <row r="1849" spans="1:15" x14ac:dyDescent="0.25">
      <c r="A1849" s="1" t="s">
        <v>1879</v>
      </c>
      <c r="B1849" s="1">
        <v>30</v>
      </c>
      <c r="C1849" s="1" t="str" cm="1">
        <f t="array" ref="C1849">_xlfn.IFS(OR(B1849=" ", B1849="NA",NOT(ISNUMBER(B1849))), "Unknown",B1849&lt;18,"Underage",B1849&lt;=24,"Young Adult",B1849&lt;=34,"Early Career",B1849&lt;=44,"Mid Career",B1849&lt;=54,"Mature",B1849&lt;=65,"Pre-Senior",B1849&gt;65,"Senior")</f>
        <v>Early Career</v>
      </c>
      <c r="D1849" s="1" t="s">
        <v>18</v>
      </c>
      <c r="E1849" s="1" t="s">
        <v>34</v>
      </c>
      <c r="F1849" s="1">
        <v>475000</v>
      </c>
      <c r="G1849" s="1">
        <v>83</v>
      </c>
      <c r="H1849" s="1" t="str" cm="1">
        <f t="array" ref="H1849">_xlfn.IFS( OR(G1849=" ",NOT(ISNUMBER(G1849))),"Unknown",G1849&lt;=33,"Low Spender",G1849&lt;=66,"Medium Spender",TRUE, "High Spender")</f>
        <v>High Spender</v>
      </c>
      <c r="I1849" s="1">
        <v>15</v>
      </c>
      <c r="J1849" s="1">
        <v>7800</v>
      </c>
      <c r="K1849" s="1">
        <v>258</v>
      </c>
      <c r="M1849" s="1" t="s">
        <v>30</v>
      </c>
      <c r="N1849" s="1" t="str">
        <f t="shared" si="56"/>
        <v>Higher</v>
      </c>
      <c r="O1849" s="1" t="str">
        <f t="shared" si="57"/>
        <v>Early Career | High Spender | Higher</v>
      </c>
    </row>
    <row r="1850" spans="1:15" x14ac:dyDescent="0.25">
      <c r="A1850" s="1" t="s">
        <v>1880</v>
      </c>
      <c r="B1850" s="1">
        <v>51</v>
      </c>
      <c r="C1850" s="1" t="str" cm="1">
        <f t="array" ref="C1850">_xlfn.IFS(OR(B1850=" ", B1850="NA",NOT(ISNUMBER(B1850))), "Unknown",B1850&lt;18,"Underage",B1850&lt;=24,"Young Adult",B1850&lt;=34,"Early Career",B1850&lt;=44,"Mid Career",B1850&lt;=54,"Mature",B1850&lt;=65,"Pre-Senior",B1850&gt;65,"Senior")</f>
        <v>Mature</v>
      </c>
      <c r="D1850" s="1" t="s">
        <v>18</v>
      </c>
      <c r="E1850" s="1" t="s">
        <v>34</v>
      </c>
      <c r="F1850" s="1">
        <v>1175000</v>
      </c>
      <c r="G1850" s="1">
        <v>44</v>
      </c>
      <c r="H1850" s="1" t="str" cm="1">
        <f t="array" ref="H1850">_xlfn.IFS( OR(G1850=" ",NOT(ISNUMBER(G1850))),"Unknown",G1850&lt;=33,"Low Spender",G1850&lt;=66,"Medium Spender",TRUE, "High Spender")</f>
        <v>Medium Spender</v>
      </c>
      <c r="I1850" s="1">
        <v>20</v>
      </c>
      <c r="J1850" s="1">
        <v>2700</v>
      </c>
      <c r="K1850" s="1">
        <v>259</v>
      </c>
      <c r="L1850" s="1" t="s">
        <v>16</v>
      </c>
      <c r="N1850" s="1" t="str">
        <f t="shared" si="56"/>
        <v>Higher</v>
      </c>
      <c r="O1850" s="1" t="str">
        <f t="shared" si="57"/>
        <v>Mature | Medium Spender | Higher</v>
      </c>
    </row>
    <row r="1851" spans="1:15" x14ac:dyDescent="0.25">
      <c r="A1851" s="1" t="s">
        <v>1881</v>
      </c>
      <c r="B1851" s="1">
        <v>42</v>
      </c>
      <c r="C1851" s="1" t="str" cm="1">
        <f t="array" ref="C1851">_xlfn.IFS(OR(B1851=" ", B1851="NA",NOT(ISNUMBER(B1851))), "Unknown",B1851&lt;18,"Underage",B1851&lt;=24,"Young Adult",B1851&lt;=34,"Early Career",B1851&lt;=44,"Mid Career",B1851&lt;=54,"Mature",B1851&lt;=65,"Pre-Senior",B1851&gt;65,"Senior")</f>
        <v>Mid Career</v>
      </c>
      <c r="D1851" s="1" t="s">
        <v>29</v>
      </c>
      <c r="F1851" s="1">
        <v>1375000</v>
      </c>
      <c r="G1851" s="1">
        <v>99</v>
      </c>
      <c r="H1851" s="1" t="str" cm="1">
        <f t="array" ref="H1851">_xlfn.IFS( OR(G1851=" ",NOT(ISNUMBER(G1851))),"Unknown",G1851&lt;=33,"Low Spender",G1851&lt;=66,"Medium Spender",TRUE, "High Spender")</f>
        <v>High Spender</v>
      </c>
      <c r="I1851" s="1">
        <v>5</v>
      </c>
      <c r="J1851" s="1">
        <v>10100</v>
      </c>
      <c r="K1851" s="1">
        <v>184</v>
      </c>
      <c r="N1851" s="1" t="str">
        <f t="shared" si="56"/>
        <v>Higher</v>
      </c>
      <c r="O1851" s="1" t="str">
        <f t="shared" si="57"/>
        <v>Mid Career | High Spender | Higher</v>
      </c>
    </row>
    <row r="1852" spans="1:15" x14ac:dyDescent="0.25">
      <c r="A1852" s="1" t="s">
        <v>1882</v>
      </c>
      <c r="B1852" s="1">
        <v>24</v>
      </c>
      <c r="C1852" s="1" t="str" cm="1">
        <f t="array" ref="C1852">_xlfn.IFS(OR(B1852=" ", B1852="NA",NOT(ISNUMBER(B1852))), "Unknown",B1852&lt;18,"Underage",B1852&lt;=24,"Young Adult",B1852&lt;=34,"Early Career",B1852&lt;=44,"Mid Career",B1852&lt;=54,"Mature",B1852&lt;=65,"Pre-Senior",B1852&gt;65,"Senior")</f>
        <v>Young Adult</v>
      </c>
      <c r="D1852" s="1" t="s">
        <v>12</v>
      </c>
      <c r="E1852" s="1" t="s">
        <v>23</v>
      </c>
      <c r="F1852" s="1">
        <v>1650000</v>
      </c>
      <c r="G1852" s="1">
        <v>70</v>
      </c>
      <c r="H1852" s="1" t="str" cm="1">
        <f t="array" ref="H1852">_xlfn.IFS( OR(G1852=" ",NOT(ISNUMBER(G1852))),"Unknown",G1852&lt;=33,"Low Spender",G1852&lt;=66,"Medium Spender",TRUE, "High Spender")</f>
        <v>High Spender</v>
      </c>
      <c r="I1852" s="1">
        <v>7</v>
      </c>
      <c r="J1852" s="1">
        <v>6700</v>
      </c>
      <c r="K1852" s="1">
        <v>328</v>
      </c>
      <c r="L1852" s="1" t="s">
        <v>16</v>
      </c>
      <c r="M1852" s="1" t="s">
        <v>32</v>
      </c>
      <c r="N1852" s="1" t="str">
        <f t="shared" si="56"/>
        <v>Lower</v>
      </c>
      <c r="O1852" s="1" t="str">
        <f t="shared" si="57"/>
        <v>Young Adult | High Spender | Lower</v>
      </c>
    </row>
    <row r="1853" spans="1:15" x14ac:dyDescent="0.25">
      <c r="A1853" s="1" t="s">
        <v>1883</v>
      </c>
      <c r="B1853" s="1">
        <v>69</v>
      </c>
      <c r="C1853" s="1" t="str" cm="1">
        <f t="array" ref="C1853">_xlfn.IFS(OR(B1853=" ", B1853="NA",NOT(ISNUMBER(B1853))), "Unknown",B1853&lt;18,"Underage",B1853&lt;=24,"Young Adult",B1853&lt;=34,"Early Career",B1853&lt;=44,"Mid Career",B1853&lt;=54,"Mature",B1853&lt;=65,"Pre-Senior",B1853&gt;65,"Senior")</f>
        <v>Senior</v>
      </c>
      <c r="E1853" s="1" t="s">
        <v>23</v>
      </c>
      <c r="F1853" s="1">
        <v>225000</v>
      </c>
      <c r="G1853" s="1">
        <v>14</v>
      </c>
      <c r="H1853" s="1" t="str" cm="1">
        <f t="array" ref="H1853">_xlfn.IFS( OR(G1853=" ",NOT(ISNUMBER(G1853))),"Unknown",G1853&lt;=33,"Low Spender",G1853&lt;=66,"Medium Spender",TRUE, "High Spender")</f>
        <v>Low Spender</v>
      </c>
      <c r="I1853" s="1">
        <v>18</v>
      </c>
      <c r="J1853" s="1">
        <v>700</v>
      </c>
      <c r="K1853" s="1">
        <v>11</v>
      </c>
      <c r="L1853" s="1" t="s">
        <v>35</v>
      </c>
      <c r="M1853" s="1" t="s">
        <v>30</v>
      </c>
      <c r="N1853" s="1" t="str">
        <f t="shared" si="56"/>
        <v>Lower</v>
      </c>
      <c r="O1853" s="1" t="str">
        <f t="shared" si="57"/>
        <v>Senior | Low Spender | Lower</v>
      </c>
    </row>
    <row r="1854" spans="1:15" x14ac:dyDescent="0.25">
      <c r="A1854" s="1" t="s">
        <v>1884</v>
      </c>
      <c r="B1854" s="1">
        <v>21</v>
      </c>
      <c r="C1854" s="1" t="str" cm="1">
        <f t="array" ref="C1854">_xlfn.IFS(OR(B1854=" ", B1854="NA",NOT(ISNUMBER(B1854))), "Unknown",B1854&lt;18,"Underage",B1854&lt;=24,"Young Adult",B1854&lt;=34,"Early Career",B1854&lt;=44,"Mid Career",B1854&lt;=54,"Mature",B1854&lt;=65,"Pre-Senior",B1854&gt;65,"Senior")</f>
        <v>Young Adult</v>
      </c>
      <c r="D1854" s="1" t="s">
        <v>18</v>
      </c>
      <c r="E1854" s="1" t="s">
        <v>19</v>
      </c>
      <c r="F1854" s="1">
        <v>1925000</v>
      </c>
      <c r="G1854" s="1">
        <v>4</v>
      </c>
      <c r="H1854" s="1" t="str" cm="1">
        <f t="array" ref="H1854">_xlfn.IFS( OR(G1854=" ",NOT(ISNUMBER(G1854))),"Unknown",G1854&lt;=33,"Low Spender",G1854&lt;=66,"Medium Spender",TRUE, "High Spender")</f>
        <v>Low Spender</v>
      </c>
      <c r="I1854" s="1">
        <v>56</v>
      </c>
      <c r="J1854" s="1">
        <v>6700</v>
      </c>
      <c r="K1854" s="1">
        <v>160</v>
      </c>
      <c r="N1854" s="1" t="str">
        <f t="shared" si="56"/>
        <v>Higher</v>
      </c>
      <c r="O1854" s="1" t="str">
        <f t="shared" si="57"/>
        <v>Young Adult | Low Spender | Higher</v>
      </c>
    </row>
    <row r="1855" spans="1:15" x14ac:dyDescent="0.25">
      <c r="A1855" s="1" t="s">
        <v>1885</v>
      </c>
      <c r="B1855" s="1">
        <v>25</v>
      </c>
      <c r="C1855" s="1" t="str" cm="1">
        <f t="array" ref="C1855">_xlfn.IFS(OR(B1855=" ", B1855="NA",NOT(ISNUMBER(B1855))), "Unknown",B1855&lt;18,"Underage",B1855&lt;=24,"Young Adult",B1855&lt;=34,"Early Career",B1855&lt;=44,"Mid Career",B1855&lt;=54,"Mature",B1855&lt;=65,"Pre-Senior",B1855&gt;65,"Senior")</f>
        <v>Early Career</v>
      </c>
      <c r="E1855" s="1" t="s">
        <v>58</v>
      </c>
      <c r="G1855" s="1">
        <v>18</v>
      </c>
      <c r="H1855" s="1" t="str" cm="1">
        <f t="array" ref="H1855">_xlfn.IFS( OR(G1855=" ",NOT(ISNUMBER(G1855))),"Unknown",G1855&lt;=33,"Low Spender",G1855&lt;=66,"Medium Spender",TRUE, "High Spender")</f>
        <v>Low Spender</v>
      </c>
      <c r="I1855" s="1">
        <v>75</v>
      </c>
      <c r="J1855" s="1">
        <v>1000</v>
      </c>
      <c r="K1855" s="1">
        <v>260</v>
      </c>
      <c r="L1855" s="1" t="s">
        <v>20</v>
      </c>
      <c r="M1855" s="1" t="s">
        <v>32</v>
      </c>
      <c r="N1855" s="1" t="str">
        <f t="shared" si="56"/>
        <v>Lower</v>
      </c>
      <c r="O1855" s="1" t="str">
        <f t="shared" si="57"/>
        <v>Early Career | Low Spender | Lower</v>
      </c>
    </row>
    <row r="1856" spans="1:15" x14ac:dyDescent="0.25">
      <c r="A1856" s="1" t="s">
        <v>1886</v>
      </c>
      <c r="B1856" s="1">
        <v>37</v>
      </c>
      <c r="C1856" s="1" t="str" cm="1">
        <f t="array" ref="C1856">_xlfn.IFS(OR(B1856=" ", B1856="NA",NOT(ISNUMBER(B1856))), "Unknown",B1856&lt;18,"Underage",B1856&lt;=24,"Young Adult",B1856&lt;=34,"Early Career",B1856&lt;=44,"Mid Career",B1856&lt;=54,"Mature",B1856&lt;=65,"Pre-Senior",B1856&gt;65,"Senior")</f>
        <v>Mid Career</v>
      </c>
      <c r="E1856" s="1" t="s">
        <v>23</v>
      </c>
      <c r="F1856" s="1">
        <v>550000</v>
      </c>
      <c r="G1856" s="1">
        <v>93</v>
      </c>
      <c r="H1856" s="1" t="str" cm="1">
        <f t="array" ref="H1856">_xlfn.IFS( OR(G1856=" ",NOT(ISNUMBER(G1856))),"Unknown",G1856&lt;=33,"Low Spender",G1856&lt;=66,"Medium Spender",TRUE, "High Spender")</f>
        <v>High Spender</v>
      </c>
      <c r="I1856" s="1">
        <v>45</v>
      </c>
      <c r="J1856" s="1">
        <v>4100</v>
      </c>
      <c r="K1856" s="1">
        <v>88</v>
      </c>
      <c r="L1856" s="1" t="s">
        <v>20</v>
      </c>
      <c r="N1856" s="1" t="str">
        <f t="shared" si="56"/>
        <v>Lower</v>
      </c>
      <c r="O1856" s="1" t="str">
        <f t="shared" si="57"/>
        <v>Mid Career | High Spender | Lower</v>
      </c>
    </row>
    <row r="1857" spans="1:15" x14ac:dyDescent="0.25">
      <c r="A1857" s="1" t="s">
        <v>1887</v>
      </c>
      <c r="B1857" s="1">
        <v>46</v>
      </c>
      <c r="C1857" s="1" t="str" cm="1">
        <f t="array" ref="C1857">_xlfn.IFS(OR(B1857=" ", B1857="NA",NOT(ISNUMBER(B1857))), "Unknown",B1857&lt;18,"Underage",B1857&lt;=24,"Young Adult",B1857&lt;=34,"Early Career",B1857&lt;=44,"Mid Career",B1857&lt;=54,"Mature",B1857&lt;=65,"Pre-Senior",B1857&gt;65,"Senior")</f>
        <v>Mature</v>
      </c>
      <c r="D1857" s="1" t="s">
        <v>29</v>
      </c>
      <c r="E1857" s="1" t="s">
        <v>58</v>
      </c>
      <c r="F1857" s="1">
        <v>1550000</v>
      </c>
      <c r="G1857" s="1">
        <v>99</v>
      </c>
      <c r="H1857" s="1" t="str" cm="1">
        <f t="array" ref="H1857">_xlfn.IFS( OR(G1857=" ",NOT(ISNUMBER(G1857))),"Unknown",G1857&lt;=33,"Low Spender",G1857&lt;=66,"Medium Spender",TRUE, "High Spender")</f>
        <v>High Spender</v>
      </c>
      <c r="I1857" s="1">
        <v>28</v>
      </c>
      <c r="J1857" s="1">
        <v>11300</v>
      </c>
      <c r="K1857" s="1">
        <v>184</v>
      </c>
      <c r="M1857" s="1" t="s">
        <v>41</v>
      </c>
      <c r="N1857" s="1" t="str">
        <f t="shared" si="56"/>
        <v>Higher</v>
      </c>
      <c r="O1857" s="1" t="str">
        <f t="shared" si="57"/>
        <v>Mature | High Spender | Higher</v>
      </c>
    </row>
    <row r="1858" spans="1:15" x14ac:dyDescent="0.25">
      <c r="A1858" s="1" t="s">
        <v>1888</v>
      </c>
      <c r="C1858" s="1" t="str" cm="1">
        <f t="array" ref="C1858">_xlfn.IFS(OR(B1858=" ", B1858="NA",NOT(ISNUMBER(B1858))), "Unknown",B1858&lt;18,"Underage",B1858&lt;=24,"Young Adult",B1858&lt;=34,"Early Career",B1858&lt;=44,"Mid Career",B1858&lt;=54,"Mature",B1858&lt;=65,"Pre-Senior",B1858&gt;65,"Senior")</f>
        <v>Unknown</v>
      </c>
      <c r="D1858" s="1" t="s">
        <v>18</v>
      </c>
      <c r="E1858" s="1" t="s">
        <v>58</v>
      </c>
      <c r="F1858" s="1">
        <v>1325000</v>
      </c>
      <c r="G1858" s="1">
        <v>52</v>
      </c>
      <c r="H1858" s="1" t="str" cm="1">
        <f t="array" ref="H1858">_xlfn.IFS( OR(G1858=" ",NOT(ISNUMBER(G1858))),"Unknown",G1858&lt;=33,"Low Spender",G1858&lt;=66,"Medium Spender",TRUE, "High Spender")</f>
        <v>Medium Spender</v>
      </c>
      <c r="I1858" s="1">
        <v>50</v>
      </c>
      <c r="J1858" s="1">
        <v>4500</v>
      </c>
      <c r="K1858" s="1">
        <v>16</v>
      </c>
      <c r="L1858" s="1" t="s">
        <v>20</v>
      </c>
      <c r="M1858" s="1" t="s">
        <v>21</v>
      </c>
      <c r="N1858" s="1" t="str">
        <f t="shared" ref="N1858:N1921" si="58">IF(OR(UPPER(TRIM(D1858))="Male",UPPER(TRIM(D1858))="Female"),"Higher","Lower")</f>
        <v>Higher</v>
      </c>
      <c r="O1858" s="1" t="str">
        <f t="shared" ref="O1858:O1921" si="59">_xlfn.TEXTJOIN(" | ", TRUE, C1858, H1858, N1858)</f>
        <v>Unknown | Medium Spender | Higher</v>
      </c>
    </row>
    <row r="1859" spans="1:15" x14ac:dyDescent="0.25">
      <c r="A1859" s="1" t="s">
        <v>1889</v>
      </c>
      <c r="C1859" s="1" t="str" cm="1">
        <f t="array" ref="C1859">_xlfn.IFS(OR(B1859=" ", B1859="NA",NOT(ISNUMBER(B1859))), "Unknown",B1859&lt;18,"Underage",B1859&lt;=24,"Young Adult",B1859&lt;=34,"Early Career",B1859&lt;=44,"Mid Career",B1859&lt;=54,"Mature",B1859&lt;=65,"Pre-Senior",B1859&gt;65,"Senior")</f>
        <v>Unknown</v>
      </c>
      <c r="D1859" s="1" t="s">
        <v>18</v>
      </c>
      <c r="E1859" s="1" t="s">
        <v>34</v>
      </c>
      <c r="F1859" s="1">
        <v>1225000</v>
      </c>
      <c r="G1859" s="1">
        <v>38</v>
      </c>
      <c r="H1859" s="1" t="str" cm="1">
        <f t="array" ref="H1859">_xlfn.IFS( OR(G1859=" ",NOT(ISNUMBER(G1859))),"Unknown",G1859&lt;=33,"Low Spender",G1859&lt;=66,"Medium Spender",TRUE, "High Spender")</f>
        <v>Medium Spender</v>
      </c>
      <c r="I1859" s="1">
        <v>2</v>
      </c>
      <c r="J1859" s="1">
        <v>8400</v>
      </c>
      <c r="K1859" s="1">
        <v>244</v>
      </c>
      <c r="M1859" s="1" t="s">
        <v>32</v>
      </c>
      <c r="N1859" s="1" t="str">
        <f t="shared" si="58"/>
        <v>Higher</v>
      </c>
      <c r="O1859" s="1" t="str">
        <f t="shared" si="59"/>
        <v>Unknown | Medium Spender | Higher</v>
      </c>
    </row>
    <row r="1860" spans="1:15" x14ac:dyDescent="0.25">
      <c r="A1860" s="1" t="s">
        <v>1890</v>
      </c>
      <c r="B1860" s="1">
        <v>68</v>
      </c>
      <c r="C1860" s="1" t="str" cm="1">
        <f t="array" ref="C1860">_xlfn.IFS(OR(B1860=" ", B1860="NA",NOT(ISNUMBER(B1860))), "Unknown",B1860&lt;18,"Underage",B1860&lt;=24,"Young Adult",B1860&lt;=34,"Early Career",B1860&lt;=44,"Mid Career",B1860&lt;=54,"Mature",B1860&lt;=65,"Pre-Senior",B1860&gt;65,"Senior")</f>
        <v>Senior</v>
      </c>
      <c r="D1860" s="1" t="s">
        <v>29</v>
      </c>
      <c r="E1860" s="1" t="s">
        <v>58</v>
      </c>
      <c r="F1860" s="1">
        <v>1250000</v>
      </c>
      <c r="G1860" s="1">
        <v>80</v>
      </c>
      <c r="H1860" s="1" t="str" cm="1">
        <f t="array" ref="H1860">_xlfn.IFS( OR(G1860=" ",NOT(ISNUMBER(G1860))),"Unknown",G1860&lt;=33,"Low Spender",G1860&lt;=66,"Medium Spender",TRUE, "High Spender")</f>
        <v>High Spender</v>
      </c>
      <c r="I1860" s="1">
        <v>68</v>
      </c>
      <c r="J1860" s="1">
        <v>11200</v>
      </c>
      <c r="K1860" s="1">
        <v>86</v>
      </c>
      <c r="M1860" s="1" t="s">
        <v>41</v>
      </c>
      <c r="N1860" s="1" t="str">
        <f t="shared" si="58"/>
        <v>Higher</v>
      </c>
      <c r="O1860" s="1" t="str">
        <f t="shared" si="59"/>
        <v>Senior | High Spender | Higher</v>
      </c>
    </row>
    <row r="1861" spans="1:15" x14ac:dyDescent="0.25">
      <c r="A1861" s="1" t="s">
        <v>1891</v>
      </c>
      <c r="B1861" s="1">
        <v>62</v>
      </c>
      <c r="C1861" s="1" t="str" cm="1">
        <f t="array" ref="C1861">_xlfn.IFS(OR(B1861=" ", B1861="NA",NOT(ISNUMBER(B1861))), "Unknown",B1861&lt;18,"Underage",B1861&lt;=24,"Young Adult",B1861&lt;=34,"Early Career",B1861&lt;=44,"Mid Career",B1861&lt;=54,"Mature",B1861&lt;=65,"Pre-Senior",B1861&gt;65,"Senior")</f>
        <v>Pre-Senior</v>
      </c>
      <c r="E1861" s="1" t="s">
        <v>27</v>
      </c>
      <c r="F1861" s="1">
        <v>950000</v>
      </c>
      <c r="G1861" s="1">
        <v>20</v>
      </c>
      <c r="H1861" s="1" t="str" cm="1">
        <f t="array" ref="H1861">_xlfn.IFS( OR(G1861=" ",NOT(ISNUMBER(G1861))),"Unknown",G1861&lt;=33,"Low Spender",G1861&lt;=66,"Medium Spender",TRUE, "High Spender")</f>
        <v>Low Spender</v>
      </c>
      <c r="I1861" s="1">
        <v>77</v>
      </c>
      <c r="J1861" s="1">
        <v>7500</v>
      </c>
      <c r="K1861" s="1">
        <v>199</v>
      </c>
      <c r="M1861" s="1" t="s">
        <v>32</v>
      </c>
      <c r="N1861" s="1" t="str">
        <f t="shared" si="58"/>
        <v>Lower</v>
      </c>
      <c r="O1861" s="1" t="str">
        <f t="shared" si="59"/>
        <v>Pre-Senior | Low Spender | Lower</v>
      </c>
    </row>
    <row r="1862" spans="1:15" x14ac:dyDescent="0.25">
      <c r="A1862" s="1" t="s">
        <v>1892</v>
      </c>
      <c r="B1862" s="1">
        <v>63</v>
      </c>
      <c r="C1862" s="1" t="str" cm="1">
        <f t="array" ref="C1862">_xlfn.IFS(OR(B1862=" ", B1862="NA",NOT(ISNUMBER(B1862))), "Unknown",B1862&lt;18,"Underage",B1862&lt;=24,"Young Adult",B1862&lt;=34,"Early Career",B1862&lt;=44,"Mid Career",B1862&lt;=54,"Mature",B1862&lt;=65,"Pre-Senior",B1862&gt;65,"Senior")</f>
        <v>Pre-Senior</v>
      </c>
      <c r="D1862" s="1" t="s">
        <v>18</v>
      </c>
      <c r="F1862" s="1">
        <v>900000</v>
      </c>
      <c r="G1862" s="1">
        <v>88</v>
      </c>
      <c r="H1862" s="1" t="str" cm="1">
        <f t="array" ref="H1862">_xlfn.IFS( OR(G1862=" ",NOT(ISNUMBER(G1862))),"Unknown",G1862&lt;=33,"Low Spender",G1862&lt;=66,"Medium Spender",TRUE, "High Spender")</f>
        <v>High Spender</v>
      </c>
      <c r="I1862" s="1">
        <v>24</v>
      </c>
      <c r="J1862" s="1">
        <v>700</v>
      </c>
      <c r="K1862" s="1">
        <v>10</v>
      </c>
      <c r="L1862" s="1" t="s">
        <v>16</v>
      </c>
      <c r="M1862" s="1" t="s">
        <v>32</v>
      </c>
      <c r="N1862" s="1" t="str">
        <f t="shared" si="58"/>
        <v>Higher</v>
      </c>
      <c r="O1862" s="1" t="str">
        <f t="shared" si="59"/>
        <v>Pre-Senior | High Spender | Higher</v>
      </c>
    </row>
    <row r="1863" spans="1:15" x14ac:dyDescent="0.25">
      <c r="A1863" s="1" t="s">
        <v>1893</v>
      </c>
      <c r="B1863" s="1">
        <v>27</v>
      </c>
      <c r="C1863" s="1" t="str" cm="1">
        <f t="array" ref="C1863">_xlfn.IFS(OR(B1863=" ", B1863="NA",NOT(ISNUMBER(B1863))), "Unknown",B1863&lt;18,"Underage",B1863&lt;=24,"Young Adult",B1863&lt;=34,"Early Career",B1863&lt;=44,"Mid Career",B1863&lt;=54,"Mature",B1863&lt;=65,"Pre-Senior",B1863&gt;65,"Senior")</f>
        <v>Early Career</v>
      </c>
      <c r="D1863" s="1" t="s">
        <v>29</v>
      </c>
      <c r="E1863" s="1" t="s">
        <v>19</v>
      </c>
      <c r="F1863" s="1">
        <v>1300000</v>
      </c>
      <c r="G1863" s="1">
        <v>99</v>
      </c>
      <c r="H1863" s="1" t="str" cm="1">
        <f t="array" ref="H1863">_xlfn.IFS( OR(G1863=" ",NOT(ISNUMBER(G1863))),"Unknown",G1863&lt;=33,"Low Spender",G1863&lt;=66,"Medium Spender",TRUE, "High Spender")</f>
        <v>High Spender</v>
      </c>
      <c r="I1863" s="1">
        <v>48</v>
      </c>
      <c r="K1863" s="1">
        <v>164</v>
      </c>
      <c r="L1863" s="1" t="s">
        <v>37</v>
      </c>
      <c r="M1863" s="1" t="s">
        <v>32</v>
      </c>
      <c r="N1863" s="1" t="str">
        <f t="shared" si="58"/>
        <v>Higher</v>
      </c>
      <c r="O1863" s="1" t="str">
        <f t="shared" si="59"/>
        <v>Early Career | High Spender | Higher</v>
      </c>
    </row>
    <row r="1864" spans="1:15" x14ac:dyDescent="0.25">
      <c r="A1864" s="1" t="s">
        <v>1894</v>
      </c>
      <c r="B1864" s="1">
        <v>60</v>
      </c>
      <c r="C1864" s="1" t="str" cm="1">
        <f t="array" ref="C1864">_xlfn.IFS(OR(B1864=" ", B1864="NA",NOT(ISNUMBER(B1864))), "Unknown",B1864&lt;18,"Underage",B1864&lt;=24,"Young Adult",B1864&lt;=34,"Early Career",B1864&lt;=44,"Mid Career",B1864&lt;=54,"Mature",B1864&lt;=65,"Pre-Senior",B1864&gt;65,"Senior")</f>
        <v>Pre-Senior</v>
      </c>
      <c r="D1864" s="1" t="s">
        <v>18</v>
      </c>
      <c r="E1864" s="1" t="s">
        <v>15</v>
      </c>
      <c r="F1864" s="1">
        <v>275000</v>
      </c>
      <c r="G1864" s="1">
        <v>44</v>
      </c>
      <c r="H1864" s="1" t="str" cm="1">
        <f t="array" ref="H1864">_xlfn.IFS( OR(G1864=" ",NOT(ISNUMBER(G1864))),"Unknown",G1864&lt;=33,"Low Spender",G1864&lt;=66,"Medium Spender",TRUE, "High Spender")</f>
        <v>Medium Spender</v>
      </c>
      <c r="I1864" s="1">
        <v>45</v>
      </c>
      <c r="J1864" s="1">
        <v>600</v>
      </c>
      <c r="K1864" s="1">
        <v>24</v>
      </c>
      <c r="L1864" s="1" t="s">
        <v>16</v>
      </c>
      <c r="N1864" s="1" t="str">
        <f t="shared" si="58"/>
        <v>Higher</v>
      </c>
      <c r="O1864" s="1" t="str">
        <f t="shared" si="59"/>
        <v>Pre-Senior | Medium Spender | Higher</v>
      </c>
    </row>
    <row r="1865" spans="1:15" x14ac:dyDescent="0.25">
      <c r="A1865" s="1" t="s">
        <v>1895</v>
      </c>
      <c r="B1865" s="1">
        <v>51</v>
      </c>
      <c r="C1865" s="1" t="str" cm="1">
        <f t="array" ref="C1865">_xlfn.IFS(OR(B1865=" ", B1865="NA",NOT(ISNUMBER(B1865))), "Unknown",B1865&lt;18,"Underage",B1865&lt;=24,"Young Adult",B1865&lt;=34,"Early Career",B1865&lt;=44,"Mid Career",B1865&lt;=54,"Mature",B1865&lt;=65,"Pre-Senior",B1865&gt;65,"Senior")</f>
        <v>Mature</v>
      </c>
      <c r="D1865" s="1" t="s">
        <v>29</v>
      </c>
      <c r="E1865" s="1" t="s">
        <v>13</v>
      </c>
      <c r="F1865" s="1">
        <v>1925000</v>
      </c>
      <c r="G1865" s="1">
        <v>51</v>
      </c>
      <c r="H1865" s="1" t="str" cm="1">
        <f t="array" ref="H1865">_xlfn.IFS( OR(G1865=" ",NOT(ISNUMBER(G1865))),"Unknown",G1865&lt;=33,"Low Spender",G1865&lt;=66,"Medium Spender",TRUE, "High Spender")</f>
        <v>Medium Spender</v>
      </c>
      <c r="I1865" s="1">
        <v>58</v>
      </c>
      <c r="J1865" s="1">
        <v>11000</v>
      </c>
      <c r="K1865" s="1">
        <v>64</v>
      </c>
      <c r="L1865" s="1" t="s">
        <v>20</v>
      </c>
      <c r="M1865" s="1" t="s">
        <v>30</v>
      </c>
      <c r="N1865" s="1" t="str">
        <f t="shared" si="58"/>
        <v>Higher</v>
      </c>
      <c r="O1865" s="1" t="str">
        <f t="shared" si="59"/>
        <v>Mature | Medium Spender | Higher</v>
      </c>
    </row>
    <row r="1866" spans="1:15" x14ac:dyDescent="0.25">
      <c r="A1866" s="1" t="s">
        <v>1896</v>
      </c>
      <c r="B1866" s="1">
        <v>43</v>
      </c>
      <c r="C1866" s="1" t="str" cm="1">
        <f t="array" ref="C1866">_xlfn.IFS(OR(B1866=" ", B1866="NA",NOT(ISNUMBER(B1866))), "Unknown",B1866&lt;18,"Underage",B1866&lt;=24,"Young Adult",B1866&lt;=34,"Early Career",B1866&lt;=44,"Mid Career",B1866&lt;=54,"Mature",B1866&lt;=65,"Pre-Senior",B1866&gt;65,"Senior")</f>
        <v>Mid Career</v>
      </c>
      <c r="D1866" s="1" t="s">
        <v>12</v>
      </c>
      <c r="E1866" s="1" t="s">
        <v>19</v>
      </c>
      <c r="F1866" s="1">
        <v>1900000</v>
      </c>
      <c r="G1866" s="1">
        <v>19</v>
      </c>
      <c r="H1866" s="1" t="str" cm="1">
        <f t="array" ref="H1866">_xlfn.IFS( OR(G1866=" ",NOT(ISNUMBER(G1866))),"Unknown",G1866&lt;=33,"Low Spender",G1866&lt;=66,"Medium Spender",TRUE, "High Spender")</f>
        <v>Low Spender</v>
      </c>
      <c r="I1866" s="1">
        <v>36</v>
      </c>
      <c r="J1866" s="1">
        <v>9500</v>
      </c>
      <c r="K1866" s="1">
        <v>312</v>
      </c>
      <c r="L1866" s="1" t="s">
        <v>37</v>
      </c>
      <c r="M1866" s="1" t="s">
        <v>32</v>
      </c>
      <c r="N1866" s="1" t="str">
        <f t="shared" si="58"/>
        <v>Lower</v>
      </c>
      <c r="O1866" s="1" t="str">
        <f t="shared" si="59"/>
        <v>Mid Career | Low Spender | Lower</v>
      </c>
    </row>
    <row r="1867" spans="1:15" x14ac:dyDescent="0.25">
      <c r="A1867" s="1" t="s">
        <v>1897</v>
      </c>
      <c r="B1867" s="1">
        <v>58</v>
      </c>
      <c r="C1867" s="1" t="str" cm="1">
        <f t="array" ref="C1867">_xlfn.IFS(OR(B1867=" ", B1867="NA",NOT(ISNUMBER(B1867))), "Unknown",B1867&lt;18,"Underage",B1867&lt;=24,"Young Adult",B1867&lt;=34,"Early Career",B1867&lt;=44,"Mid Career",B1867&lt;=54,"Mature",B1867&lt;=65,"Pre-Senior",B1867&gt;65,"Senior")</f>
        <v>Pre-Senior</v>
      </c>
      <c r="E1867" s="1" t="s">
        <v>27</v>
      </c>
      <c r="F1867" s="1">
        <v>975000</v>
      </c>
      <c r="G1867" s="1">
        <v>68</v>
      </c>
      <c r="H1867" s="1" t="str" cm="1">
        <f t="array" ref="H1867">_xlfn.IFS( OR(G1867=" ",NOT(ISNUMBER(G1867))),"Unknown",G1867&lt;=33,"Low Spender",G1867&lt;=66,"Medium Spender",TRUE, "High Spender")</f>
        <v>High Spender</v>
      </c>
      <c r="I1867" s="1">
        <v>2</v>
      </c>
      <c r="J1867" s="1">
        <v>300</v>
      </c>
      <c r="K1867" s="1">
        <v>238</v>
      </c>
      <c r="N1867" s="1" t="str">
        <f t="shared" si="58"/>
        <v>Lower</v>
      </c>
      <c r="O1867" s="1" t="str">
        <f t="shared" si="59"/>
        <v>Pre-Senior | High Spender | Lower</v>
      </c>
    </row>
    <row r="1868" spans="1:15" x14ac:dyDescent="0.25">
      <c r="A1868" s="1" t="s">
        <v>1898</v>
      </c>
      <c r="B1868" s="1">
        <v>66</v>
      </c>
      <c r="C1868" s="1" t="str" cm="1">
        <f t="array" ref="C1868">_xlfn.IFS(OR(B1868=" ", B1868="NA",NOT(ISNUMBER(B1868))), "Unknown",B1868&lt;18,"Underage",B1868&lt;=24,"Young Adult",B1868&lt;=34,"Early Career",B1868&lt;=44,"Mid Career",B1868&lt;=54,"Mature",B1868&lt;=65,"Pre-Senior",B1868&gt;65,"Senior")</f>
        <v>Senior</v>
      </c>
      <c r="D1868" s="1" t="s">
        <v>29</v>
      </c>
      <c r="E1868" s="1" t="s">
        <v>19</v>
      </c>
      <c r="F1868" s="1">
        <v>1450000</v>
      </c>
      <c r="G1868" s="1">
        <v>97</v>
      </c>
      <c r="H1868" s="1" t="str" cm="1">
        <f t="array" ref="H1868">_xlfn.IFS( OR(G1868=" ",NOT(ISNUMBER(G1868))),"Unknown",G1868&lt;=33,"Low Spender",G1868&lt;=66,"Medium Spender",TRUE, "High Spender")</f>
        <v>High Spender</v>
      </c>
      <c r="I1868" s="1">
        <v>18</v>
      </c>
      <c r="J1868" s="1">
        <v>9600</v>
      </c>
      <c r="K1868" s="1">
        <v>345</v>
      </c>
      <c r="L1868" s="1" t="s">
        <v>20</v>
      </c>
      <c r="M1868" s="1" t="s">
        <v>21</v>
      </c>
      <c r="N1868" s="1" t="str">
        <f t="shared" si="58"/>
        <v>Higher</v>
      </c>
      <c r="O1868" s="1" t="str">
        <f t="shared" si="59"/>
        <v>Senior | High Spender | Higher</v>
      </c>
    </row>
    <row r="1869" spans="1:15" x14ac:dyDescent="0.25">
      <c r="A1869" s="1" t="s">
        <v>1899</v>
      </c>
      <c r="B1869" s="1">
        <v>20</v>
      </c>
      <c r="C1869" s="1" t="str" cm="1">
        <f t="array" ref="C1869">_xlfn.IFS(OR(B1869=" ", B1869="NA",NOT(ISNUMBER(B1869))), "Unknown",B1869&lt;18,"Underage",B1869&lt;=24,"Young Adult",B1869&lt;=34,"Early Career",B1869&lt;=44,"Mid Career",B1869&lt;=54,"Mature",B1869&lt;=65,"Pre-Senior",B1869&gt;65,"Senior")</f>
        <v>Young Adult</v>
      </c>
      <c r="D1869" s="1" t="s">
        <v>18</v>
      </c>
      <c r="E1869" s="1" t="s">
        <v>58</v>
      </c>
      <c r="F1869" s="1">
        <v>475000</v>
      </c>
      <c r="G1869" s="1">
        <v>66</v>
      </c>
      <c r="H1869" s="1" t="str" cm="1">
        <f t="array" ref="H1869">_xlfn.IFS( OR(G1869=" ",NOT(ISNUMBER(G1869))),"Unknown",G1869&lt;=33,"Low Spender",G1869&lt;=66,"Medium Spender",TRUE, "High Spender")</f>
        <v>Medium Spender</v>
      </c>
      <c r="I1869" s="1">
        <v>49</v>
      </c>
      <c r="J1869" s="1">
        <v>5800</v>
      </c>
      <c r="K1869" s="1">
        <v>238</v>
      </c>
      <c r="L1869" s="1" t="s">
        <v>35</v>
      </c>
      <c r="M1869" s="1" t="s">
        <v>30</v>
      </c>
      <c r="N1869" s="1" t="str">
        <f t="shared" si="58"/>
        <v>Higher</v>
      </c>
      <c r="O1869" s="1" t="str">
        <f t="shared" si="59"/>
        <v>Young Adult | Medium Spender | Higher</v>
      </c>
    </row>
    <row r="1870" spans="1:15" x14ac:dyDescent="0.25">
      <c r="A1870" s="1" t="s">
        <v>1900</v>
      </c>
      <c r="B1870" s="1">
        <v>23</v>
      </c>
      <c r="C1870" s="1" t="str" cm="1">
        <f t="array" ref="C1870">_xlfn.IFS(OR(B1870=" ", B1870="NA",NOT(ISNUMBER(B1870))), "Unknown",B1870&lt;18,"Underage",B1870&lt;=24,"Young Adult",B1870&lt;=34,"Early Career",B1870&lt;=44,"Mid Career",B1870&lt;=54,"Mature",B1870&lt;=65,"Pre-Senior",B1870&gt;65,"Senior")</f>
        <v>Young Adult</v>
      </c>
      <c r="E1870" s="1" t="s">
        <v>34</v>
      </c>
      <c r="F1870" s="1">
        <v>525000</v>
      </c>
      <c r="G1870" s="1">
        <v>13</v>
      </c>
      <c r="H1870" s="1" t="str" cm="1">
        <f t="array" ref="H1870">_xlfn.IFS( OR(G1870=" ",NOT(ISNUMBER(G1870))),"Unknown",G1870&lt;=33,"Low Spender",G1870&lt;=66,"Medium Spender",TRUE, "High Spender")</f>
        <v>Low Spender</v>
      </c>
      <c r="I1870" s="1">
        <v>8</v>
      </c>
      <c r="J1870" s="1">
        <v>4700</v>
      </c>
      <c r="K1870" s="1">
        <v>22</v>
      </c>
      <c r="L1870" s="1" t="s">
        <v>20</v>
      </c>
      <c r="N1870" s="1" t="str">
        <f t="shared" si="58"/>
        <v>Lower</v>
      </c>
      <c r="O1870" s="1" t="str">
        <f t="shared" si="59"/>
        <v>Young Adult | Low Spender | Lower</v>
      </c>
    </row>
    <row r="1871" spans="1:15" x14ac:dyDescent="0.25">
      <c r="A1871" s="1" t="s">
        <v>1901</v>
      </c>
      <c r="B1871" s="1">
        <v>22</v>
      </c>
      <c r="C1871" s="1" t="str" cm="1">
        <f t="array" ref="C1871">_xlfn.IFS(OR(B1871=" ", B1871="NA",NOT(ISNUMBER(B1871))), "Unknown",B1871&lt;18,"Underage",B1871&lt;=24,"Young Adult",B1871&lt;=34,"Early Career",B1871&lt;=44,"Mid Career",B1871&lt;=54,"Mature",B1871&lt;=65,"Pre-Senior",B1871&gt;65,"Senior")</f>
        <v>Young Adult</v>
      </c>
      <c r="E1871" s="1" t="s">
        <v>13</v>
      </c>
      <c r="F1871" s="1">
        <v>1200000</v>
      </c>
      <c r="G1871" s="1">
        <v>62</v>
      </c>
      <c r="H1871" s="1" t="str" cm="1">
        <f t="array" ref="H1871">_xlfn.IFS( OR(G1871=" ",NOT(ISNUMBER(G1871))),"Unknown",G1871&lt;=33,"Low Spender",G1871&lt;=66,"Medium Spender",TRUE, "High Spender")</f>
        <v>Medium Spender</v>
      </c>
      <c r="I1871" s="1">
        <v>58</v>
      </c>
      <c r="J1871" s="1">
        <v>6700</v>
      </c>
      <c r="K1871" s="1">
        <v>180</v>
      </c>
      <c r="L1871" s="1" t="s">
        <v>37</v>
      </c>
      <c r="M1871" s="1" t="s">
        <v>21</v>
      </c>
      <c r="N1871" s="1" t="str">
        <f t="shared" si="58"/>
        <v>Lower</v>
      </c>
      <c r="O1871" s="1" t="str">
        <f t="shared" si="59"/>
        <v>Young Adult | Medium Spender | Lower</v>
      </c>
    </row>
    <row r="1872" spans="1:15" x14ac:dyDescent="0.25">
      <c r="A1872" s="1" t="s">
        <v>1902</v>
      </c>
      <c r="B1872" s="1">
        <v>22</v>
      </c>
      <c r="C1872" s="1" t="str" cm="1">
        <f t="array" ref="C1872">_xlfn.IFS(OR(B1872=" ", B1872="NA",NOT(ISNUMBER(B1872))), "Unknown",B1872&lt;18,"Underage",B1872&lt;=24,"Young Adult",B1872&lt;=34,"Early Career",B1872&lt;=44,"Mid Career",B1872&lt;=54,"Mature",B1872&lt;=65,"Pre-Senior",B1872&gt;65,"Senior")</f>
        <v>Young Adult</v>
      </c>
      <c r="D1872" s="1" t="s">
        <v>18</v>
      </c>
      <c r="E1872" s="1" t="s">
        <v>23</v>
      </c>
      <c r="F1872" s="1">
        <v>1950000</v>
      </c>
      <c r="G1872" s="1">
        <v>61</v>
      </c>
      <c r="H1872" s="1" t="str" cm="1">
        <f t="array" ref="H1872">_xlfn.IFS( OR(G1872=" ",NOT(ISNUMBER(G1872))),"Unknown",G1872&lt;=33,"Low Spender",G1872&lt;=66,"Medium Spender",TRUE, "High Spender")</f>
        <v>Medium Spender</v>
      </c>
      <c r="I1872" s="1">
        <v>15</v>
      </c>
      <c r="J1872" s="1">
        <v>500</v>
      </c>
      <c r="K1872" s="1">
        <v>306</v>
      </c>
      <c r="L1872" s="1" t="s">
        <v>37</v>
      </c>
      <c r="M1872" s="1" t="s">
        <v>30</v>
      </c>
      <c r="N1872" s="1" t="str">
        <f t="shared" si="58"/>
        <v>Higher</v>
      </c>
      <c r="O1872" s="1" t="str">
        <f t="shared" si="59"/>
        <v>Young Adult | Medium Spender | Higher</v>
      </c>
    </row>
    <row r="1873" spans="1:15" x14ac:dyDescent="0.25">
      <c r="A1873" s="1" t="s">
        <v>1903</v>
      </c>
      <c r="C1873" s="1" t="str" cm="1">
        <f t="array" ref="C1873">_xlfn.IFS(OR(B1873=" ", B1873="NA",NOT(ISNUMBER(B1873))), "Unknown",B1873&lt;18,"Underage",B1873&lt;=24,"Young Adult",B1873&lt;=34,"Early Career",B1873&lt;=44,"Mid Career",B1873&lt;=54,"Mature",B1873&lt;=65,"Pre-Senior",B1873&gt;65,"Senior")</f>
        <v>Unknown</v>
      </c>
      <c r="D1873" s="1" t="s">
        <v>12</v>
      </c>
      <c r="E1873" s="1" t="s">
        <v>34</v>
      </c>
      <c r="F1873" s="1">
        <v>1975000</v>
      </c>
      <c r="G1873" s="1">
        <v>30</v>
      </c>
      <c r="H1873" s="1" t="str" cm="1">
        <f t="array" ref="H1873">_xlfn.IFS( OR(G1873=" ",NOT(ISNUMBER(G1873))),"Unknown",G1873&lt;=33,"Low Spender",G1873&lt;=66,"Medium Spender",TRUE, "High Spender")</f>
        <v>Low Spender</v>
      </c>
      <c r="I1873" s="1">
        <v>17</v>
      </c>
      <c r="J1873" s="1">
        <v>2400</v>
      </c>
      <c r="K1873" s="1">
        <v>47</v>
      </c>
      <c r="N1873" s="1" t="str">
        <f t="shared" si="58"/>
        <v>Lower</v>
      </c>
      <c r="O1873" s="1" t="str">
        <f t="shared" si="59"/>
        <v>Unknown | Low Spender | Lower</v>
      </c>
    </row>
    <row r="1874" spans="1:15" x14ac:dyDescent="0.25">
      <c r="A1874" s="1" t="s">
        <v>1904</v>
      </c>
      <c r="B1874" s="1">
        <v>64</v>
      </c>
      <c r="C1874" s="1" t="str" cm="1">
        <f t="array" ref="C1874">_xlfn.IFS(OR(B1874=" ", B1874="NA",NOT(ISNUMBER(B1874))), "Unknown",B1874&lt;18,"Underage",B1874&lt;=24,"Young Adult",B1874&lt;=34,"Early Career",B1874&lt;=44,"Mid Career",B1874&lt;=54,"Mature",B1874&lt;=65,"Pre-Senior",B1874&gt;65,"Senior")</f>
        <v>Pre-Senior</v>
      </c>
      <c r="D1874" s="1" t="s">
        <v>29</v>
      </c>
      <c r="E1874" s="1" t="s">
        <v>58</v>
      </c>
      <c r="F1874" s="1">
        <v>425000</v>
      </c>
      <c r="G1874" s="1">
        <v>98</v>
      </c>
      <c r="H1874" s="1" t="str" cm="1">
        <f t="array" ref="H1874">_xlfn.IFS( OR(G1874=" ",NOT(ISNUMBER(G1874))),"Unknown",G1874&lt;=33,"Low Spender",G1874&lt;=66,"Medium Spender",TRUE, "High Spender")</f>
        <v>High Spender</v>
      </c>
      <c r="I1874" s="1">
        <v>23</v>
      </c>
      <c r="J1874" s="1">
        <v>7400</v>
      </c>
      <c r="K1874" s="1">
        <v>279</v>
      </c>
      <c r="M1874" s="1" t="s">
        <v>21</v>
      </c>
      <c r="N1874" s="1" t="str">
        <f t="shared" si="58"/>
        <v>Higher</v>
      </c>
      <c r="O1874" s="1" t="str">
        <f t="shared" si="59"/>
        <v>Pre-Senior | High Spender | Higher</v>
      </c>
    </row>
    <row r="1875" spans="1:15" x14ac:dyDescent="0.25">
      <c r="A1875" s="1" t="s">
        <v>1905</v>
      </c>
      <c r="B1875" s="1">
        <v>40</v>
      </c>
      <c r="C1875" s="1" t="str" cm="1">
        <f t="array" ref="C1875">_xlfn.IFS(OR(B1875=" ", B1875="NA",NOT(ISNUMBER(B1875))), "Unknown",B1875&lt;18,"Underage",B1875&lt;=24,"Young Adult",B1875&lt;=34,"Early Career",B1875&lt;=44,"Mid Career",B1875&lt;=54,"Mature",B1875&lt;=65,"Pre-Senior",B1875&gt;65,"Senior")</f>
        <v>Mid Career</v>
      </c>
      <c r="D1875" s="1" t="s">
        <v>29</v>
      </c>
      <c r="E1875" s="1" t="s">
        <v>58</v>
      </c>
      <c r="F1875" s="1">
        <v>1875000</v>
      </c>
      <c r="G1875" s="1">
        <v>30</v>
      </c>
      <c r="H1875" s="1" t="str" cm="1">
        <f t="array" ref="H1875">_xlfn.IFS( OR(G1875=" ",NOT(ISNUMBER(G1875))),"Unknown",G1875&lt;=33,"Low Spender",G1875&lt;=66,"Medium Spender",TRUE, "High Spender")</f>
        <v>Low Spender</v>
      </c>
      <c r="I1875" s="1">
        <v>66</v>
      </c>
      <c r="J1875" s="1">
        <v>5800</v>
      </c>
      <c r="K1875" s="1">
        <v>224</v>
      </c>
      <c r="L1875" s="1" t="s">
        <v>35</v>
      </c>
      <c r="N1875" s="1" t="str">
        <f t="shared" si="58"/>
        <v>Higher</v>
      </c>
      <c r="O1875" s="1" t="str">
        <f t="shared" si="59"/>
        <v>Mid Career | Low Spender | Higher</v>
      </c>
    </row>
    <row r="1876" spans="1:15" x14ac:dyDescent="0.25">
      <c r="A1876" s="1" t="s">
        <v>1906</v>
      </c>
      <c r="B1876" s="1">
        <v>66</v>
      </c>
      <c r="C1876" s="1" t="str" cm="1">
        <f t="array" ref="C1876">_xlfn.IFS(OR(B1876=" ", B1876="NA",NOT(ISNUMBER(B1876))), "Unknown",B1876&lt;18,"Underage",B1876&lt;=24,"Young Adult",B1876&lt;=34,"Early Career",B1876&lt;=44,"Mid Career",B1876&lt;=54,"Mature",B1876&lt;=65,"Pre-Senior",B1876&gt;65,"Senior")</f>
        <v>Senior</v>
      </c>
      <c r="D1876" s="1" t="s">
        <v>29</v>
      </c>
      <c r="E1876" s="1" t="s">
        <v>13</v>
      </c>
      <c r="F1876" s="1">
        <v>600000</v>
      </c>
      <c r="G1876" s="1">
        <v>51</v>
      </c>
      <c r="H1876" s="1" t="str" cm="1">
        <f t="array" ref="H1876">_xlfn.IFS( OR(G1876=" ",NOT(ISNUMBER(G1876))),"Unknown",G1876&lt;=33,"Low Spender",G1876&lt;=66,"Medium Spender",TRUE, "High Spender")</f>
        <v>Medium Spender</v>
      </c>
      <c r="I1876" s="1">
        <v>70</v>
      </c>
      <c r="J1876" s="1">
        <v>2000</v>
      </c>
      <c r="K1876" s="1">
        <v>218</v>
      </c>
      <c r="M1876" s="1" t="s">
        <v>21</v>
      </c>
      <c r="N1876" s="1" t="str">
        <f t="shared" si="58"/>
        <v>Higher</v>
      </c>
      <c r="O1876" s="1" t="str">
        <f t="shared" si="59"/>
        <v>Senior | Medium Spender | Higher</v>
      </c>
    </row>
    <row r="1877" spans="1:15" x14ac:dyDescent="0.25">
      <c r="A1877" s="1" t="s">
        <v>1907</v>
      </c>
      <c r="B1877" s="1">
        <v>26</v>
      </c>
      <c r="C1877" s="1" t="str" cm="1">
        <f t="array" ref="C1877">_xlfn.IFS(OR(B1877=" ", B1877="NA",NOT(ISNUMBER(B1877))), "Unknown",B1877&lt;18,"Underage",B1877&lt;=24,"Young Adult",B1877&lt;=34,"Early Career",B1877&lt;=44,"Mid Career",B1877&lt;=54,"Mature",B1877&lt;=65,"Pre-Senior",B1877&gt;65,"Senior")</f>
        <v>Early Career</v>
      </c>
      <c r="D1877" s="1" t="s">
        <v>18</v>
      </c>
      <c r="E1877" s="1" t="s">
        <v>13</v>
      </c>
      <c r="F1877" s="1">
        <v>1150000</v>
      </c>
      <c r="G1877" s="1">
        <v>88</v>
      </c>
      <c r="H1877" s="1" t="str" cm="1">
        <f t="array" ref="H1877">_xlfn.IFS( OR(G1877=" ",NOT(ISNUMBER(G1877))),"Unknown",G1877&lt;=33,"Low Spender",G1877&lt;=66,"Medium Spender",TRUE, "High Spender")</f>
        <v>High Spender</v>
      </c>
      <c r="I1877" s="1">
        <v>27</v>
      </c>
      <c r="J1877" s="1">
        <v>2700</v>
      </c>
      <c r="K1877" s="1">
        <v>237</v>
      </c>
      <c r="L1877" s="1" t="s">
        <v>35</v>
      </c>
      <c r="M1877" s="1" t="s">
        <v>32</v>
      </c>
      <c r="N1877" s="1" t="str">
        <f t="shared" si="58"/>
        <v>Higher</v>
      </c>
      <c r="O1877" s="1" t="str">
        <f t="shared" si="59"/>
        <v>Early Career | High Spender | Higher</v>
      </c>
    </row>
    <row r="1878" spans="1:15" x14ac:dyDescent="0.25">
      <c r="A1878" s="1" t="s">
        <v>1908</v>
      </c>
      <c r="B1878" s="1">
        <v>52</v>
      </c>
      <c r="C1878" s="1" t="str" cm="1">
        <f t="array" ref="C1878">_xlfn.IFS(OR(B1878=" ", B1878="NA",NOT(ISNUMBER(B1878))), "Unknown",B1878&lt;18,"Underage",B1878&lt;=24,"Young Adult",B1878&lt;=34,"Early Career",B1878&lt;=44,"Mid Career",B1878&lt;=54,"Mature",B1878&lt;=65,"Pre-Senior",B1878&gt;65,"Senior")</f>
        <v>Mature</v>
      </c>
      <c r="D1878" s="1" t="s">
        <v>29</v>
      </c>
      <c r="E1878" s="1" t="s">
        <v>49</v>
      </c>
      <c r="F1878" s="1">
        <v>1450000</v>
      </c>
      <c r="G1878" s="1">
        <v>48</v>
      </c>
      <c r="H1878" s="1" t="str" cm="1">
        <f t="array" ref="H1878">_xlfn.IFS( OR(G1878=" ",NOT(ISNUMBER(G1878))),"Unknown",G1878&lt;=33,"Low Spender",G1878&lt;=66,"Medium Spender",TRUE, "High Spender")</f>
        <v>Medium Spender</v>
      </c>
      <c r="I1878" s="1">
        <v>37</v>
      </c>
      <c r="J1878" s="1">
        <v>5000</v>
      </c>
      <c r="K1878" s="1">
        <v>204</v>
      </c>
      <c r="L1878" s="1" t="s">
        <v>35</v>
      </c>
      <c r="M1878" s="1" t="s">
        <v>32</v>
      </c>
      <c r="N1878" s="1" t="str">
        <f t="shared" si="58"/>
        <v>Higher</v>
      </c>
      <c r="O1878" s="1" t="str">
        <f t="shared" si="59"/>
        <v>Mature | Medium Spender | Higher</v>
      </c>
    </row>
    <row r="1879" spans="1:15" x14ac:dyDescent="0.25">
      <c r="A1879" s="1" t="s">
        <v>1909</v>
      </c>
      <c r="B1879" s="1">
        <v>37</v>
      </c>
      <c r="C1879" s="1" t="str" cm="1">
        <f t="array" ref="C1879">_xlfn.IFS(OR(B1879=" ", B1879="NA",NOT(ISNUMBER(B1879))), "Unknown",B1879&lt;18,"Underage",B1879&lt;=24,"Young Adult",B1879&lt;=34,"Early Career",B1879&lt;=44,"Mid Career",B1879&lt;=54,"Mature",B1879&lt;=65,"Pre-Senior",B1879&gt;65,"Senior")</f>
        <v>Mid Career</v>
      </c>
      <c r="D1879" s="1" t="s">
        <v>18</v>
      </c>
      <c r="F1879" s="1">
        <v>850000</v>
      </c>
      <c r="G1879" s="1">
        <v>33</v>
      </c>
      <c r="H1879" s="1" t="str" cm="1">
        <f t="array" ref="H1879">_xlfn.IFS( OR(G1879=" ",NOT(ISNUMBER(G1879))),"Unknown",G1879&lt;=33,"Low Spender",G1879&lt;=66,"Medium Spender",TRUE, "High Spender")</f>
        <v>Low Spender</v>
      </c>
      <c r="I1879" s="1">
        <v>49</v>
      </c>
      <c r="J1879" s="1">
        <v>11800</v>
      </c>
      <c r="K1879" s="1">
        <v>339</v>
      </c>
      <c r="M1879" s="1" t="s">
        <v>30</v>
      </c>
      <c r="N1879" s="1" t="str">
        <f t="shared" si="58"/>
        <v>Higher</v>
      </c>
      <c r="O1879" s="1" t="str">
        <f t="shared" si="59"/>
        <v>Mid Career | Low Spender | Higher</v>
      </c>
    </row>
    <row r="1880" spans="1:15" x14ac:dyDescent="0.25">
      <c r="A1880" s="1" t="s">
        <v>1910</v>
      </c>
      <c r="B1880" s="1">
        <v>66</v>
      </c>
      <c r="C1880" s="1" t="str" cm="1">
        <f t="array" ref="C1880">_xlfn.IFS(OR(B1880=" ", B1880="NA",NOT(ISNUMBER(B1880))), "Unknown",B1880&lt;18,"Underage",B1880&lt;=24,"Young Adult",B1880&lt;=34,"Early Career",B1880&lt;=44,"Mid Career",B1880&lt;=54,"Mature",B1880&lt;=65,"Pre-Senior",B1880&gt;65,"Senior")</f>
        <v>Senior</v>
      </c>
      <c r="D1880" s="1" t="s">
        <v>29</v>
      </c>
      <c r="F1880" s="1">
        <v>1875000</v>
      </c>
      <c r="G1880" s="1">
        <v>74</v>
      </c>
      <c r="H1880" s="1" t="str" cm="1">
        <f t="array" ref="H1880">_xlfn.IFS( OR(G1880=" ",NOT(ISNUMBER(G1880))),"Unknown",G1880&lt;=33,"Low Spender",G1880&lt;=66,"Medium Spender",TRUE, "High Spender")</f>
        <v>High Spender</v>
      </c>
      <c r="I1880" s="1">
        <v>64</v>
      </c>
      <c r="J1880" s="1">
        <v>8600</v>
      </c>
      <c r="K1880" s="1">
        <v>19</v>
      </c>
      <c r="L1880" s="1" t="s">
        <v>20</v>
      </c>
      <c r="M1880" s="1" t="s">
        <v>21</v>
      </c>
      <c r="N1880" s="1" t="str">
        <f t="shared" si="58"/>
        <v>Higher</v>
      </c>
      <c r="O1880" s="1" t="str">
        <f t="shared" si="59"/>
        <v>Senior | High Spender | Higher</v>
      </c>
    </row>
    <row r="1881" spans="1:15" x14ac:dyDescent="0.25">
      <c r="A1881" s="1" t="s">
        <v>1911</v>
      </c>
      <c r="B1881" s="1">
        <v>59</v>
      </c>
      <c r="C1881" s="1" t="str" cm="1">
        <f t="array" ref="C1881">_xlfn.IFS(OR(B1881=" ", B1881="NA",NOT(ISNUMBER(B1881))), "Unknown",B1881&lt;18,"Underage",B1881&lt;=24,"Young Adult",B1881&lt;=34,"Early Career",B1881&lt;=44,"Mid Career",B1881&lt;=54,"Mature",B1881&lt;=65,"Pre-Senior",B1881&gt;65,"Senior")</f>
        <v>Pre-Senior</v>
      </c>
      <c r="D1881" s="1" t="s">
        <v>29</v>
      </c>
      <c r="E1881" s="1" t="s">
        <v>34</v>
      </c>
      <c r="F1881" s="1">
        <v>1600000</v>
      </c>
      <c r="G1881" s="1">
        <v>82</v>
      </c>
      <c r="H1881" s="1" t="str" cm="1">
        <f t="array" ref="H1881">_xlfn.IFS( OR(G1881=" ",NOT(ISNUMBER(G1881))),"Unknown",G1881&lt;=33,"Low Spender",G1881&lt;=66,"Medium Spender",TRUE, "High Spender")</f>
        <v>High Spender</v>
      </c>
      <c r="I1881" s="1">
        <v>34</v>
      </c>
      <c r="J1881" s="1">
        <v>3300</v>
      </c>
      <c r="K1881" s="1">
        <v>180</v>
      </c>
      <c r="L1881" s="1" t="s">
        <v>16</v>
      </c>
      <c r="M1881" s="1" t="s">
        <v>32</v>
      </c>
      <c r="N1881" s="1" t="str">
        <f t="shared" si="58"/>
        <v>Higher</v>
      </c>
      <c r="O1881" s="1" t="str">
        <f t="shared" si="59"/>
        <v>Pre-Senior | High Spender | Higher</v>
      </c>
    </row>
    <row r="1882" spans="1:15" x14ac:dyDescent="0.25">
      <c r="A1882" s="1" t="s">
        <v>1912</v>
      </c>
      <c r="B1882" s="1">
        <v>52</v>
      </c>
      <c r="C1882" s="1" t="str" cm="1">
        <f t="array" ref="C1882">_xlfn.IFS(OR(B1882=" ", B1882="NA",NOT(ISNUMBER(B1882))), "Unknown",B1882&lt;18,"Underage",B1882&lt;=24,"Young Adult",B1882&lt;=34,"Early Career",B1882&lt;=44,"Mid Career",B1882&lt;=54,"Mature",B1882&lt;=65,"Pre-Senior",B1882&gt;65,"Senior")</f>
        <v>Mature</v>
      </c>
      <c r="D1882" s="1" t="s">
        <v>29</v>
      </c>
      <c r="E1882" s="1" t="s">
        <v>23</v>
      </c>
      <c r="F1882" s="1">
        <v>1725000</v>
      </c>
      <c r="G1882" s="1">
        <v>19</v>
      </c>
      <c r="H1882" s="1" t="str" cm="1">
        <f t="array" ref="H1882">_xlfn.IFS( OR(G1882=" ",NOT(ISNUMBER(G1882))),"Unknown",G1882&lt;=33,"Low Spender",G1882&lt;=66,"Medium Spender",TRUE, "High Spender")</f>
        <v>Low Spender</v>
      </c>
      <c r="I1882" s="1">
        <v>18</v>
      </c>
      <c r="J1882" s="1">
        <v>3200</v>
      </c>
      <c r="K1882" s="1">
        <v>162</v>
      </c>
      <c r="L1882" s="1" t="s">
        <v>35</v>
      </c>
      <c r="M1882" s="1" t="s">
        <v>30</v>
      </c>
      <c r="N1882" s="1" t="str">
        <f t="shared" si="58"/>
        <v>Higher</v>
      </c>
      <c r="O1882" s="1" t="str">
        <f t="shared" si="59"/>
        <v>Mature | Low Spender | Higher</v>
      </c>
    </row>
    <row r="1883" spans="1:15" x14ac:dyDescent="0.25">
      <c r="A1883" s="1" t="s">
        <v>1913</v>
      </c>
      <c r="B1883" s="1">
        <v>67</v>
      </c>
      <c r="C1883" s="1" t="str" cm="1">
        <f t="array" ref="C1883">_xlfn.IFS(OR(B1883=" ", B1883="NA",NOT(ISNUMBER(B1883))), "Unknown",B1883&lt;18,"Underage",B1883&lt;=24,"Young Adult",B1883&lt;=34,"Early Career",B1883&lt;=44,"Mid Career",B1883&lt;=54,"Mature",B1883&lt;=65,"Pre-Senior",B1883&gt;65,"Senior")</f>
        <v>Senior</v>
      </c>
      <c r="D1883" s="1" t="s">
        <v>29</v>
      </c>
      <c r="E1883" s="1" t="s">
        <v>19</v>
      </c>
      <c r="F1883" s="1">
        <v>725000</v>
      </c>
      <c r="G1883" s="1">
        <v>71</v>
      </c>
      <c r="H1883" s="1" t="str" cm="1">
        <f t="array" ref="H1883">_xlfn.IFS( OR(G1883=" ",NOT(ISNUMBER(G1883))),"Unknown",G1883&lt;=33,"Low Spender",G1883&lt;=66,"Medium Spender",TRUE, "High Spender")</f>
        <v>High Spender</v>
      </c>
      <c r="I1883" s="1">
        <v>64</v>
      </c>
      <c r="J1883" s="1">
        <v>8200</v>
      </c>
      <c r="K1883" s="1">
        <v>285</v>
      </c>
      <c r="L1883" s="1" t="s">
        <v>37</v>
      </c>
      <c r="M1883" s="1" t="s">
        <v>41</v>
      </c>
      <c r="N1883" s="1" t="str">
        <f t="shared" si="58"/>
        <v>Higher</v>
      </c>
      <c r="O1883" s="1" t="str">
        <f t="shared" si="59"/>
        <v>Senior | High Spender | Higher</v>
      </c>
    </row>
    <row r="1884" spans="1:15" x14ac:dyDescent="0.25">
      <c r="A1884" s="1" t="s">
        <v>1914</v>
      </c>
      <c r="B1884" s="1">
        <v>35</v>
      </c>
      <c r="C1884" s="1" t="str" cm="1">
        <f t="array" ref="C1884">_xlfn.IFS(OR(B1884=" ", B1884="NA",NOT(ISNUMBER(B1884))), "Unknown",B1884&lt;18,"Underage",B1884&lt;=24,"Young Adult",B1884&lt;=34,"Early Career",B1884&lt;=44,"Mid Career",B1884&lt;=54,"Mature",B1884&lt;=65,"Pre-Senior",B1884&gt;65,"Senior")</f>
        <v>Mid Career</v>
      </c>
      <c r="D1884" s="1" t="s">
        <v>18</v>
      </c>
      <c r="E1884" s="1" t="s">
        <v>58</v>
      </c>
      <c r="F1884" s="1">
        <v>525000</v>
      </c>
      <c r="G1884" s="1">
        <v>57</v>
      </c>
      <c r="H1884" s="1" t="str" cm="1">
        <f t="array" ref="H1884">_xlfn.IFS( OR(G1884=" ",NOT(ISNUMBER(G1884))),"Unknown",G1884&lt;=33,"Low Spender",G1884&lt;=66,"Medium Spender",TRUE, "High Spender")</f>
        <v>Medium Spender</v>
      </c>
      <c r="I1884" s="1">
        <v>74</v>
      </c>
      <c r="J1884" s="1">
        <v>6800</v>
      </c>
      <c r="K1884" s="1">
        <v>61</v>
      </c>
      <c r="M1884" s="1" t="s">
        <v>32</v>
      </c>
      <c r="N1884" s="1" t="str">
        <f t="shared" si="58"/>
        <v>Higher</v>
      </c>
      <c r="O1884" s="1" t="str">
        <f t="shared" si="59"/>
        <v>Mid Career | Medium Spender | Higher</v>
      </c>
    </row>
    <row r="1885" spans="1:15" x14ac:dyDescent="0.25">
      <c r="A1885" s="1" t="s">
        <v>1915</v>
      </c>
      <c r="B1885" s="1">
        <v>34</v>
      </c>
      <c r="C1885" s="1" t="str" cm="1">
        <f t="array" ref="C1885">_xlfn.IFS(OR(B1885=" ", B1885="NA",NOT(ISNUMBER(B1885))), "Unknown",B1885&lt;18,"Underage",B1885&lt;=24,"Young Adult",B1885&lt;=34,"Early Career",B1885&lt;=44,"Mid Career",B1885&lt;=54,"Mature",B1885&lt;=65,"Pre-Senior",B1885&gt;65,"Senior")</f>
        <v>Early Career</v>
      </c>
      <c r="D1885" s="1" t="s">
        <v>18</v>
      </c>
      <c r="E1885" s="1" t="s">
        <v>58</v>
      </c>
      <c r="F1885" s="1">
        <v>1425000</v>
      </c>
      <c r="G1885" s="1">
        <v>19</v>
      </c>
      <c r="H1885" s="1" t="str" cm="1">
        <f t="array" ref="H1885">_xlfn.IFS( OR(G1885=" ",NOT(ISNUMBER(G1885))),"Unknown",G1885&lt;=33,"Low Spender",G1885&lt;=66,"Medium Spender",TRUE, "High Spender")</f>
        <v>Low Spender</v>
      </c>
      <c r="I1885" s="1">
        <v>44</v>
      </c>
      <c r="J1885" s="1">
        <v>8300</v>
      </c>
      <c r="K1885" s="1">
        <v>85</v>
      </c>
      <c r="M1885" s="1" t="s">
        <v>32</v>
      </c>
      <c r="N1885" s="1" t="str">
        <f t="shared" si="58"/>
        <v>Higher</v>
      </c>
      <c r="O1885" s="1" t="str">
        <f t="shared" si="59"/>
        <v>Early Career | Low Spender | Higher</v>
      </c>
    </row>
    <row r="1886" spans="1:15" x14ac:dyDescent="0.25">
      <c r="A1886" s="1" t="s">
        <v>1916</v>
      </c>
      <c r="B1886" s="1">
        <v>41</v>
      </c>
      <c r="C1886" s="1" t="str" cm="1">
        <f t="array" ref="C1886">_xlfn.IFS(OR(B1886=" ", B1886="NA",NOT(ISNUMBER(B1886))), "Unknown",B1886&lt;18,"Underage",B1886&lt;=24,"Young Adult",B1886&lt;=34,"Early Career",B1886&lt;=44,"Mid Career",B1886&lt;=54,"Mature",B1886&lt;=65,"Pre-Senior",B1886&gt;65,"Senior")</f>
        <v>Mid Career</v>
      </c>
      <c r="D1886" s="1" t="s">
        <v>18</v>
      </c>
      <c r="E1886" s="1" t="s">
        <v>49</v>
      </c>
      <c r="F1886" s="1">
        <v>275000</v>
      </c>
      <c r="G1886" s="1">
        <v>88</v>
      </c>
      <c r="H1886" s="1" t="str" cm="1">
        <f t="array" ref="H1886">_xlfn.IFS( OR(G1886=" ",NOT(ISNUMBER(G1886))),"Unknown",G1886&lt;=33,"Low Spender",G1886&lt;=66,"Medium Spender",TRUE, "High Spender")</f>
        <v>High Spender</v>
      </c>
      <c r="I1886" s="1">
        <v>17</v>
      </c>
      <c r="J1886" s="1">
        <v>1200</v>
      </c>
      <c r="K1886" s="1">
        <v>35</v>
      </c>
      <c r="L1886" s="1" t="s">
        <v>20</v>
      </c>
      <c r="N1886" s="1" t="str">
        <f t="shared" si="58"/>
        <v>Higher</v>
      </c>
      <c r="O1886" s="1" t="str">
        <f t="shared" si="59"/>
        <v>Mid Career | High Spender | Higher</v>
      </c>
    </row>
    <row r="1887" spans="1:15" x14ac:dyDescent="0.25">
      <c r="A1887" s="1" t="s">
        <v>1917</v>
      </c>
      <c r="B1887" s="1">
        <v>20</v>
      </c>
      <c r="C1887" s="1" t="str" cm="1">
        <f t="array" ref="C1887">_xlfn.IFS(OR(B1887=" ", B1887="NA",NOT(ISNUMBER(B1887))), "Unknown",B1887&lt;18,"Underage",B1887&lt;=24,"Young Adult",B1887&lt;=34,"Early Career",B1887&lt;=44,"Mid Career",B1887&lt;=54,"Mature",B1887&lt;=65,"Pre-Senior",B1887&gt;65,"Senior")</f>
        <v>Young Adult</v>
      </c>
      <c r="D1887" s="1" t="s">
        <v>12</v>
      </c>
      <c r="E1887" s="1" t="s">
        <v>34</v>
      </c>
      <c r="F1887" s="1">
        <v>1050000</v>
      </c>
      <c r="G1887" s="1">
        <v>79</v>
      </c>
      <c r="H1887" s="1" t="str" cm="1">
        <f t="array" ref="H1887">_xlfn.IFS( OR(G1887=" ",NOT(ISNUMBER(G1887))),"Unknown",G1887&lt;=33,"Low Spender",G1887&lt;=66,"Medium Spender",TRUE, "High Spender")</f>
        <v>High Spender</v>
      </c>
      <c r="I1887" s="1">
        <v>59</v>
      </c>
      <c r="J1887" s="1">
        <v>7300</v>
      </c>
      <c r="K1887" s="1">
        <v>5</v>
      </c>
      <c r="L1887" s="1" t="s">
        <v>35</v>
      </c>
      <c r="N1887" s="1" t="str">
        <f t="shared" si="58"/>
        <v>Lower</v>
      </c>
      <c r="O1887" s="1" t="str">
        <f t="shared" si="59"/>
        <v>Young Adult | High Spender | Lower</v>
      </c>
    </row>
    <row r="1888" spans="1:15" x14ac:dyDescent="0.25">
      <c r="A1888" s="1" t="s">
        <v>1918</v>
      </c>
      <c r="B1888" s="1">
        <v>49</v>
      </c>
      <c r="C1888" s="1" t="str" cm="1">
        <f t="array" ref="C1888">_xlfn.IFS(OR(B1888=" ", B1888="NA",NOT(ISNUMBER(B1888))), "Unknown",B1888&lt;18,"Underage",B1888&lt;=24,"Young Adult",B1888&lt;=34,"Early Career",B1888&lt;=44,"Mid Career",B1888&lt;=54,"Mature",B1888&lt;=65,"Pre-Senior",B1888&gt;65,"Senior")</f>
        <v>Mature</v>
      </c>
      <c r="E1888" s="1" t="s">
        <v>34</v>
      </c>
      <c r="F1888" s="1">
        <v>225000</v>
      </c>
      <c r="G1888" s="1">
        <v>41</v>
      </c>
      <c r="H1888" s="1" t="str" cm="1">
        <f t="array" ref="H1888">_xlfn.IFS( OR(G1888=" ",NOT(ISNUMBER(G1888))),"Unknown",G1888&lt;=33,"Low Spender",G1888&lt;=66,"Medium Spender",TRUE, "High Spender")</f>
        <v>Medium Spender</v>
      </c>
      <c r="I1888" s="1">
        <v>13</v>
      </c>
      <c r="J1888" s="1">
        <v>6100</v>
      </c>
      <c r="K1888" s="1">
        <v>76</v>
      </c>
      <c r="M1888" s="1" t="s">
        <v>41</v>
      </c>
      <c r="N1888" s="1" t="str">
        <f t="shared" si="58"/>
        <v>Lower</v>
      </c>
      <c r="O1888" s="1" t="str">
        <f t="shared" si="59"/>
        <v>Mature | Medium Spender | Lower</v>
      </c>
    </row>
    <row r="1889" spans="1:15" x14ac:dyDescent="0.25">
      <c r="A1889" s="1" t="s">
        <v>1919</v>
      </c>
      <c r="B1889" s="1">
        <v>52</v>
      </c>
      <c r="C1889" s="1" t="str" cm="1">
        <f t="array" ref="C1889">_xlfn.IFS(OR(B1889=" ", B1889="NA",NOT(ISNUMBER(B1889))), "Unknown",B1889&lt;18,"Underage",B1889&lt;=24,"Young Adult",B1889&lt;=34,"Early Career",B1889&lt;=44,"Mid Career",B1889&lt;=54,"Mature",B1889&lt;=65,"Pre-Senior",B1889&gt;65,"Senior")</f>
        <v>Mature</v>
      </c>
      <c r="D1889" s="1" t="s">
        <v>29</v>
      </c>
      <c r="F1889" s="1">
        <v>1075000</v>
      </c>
      <c r="G1889" s="1">
        <v>42</v>
      </c>
      <c r="H1889" s="1" t="str" cm="1">
        <f t="array" ref="H1889">_xlfn.IFS( OR(G1889=" ",NOT(ISNUMBER(G1889))),"Unknown",G1889&lt;=33,"Low Spender",G1889&lt;=66,"Medium Spender",TRUE, "High Spender")</f>
        <v>Medium Spender</v>
      </c>
      <c r="I1889" s="1">
        <v>52</v>
      </c>
      <c r="J1889" s="1">
        <v>10800</v>
      </c>
      <c r="K1889" s="1">
        <v>253</v>
      </c>
      <c r="L1889" s="1" t="s">
        <v>20</v>
      </c>
      <c r="M1889" s="1" t="s">
        <v>21</v>
      </c>
      <c r="N1889" s="1" t="str">
        <f t="shared" si="58"/>
        <v>Higher</v>
      </c>
      <c r="O1889" s="1" t="str">
        <f t="shared" si="59"/>
        <v>Mature | Medium Spender | Higher</v>
      </c>
    </row>
    <row r="1890" spans="1:15" x14ac:dyDescent="0.25">
      <c r="A1890" s="1" t="s">
        <v>1920</v>
      </c>
      <c r="B1890" s="1">
        <v>55</v>
      </c>
      <c r="C1890" s="1" t="str" cm="1">
        <f t="array" ref="C1890">_xlfn.IFS(OR(B1890=" ", B1890="NA",NOT(ISNUMBER(B1890))), "Unknown",B1890&lt;18,"Underage",B1890&lt;=24,"Young Adult",B1890&lt;=34,"Early Career",B1890&lt;=44,"Mid Career",B1890&lt;=54,"Mature",B1890&lt;=65,"Pre-Senior",B1890&gt;65,"Senior")</f>
        <v>Pre-Senior</v>
      </c>
      <c r="D1890" s="1" t="s">
        <v>12</v>
      </c>
      <c r="E1890" s="1" t="s">
        <v>13</v>
      </c>
      <c r="F1890" s="1">
        <v>1150000</v>
      </c>
      <c r="G1890" s="1">
        <v>87</v>
      </c>
      <c r="H1890" s="1" t="str" cm="1">
        <f t="array" ref="H1890">_xlfn.IFS( OR(G1890=" ",NOT(ISNUMBER(G1890))),"Unknown",G1890&lt;=33,"Low Spender",G1890&lt;=66,"Medium Spender",TRUE, "High Spender")</f>
        <v>High Spender</v>
      </c>
      <c r="I1890" s="1">
        <v>60</v>
      </c>
      <c r="J1890" s="1">
        <v>5300</v>
      </c>
      <c r="K1890" s="1">
        <v>7</v>
      </c>
      <c r="M1890" s="1" t="s">
        <v>30</v>
      </c>
      <c r="N1890" s="1" t="str">
        <f t="shared" si="58"/>
        <v>Lower</v>
      </c>
      <c r="O1890" s="1" t="str">
        <f t="shared" si="59"/>
        <v>Pre-Senior | High Spender | Lower</v>
      </c>
    </row>
    <row r="1891" spans="1:15" x14ac:dyDescent="0.25">
      <c r="A1891" s="1" t="s">
        <v>1921</v>
      </c>
      <c r="B1891" s="1">
        <v>30</v>
      </c>
      <c r="C1891" s="1" t="str" cm="1">
        <f t="array" ref="C1891">_xlfn.IFS(OR(B1891=" ", B1891="NA",NOT(ISNUMBER(B1891))), "Unknown",B1891&lt;18,"Underage",B1891&lt;=24,"Young Adult",B1891&lt;=34,"Early Career",B1891&lt;=44,"Mid Career",B1891&lt;=54,"Mature",B1891&lt;=65,"Pre-Senior",B1891&gt;65,"Senior")</f>
        <v>Early Career</v>
      </c>
      <c r="E1891" s="1" t="s">
        <v>23</v>
      </c>
      <c r="F1891" s="1">
        <v>475000</v>
      </c>
      <c r="G1891" s="1">
        <v>52</v>
      </c>
      <c r="H1891" s="1" t="str" cm="1">
        <f t="array" ref="H1891">_xlfn.IFS( OR(G1891=" ",NOT(ISNUMBER(G1891))),"Unknown",G1891&lt;=33,"Low Spender",G1891&lt;=66,"Medium Spender",TRUE, "High Spender")</f>
        <v>Medium Spender</v>
      </c>
      <c r="I1891" s="1">
        <v>42</v>
      </c>
      <c r="J1891" s="1">
        <v>11800</v>
      </c>
      <c r="K1891" s="1">
        <v>169</v>
      </c>
      <c r="M1891" s="1" t="s">
        <v>41</v>
      </c>
      <c r="N1891" s="1" t="str">
        <f t="shared" si="58"/>
        <v>Lower</v>
      </c>
      <c r="O1891" s="1" t="str">
        <f t="shared" si="59"/>
        <v>Early Career | Medium Spender | Lower</v>
      </c>
    </row>
    <row r="1892" spans="1:15" x14ac:dyDescent="0.25">
      <c r="A1892" s="1" t="s">
        <v>1922</v>
      </c>
      <c r="B1892" s="1">
        <v>64</v>
      </c>
      <c r="C1892" s="1" t="str" cm="1">
        <f t="array" ref="C1892">_xlfn.IFS(OR(B1892=" ", B1892="NA",NOT(ISNUMBER(B1892))), "Unknown",B1892&lt;18,"Underage",B1892&lt;=24,"Young Adult",B1892&lt;=34,"Early Career",B1892&lt;=44,"Mid Career",B1892&lt;=54,"Mature",B1892&lt;=65,"Pre-Senior",B1892&gt;65,"Senior")</f>
        <v>Pre-Senior</v>
      </c>
      <c r="E1892" s="1" t="s">
        <v>13</v>
      </c>
      <c r="F1892" s="1">
        <v>1900000</v>
      </c>
      <c r="G1892" s="1">
        <v>4</v>
      </c>
      <c r="H1892" s="1" t="str" cm="1">
        <f t="array" ref="H1892">_xlfn.IFS( OR(G1892=" ",NOT(ISNUMBER(G1892))),"Unknown",G1892&lt;=33,"Low Spender",G1892&lt;=66,"Medium Spender",TRUE, "High Spender")</f>
        <v>Low Spender</v>
      </c>
      <c r="I1892" s="1">
        <v>64</v>
      </c>
      <c r="J1892" s="1">
        <v>1100</v>
      </c>
      <c r="K1892" s="1">
        <v>130</v>
      </c>
      <c r="L1892" s="1" t="s">
        <v>37</v>
      </c>
      <c r="M1892" s="1" t="s">
        <v>21</v>
      </c>
      <c r="N1892" s="1" t="str">
        <f t="shared" si="58"/>
        <v>Lower</v>
      </c>
      <c r="O1892" s="1" t="str">
        <f t="shared" si="59"/>
        <v>Pre-Senior | Low Spender | Lower</v>
      </c>
    </row>
    <row r="1893" spans="1:15" x14ac:dyDescent="0.25">
      <c r="A1893" s="1" t="s">
        <v>1923</v>
      </c>
      <c r="B1893" s="1">
        <v>42</v>
      </c>
      <c r="C1893" s="1" t="str" cm="1">
        <f t="array" ref="C1893">_xlfn.IFS(OR(B1893=" ", B1893="NA",NOT(ISNUMBER(B1893))), "Unknown",B1893&lt;18,"Underage",B1893&lt;=24,"Young Adult",B1893&lt;=34,"Early Career",B1893&lt;=44,"Mid Career",B1893&lt;=54,"Mature",B1893&lt;=65,"Pre-Senior",B1893&gt;65,"Senior")</f>
        <v>Mid Career</v>
      </c>
      <c r="D1893" s="1" t="s">
        <v>18</v>
      </c>
      <c r="E1893" s="1" t="s">
        <v>23</v>
      </c>
      <c r="F1893" s="1">
        <v>1400000</v>
      </c>
      <c r="H1893" s="1" t="str" cm="1">
        <f t="array" ref="H1893">_xlfn.IFS( OR(G1893=" ",NOT(ISNUMBER(G1893))),"Unknown",G1893&lt;=33,"Low Spender",G1893&lt;=66,"Medium Spender",TRUE, "High Spender")</f>
        <v>Unknown</v>
      </c>
      <c r="I1893" s="1">
        <v>66</v>
      </c>
      <c r="J1893" s="1">
        <v>5600</v>
      </c>
      <c r="K1893" s="1">
        <v>138</v>
      </c>
      <c r="L1893" s="1" t="s">
        <v>35</v>
      </c>
      <c r="M1893" s="1" t="s">
        <v>32</v>
      </c>
      <c r="N1893" s="1" t="str">
        <f t="shared" si="58"/>
        <v>Higher</v>
      </c>
      <c r="O1893" s="1" t="str">
        <f t="shared" si="59"/>
        <v>Mid Career | Unknown | Higher</v>
      </c>
    </row>
    <row r="1894" spans="1:15" x14ac:dyDescent="0.25">
      <c r="A1894" s="1" t="s">
        <v>1924</v>
      </c>
      <c r="B1894" s="1">
        <v>26</v>
      </c>
      <c r="C1894" s="1" t="str" cm="1">
        <f t="array" ref="C1894">_xlfn.IFS(OR(B1894=" ", B1894="NA",NOT(ISNUMBER(B1894))), "Unknown",B1894&lt;18,"Underage",B1894&lt;=24,"Young Adult",B1894&lt;=34,"Early Career",B1894&lt;=44,"Mid Career",B1894&lt;=54,"Mature",B1894&lt;=65,"Pre-Senior",B1894&gt;65,"Senior")</f>
        <v>Early Career</v>
      </c>
      <c r="E1894" s="1" t="s">
        <v>27</v>
      </c>
      <c r="F1894" s="1">
        <v>1750000</v>
      </c>
      <c r="G1894" s="1">
        <v>4</v>
      </c>
      <c r="H1894" s="1" t="str" cm="1">
        <f t="array" ref="H1894">_xlfn.IFS( OR(G1894=" ",NOT(ISNUMBER(G1894))),"Unknown",G1894&lt;=33,"Low Spender",G1894&lt;=66,"Medium Spender",TRUE, "High Spender")</f>
        <v>Low Spender</v>
      </c>
      <c r="I1894" s="1">
        <v>34</v>
      </c>
      <c r="J1894" s="1">
        <v>6400</v>
      </c>
      <c r="K1894" s="1">
        <v>358</v>
      </c>
      <c r="L1894" s="1" t="s">
        <v>35</v>
      </c>
      <c r="N1894" s="1" t="str">
        <f t="shared" si="58"/>
        <v>Lower</v>
      </c>
      <c r="O1894" s="1" t="str">
        <f t="shared" si="59"/>
        <v>Early Career | Low Spender | Lower</v>
      </c>
    </row>
    <row r="1895" spans="1:15" x14ac:dyDescent="0.25">
      <c r="A1895" s="1" t="s">
        <v>1925</v>
      </c>
      <c r="B1895" s="1">
        <v>21</v>
      </c>
      <c r="C1895" s="1" t="str" cm="1">
        <f t="array" ref="C1895">_xlfn.IFS(OR(B1895=" ", B1895="NA",NOT(ISNUMBER(B1895))), "Unknown",B1895&lt;18,"Underage",B1895&lt;=24,"Young Adult",B1895&lt;=34,"Early Career",B1895&lt;=44,"Mid Career",B1895&lt;=54,"Mature",B1895&lt;=65,"Pre-Senior",B1895&gt;65,"Senior")</f>
        <v>Young Adult</v>
      </c>
      <c r="E1895" s="1" t="s">
        <v>15</v>
      </c>
      <c r="F1895" s="1">
        <v>1425000</v>
      </c>
      <c r="G1895" s="1">
        <v>5</v>
      </c>
      <c r="H1895" s="1" t="str" cm="1">
        <f t="array" ref="H1895">_xlfn.IFS( OR(G1895=" ",NOT(ISNUMBER(G1895))),"Unknown",G1895&lt;=33,"Low Spender",G1895&lt;=66,"Medium Spender",TRUE, "High Spender")</f>
        <v>Low Spender</v>
      </c>
      <c r="I1895" s="1">
        <v>71</v>
      </c>
      <c r="J1895" s="1">
        <v>8300</v>
      </c>
      <c r="K1895" s="1">
        <v>300</v>
      </c>
      <c r="M1895" s="1" t="s">
        <v>30</v>
      </c>
      <c r="N1895" s="1" t="str">
        <f t="shared" si="58"/>
        <v>Lower</v>
      </c>
      <c r="O1895" s="1" t="str">
        <f t="shared" si="59"/>
        <v>Young Adult | Low Spender | Lower</v>
      </c>
    </row>
    <row r="1896" spans="1:15" x14ac:dyDescent="0.25">
      <c r="A1896" s="1" t="s">
        <v>1926</v>
      </c>
      <c r="B1896" s="1">
        <v>31</v>
      </c>
      <c r="C1896" s="1" t="str" cm="1">
        <f t="array" ref="C1896">_xlfn.IFS(OR(B1896=" ", B1896="NA",NOT(ISNUMBER(B1896))), "Unknown",B1896&lt;18,"Underage",B1896&lt;=24,"Young Adult",B1896&lt;=34,"Early Career",B1896&lt;=44,"Mid Career",B1896&lt;=54,"Mature",B1896&lt;=65,"Pre-Senior",B1896&gt;65,"Senior")</f>
        <v>Early Career</v>
      </c>
      <c r="D1896" s="1" t="s">
        <v>29</v>
      </c>
      <c r="F1896" s="1">
        <v>875000</v>
      </c>
      <c r="G1896" s="1">
        <v>41</v>
      </c>
      <c r="H1896" s="1" t="str" cm="1">
        <f t="array" ref="H1896">_xlfn.IFS( OR(G1896=" ",NOT(ISNUMBER(G1896))),"Unknown",G1896&lt;=33,"Low Spender",G1896&lt;=66,"Medium Spender",TRUE, "High Spender")</f>
        <v>Medium Spender</v>
      </c>
      <c r="I1896" s="1">
        <v>64</v>
      </c>
      <c r="J1896" s="1">
        <v>1100</v>
      </c>
      <c r="K1896" s="1">
        <v>326</v>
      </c>
      <c r="L1896" s="1" t="s">
        <v>20</v>
      </c>
      <c r="M1896" s="1" t="s">
        <v>30</v>
      </c>
      <c r="N1896" s="1" t="str">
        <f t="shared" si="58"/>
        <v>Higher</v>
      </c>
      <c r="O1896" s="1" t="str">
        <f t="shared" si="59"/>
        <v>Early Career | Medium Spender | Higher</v>
      </c>
    </row>
    <row r="1897" spans="1:15" x14ac:dyDescent="0.25">
      <c r="A1897" s="1" t="s">
        <v>1927</v>
      </c>
      <c r="B1897" s="1">
        <v>54</v>
      </c>
      <c r="C1897" s="1" t="str" cm="1">
        <f t="array" ref="C1897">_xlfn.IFS(OR(B1897=" ", B1897="NA",NOT(ISNUMBER(B1897))), "Unknown",B1897&lt;18,"Underage",B1897&lt;=24,"Young Adult",B1897&lt;=34,"Early Career",B1897&lt;=44,"Mid Career",B1897&lt;=54,"Mature",B1897&lt;=65,"Pre-Senior",B1897&gt;65,"Senior")</f>
        <v>Mature</v>
      </c>
      <c r="D1897" s="1" t="s">
        <v>29</v>
      </c>
      <c r="F1897" s="1">
        <v>1550000</v>
      </c>
      <c r="G1897" s="1">
        <v>87</v>
      </c>
      <c r="H1897" s="1" t="str" cm="1">
        <f t="array" ref="H1897">_xlfn.IFS( OR(G1897=" ",NOT(ISNUMBER(G1897))),"Unknown",G1897&lt;=33,"Low Spender",G1897&lt;=66,"Medium Spender",TRUE, "High Spender")</f>
        <v>High Spender</v>
      </c>
      <c r="I1897" s="1">
        <v>33</v>
      </c>
      <c r="J1897" s="1">
        <v>1100</v>
      </c>
      <c r="K1897" s="1">
        <v>91</v>
      </c>
      <c r="M1897" s="1" t="s">
        <v>41</v>
      </c>
      <c r="N1897" s="1" t="str">
        <f t="shared" si="58"/>
        <v>Higher</v>
      </c>
      <c r="O1897" s="1" t="str">
        <f t="shared" si="59"/>
        <v>Mature | High Spender | Higher</v>
      </c>
    </row>
    <row r="1898" spans="1:15" x14ac:dyDescent="0.25">
      <c r="A1898" s="1" t="s">
        <v>1928</v>
      </c>
      <c r="B1898" s="1">
        <v>51</v>
      </c>
      <c r="C1898" s="1" t="str" cm="1">
        <f t="array" ref="C1898">_xlfn.IFS(OR(B1898=" ", B1898="NA",NOT(ISNUMBER(B1898))), "Unknown",B1898&lt;18,"Underage",B1898&lt;=24,"Young Adult",B1898&lt;=34,"Early Career",B1898&lt;=44,"Mid Career",B1898&lt;=54,"Mature",B1898&lt;=65,"Pre-Senior",B1898&gt;65,"Senior")</f>
        <v>Mature</v>
      </c>
      <c r="E1898" s="1" t="s">
        <v>23</v>
      </c>
      <c r="F1898" s="1">
        <v>875000</v>
      </c>
      <c r="H1898" s="1" t="str" cm="1">
        <f t="array" ref="H1898">_xlfn.IFS( OR(G1898=" ",NOT(ISNUMBER(G1898))),"Unknown",G1898&lt;=33,"Low Spender",G1898&lt;=66,"Medium Spender",TRUE, "High Spender")</f>
        <v>Unknown</v>
      </c>
      <c r="I1898" s="1">
        <v>12</v>
      </c>
      <c r="J1898" s="1">
        <v>10300</v>
      </c>
      <c r="K1898" s="1">
        <v>163</v>
      </c>
      <c r="L1898" s="1" t="s">
        <v>16</v>
      </c>
      <c r="N1898" s="1" t="str">
        <f t="shared" si="58"/>
        <v>Lower</v>
      </c>
      <c r="O1898" s="1" t="str">
        <f t="shared" si="59"/>
        <v>Mature | Unknown | Lower</v>
      </c>
    </row>
    <row r="1899" spans="1:15" x14ac:dyDescent="0.25">
      <c r="A1899" s="1" t="s">
        <v>1929</v>
      </c>
      <c r="B1899" s="1">
        <v>28</v>
      </c>
      <c r="C1899" s="1" t="str" cm="1">
        <f t="array" ref="C1899">_xlfn.IFS(OR(B1899=" ", B1899="NA",NOT(ISNUMBER(B1899))), "Unknown",B1899&lt;18,"Underage",B1899&lt;=24,"Young Adult",B1899&lt;=34,"Early Career",B1899&lt;=44,"Mid Career",B1899&lt;=54,"Mature",B1899&lt;=65,"Pre-Senior",B1899&gt;65,"Senior")</f>
        <v>Early Career</v>
      </c>
      <c r="D1899" s="1" t="s">
        <v>12</v>
      </c>
      <c r="F1899" s="1">
        <v>1175000</v>
      </c>
      <c r="G1899" s="1">
        <v>61</v>
      </c>
      <c r="H1899" s="1" t="str" cm="1">
        <f t="array" ref="H1899">_xlfn.IFS( OR(G1899=" ",NOT(ISNUMBER(G1899))),"Unknown",G1899&lt;=33,"Low Spender",G1899&lt;=66,"Medium Spender",TRUE, "High Spender")</f>
        <v>Medium Spender</v>
      </c>
      <c r="I1899" s="1">
        <v>76</v>
      </c>
      <c r="J1899" s="1">
        <v>2600</v>
      </c>
      <c r="K1899" s="1">
        <v>318</v>
      </c>
      <c r="L1899" s="1" t="s">
        <v>35</v>
      </c>
      <c r="M1899" s="1" t="s">
        <v>21</v>
      </c>
      <c r="N1899" s="1" t="str">
        <f t="shared" si="58"/>
        <v>Lower</v>
      </c>
      <c r="O1899" s="1" t="str">
        <f t="shared" si="59"/>
        <v>Early Career | Medium Spender | Lower</v>
      </c>
    </row>
    <row r="1900" spans="1:15" x14ac:dyDescent="0.25">
      <c r="A1900" s="1" t="s">
        <v>1930</v>
      </c>
      <c r="B1900" s="1">
        <v>58</v>
      </c>
      <c r="C1900" s="1" t="str" cm="1">
        <f t="array" ref="C1900">_xlfn.IFS(OR(B1900=" ", B1900="NA",NOT(ISNUMBER(B1900))), "Unknown",B1900&lt;18,"Underage",B1900&lt;=24,"Young Adult",B1900&lt;=34,"Early Career",B1900&lt;=44,"Mid Career",B1900&lt;=54,"Mature",B1900&lt;=65,"Pre-Senior",B1900&gt;65,"Senior")</f>
        <v>Pre-Senior</v>
      </c>
      <c r="D1900" s="1" t="s">
        <v>29</v>
      </c>
      <c r="E1900" s="1" t="s">
        <v>13</v>
      </c>
      <c r="F1900" s="1">
        <v>400000</v>
      </c>
      <c r="G1900" s="1">
        <v>75</v>
      </c>
      <c r="H1900" s="1" t="str" cm="1">
        <f t="array" ref="H1900">_xlfn.IFS( OR(G1900=" ",NOT(ISNUMBER(G1900))),"Unknown",G1900&lt;=33,"Low Spender",G1900&lt;=66,"Medium Spender",TRUE, "High Spender")</f>
        <v>High Spender</v>
      </c>
      <c r="I1900" s="1">
        <v>19</v>
      </c>
      <c r="J1900" s="1">
        <v>4100</v>
      </c>
      <c r="K1900" s="1">
        <v>253</v>
      </c>
      <c r="L1900" s="1" t="s">
        <v>37</v>
      </c>
      <c r="N1900" s="1" t="str">
        <f t="shared" si="58"/>
        <v>Higher</v>
      </c>
      <c r="O1900" s="1" t="str">
        <f t="shared" si="59"/>
        <v>Pre-Senior | High Spender | Higher</v>
      </c>
    </row>
    <row r="1901" spans="1:15" x14ac:dyDescent="0.25">
      <c r="A1901" s="1" t="s">
        <v>1931</v>
      </c>
      <c r="B1901" s="1">
        <v>20</v>
      </c>
      <c r="C1901" s="1" t="str" cm="1">
        <f t="array" ref="C1901">_xlfn.IFS(OR(B1901=" ", B1901="NA",NOT(ISNUMBER(B1901))), "Unknown",B1901&lt;18,"Underage",B1901&lt;=24,"Young Adult",B1901&lt;=34,"Early Career",B1901&lt;=44,"Mid Career",B1901&lt;=54,"Mature",B1901&lt;=65,"Pre-Senior",B1901&gt;65,"Senior")</f>
        <v>Young Adult</v>
      </c>
      <c r="D1901" s="1" t="s">
        <v>18</v>
      </c>
      <c r="E1901" s="1" t="s">
        <v>58</v>
      </c>
      <c r="F1901" s="1">
        <v>800000</v>
      </c>
      <c r="G1901" s="1">
        <v>55</v>
      </c>
      <c r="H1901" s="1" t="str" cm="1">
        <f t="array" ref="H1901">_xlfn.IFS( OR(G1901=" ",NOT(ISNUMBER(G1901))),"Unknown",G1901&lt;=33,"Low Spender",G1901&lt;=66,"Medium Spender",TRUE, "High Spender")</f>
        <v>Medium Spender</v>
      </c>
      <c r="I1901" s="1">
        <v>9</v>
      </c>
      <c r="J1901" s="1">
        <v>7700</v>
      </c>
      <c r="K1901" s="1">
        <v>201</v>
      </c>
      <c r="L1901" s="1" t="s">
        <v>35</v>
      </c>
      <c r="N1901" s="1" t="str">
        <f t="shared" si="58"/>
        <v>Higher</v>
      </c>
      <c r="O1901" s="1" t="str">
        <f t="shared" si="59"/>
        <v>Young Adult | Medium Spender | Higher</v>
      </c>
    </row>
    <row r="1902" spans="1:15" x14ac:dyDescent="0.25">
      <c r="A1902" s="1" t="s">
        <v>1932</v>
      </c>
      <c r="B1902" s="1">
        <v>45</v>
      </c>
      <c r="C1902" s="1" t="str" cm="1">
        <f t="array" ref="C1902">_xlfn.IFS(OR(B1902=" ", B1902="NA",NOT(ISNUMBER(B1902))), "Unknown",B1902&lt;18,"Underage",B1902&lt;=24,"Young Adult",B1902&lt;=34,"Early Career",B1902&lt;=44,"Mid Career",B1902&lt;=54,"Mature",B1902&lt;=65,"Pre-Senior",B1902&gt;65,"Senior")</f>
        <v>Mature</v>
      </c>
      <c r="D1902" s="1" t="s">
        <v>29</v>
      </c>
      <c r="E1902" s="1" t="s">
        <v>13</v>
      </c>
      <c r="F1902" s="1">
        <v>725000</v>
      </c>
      <c r="G1902" s="1">
        <v>75</v>
      </c>
      <c r="H1902" s="1" t="str" cm="1">
        <f t="array" ref="H1902">_xlfn.IFS( OR(G1902=" ",NOT(ISNUMBER(G1902))),"Unknown",G1902&lt;=33,"Low Spender",G1902&lt;=66,"Medium Spender",TRUE, "High Spender")</f>
        <v>High Spender</v>
      </c>
      <c r="I1902" s="1">
        <v>74</v>
      </c>
      <c r="J1902" s="1">
        <v>1000</v>
      </c>
      <c r="K1902" s="1">
        <v>20</v>
      </c>
      <c r="L1902" s="1" t="s">
        <v>35</v>
      </c>
      <c r="M1902" s="1" t="s">
        <v>41</v>
      </c>
      <c r="N1902" s="1" t="str">
        <f t="shared" si="58"/>
        <v>Higher</v>
      </c>
      <c r="O1902" s="1" t="str">
        <f t="shared" si="59"/>
        <v>Mature | High Spender | Higher</v>
      </c>
    </row>
    <row r="1903" spans="1:15" x14ac:dyDescent="0.25">
      <c r="A1903" s="1" t="s">
        <v>1933</v>
      </c>
      <c r="B1903" s="1">
        <v>46</v>
      </c>
      <c r="C1903" s="1" t="str" cm="1">
        <f t="array" ref="C1903">_xlfn.IFS(OR(B1903=" ", B1903="NA",NOT(ISNUMBER(B1903))), "Unknown",B1903&lt;18,"Underage",B1903&lt;=24,"Young Adult",B1903&lt;=34,"Early Career",B1903&lt;=44,"Mid Career",B1903&lt;=54,"Mature",B1903&lt;=65,"Pre-Senior",B1903&gt;65,"Senior")</f>
        <v>Mature</v>
      </c>
      <c r="D1903" s="1" t="s">
        <v>12</v>
      </c>
      <c r="E1903" s="1" t="s">
        <v>23</v>
      </c>
      <c r="F1903" s="1">
        <v>1100000</v>
      </c>
      <c r="G1903" s="1">
        <v>13</v>
      </c>
      <c r="H1903" s="1" t="str" cm="1">
        <f t="array" ref="H1903">_xlfn.IFS( OR(G1903=" ",NOT(ISNUMBER(G1903))),"Unknown",G1903&lt;=33,"Low Spender",G1903&lt;=66,"Medium Spender",TRUE, "High Spender")</f>
        <v>Low Spender</v>
      </c>
      <c r="I1903" s="1">
        <v>17</v>
      </c>
      <c r="J1903" s="1">
        <v>2700</v>
      </c>
      <c r="K1903" s="1">
        <v>229</v>
      </c>
      <c r="L1903" s="1" t="s">
        <v>16</v>
      </c>
      <c r="N1903" s="1" t="str">
        <f t="shared" si="58"/>
        <v>Lower</v>
      </c>
      <c r="O1903" s="1" t="str">
        <f t="shared" si="59"/>
        <v>Mature | Low Spender | Lower</v>
      </c>
    </row>
    <row r="1904" spans="1:15" x14ac:dyDescent="0.25">
      <c r="A1904" s="1" t="s">
        <v>1934</v>
      </c>
      <c r="B1904" s="1">
        <v>26</v>
      </c>
      <c r="C1904" s="1" t="str" cm="1">
        <f t="array" ref="C1904">_xlfn.IFS(OR(B1904=" ", B1904="NA",NOT(ISNUMBER(B1904))), "Unknown",B1904&lt;18,"Underage",B1904&lt;=24,"Young Adult",B1904&lt;=34,"Early Career",B1904&lt;=44,"Mid Career",B1904&lt;=54,"Mature",B1904&lt;=65,"Pre-Senior",B1904&gt;65,"Senior")</f>
        <v>Early Career</v>
      </c>
      <c r="D1904" s="1" t="s">
        <v>18</v>
      </c>
      <c r="E1904" s="1" t="s">
        <v>34</v>
      </c>
      <c r="F1904" s="1">
        <v>1925000</v>
      </c>
      <c r="G1904" s="1">
        <v>14</v>
      </c>
      <c r="H1904" s="1" t="str" cm="1">
        <f t="array" ref="H1904">_xlfn.IFS( OR(G1904=" ",NOT(ISNUMBER(G1904))),"Unknown",G1904&lt;=33,"Low Spender",G1904&lt;=66,"Medium Spender",TRUE, "High Spender")</f>
        <v>Low Spender</v>
      </c>
      <c r="I1904" s="1">
        <v>50</v>
      </c>
      <c r="J1904" s="1">
        <v>11200</v>
      </c>
      <c r="K1904" s="1">
        <v>163</v>
      </c>
      <c r="L1904" s="1" t="s">
        <v>16</v>
      </c>
      <c r="N1904" s="1" t="str">
        <f t="shared" si="58"/>
        <v>Higher</v>
      </c>
      <c r="O1904" s="1" t="str">
        <f t="shared" si="59"/>
        <v>Early Career | Low Spender | Higher</v>
      </c>
    </row>
    <row r="1905" spans="1:15" x14ac:dyDescent="0.25">
      <c r="A1905" s="1" t="s">
        <v>1935</v>
      </c>
      <c r="B1905" s="1">
        <v>20</v>
      </c>
      <c r="C1905" s="1" t="str" cm="1">
        <f t="array" ref="C1905">_xlfn.IFS(OR(B1905=" ", B1905="NA",NOT(ISNUMBER(B1905))), "Unknown",B1905&lt;18,"Underage",B1905&lt;=24,"Young Adult",B1905&lt;=34,"Early Career",B1905&lt;=44,"Mid Career",B1905&lt;=54,"Mature",B1905&lt;=65,"Pre-Senior",B1905&gt;65,"Senior")</f>
        <v>Young Adult</v>
      </c>
      <c r="D1905" s="1" t="s">
        <v>29</v>
      </c>
      <c r="E1905" s="1" t="s">
        <v>13</v>
      </c>
      <c r="F1905" s="1">
        <v>575000</v>
      </c>
      <c r="G1905" s="1">
        <v>60</v>
      </c>
      <c r="H1905" s="1" t="str" cm="1">
        <f t="array" ref="H1905">_xlfn.IFS( OR(G1905=" ",NOT(ISNUMBER(G1905))),"Unknown",G1905&lt;=33,"Low Spender",G1905&lt;=66,"Medium Spender",TRUE, "High Spender")</f>
        <v>Medium Spender</v>
      </c>
      <c r="I1905" s="1">
        <v>39</v>
      </c>
      <c r="J1905" s="1">
        <v>6800</v>
      </c>
      <c r="K1905" s="1">
        <v>165</v>
      </c>
      <c r="N1905" s="1" t="str">
        <f t="shared" si="58"/>
        <v>Higher</v>
      </c>
      <c r="O1905" s="1" t="str">
        <f t="shared" si="59"/>
        <v>Young Adult | Medium Spender | Higher</v>
      </c>
    </row>
    <row r="1906" spans="1:15" x14ac:dyDescent="0.25">
      <c r="A1906" s="1" t="s">
        <v>1936</v>
      </c>
      <c r="B1906" s="1">
        <v>42</v>
      </c>
      <c r="C1906" s="1" t="str" cm="1">
        <f t="array" ref="C1906">_xlfn.IFS(OR(B1906=" ", B1906="NA",NOT(ISNUMBER(B1906))), "Unknown",B1906&lt;18,"Underage",B1906&lt;=24,"Young Adult",B1906&lt;=34,"Early Career",B1906&lt;=44,"Mid Career",B1906&lt;=54,"Mature",B1906&lt;=65,"Pre-Senior",B1906&gt;65,"Senior")</f>
        <v>Mid Career</v>
      </c>
      <c r="F1906" s="1" t="s">
        <v>25</v>
      </c>
      <c r="G1906" s="1">
        <v>72</v>
      </c>
      <c r="H1906" s="1" t="str" cm="1">
        <f t="array" ref="H1906">_xlfn.IFS( OR(G1906=" ",NOT(ISNUMBER(G1906))),"Unknown",G1906&lt;=33,"Low Spender",G1906&lt;=66,"Medium Spender",TRUE, "High Spender")</f>
        <v>High Spender</v>
      </c>
      <c r="I1906" s="1">
        <v>41</v>
      </c>
      <c r="J1906" s="1">
        <v>1200</v>
      </c>
      <c r="K1906" s="1">
        <v>232</v>
      </c>
      <c r="L1906" s="1" t="s">
        <v>35</v>
      </c>
      <c r="M1906" s="1" t="s">
        <v>30</v>
      </c>
      <c r="N1906" s="1" t="str">
        <f t="shared" si="58"/>
        <v>Lower</v>
      </c>
      <c r="O1906" s="1" t="str">
        <f t="shared" si="59"/>
        <v>Mid Career | High Spender | Lower</v>
      </c>
    </row>
    <row r="1907" spans="1:15" x14ac:dyDescent="0.25">
      <c r="A1907" s="1" t="s">
        <v>1937</v>
      </c>
      <c r="B1907" s="1">
        <v>51</v>
      </c>
      <c r="C1907" s="1" t="str" cm="1">
        <f t="array" ref="C1907">_xlfn.IFS(OR(B1907=" ", B1907="NA",NOT(ISNUMBER(B1907))), "Unknown",B1907&lt;18,"Underage",B1907&lt;=24,"Young Adult",B1907&lt;=34,"Early Career",B1907&lt;=44,"Mid Career",B1907&lt;=54,"Mature",B1907&lt;=65,"Pre-Senior",B1907&gt;65,"Senior")</f>
        <v>Mature</v>
      </c>
      <c r="D1907" s="1" t="s">
        <v>18</v>
      </c>
      <c r="E1907" s="1" t="s">
        <v>49</v>
      </c>
      <c r="F1907" s="1">
        <v>1250000</v>
      </c>
      <c r="G1907" s="1">
        <v>25</v>
      </c>
      <c r="H1907" s="1" t="str" cm="1">
        <f t="array" ref="H1907">_xlfn.IFS( OR(G1907=" ",NOT(ISNUMBER(G1907))),"Unknown",G1907&lt;=33,"Low Spender",G1907&lt;=66,"Medium Spender",TRUE, "High Spender")</f>
        <v>Low Spender</v>
      </c>
      <c r="I1907" s="1">
        <v>10</v>
      </c>
      <c r="J1907" s="1">
        <v>11900</v>
      </c>
      <c r="K1907" s="1">
        <v>328</v>
      </c>
      <c r="L1907" s="1" t="s">
        <v>35</v>
      </c>
      <c r="M1907" s="1" t="s">
        <v>21</v>
      </c>
      <c r="N1907" s="1" t="str">
        <f t="shared" si="58"/>
        <v>Higher</v>
      </c>
      <c r="O1907" s="1" t="str">
        <f t="shared" si="59"/>
        <v>Mature | Low Spender | Higher</v>
      </c>
    </row>
    <row r="1908" spans="1:15" x14ac:dyDescent="0.25">
      <c r="A1908" s="1" t="s">
        <v>1938</v>
      </c>
      <c r="B1908" s="1">
        <v>29</v>
      </c>
      <c r="C1908" s="1" t="str" cm="1">
        <f t="array" ref="C1908">_xlfn.IFS(OR(B1908=" ", B1908="NA",NOT(ISNUMBER(B1908))), "Unknown",B1908&lt;18,"Underage",B1908&lt;=24,"Young Adult",B1908&lt;=34,"Early Career",B1908&lt;=44,"Mid Career",B1908&lt;=54,"Mature",B1908&lt;=65,"Pre-Senior",B1908&gt;65,"Senior")</f>
        <v>Early Career</v>
      </c>
      <c r="D1908" s="1" t="s">
        <v>29</v>
      </c>
      <c r="F1908" s="1">
        <v>425000</v>
      </c>
      <c r="G1908" s="1">
        <v>82</v>
      </c>
      <c r="H1908" s="1" t="str" cm="1">
        <f t="array" ref="H1908">_xlfn.IFS( OR(G1908=" ",NOT(ISNUMBER(G1908))),"Unknown",G1908&lt;=33,"Low Spender",G1908&lt;=66,"Medium Spender",TRUE, "High Spender")</f>
        <v>High Spender</v>
      </c>
      <c r="I1908" s="1">
        <v>12</v>
      </c>
      <c r="J1908" s="1">
        <v>2600</v>
      </c>
      <c r="K1908" s="1">
        <v>238</v>
      </c>
      <c r="L1908" s="1" t="s">
        <v>20</v>
      </c>
      <c r="M1908" s="1" t="s">
        <v>21</v>
      </c>
      <c r="N1908" s="1" t="str">
        <f t="shared" si="58"/>
        <v>Higher</v>
      </c>
      <c r="O1908" s="1" t="str">
        <f t="shared" si="59"/>
        <v>Early Career | High Spender | Higher</v>
      </c>
    </row>
    <row r="1909" spans="1:15" x14ac:dyDescent="0.25">
      <c r="A1909" s="1" t="s">
        <v>1939</v>
      </c>
      <c r="B1909" s="1">
        <v>59</v>
      </c>
      <c r="C1909" s="1" t="str" cm="1">
        <f t="array" ref="C1909">_xlfn.IFS(OR(B1909=" ", B1909="NA",NOT(ISNUMBER(B1909))), "Unknown",B1909&lt;18,"Underage",B1909&lt;=24,"Young Adult",B1909&lt;=34,"Early Career",B1909&lt;=44,"Mid Career",B1909&lt;=54,"Mature",B1909&lt;=65,"Pre-Senior",B1909&gt;65,"Senior")</f>
        <v>Pre-Senior</v>
      </c>
      <c r="D1909" s="1" t="s">
        <v>29</v>
      </c>
      <c r="E1909" s="1" t="s">
        <v>58</v>
      </c>
      <c r="F1909" s="1">
        <v>1350000</v>
      </c>
      <c r="G1909" s="1">
        <v>44</v>
      </c>
      <c r="H1909" s="1" t="str" cm="1">
        <f t="array" ref="H1909">_xlfn.IFS( OR(G1909=" ",NOT(ISNUMBER(G1909))),"Unknown",G1909&lt;=33,"Low Spender",G1909&lt;=66,"Medium Spender",TRUE, "High Spender")</f>
        <v>Medium Spender</v>
      </c>
      <c r="I1909" s="1">
        <v>79</v>
      </c>
      <c r="J1909" s="1">
        <v>11400</v>
      </c>
      <c r="K1909" s="1">
        <v>120</v>
      </c>
      <c r="L1909" s="1" t="s">
        <v>20</v>
      </c>
      <c r="M1909" s="1" t="s">
        <v>41</v>
      </c>
      <c r="N1909" s="1" t="str">
        <f t="shared" si="58"/>
        <v>Higher</v>
      </c>
      <c r="O1909" s="1" t="str">
        <f t="shared" si="59"/>
        <v>Pre-Senior | Medium Spender | Higher</v>
      </c>
    </row>
    <row r="1910" spans="1:15" x14ac:dyDescent="0.25">
      <c r="A1910" s="1" t="s">
        <v>1940</v>
      </c>
      <c r="B1910" s="1">
        <v>26</v>
      </c>
      <c r="C1910" s="1" t="str" cm="1">
        <f t="array" ref="C1910">_xlfn.IFS(OR(B1910=" ", B1910="NA",NOT(ISNUMBER(B1910))), "Unknown",B1910&lt;18,"Underage",B1910&lt;=24,"Young Adult",B1910&lt;=34,"Early Career",B1910&lt;=44,"Mid Career",B1910&lt;=54,"Mature",B1910&lt;=65,"Pre-Senior",B1910&gt;65,"Senior")</f>
        <v>Early Career</v>
      </c>
      <c r="D1910" s="1" t="s">
        <v>18</v>
      </c>
      <c r="F1910" s="1">
        <v>900000</v>
      </c>
      <c r="G1910" s="1">
        <v>82</v>
      </c>
      <c r="H1910" s="1" t="str" cm="1">
        <f t="array" ref="H1910">_xlfn.IFS( OR(G1910=" ",NOT(ISNUMBER(G1910))),"Unknown",G1910&lt;=33,"Low Spender",G1910&lt;=66,"Medium Spender",TRUE, "High Spender")</f>
        <v>High Spender</v>
      </c>
      <c r="I1910" s="1">
        <v>15</v>
      </c>
      <c r="J1910" s="1">
        <v>8200</v>
      </c>
      <c r="K1910" s="1">
        <v>351</v>
      </c>
      <c r="M1910" s="1" t="s">
        <v>32</v>
      </c>
      <c r="N1910" s="1" t="str">
        <f t="shared" si="58"/>
        <v>Higher</v>
      </c>
      <c r="O1910" s="1" t="str">
        <f t="shared" si="59"/>
        <v>Early Career | High Spender | Higher</v>
      </c>
    </row>
    <row r="1911" spans="1:15" x14ac:dyDescent="0.25">
      <c r="A1911" s="1" t="s">
        <v>1941</v>
      </c>
      <c r="B1911" s="1">
        <v>32</v>
      </c>
      <c r="C1911" s="1" t="str" cm="1">
        <f t="array" ref="C1911">_xlfn.IFS(OR(B1911=" ", B1911="NA",NOT(ISNUMBER(B1911))), "Unknown",B1911&lt;18,"Underage",B1911&lt;=24,"Young Adult",B1911&lt;=34,"Early Career",B1911&lt;=44,"Mid Career",B1911&lt;=54,"Mature",B1911&lt;=65,"Pre-Senior",B1911&gt;65,"Senior")</f>
        <v>Early Career</v>
      </c>
      <c r="E1911" s="1" t="s">
        <v>49</v>
      </c>
      <c r="F1911" s="1">
        <v>675000</v>
      </c>
      <c r="G1911" s="1">
        <v>10</v>
      </c>
      <c r="H1911" s="1" t="str" cm="1">
        <f t="array" ref="H1911">_xlfn.IFS( OR(G1911=" ",NOT(ISNUMBER(G1911))),"Unknown",G1911&lt;=33,"Low Spender",G1911&lt;=66,"Medium Spender",TRUE, "High Spender")</f>
        <v>Low Spender</v>
      </c>
      <c r="I1911" s="1">
        <v>28</v>
      </c>
      <c r="J1911" s="1">
        <v>8500</v>
      </c>
      <c r="K1911" s="1">
        <v>107</v>
      </c>
      <c r="M1911" s="1" t="s">
        <v>41</v>
      </c>
      <c r="N1911" s="1" t="str">
        <f t="shared" si="58"/>
        <v>Lower</v>
      </c>
      <c r="O1911" s="1" t="str">
        <f t="shared" si="59"/>
        <v>Early Career | Low Spender | Lower</v>
      </c>
    </row>
    <row r="1912" spans="1:15" x14ac:dyDescent="0.25">
      <c r="A1912" s="1" t="s">
        <v>1942</v>
      </c>
      <c r="B1912" s="1">
        <v>57</v>
      </c>
      <c r="C1912" s="1" t="str" cm="1">
        <f t="array" ref="C1912">_xlfn.IFS(OR(B1912=" ", B1912="NA",NOT(ISNUMBER(B1912))), "Unknown",B1912&lt;18,"Underage",B1912&lt;=24,"Young Adult",B1912&lt;=34,"Early Career",B1912&lt;=44,"Mid Career",B1912&lt;=54,"Mature",B1912&lt;=65,"Pre-Senior",B1912&gt;65,"Senior")</f>
        <v>Pre-Senior</v>
      </c>
      <c r="E1912" s="1" t="s">
        <v>23</v>
      </c>
      <c r="F1912" s="1">
        <v>1225000</v>
      </c>
      <c r="G1912" s="1">
        <v>71</v>
      </c>
      <c r="H1912" s="1" t="str" cm="1">
        <f t="array" ref="H1912">_xlfn.IFS( OR(G1912=" ",NOT(ISNUMBER(G1912))),"Unknown",G1912&lt;=33,"Low Spender",G1912&lt;=66,"Medium Spender",TRUE, "High Spender")</f>
        <v>High Spender</v>
      </c>
      <c r="I1912" s="1">
        <v>4</v>
      </c>
      <c r="J1912" s="1">
        <v>6100</v>
      </c>
      <c r="K1912" s="1">
        <v>250</v>
      </c>
      <c r="L1912" s="1" t="s">
        <v>37</v>
      </c>
      <c r="M1912" s="1" t="s">
        <v>21</v>
      </c>
      <c r="N1912" s="1" t="str">
        <f t="shared" si="58"/>
        <v>Lower</v>
      </c>
      <c r="O1912" s="1" t="str">
        <f t="shared" si="59"/>
        <v>Pre-Senior | High Spender | Lower</v>
      </c>
    </row>
    <row r="1913" spans="1:15" x14ac:dyDescent="0.25">
      <c r="A1913" s="1" t="s">
        <v>1943</v>
      </c>
      <c r="B1913" s="1">
        <v>42</v>
      </c>
      <c r="C1913" s="1" t="str" cm="1">
        <f t="array" ref="C1913">_xlfn.IFS(OR(B1913=" ", B1913="NA",NOT(ISNUMBER(B1913))), "Unknown",B1913&lt;18,"Underage",B1913&lt;=24,"Young Adult",B1913&lt;=34,"Early Career",B1913&lt;=44,"Mid Career",B1913&lt;=54,"Mature",B1913&lt;=65,"Pre-Senior",B1913&gt;65,"Senior")</f>
        <v>Mid Career</v>
      </c>
      <c r="D1913" s="1" t="s">
        <v>18</v>
      </c>
      <c r="E1913" s="1" t="s">
        <v>27</v>
      </c>
      <c r="F1913" s="1">
        <v>1725000</v>
      </c>
      <c r="G1913" s="1">
        <v>50</v>
      </c>
      <c r="H1913" s="1" t="str" cm="1">
        <f t="array" ref="H1913">_xlfn.IFS( OR(G1913=" ",NOT(ISNUMBER(G1913))),"Unknown",G1913&lt;=33,"Low Spender",G1913&lt;=66,"Medium Spender",TRUE, "High Spender")</f>
        <v>Medium Spender</v>
      </c>
      <c r="I1913" s="1">
        <v>36</v>
      </c>
      <c r="J1913" s="1">
        <v>3300</v>
      </c>
      <c r="K1913" s="1">
        <v>336</v>
      </c>
      <c r="L1913" s="1" t="s">
        <v>37</v>
      </c>
      <c r="M1913" s="1" t="s">
        <v>30</v>
      </c>
      <c r="N1913" s="1" t="str">
        <f t="shared" si="58"/>
        <v>Higher</v>
      </c>
      <c r="O1913" s="1" t="str">
        <f t="shared" si="59"/>
        <v>Mid Career | Medium Spender | Higher</v>
      </c>
    </row>
    <row r="1914" spans="1:15" x14ac:dyDescent="0.25">
      <c r="A1914" s="1" t="s">
        <v>1944</v>
      </c>
      <c r="B1914" s="1">
        <v>22</v>
      </c>
      <c r="C1914" s="1" t="str" cm="1">
        <f t="array" ref="C1914">_xlfn.IFS(OR(B1914=" ", B1914="NA",NOT(ISNUMBER(B1914))), "Unknown",B1914&lt;18,"Underage",B1914&lt;=24,"Young Adult",B1914&lt;=34,"Early Career",B1914&lt;=44,"Mid Career",B1914&lt;=54,"Mature",B1914&lt;=65,"Pre-Senior",B1914&gt;65,"Senior")</f>
        <v>Young Adult</v>
      </c>
      <c r="D1914" s="1" t="s">
        <v>18</v>
      </c>
      <c r="E1914" s="1" t="s">
        <v>49</v>
      </c>
      <c r="F1914" s="1" t="s">
        <v>25</v>
      </c>
      <c r="G1914" s="1">
        <v>44</v>
      </c>
      <c r="H1914" s="1" t="str" cm="1">
        <f t="array" ref="H1914">_xlfn.IFS( OR(G1914=" ",NOT(ISNUMBER(G1914))),"Unknown",G1914&lt;=33,"Low Spender",G1914&lt;=66,"Medium Spender",TRUE, "High Spender")</f>
        <v>Medium Spender</v>
      </c>
      <c r="I1914" s="1">
        <v>65</v>
      </c>
      <c r="J1914" s="1">
        <v>1300</v>
      </c>
      <c r="K1914" s="1">
        <v>284</v>
      </c>
      <c r="L1914" s="1" t="s">
        <v>20</v>
      </c>
      <c r="M1914" s="1" t="s">
        <v>41</v>
      </c>
      <c r="N1914" s="1" t="str">
        <f t="shared" si="58"/>
        <v>Higher</v>
      </c>
      <c r="O1914" s="1" t="str">
        <f t="shared" si="59"/>
        <v>Young Adult | Medium Spender | Higher</v>
      </c>
    </row>
    <row r="1915" spans="1:15" x14ac:dyDescent="0.25">
      <c r="A1915" s="1" t="s">
        <v>1945</v>
      </c>
      <c r="B1915" s="1">
        <v>28</v>
      </c>
      <c r="C1915" s="1" t="str" cm="1">
        <f t="array" ref="C1915">_xlfn.IFS(OR(B1915=" ", B1915="NA",NOT(ISNUMBER(B1915))), "Unknown",B1915&lt;18,"Underage",B1915&lt;=24,"Young Adult",B1915&lt;=34,"Early Career",B1915&lt;=44,"Mid Career",B1915&lt;=54,"Mature",B1915&lt;=65,"Pre-Senior",B1915&gt;65,"Senior")</f>
        <v>Early Career</v>
      </c>
      <c r="E1915" s="1" t="s">
        <v>15</v>
      </c>
      <c r="F1915" s="1">
        <v>750000</v>
      </c>
      <c r="G1915" s="1">
        <v>14</v>
      </c>
      <c r="H1915" s="1" t="str" cm="1">
        <f t="array" ref="H1915">_xlfn.IFS( OR(G1915=" ",NOT(ISNUMBER(G1915))),"Unknown",G1915&lt;=33,"Low Spender",G1915&lt;=66,"Medium Spender",TRUE, "High Spender")</f>
        <v>Low Spender</v>
      </c>
      <c r="I1915" s="1">
        <v>47</v>
      </c>
      <c r="J1915" s="1">
        <v>800</v>
      </c>
      <c r="K1915" s="1">
        <v>198</v>
      </c>
      <c r="M1915" s="1" t="s">
        <v>32</v>
      </c>
      <c r="N1915" s="1" t="str">
        <f t="shared" si="58"/>
        <v>Lower</v>
      </c>
      <c r="O1915" s="1" t="str">
        <f t="shared" si="59"/>
        <v>Early Career | Low Spender | Lower</v>
      </c>
    </row>
    <row r="1916" spans="1:15" x14ac:dyDescent="0.25">
      <c r="A1916" s="1" t="s">
        <v>1946</v>
      </c>
      <c r="B1916" s="1">
        <v>51</v>
      </c>
      <c r="C1916" s="1" t="str" cm="1">
        <f t="array" ref="C1916">_xlfn.IFS(OR(B1916=" ", B1916="NA",NOT(ISNUMBER(B1916))), "Unknown",B1916&lt;18,"Underage",B1916&lt;=24,"Young Adult",B1916&lt;=34,"Early Career",B1916&lt;=44,"Mid Career",B1916&lt;=54,"Mature",B1916&lt;=65,"Pre-Senior",B1916&gt;65,"Senior")</f>
        <v>Mature</v>
      </c>
      <c r="E1916" s="1" t="s">
        <v>27</v>
      </c>
      <c r="F1916" s="1">
        <v>1400000</v>
      </c>
      <c r="G1916" s="1">
        <v>15</v>
      </c>
      <c r="H1916" s="1" t="str" cm="1">
        <f t="array" ref="H1916">_xlfn.IFS( OR(G1916=" ",NOT(ISNUMBER(G1916))),"Unknown",G1916&lt;=33,"Low Spender",G1916&lt;=66,"Medium Spender",TRUE, "High Spender")</f>
        <v>Low Spender</v>
      </c>
      <c r="J1916" s="1">
        <v>7200</v>
      </c>
      <c r="K1916" s="1">
        <v>220</v>
      </c>
      <c r="L1916" s="1" t="s">
        <v>37</v>
      </c>
      <c r="N1916" s="1" t="str">
        <f t="shared" si="58"/>
        <v>Lower</v>
      </c>
      <c r="O1916" s="1" t="str">
        <f t="shared" si="59"/>
        <v>Mature | Low Spender | Lower</v>
      </c>
    </row>
    <row r="1917" spans="1:15" x14ac:dyDescent="0.25">
      <c r="A1917" s="1" t="s">
        <v>1947</v>
      </c>
      <c r="B1917" s="1">
        <v>41</v>
      </c>
      <c r="C1917" s="1" t="str" cm="1">
        <f t="array" ref="C1917">_xlfn.IFS(OR(B1917=" ", B1917="NA",NOT(ISNUMBER(B1917))), "Unknown",B1917&lt;18,"Underage",B1917&lt;=24,"Young Adult",B1917&lt;=34,"Early Career",B1917&lt;=44,"Mid Career",B1917&lt;=54,"Mature",B1917&lt;=65,"Pre-Senior",B1917&gt;65,"Senior")</f>
        <v>Mid Career</v>
      </c>
      <c r="D1917" s="1" t="s">
        <v>29</v>
      </c>
      <c r="E1917" s="1" t="s">
        <v>19</v>
      </c>
      <c r="F1917" s="1">
        <v>300000</v>
      </c>
      <c r="G1917" s="1">
        <v>16</v>
      </c>
      <c r="H1917" s="1" t="str" cm="1">
        <f t="array" ref="H1917">_xlfn.IFS( OR(G1917=" ",NOT(ISNUMBER(G1917))),"Unknown",G1917&lt;=33,"Low Spender",G1917&lt;=66,"Medium Spender",TRUE, "High Spender")</f>
        <v>Low Spender</v>
      </c>
      <c r="I1917" s="1">
        <v>39</v>
      </c>
      <c r="J1917" s="1">
        <v>3400</v>
      </c>
      <c r="K1917" s="1">
        <v>151</v>
      </c>
      <c r="L1917" s="1" t="s">
        <v>35</v>
      </c>
      <c r="M1917" s="1" t="s">
        <v>41</v>
      </c>
      <c r="N1917" s="1" t="str">
        <f t="shared" si="58"/>
        <v>Higher</v>
      </c>
      <c r="O1917" s="1" t="str">
        <f t="shared" si="59"/>
        <v>Mid Career | Low Spender | Higher</v>
      </c>
    </row>
    <row r="1918" spans="1:15" x14ac:dyDescent="0.25">
      <c r="A1918" s="1" t="s">
        <v>1948</v>
      </c>
      <c r="B1918" s="1">
        <v>32</v>
      </c>
      <c r="C1918" s="1" t="str" cm="1">
        <f t="array" ref="C1918">_xlfn.IFS(OR(B1918=" ", B1918="NA",NOT(ISNUMBER(B1918))), "Unknown",B1918&lt;18,"Underage",B1918&lt;=24,"Young Adult",B1918&lt;=34,"Early Career",B1918&lt;=44,"Mid Career",B1918&lt;=54,"Mature",B1918&lt;=65,"Pre-Senior",B1918&gt;65,"Senior")</f>
        <v>Early Career</v>
      </c>
      <c r="D1918" s="1" t="s">
        <v>18</v>
      </c>
      <c r="E1918" s="1" t="s">
        <v>58</v>
      </c>
      <c r="F1918" s="1">
        <v>275000</v>
      </c>
      <c r="G1918" s="1">
        <v>2</v>
      </c>
      <c r="H1918" s="1" t="str" cm="1">
        <f t="array" ref="H1918">_xlfn.IFS( OR(G1918=" ",NOT(ISNUMBER(G1918))),"Unknown",G1918&lt;=33,"Low Spender",G1918&lt;=66,"Medium Spender",TRUE, "High Spender")</f>
        <v>Low Spender</v>
      </c>
      <c r="I1918" s="1">
        <v>38</v>
      </c>
      <c r="J1918" s="1">
        <v>4100</v>
      </c>
      <c r="K1918" s="1">
        <v>286</v>
      </c>
      <c r="N1918" s="1" t="str">
        <f t="shared" si="58"/>
        <v>Higher</v>
      </c>
      <c r="O1918" s="1" t="str">
        <f t="shared" si="59"/>
        <v>Early Career | Low Spender | Higher</v>
      </c>
    </row>
    <row r="1919" spans="1:15" x14ac:dyDescent="0.25">
      <c r="A1919" s="1" t="s">
        <v>1949</v>
      </c>
      <c r="B1919" s="1">
        <v>55</v>
      </c>
      <c r="C1919" s="1" t="str" cm="1">
        <f t="array" ref="C1919">_xlfn.IFS(OR(B1919=" ", B1919="NA",NOT(ISNUMBER(B1919))), "Unknown",B1919&lt;18,"Underage",B1919&lt;=24,"Young Adult",B1919&lt;=34,"Early Career",B1919&lt;=44,"Mid Career",B1919&lt;=54,"Mature",B1919&lt;=65,"Pre-Senior",B1919&gt;65,"Senior")</f>
        <v>Pre-Senior</v>
      </c>
      <c r="D1919" s="1" t="s">
        <v>29</v>
      </c>
      <c r="F1919" s="1">
        <v>725000</v>
      </c>
      <c r="G1919" s="1">
        <v>30</v>
      </c>
      <c r="H1919" s="1" t="str" cm="1">
        <f t="array" ref="H1919">_xlfn.IFS( OR(G1919=" ",NOT(ISNUMBER(G1919))),"Unknown",G1919&lt;=33,"Low Spender",G1919&lt;=66,"Medium Spender",TRUE, "High Spender")</f>
        <v>Low Spender</v>
      </c>
      <c r="I1919" s="1">
        <v>44</v>
      </c>
      <c r="J1919" s="1">
        <v>5000</v>
      </c>
      <c r="K1919" s="1">
        <v>265</v>
      </c>
      <c r="L1919" s="1" t="s">
        <v>16</v>
      </c>
      <c r="M1919" s="1" t="s">
        <v>32</v>
      </c>
      <c r="N1919" s="1" t="str">
        <f t="shared" si="58"/>
        <v>Higher</v>
      </c>
      <c r="O1919" s="1" t="str">
        <f t="shared" si="59"/>
        <v>Pre-Senior | Low Spender | Higher</v>
      </c>
    </row>
    <row r="1920" spans="1:15" x14ac:dyDescent="0.25">
      <c r="A1920" s="1" t="s">
        <v>1950</v>
      </c>
      <c r="B1920" s="1">
        <v>25</v>
      </c>
      <c r="C1920" s="1" t="str" cm="1">
        <f t="array" ref="C1920">_xlfn.IFS(OR(B1920=" ", B1920="NA",NOT(ISNUMBER(B1920))), "Unknown",B1920&lt;18,"Underage",B1920&lt;=24,"Young Adult",B1920&lt;=34,"Early Career",B1920&lt;=44,"Mid Career",B1920&lt;=54,"Mature",B1920&lt;=65,"Pre-Senior",B1920&gt;65,"Senior")</f>
        <v>Early Career</v>
      </c>
      <c r="E1920" s="1" t="s">
        <v>19</v>
      </c>
      <c r="F1920" s="1">
        <v>600000</v>
      </c>
      <c r="G1920" s="1">
        <v>30</v>
      </c>
      <c r="H1920" s="1" t="str" cm="1">
        <f t="array" ref="H1920">_xlfn.IFS( OR(G1920=" ",NOT(ISNUMBER(G1920))),"Unknown",G1920&lt;=33,"Low Spender",G1920&lt;=66,"Medium Spender",TRUE, "High Spender")</f>
        <v>Low Spender</v>
      </c>
      <c r="I1920" s="1">
        <v>51</v>
      </c>
      <c r="J1920" s="1">
        <v>1500</v>
      </c>
      <c r="K1920" s="1">
        <v>220</v>
      </c>
      <c r="N1920" s="1" t="str">
        <f t="shared" si="58"/>
        <v>Lower</v>
      </c>
      <c r="O1920" s="1" t="str">
        <f t="shared" si="59"/>
        <v>Early Career | Low Spender | Lower</v>
      </c>
    </row>
    <row r="1921" spans="1:15" x14ac:dyDescent="0.25">
      <c r="A1921" s="1" t="s">
        <v>1951</v>
      </c>
      <c r="B1921" s="1">
        <v>22</v>
      </c>
      <c r="C1921" s="1" t="str" cm="1">
        <f t="array" ref="C1921">_xlfn.IFS(OR(B1921=" ", B1921="NA",NOT(ISNUMBER(B1921))), "Unknown",B1921&lt;18,"Underage",B1921&lt;=24,"Young Adult",B1921&lt;=34,"Early Career",B1921&lt;=44,"Mid Career",B1921&lt;=54,"Mature",B1921&lt;=65,"Pre-Senior",B1921&gt;65,"Senior")</f>
        <v>Young Adult</v>
      </c>
      <c r="D1921" s="1" t="s">
        <v>12</v>
      </c>
      <c r="E1921" s="1" t="s">
        <v>13</v>
      </c>
      <c r="F1921" s="1">
        <v>350000</v>
      </c>
      <c r="G1921" s="1">
        <v>82</v>
      </c>
      <c r="H1921" s="1" t="str" cm="1">
        <f t="array" ref="H1921">_xlfn.IFS( OR(G1921=" ",NOT(ISNUMBER(G1921))),"Unknown",G1921&lt;=33,"Low Spender",G1921&lt;=66,"Medium Spender",TRUE, "High Spender")</f>
        <v>High Spender</v>
      </c>
      <c r="I1921" s="1">
        <v>26</v>
      </c>
      <c r="J1921" s="1">
        <v>6100</v>
      </c>
      <c r="K1921" s="1">
        <v>216</v>
      </c>
      <c r="L1921" s="1" t="s">
        <v>35</v>
      </c>
      <c r="M1921" s="1" t="s">
        <v>30</v>
      </c>
      <c r="N1921" s="1" t="str">
        <f t="shared" si="58"/>
        <v>Lower</v>
      </c>
      <c r="O1921" s="1" t="str">
        <f t="shared" si="59"/>
        <v>Young Adult | High Spender | Lower</v>
      </c>
    </row>
    <row r="1922" spans="1:15" x14ac:dyDescent="0.25">
      <c r="A1922" s="1" t="s">
        <v>1952</v>
      </c>
      <c r="B1922" s="1">
        <v>65</v>
      </c>
      <c r="C1922" s="1" t="str" cm="1">
        <f t="array" ref="C1922">_xlfn.IFS(OR(B1922=" ", B1922="NA",NOT(ISNUMBER(B1922))), "Unknown",B1922&lt;18,"Underage",B1922&lt;=24,"Young Adult",B1922&lt;=34,"Early Career",B1922&lt;=44,"Mid Career",B1922&lt;=54,"Mature",B1922&lt;=65,"Pre-Senior",B1922&gt;65,"Senior")</f>
        <v>Pre-Senior</v>
      </c>
      <c r="E1922" s="1" t="s">
        <v>23</v>
      </c>
      <c r="F1922" s="1">
        <v>1025000</v>
      </c>
      <c r="G1922" s="1">
        <v>31</v>
      </c>
      <c r="H1922" s="1" t="str" cm="1">
        <f t="array" ref="H1922">_xlfn.IFS( OR(G1922=" ",NOT(ISNUMBER(G1922))),"Unknown",G1922&lt;=33,"Low Spender",G1922&lt;=66,"Medium Spender",TRUE, "High Spender")</f>
        <v>Low Spender</v>
      </c>
      <c r="I1922" s="1">
        <v>36</v>
      </c>
      <c r="J1922" s="1">
        <v>6900</v>
      </c>
      <c r="K1922" s="1">
        <v>315</v>
      </c>
      <c r="L1922" s="1" t="s">
        <v>20</v>
      </c>
      <c r="M1922" s="1" t="s">
        <v>21</v>
      </c>
      <c r="N1922" s="1" t="str">
        <f t="shared" ref="N1922:N1985" si="60">IF(OR(UPPER(TRIM(D1922))="Male",UPPER(TRIM(D1922))="Female"),"Higher","Lower")</f>
        <v>Lower</v>
      </c>
      <c r="O1922" s="1" t="str">
        <f t="shared" ref="O1922:O1985" si="61">_xlfn.TEXTJOIN(" | ", TRUE, C1922, H1922, N1922)</f>
        <v>Pre-Senior | Low Spender | Lower</v>
      </c>
    </row>
    <row r="1923" spans="1:15" x14ac:dyDescent="0.25">
      <c r="A1923" s="1" t="s">
        <v>1953</v>
      </c>
      <c r="B1923" s="1">
        <v>43</v>
      </c>
      <c r="C1923" s="1" t="str" cm="1">
        <f t="array" ref="C1923">_xlfn.IFS(OR(B1923=" ", B1923="NA",NOT(ISNUMBER(B1923))), "Unknown",B1923&lt;18,"Underage",B1923&lt;=24,"Young Adult",B1923&lt;=34,"Early Career",B1923&lt;=44,"Mid Career",B1923&lt;=54,"Mature",B1923&lt;=65,"Pre-Senior",B1923&gt;65,"Senior")</f>
        <v>Mid Career</v>
      </c>
      <c r="D1923" s="1" t="s">
        <v>29</v>
      </c>
      <c r="E1923" s="1" t="s">
        <v>58</v>
      </c>
      <c r="F1923" s="1">
        <v>1125000</v>
      </c>
      <c r="G1923" s="1">
        <v>77</v>
      </c>
      <c r="H1923" s="1" t="str" cm="1">
        <f t="array" ref="H1923">_xlfn.IFS( OR(G1923=" ",NOT(ISNUMBER(G1923))),"Unknown",G1923&lt;=33,"Low Spender",G1923&lt;=66,"Medium Spender",TRUE, "High Spender")</f>
        <v>High Spender</v>
      </c>
      <c r="I1923" s="1">
        <v>69</v>
      </c>
      <c r="J1923" s="1">
        <v>5800</v>
      </c>
      <c r="K1923" s="1">
        <v>156</v>
      </c>
      <c r="M1923" s="1" t="s">
        <v>41</v>
      </c>
      <c r="N1923" s="1" t="str">
        <f t="shared" si="60"/>
        <v>Higher</v>
      </c>
      <c r="O1923" s="1" t="str">
        <f t="shared" si="61"/>
        <v>Mid Career | High Spender | Higher</v>
      </c>
    </row>
    <row r="1924" spans="1:15" x14ac:dyDescent="0.25">
      <c r="A1924" s="1" t="s">
        <v>1954</v>
      </c>
      <c r="B1924" s="1">
        <v>35</v>
      </c>
      <c r="C1924" s="1" t="str" cm="1">
        <f t="array" ref="C1924">_xlfn.IFS(OR(B1924=" ", B1924="NA",NOT(ISNUMBER(B1924))), "Unknown",B1924&lt;18,"Underage",B1924&lt;=24,"Young Adult",B1924&lt;=34,"Early Career",B1924&lt;=44,"Mid Career",B1924&lt;=54,"Mature",B1924&lt;=65,"Pre-Senior",B1924&gt;65,"Senior")</f>
        <v>Mid Career</v>
      </c>
      <c r="D1924" s="1" t="s">
        <v>18</v>
      </c>
      <c r="E1924" s="1" t="s">
        <v>34</v>
      </c>
      <c r="F1924" s="1">
        <v>725000</v>
      </c>
      <c r="G1924" s="1">
        <v>20</v>
      </c>
      <c r="H1924" s="1" t="str" cm="1">
        <f t="array" ref="H1924">_xlfn.IFS( OR(G1924=" ",NOT(ISNUMBER(G1924))),"Unknown",G1924&lt;=33,"Low Spender",G1924&lt;=66,"Medium Spender",TRUE, "High Spender")</f>
        <v>Low Spender</v>
      </c>
      <c r="I1924" s="1">
        <v>1</v>
      </c>
      <c r="J1924" s="1">
        <v>4300</v>
      </c>
      <c r="K1924" s="1">
        <v>216</v>
      </c>
      <c r="M1924" s="1" t="s">
        <v>41</v>
      </c>
      <c r="N1924" s="1" t="str">
        <f t="shared" si="60"/>
        <v>Higher</v>
      </c>
      <c r="O1924" s="1" t="str">
        <f t="shared" si="61"/>
        <v>Mid Career | Low Spender | Higher</v>
      </c>
    </row>
    <row r="1925" spans="1:15" x14ac:dyDescent="0.25">
      <c r="A1925" s="1" t="s">
        <v>1955</v>
      </c>
      <c r="B1925" s="1">
        <v>23</v>
      </c>
      <c r="C1925" s="1" t="str" cm="1">
        <f t="array" ref="C1925">_xlfn.IFS(OR(B1925=" ", B1925="NA",NOT(ISNUMBER(B1925))), "Unknown",B1925&lt;18,"Underage",B1925&lt;=24,"Young Adult",B1925&lt;=34,"Early Career",B1925&lt;=44,"Mid Career",B1925&lt;=54,"Mature",B1925&lt;=65,"Pre-Senior",B1925&gt;65,"Senior")</f>
        <v>Young Adult</v>
      </c>
      <c r="E1925" s="1" t="s">
        <v>27</v>
      </c>
      <c r="F1925" s="1">
        <v>1325000</v>
      </c>
      <c r="G1925" s="1">
        <v>49</v>
      </c>
      <c r="H1925" s="1" t="str" cm="1">
        <f t="array" ref="H1925">_xlfn.IFS( OR(G1925=" ",NOT(ISNUMBER(G1925))),"Unknown",G1925&lt;=33,"Low Spender",G1925&lt;=66,"Medium Spender",TRUE, "High Spender")</f>
        <v>Medium Spender</v>
      </c>
      <c r="I1925" s="1">
        <v>53</v>
      </c>
      <c r="J1925" s="1">
        <v>5800</v>
      </c>
      <c r="K1925" s="1">
        <v>335</v>
      </c>
      <c r="L1925" s="1" t="s">
        <v>20</v>
      </c>
      <c r="N1925" s="1" t="str">
        <f t="shared" si="60"/>
        <v>Lower</v>
      </c>
      <c r="O1925" s="1" t="str">
        <f t="shared" si="61"/>
        <v>Young Adult | Medium Spender | Lower</v>
      </c>
    </row>
    <row r="1926" spans="1:15" x14ac:dyDescent="0.25">
      <c r="A1926" s="1" t="s">
        <v>1956</v>
      </c>
      <c r="B1926" s="1">
        <v>54</v>
      </c>
      <c r="C1926" s="1" t="str" cm="1">
        <f t="array" ref="C1926">_xlfn.IFS(OR(B1926=" ", B1926="NA",NOT(ISNUMBER(B1926))), "Unknown",B1926&lt;18,"Underage",B1926&lt;=24,"Young Adult",B1926&lt;=34,"Early Career",B1926&lt;=44,"Mid Career",B1926&lt;=54,"Mature",B1926&lt;=65,"Pre-Senior",B1926&gt;65,"Senior")</f>
        <v>Mature</v>
      </c>
      <c r="D1926" s="1" t="s">
        <v>29</v>
      </c>
      <c r="E1926" s="1" t="s">
        <v>34</v>
      </c>
      <c r="F1926" s="1">
        <v>1700000</v>
      </c>
      <c r="G1926" s="1">
        <v>35</v>
      </c>
      <c r="H1926" s="1" t="str" cm="1">
        <f t="array" ref="H1926">_xlfn.IFS( OR(G1926=" ",NOT(ISNUMBER(G1926))),"Unknown",G1926&lt;=33,"Low Spender",G1926&lt;=66,"Medium Spender",TRUE, "High Spender")</f>
        <v>Medium Spender</v>
      </c>
      <c r="I1926" s="1">
        <v>6</v>
      </c>
      <c r="J1926" s="1">
        <v>3700</v>
      </c>
      <c r="K1926" s="1">
        <v>359</v>
      </c>
      <c r="L1926" s="1" t="s">
        <v>35</v>
      </c>
      <c r="N1926" s="1" t="str">
        <f t="shared" si="60"/>
        <v>Higher</v>
      </c>
      <c r="O1926" s="1" t="str">
        <f t="shared" si="61"/>
        <v>Mature | Medium Spender | Higher</v>
      </c>
    </row>
    <row r="1927" spans="1:15" x14ac:dyDescent="0.25">
      <c r="A1927" s="1" t="s">
        <v>1957</v>
      </c>
      <c r="B1927" s="1">
        <v>65</v>
      </c>
      <c r="C1927" s="1" t="str" cm="1">
        <f t="array" ref="C1927">_xlfn.IFS(OR(B1927=" ", B1927="NA",NOT(ISNUMBER(B1927))), "Unknown",B1927&lt;18,"Underage",B1927&lt;=24,"Young Adult",B1927&lt;=34,"Early Career",B1927&lt;=44,"Mid Career",B1927&lt;=54,"Mature",B1927&lt;=65,"Pre-Senior",B1927&gt;65,"Senior")</f>
        <v>Pre-Senior</v>
      </c>
      <c r="E1927" s="1" t="s">
        <v>19</v>
      </c>
      <c r="F1927" s="1">
        <v>1850000</v>
      </c>
      <c r="G1927" s="1">
        <v>23</v>
      </c>
      <c r="H1927" s="1" t="str" cm="1">
        <f t="array" ref="H1927">_xlfn.IFS( OR(G1927=" ",NOT(ISNUMBER(G1927))),"Unknown",G1927&lt;=33,"Low Spender",G1927&lt;=66,"Medium Spender",TRUE, "High Spender")</f>
        <v>Low Spender</v>
      </c>
      <c r="I1927" s="1">
        <v>37</v>
      </c>
      <c r="J1927" s="1">
        <v>4000</v>
      </c>
      <c r="K1927" s="1">
        <v>114</v>
      </c>
      <c r="L1927" s="1" t="s">
        <v>37</v>
      </c>
      <c r="M1927" s="1" t="s">
        <v>21</v>
      </c>
      <c r="N1927" s="1" t="str">
        <f t="shared" si="60"/>
        <v>Lower</v>
      </c>
      <c r="O1927" s="1" t="str">
        <f t="shared" si="61"/>
        <v>Pre-Senior | Low Spender | Lower</v>
      </c>
    </row>
    <row r="1928" spans="1:15" x14ac:dyDescent="0.25">
      <c r="A1928" s="1" t="s">
        <v>1958</v>
      </c>
      <c r="B1928" s="1">
        <v>30</v>
      </c>
      <c r="C1928" s="1" t="str" cm="1">
        <f t="array" ref="C1928">_xlfn.IFS(OR(B1928=" ", B1928="NA",NOT(ISNUMBER(B1928))), "Unknown",B1928&lt;18,"Underage",B1928&lt;=24,"Young Adult",B1928&lt;=34,"Early Career",B1928&lt;=44,"Mid Career",B1928&lt;=54,"Mature",B1928&lt;=65,"Pre-Senior",B1928&gt;65,"Senior")</f>
        <v>Early Career</v>
      </c>
      <c r="D1928" s="1" t="s">
        <v>29</v>
      </c>
      <c r="E1928" s="1" t="s">
        <v>49</v>
      </c>
      <c r="F1928" s="1">
        <v>1450000</v>
      </c>
      <c r="G1928" s="1">
        <v>97</v>
      </c>
      <c r="H1928" s="1" t="str" cm="1">
        <f t="array" ref="H1928">_xlfn.IFS( OR(G1928=" ",NOT(ISNUMBER(G1928))),"Unknown",G1928&lt;=33,"Low Spender",G1928&lt;=66,"Medium Spender",TRUE, "High Spender")</f>
        <v>High Spender</v>
      </c>
      <c r="I1928" s="1">
        <v>2</v>
      </c>
      <c r="J1928" s="1">
        <v>8300</v>
      </c>
      <c r="K1928" s="1">
        <v>161</v>
      </c>
      <c r="M1928" s="1" t="s">
        <v>41</v>
      </c>
      <c r="N1928" s="1" t="str">
        <f t="shared" si="60"/>
        <v>Higher</v>
      </c>
      <c r="O1928" s="1" t="str">
        <f t="shared" si="61"/>
        <v>Early Career | High Spender | Higher</v>
      </c>
    </row>
    <row r="1929" spans="1:15" x14ac:dyDescent="0.25">
      <c r="A1929" s="1" t="s">
        <v>1959</v>
      </c>
      <c r="B1929" s="1">
        <v>45</v>
      </c>
      <c r="C1929" s="1" t="str" cm="1">
        <f t="array" ref="C1929">_xlfn.IFS(OR(B1929=" ", B1929="NA",NOT(ISNUMBER(B1929))), "Unknown",B1929&lt;18,"Underage",B1929&lt;=24,"Young Adult",B1929&lt;=34,"Early Career",B1929&lt;=44,"Mid Career",B1929&lt;=54,"Mature",B1929&lt;=65,"Pre-Senior",B1929&gt;65,"Senior")</f>
        <v>Mature</v>
      </c>
      <c r="E1929" s="1" t="s">
        <v>49</v>
      </c>
      <c r="F1929" s="1">
        <v>1475000</v>
      </c>
      <c r="H1929" s="1" t="str" cm="1">
        <f t="array" ref="H1929">_xlfn.IFS( OR(G1929=" ",NOT(ISNUMBER(G1929))),"Unknown",G1929&lt;=33,"Low Spender",G1929&lt;=66,"Medium Spender",TRUE, "High Spender")</f>
        <v>Unknown</v>
      </c>
      <c r="I1929" s="1">
        <v>69</v>
      </c>
      <c r="J1929" s="1">
        <v>6900</v>
      </c>
      <c r="K1929" s="1">
        <v>303</v>
      </c>
      <c r="M1929" s="1" t="s">
        <v>21</v>
      </c>
      <c r="N1929" s="1" t="str">
        <f t="shared" si="60"/>
        <v>Lower</v>
      </c>
      <c r="O1929" s="1" t="str">
        <f t="shared" si="61"/>
        <v>Mature | Unknown | Lower</v>
      </c>
    </row>
    <row r="1930" spans="1:15" x14ac:dyDescent="0.25">
      <c r="A1930" s="1" t="s">
        <v>1960</v>
      </c>
      <c r="B1930" s="1">
        <v>22</v>
      </c>
      <c r="C1930" s="1" t="str" cm="1">
        <f t="array" ref="C1930">_xlfn.IFS(OR(B1930=" ", B1930="NA",NOT(ISNUMBER(B1930))), "Unknown",B1930&lt;18,"Underage",B1930&lt;=24,"Young Adult",B1930&lt;=34,"Early Career",B1930&lt;=44,"Mid Career",B1930&lt;=54,"Mature",B1930&lt;=65,"Pre-Senior",B1930&gt;65,"Senior")</f>
        <v>Young Adult</v>
      </c>
      <c r="D1930" s="1" t="s">
        <v>29</v>
      </c>
      <c r="E1930" s="1" t="s">
        <v>23</v>
      </c>
      <c r="F1930" s="1">
        <v>1175000</v>
      </c>
      <c r="G1930" s="1">
        <v>99</v>
      </c>
      <c r="H1930" s="1" t="str" cm="1">
        <f t="array" ref="H1930">_xlfn.IFS( OR(G1930=" ",NOT(ISNUMBER(G1930))),"Unknown",G1930&lt;=33,"Low Spender",G1930&lt;=66,"Medium Spender",TRUE, "High Spender")</f>
        <v>High Spender</v>
      </c>
      <c r="I1930" s="1">
        <v>41</v>
      </c>
      <c r="J1930" s="1">
        <v>3600</v>
      </c>
      <c r="K1930" s="1">
        <v>98</v>
      </c>
      <c r="L1930" s="1" t="s">
        <v>37</v>
      </c>
      <c r="N1930" s="1" t="str">
        <f t="shared" si="60"/>
        <v>Higher</v>
      </c>
      <c r="O1930" s="1" t="str">
        <f t="shared" si="61"/>
        <v>Young Adult | High Spender | Higher</v>
      </c>
    </row>
    <row r="1931" spans="1:15" x14ac:dyDescent="0.25">
      <c r="A1931" s="1" t="s">
        <v>1961</v>
      </c>
      <c r="B1931" s="1">
        <v>30</v>
      </c>
      <c r="C1931" s="1" t="str" cm="1">
        <f t="array" ref="C1931">_xlfn.IFS(OR(B1931=" ", B1931="NA",NOT(ISNUMBER(B1931))), "Unknown",B1931&lt;18,"Underage",B1931&lt;=24,"Young Adult",B1931&lt;=34,"Early Career",B1931&lt;=44,"Mid Career",B1931&lt;=54,"Mature",B1931&lt;=65,"Pre-Senior",B1931&gt;65,"Senior")</f>
        <v>Early Career</v>
      </c>
      <c r="E1931" s="1" t="s">
        <v>19</v>
      </c>
      <c r="F1931" s="1">
        <v>1250000</v>
      </c>
      <c r="G1931" s="1">
        <v>100</v>
      </c>
      <c r="H1931" s="1" t="str" cm="1">
        <f t="array" ref="H1931">_xlfn.IFS( OR(G1931=" ",NOT(ISNUMBER(G1931))),"Unknown",G1931&lt;=33,"Low Spender",G1931&lt;=66,"Medium Spender",TRUE, "High Spender")</f>
        <v>High Spender</v>
      </c>
      <c r="I1931" s="1">
        <v>51</v>
      </c>
      <c r="J1931" s="1">
        <v>7800</v>
      </c>
      <c r="K1931" s="1">
        <v>157</v>
      </c>
      <c r="N1931" s="1" t="str">
        <f t="shared" si="60"/>
        <v>Lower</v>
      </c>
      <c r="O1931" s="1" t="str">
        <f t="shared" si="61"/>
        <v>Early Career | High Spender | Lower</v>
      </c>
    </row>
    <row r="1932" spans="1:15" x14ac:dyDescent="0.25">
      <c r="A1932" s="1" t="s">
        <v>1962</v>
      </c>
      <c r="B1932" s="1">
        <v>34</v>
      </c>
      <c r="C1932" s="1" t="str" cm="1">
        <f t="array" ref="C1932">_xlfn.IFS(OR(B1932=" ", B1932="NA",NOT(ISNUMBER(B1932))), "Unknown",B1932&lt;18,"Underage",B1932&lt;=24,"Young Adult",B1932&lt;=34,"Early Career",B1932&lt;=44,"Mid Career",B1932&lt;=54,"Mature",B1932&lt;=65,"Pre-Senior",B1932&gt;65,"Senior")</f>
        <v>Early Career</v>
      </c>
      <c r="D1932" s="1" t="s">
        <v>18</v>
      </c>
      <c r="F1932" s="1">
        <v>475000</v>
      </c>
      <c r="G1932" s="1">
        <v>61</v>
      </c>
      <c r="H1932" s="1" t="str" cm="1">
        <f t="array" ref="H1932">_xlfn.IFS( OR(G1932=" ",NOT(ISNUMBER(G1932))),"Unknown",G1932&lt;=33,"Low Spender",G1932&lt;=66,"Medium Spender",TRUE, "High Spender")</f>
        <v>Medium Spender</v>
      </c>
      <c r="I1932" s="1">
        <v>47</v>
      </c>
      <c r="J1932" s="1">
        <v>9000</v>
      </c>
      <c r="K1932" s="1">
        <v>162</v>
      </c>
      <c r="L1932" s="1" t="s">
        <v>20</v>
      </c>
      <c r="N1932" s="1" t="str">
        <f t="shared" si="60"/>
        <v>Higher</v>
      </c>
      <c r="O1932" s="1" t="str">
        <f t="shared" si="61"/>
        <v>Early Career | Medium Spender | Higher</v>
      </c>
    </row>
    <row r="1933" spans="1:15" x14ac:dyDescent="0.25">
      <c r="A1933" s="1" t="s">
        <v>1963</v>
      </c>
      <c r="B1933" s="1">
        <v>67</v>
      </c>
      <c r="C1933" s="1" t="str" cm="1">
        <f t="array" ref="C1933">_xlfn.IFS(OR(B1933=" ", B1933="NA",NOT(ISNUMBER(B1933))), "Unknown",B1933&lt;18,"Underage",B1933&lt;=24,"Young Adult",B1933&lt;=34,"Early Career",B1933&lt;=44,"Mid Career",B1933&lt;=54,"Mature",B1933&lt;=65,"Pre-Senior",B1933&gt;65,"Senior")</f>
        <v>Senior</v>
      </c>
      <c r="D1933" s="1" t="s">
        <v>29</v>
      </c>
      <c r="E1933" s="1" t="s">
        <v>58</v>
      </c>
      <c r="F1933" s="1">
        <v>850000</v>
      </c>
      <c r="G1933" s="1">
        <v>84</v>
      </c>
      <c r="H1933" s="1" t="str" cm="1">
        <f t="array" ref="H1933">_xlfn.IFS( OR(G1933=" ",NOT(ISNUMBER(G1933))),"Unknown",G1933&lt;=33,"Low Spender",G1933&lt;=66,"Medium Spender",TRUE, "High Spender")</f>
        <v>High Spender</v>
      </c>
      <c r="I1933" s="1">
        <v>13</v>
      </c>
      <c r="J1933" s="1">
        <v>7200</v>
      </c>
      <c r="K1933" s="1">
        <v>42</v>
      </c>
      <c r="L1933" s="1" t="s">
        <v>20</v>
      </c>
      <c r="M1933" s="1" t="s">
        <v>32</v>
      </c>
      <c r="N1933" s="1" t="str">
        <f t="shared" si="60"/>
        <v>Higher</v>
      </c>
      <c r="O1933" s="1" t="str">
        <f t="shared" si="61"/>
        <v>Senior | High Spender | Higher</v>
      </c>
    </row>
    <row r="1934" spans="1:15" x14ac:dyDescent="0.25">
      <c r="A1934" s="1" t="s">
        <v>1964</v>
      </c>
      <c r="B1934" s="1">
        <v>57</v>
      </c>
      <c r="C1934" s="1" t="str" cm="1">
        <f t="array" ref="C1934">_xlfn.IFS(OR(B1934=" ", B1934="NA",NOT(ISNUMBER(B1934))), "Unknown",B1934&lt;18,"Underage",B1934&lt;=24,"Young Adult",B1934&lt;=34,"Early Career",B1934&lt;=44,"Mid Career",B1934&lt;=54,"Mature",B1934&lt;=65,"Pre-Senior",B1934&gt;65,"Senior")</f>
        <v>Pre-Senior</v>
      </c>
      <c r="D1934" s="1" t="s">
        <v>29</v>
      </c>
      <c r="E1934" s="1" t="s">
        <v>27</v>
      </c>
      <c r="F1934" s="1">
        <v>275000</v>
      </c>
      <c r="G1934" s="1">
        <v>55</v>
      </c>
      <c r="H1934" s="1" t="str" cm="1">
        <f t="array" ref="H1934">_xlfn.IFS( OR(G1934=" ",NOT(ISNUMBER(G1934))),"Unknown",G1934&lt;=33,"Low Spender",G1934&lt;=66,"Medium Spender",TRUE, "High Spender")</f>
        <v>Medium Spender</v>
      </c>
      <c r="I1934" s="1">
        <v>76</v>
      </c>
      <c r="J1934" s="1">
        <v>10800</v>
      </c>
      <c r="K1934" s="1">
        <v>180</v>
      </c>
      <c r="L1934" s="1" t="s">
        <v>16</v>
      </c>
      <c r="N1934" s="1" t="str">
        <f t="shared" si="60"/>
        <v>Higher</v>
      </c>
      <c r="O1934" s="1" t="str">
        <f t="shared" si="61"/>
        <v>Pre-Senior | Medium Spender | Higher</v>
      </c>
    </row>
    <row r="1935" spans="1:15" x14ac:dyDescent="0.25">
      <c r="A1935" s="1" t="s">
        <v>1965</v>
      </c>
      <c r="B1935" s="1">
        <v>62</v>
      </c>
      <c r="C1935" s="1" t="str" cm="1">
        <f t="array" ref="C1935">_xlfn.IFS(OR(B1935=" ", B1935="NA",NOT(ISNUMBER(B1935))), "Unknown",B1935&lt;18,"Underage",B1935&lt;=24,"Young Adult",B1935&lt;=34,"Early Career",B1935&lt;=44,"Mid Career",B1935&lt;=54,"Mature",B1935&lt;=65,"Pre-Senior",B1935&gt;65,"Senior")</f>
        <v>Pre-Senior</v>
      </c>
      <c r="D1935" s="1" t="s">
        <v>12</v>
      </c>
      <c r="E1935" s="1" t="s">
        <v>49</v>
      </c>
      <c r="F1935" s="1">
        <v>300000</v>
      </c>
      <c r="G1935" s="1">
        <v>67</v>
      </c>
      <c r="H1935" s="1" t="str" cm="1">
        <f t="array" ref="H1935">_xlfn.IFS( OR(G1935=" ",NOT(ISNUMBER(G1935))),"Unknown",G1935&lt;=33,"Low Spender",G1935&lt;=66,"Medium Spender",TRUE, "High Spender")</f>
        <v>High Spender</v>
      </c>
      <c r="I1935" s="1">
        <v>69</v>
      </c>
      <c r="J1935" s="1">
        <v>1300</v>
      </c>
      <c r="K1935" s="1">
        <v>303</v>
      </c>
      <c r="N1935" s="1" t="str">
        <f t="shared" si="60"/>
        <v>Lower</v>
      </c>
      <c r="O1935" s="1" t="str">
        <f t="shared" si="61"/>
        <v>Pre-Senior | High Spender | Lower</v>
      </c>
    </row>
    <row r="1936" spans="1:15" x14ac:dyDescent="0.25">
      <c r="A1936" s="1" t="s">
        <v>1966</v>
      </c>
      <c r="B1936" s="1">
        <v>49</v>
      </c>
      <c r="C1936" s="1" t="str" cm="1">
        <f t="array" ref="C1936">_xlfn.IFS(OR(B1936=" ", B1936="NA",NOT(ISNUMBER(B1936))), "Unknown",B1936&lt;18,"Underage",B1936&lt;=24,"Young Adult",B1936&lt;=34,"Early Career",B1936&lt;=44,"Mid Career",B1936&lt;=54,"Mature",B1936&lt;=65,"Pre-Senior",B1936&gt;65,"Senior")</f>
        <v>Mature</v>
      </c>
      <c r="E1936" s="1" t="s">
        <v>49</v>
      </c>
      <c r="F1936" s="1">
        <v>1050000</v>
      </c>
      <c r="G1936" s="1">
        <v>8</v>
      </c>
      <c r="H1936" s="1" t="str" cm="1">
        <f t="array" ref="H1936">_xlfn.IFS( OR(G1936=" ",NOT(ISNUMBER(G1936))),"Unknown",G1936&lt;=33,"Low Spender",G1936&lt;=66,"Medium Spender",TRUE, "High Spender")</f>
        <v>Low Spender</v>
      </c>
      <c r="I1936" s="1">
        <v>66</v>
      </c>
      <c r="J1936" s="1">
        <v>11400</v>
      </c>
      <c r="K1936" s="1">
        <v>330</v>
      </c>
      <c r="L1936" s="1" t="s">
        <v>20</v>
      </c>
      <c r="N1936" s="1" t="str">
        <f t="shared" si="60"/>
        <v>Lower</v>
      </c>
      <c r="O1936" s="1" t="str">
        <f t="shared" si="61"/>
        <v>Mature | Low Spender | Lower</v>
      </c>
    </row>
    <row r="1937" spans="1:15" x14ac:dyDescent="0.25">
      <c r="A1937" s="1" t="s">
        <v>1967</v>
      </c>
      <c r="B1937" s="1">
        <v>46</v>
      </c>
      <c r="C1937" s="1" t="str" cm="1">
        <f t="array" ref="C1937">_xlfn.IFS(OR(B1937=" ", B1937="NA",NOT(ISNUMBER(B1937))), "Unknown",B1937&lt;18,"Underage",B1937&lt;=24,"Young Adult",B1937&lt;=34,"Early Career",B1937&lt;=44,"Mid Career",B1937&lt;=54,"Mature",B1937&lt;=65,"Pre-Senior",B1937&gt;65,"Senior")</f>
        <v>Mature</v>
      </c>
      <c r="D1937" s="1" t="s">
        <v>29</v>
      </c>
      <c r="E1937" s="1" t="s">
        <v>34</v>
      </c>
      <c r="F1937" s="1">
        <v>1450000</v>
      </c>
      <c r="G1937" s="1">
        <v>40</v>
      </c>
      <c r="H1937" s="1" t="str" cm="1">
        <f t="array" ref="H1937">_xlfn.IFS( OR(G1937=" ",NOT(ISNUMBER(G1937))),"Unknown",G1937&lt;=33,"Low Spender",G1937&lt;=66,"Medium Spender",TRUE, "High Spender")</f>
        <v>Medium Spender</v>
      </c>
      <c r="I1937" s="1">
        <v>59</v>
      </c>
      <c r="J1937" s="1">
        <v>2900</v>
      </c>
      <c r="K1937" s="1">
        <v>51</v>
      </c>
      <c r="L1937" s="1" t="s">
        <v>16</v>
      </c>
      <c r="M1937" s="1" t="s">
        <v>21</v>
      </c>
      <c r="N1937" s="1" t="str">
        <f t="shared" si="60"/>
        <v>Higher</v>
      </c>
      <c r="O1937" s="1" t="str">
        <f t="shared" si="61"/>
        <v>Mature | Medium Spender | Higher</v>
      </c>
    </row>
    <row r="1938" spans="1:15" x14ac:dyDescent="0.25">
      <c r="A1938" s="1" t="s">
        <v>1968</v>
      </c>
      <c r="B1938" s="1">
        <v>68</v>
      </c>
      <c r="C1938" s="1" t="str" cm="1">
        <f t="array" ref="C1938">_xlfn.IFS(OR(B1938=" ", B1938="NA",NOT(ISNUMBER(B1938))), "Unknown",B1938&lt;18,"Underage",B1938&lt;=24,"Young Adult",B1938&lt;=34,"Early Career",B1938&lt;=44,"Mid Career",B1938&lt;=54,"Mature",B1938&lt;=65,"Pre-Senior",B1938&gt;65,"Senior")</f>
        <v>Senior</v>
      </c>
      <c r="D1938" s="1" t="s">
        <v>29</v>
      </c>
      <c r="E1938" s="1" t="s">
        <v>34</v>
      </c>
      <c r="F1938" s="1">
        <v>575000</v>
      </c>
      <c r="G1938" s="1">
        <v>59</v>
      </c>
      <c r="H1938" s="1" t="str" cm="1">
        <f t="array" ref="H1938">_xlfn.IFS( OR(G1938=" ",NOT(ISNUMBER(G1938))),"Unknown",G1938&lt;=33,"Low Spender",G1938&lt;=66,"Medium Spender",TRUE, "High Spender")</f>
        <v>Medium Spender</v>
      </c>
      <c r="I1938" s="1">
        <v>68</v>
      </c>
      <c r="J1938" s="1">
        <v>5000</v>
      </c>
      <c r="K1938" s="1">
        <v>252</v>
      </c>
      <c r="L1938" s="1" t="s">
        <v>37</v>
      </c>
      <c r="M1938" s="1" t="s">
        <v>32</v>
      </c>
      <c r="N1938" s="1" t="str">
        <f t="shared" si="60"/>
        <v>Higher</v>
      </c>
      <c r="O1938" s="1" t="str">
        <f t="shared" si="61"/>
        <v>Senior | Medium Spender | Higher</v>
      </c>
    </row>
    <row r="1939" spans="1:15" x14ac:dyDescent="0.25">
      <c r="A1939" s="1" t="s">
        <v>1969</v>
      </c>
      <c r="B1939" s="1">
        <v>20</v>
      </c>
      <c r="C1939" s="1" t="str" cm="1">
        <f t="array" ref="C1939">_xlfn.IFS(OR(B1939=" ", B1939="NA",NOT(ISNUMBER(B1939))), "Unknown",B1939&lt;18,"Underage",B1939&lt;=24,"Young Adult",B1939&lt;=34,"Early Career",B1939&lt;=44,"Mid Career",B1939&lt;=54,"Mature",B1939&lt;=65,"Pre-Senior",B1939&gt;65,"Senior")</f>
        <v>Young Adult</v>
      </c>
      <c r="F1939" s="1">
        <v>1075000</v>
      </c>
      <c r="G1939" s="1">
        <v>32</v>
      </c>
      <c r="H1939" s="1" t="str" cm="1">
        <f t="array" ref="H1939">_xlfn.IFS( OR(G1939=" ",NOT(ISNUMBER(G1939))),"Unknown",G1939&lt;=33,"Low Spender",G1939&lt;=66,"Medium Spender",TRUE, "High Spender")</f>
        <v>Low Spender</v>
      </c>
      <c r="I1939" s="1">
        <v>59</v>
      </c>
      <c r="J1939" s="1">
        <v>2600</v>
      </c>
      <c r="K1939" s="1">
        <v>350</v>
      </c>
      <c r="M1939" s="1" t="s">
        <v>32</v>
      </c>
      <c r="N1939" s="1" t="str">
        <f t="shared" si="60"/>
        <v>Lower</v>
      </c>
      <c r="O1939" s="1" t="str">
        <f t="shared" si="61"/>
        <v>Young Adult | Low Spender | Lower</v>
      </c>
    </row>
    <row r="1940" spans="1:15" x14ac:dyDescent="0.25">
      <c r="A1940" s="1" t="s">
        <v>1970</v>
      </c>
      <c r="B1940" s="1">
        <v>57</v>
      </c>
      <c r="C1940" s="1" t="str" cm="1">
        <f t="array" ref="C1940">_xlfn.IFS(OR(B1940=" ", B1940="NA",NOT(ISNUMBER(B1940))), "Unknown",B1940&lt;18,"Underage",B1940&lt;=24,"Young Adult",B1940&lt;=34,"Early Career",B1940&lt;=44,"Mid Career",B1940&lt;=54,"Mature",B1940&lt;=65,"Pre-Senior",B1940&gt;65,"Senior")</f>
        <v>Pre-Senior</v>
      </c>
      <c r="D1940" s="1" t="s">
        <v>29</v>
      </c>
      <c r="E1940" s="1" t="s">
        <v>13</v>
      </c>
      <c r="F1940" s="1">
        <v>1600000</v>
      </c>
      <c r="G1940" s="1">
        <v>93</v>
      </c>
      <c r="H1940" s="1" t="str" cm="1">
        <f t="array" ref="H1940">_xlfn.IFS( OR(G1940=" ",NOT(ISNUMBER(G1940))),"Unknown",G1940&lt;=33,"Low Spender",G1940&lt;=66,"Medium Spender",TRUE, "High Spender")</f>
        <v>High Spender</v>
      </c>
      <c r="I1940" s="1">
        <v>10</v>
      </c>
      <c r="J1940" s="1">
        <v>2000</v>
      </c>
      <c r="K1940" s="1">
        <v>120</v>
      </c>
      <c r="M1940" s="1" t="s">
        <v>41</v>
      </c>
      <c r="N1940" s="1" t="str">
        <f t="shared" si="60"/>
        <v>Higher</v>
      </c>
      <c r="O1940" s="1" t="str">
        <f t="shared" si="61"/>
        <v>Pre-Senior | High Spender | Higher</v>
      </c>
    </row>
    <row r="1941" spans="1:15" x14ac:dyDescent="0.25">
      <c r="A1941" s="1" t="s">
        <v>1971</v>
      </c>
      <c r="B1941" s="1">
        <v>51</v>
      </c>
      <c r="C1941" s="1" t="str" cm="1">
        <f t="array" ref="C1941">_xlfn.IFS(OR(B1941=" ", B1941="NA",NOT(ISNUMBER(B1941))), "Unknown",B1941&lt;18,"Underage",B1941&lt;=24,"Young Adult",B1941&lt;=34,"Early Career",B1941&lt;=44,"Mid Career",B1941&lt;=54,"Mature",B1941&lt;=65,"Pre-Senior",B1941&gt;65,"Senior")</f>
        <v>Mature</v>
      </c>
      <c r="D1941" s="1" t="s">
        <v>18</v>
      </c>
      <c r="F1941" s="1">
        <v>150000</v>
      </c>
      <c r="G1941" s="1">
        <v>7</v>
      </c>
      <c r="H1941" s="1" t="str" cm="1">
        <f t="array" ref="H1941">_xlfn.IFS( OR(G1941=" ",NOT(ISNUMBER(G1941))),"Unknown",G1941&lt;=33,"Low Spender",G1941&lt;=66,"Medium Spender",TRUE, "High Spender")</f>
        <v>Low Spender</v>
      </c>
      <c r="I1941" s="1">
        <v>13</v>
      </c>
      <c r="J1941" s="1">
        <v>2900</v>
      </c>
      <c r="K1941" s="1">
        <v>75</v>
      </c>
      <c r="L1941" s="1" t="s">
        <v>20</v>
      </c>
      <c r="N1941" s="1" t="str">
        <f t="shared" si="60"/>
        <v>Higher</v>
      </c>
      <c r="O1941" s="1" t="str">
        <f t="shared" si="61"/>
        <v>Mature | Low Spender | Higher</v>
      </c>
    </row>
    <row r="1942" spans="1:15" x14ac:dyDescent="0.25">
      <c r="A1942" s="1" t="s">
        <v>1972</v>
      </c>
      <c r="B1942" s="1">
        <v>57</v>
      </c>
      <c r="C1942" s="1" t="str" cm="1">
        <f t="array" ref="C1942">_xlfn.IFS(OR(B1942=" ", B1942="NA",NOT(ISNUMBER(B1942))), "Unknown",B1942&lt;18,"Underage",B1942&lt;=24,"Young Adult",B1942&lt;=34,"Early Career",B1942&lt;=44,"Mid Career",B1942&lt;=54,"Mature",B1942&lt;=65,"Pre-Senior",B1942&gt;65,"Senior")</f>
        <v>Pre-Senior</v>
      </c>
      <c r="D1942" s="1" t="s">
        <v>18</v>
      </c>
      <c r="E1942" s="1" t="s">
        <v>34</v>
      </c>
      <c r="F1942" s="1">
        <v>1825000</v>
      </c>
      <c r="G1942" s="1">
        <v>2</v>
      </c>
      <c r="H1942" s="1" t="str" cm="1">
        <f t="array" ref="H1942">_xlfn.IFS( OR(G1942=" ",NOT(ISNUMBER(G1942))),"Unknown",G1942&lt;=33,"Low Spender",G1942&lt;=66,"Medium Spender",TRUE, "High Spender")</f>
        <v>Low Spender</v>
      </c>
      <c r="I1942" s="1">
        <v>2</v>
      </c>
      <c r="J1942" s="1">
        <v>5600</v>
      </c>
      <c r="K1942" s="1">
        <v>162</v>
      </c>
      <c r="L1942" s="1" t="s">
        <v>20</v>
      </c>
      <c r="M1942" s="1" t="s">
        <v>30</v>
      </c>
      <c r="N1942" s="1" t="str">
        <f t="shared" si="60"/>
        <v>Higher</v>
      </c>
      <c r="O1942" s="1" t="str">
        <f t="shared" si="61"/>
        <v>Pre-Senior | Low Spender | Higher</v>
      </c>
    </row>
    <row r="1943" spans="1:15" x14ac:dyDescent="0.25">
      <c r="A1943" s="1" t="s">
        <v>1973</v>
      </c>
      <c r="B1943" s="1">
        <v>44</v>
      </c>
      <c r="C1943" s="1" t="str" cm="1">
        <f t="array" ref="C1943">_xlfn.IFS(OR(B1943=" ", B1943="NA",NOT(ISNUMBER(B1943))), "Unknown",B1943&lt;18,"Underage",B1943&lt;=24,"Young Adult",B1943&lt;=34,"Early Career",B1943&lt;=44,"Mid Career",B1943&lt;=54,"Mature",B1943&lt;=65,"Pre-Senior",B1943&gt;65,"Senior")</f>
        <v>Mid Career</v>
      </c>
      <c r="D1943" s="1" t="s">
        <v>29</v>
      </c>
      <c r="E1943" s="1" t="s">
        <v>34</v>
      </c>
      <c r="F1943" s="1">
        <v>1225000</v>
      </c>
      <c r="G1943" s="1">
        <v>85</v>
      </c>
      <c r="H1943" s="1" t="str" cm="1">
        <f t="array" ref="H1943">_xlfn.IFS( OR(G1943=" ",NOT(ISNUMBER(G1943))),"Unknown",G1943&lt;=33,"Low Spender",G1943&lt;=66,"Medium Spender",TRUE, "High Spender")</f>
        <v>High Spender</v>
      </c>
      <c r="I1943" s="1">
        <v>15</v>
      </c>
      <c r="J1943" s="1">
        <v>5700</v>
      </c>
      <c r="K1943" s="1">
        <v>149</v>
      </c>
      <c r="L1943" s="1" t="s">
        <v>35</v>
      </c>
      <c r="M1943" s="1" t="s">
        <v>41</v>
      </c>
      <c r="N1943" s="1" t="str">
        <f t="shared" si="60"/>
        <v>Higher</v>
      </c>
      <c r="O1943" s="1" t="str">
        <f t="shared" si="61"/>
        <v>Mid Career | High Spender | Higher</v>
      </c>
    </row>
    <row r="1944" spans="1:15" x14ac:dyDescent="0.25">
      <c r="A1944" s="1" t="s">
        <v>1974</v>
      </c>
      <c r="B1944" s="1">
        <v>30</v>
      </c>
      <c r="C1944" s="1" t="str" cm="1">
        <f t="array" ref="C1944">_xlfn.IFS(OR(B1944=" ", B1944="NA",NOT(ISNUMBER(B1944))), "Unknown",B1944&lt;18,"Underage",B1944&lt;=24,"Young Adult",B1944&lt;=34,"Early Career",B1944&lt;=44,"Mid Career",B1944&lt;=54,"Mature",B1944&lt;=65,"Pre-Senior",B1944&gt;65,"Senior")</f>
        <v>Early Career</v>
      </c>
      <c r="E1944" s="1" t="s">
        <v>58</v>
      </c>
      <c r="F1944" s="1">
        <v>1300000</v>
      </c>
      <c r="G1944" s="1">
        <v>6</v>
      </c>
      <c r="H1944" s="1" t="str" cm="1">
        <f t="array" ref="H1944">_xlfn.IFS( OR(G1944=" ",NOT(ISNUMBER(G1944))),"Unknown",G1944&lt;=33,"Low Spender",G1944&lt;=66,"Medium Spender",TRUE, "High Spender")</f>
        <v>Low Spender</v>
      </c>
      <c r="I1944" s="1">
        <v>46</v>
      </c>
      <c r="J1944" s="1">
        <v>10700</v>
      </c>
      <c r="K1944" s="1">
        <v>123</v>
      </c>
      <c r="L1944" s="1" t="s">
        <v>37</v>
      </c>
      <c r="M1944" s="1" t="s">
        <v>41</v>
      </c>
      <c r="N1944" s="1" t="str">
        <f t="shared" si="60"/>
        <v>Lower</v>
      </c>
      <c r="O1944" s="1" t="str">
        <f t="shared" si="61"/>
        <v>Early Career | Low Spender | Lower</v>
      </c>
    </row>
    <row r="1945" spans="1:15" x14ac:dyDescent="0.25">
      <c r="A1945" s="1" t="s">
        <v>1975</v>
      </c>
      <c r="B1945" s="1">
        <v>62</v>
      </c>
      <c r="C1945" s="1" t="str" cm="1">
        <f t="array" ref="C1945">_xlfn.IFS(OR(B1945=" ", B1945="NA",NOT(ISNUMBER(B1945))), "Unknown",B1945&lt;18,"Underage",B1945&lt;=24,"Young Adult",B1945&lt;=34,"Early Career",B1945&lt;=44,"Mid Career",B1945&lt;=54,"Mature",B1945&lt;=65,"Pre-Senior",B1945&gt;65,"Senior")</f>
        <v>Pre-Senior</v>
      </c>
      <c r="D1945" s="1" t="s">
        <v>12</v>
      </c>
      <c r="F1945" s="1">
        <v>1000000</v>
      </c>
      <c r="G1945" s="1">
        <v>92</v>
      </c>
      <c r="H1945" s="1" t="str" cm="1">
        <f t="array" ref="H1945">_xlfn.IFS( OR(G1945=" ",NOT(ISNUMBER(G1945))),"Unknown",G1945&lt;=33,"Low Spender",G1945&lt;=66,"Medium Spender",TRUE, "High Spender")</f>
        <v>High Spender</v>
      </c>
      <c r="I1945" s="1">
        <v>57</v>
      </c>
      <c r="J1945" s="1">
        <v>2300</v>
      </c>
      <c r="K1945" s="1">
        <v>141</v>
      </c>
      <c r="L1945" s="1" t="s">
        <v>37</v>
      </c>
      <c r="M1945" s="1" t="s">
        <v>41</v>
      </c>
      <c r="N1945" s="1" t="str">
        <f t="shared" si="60"/>
        <v>Lower</v>
      </c>
      <c r="O1945" s="1" t="str">
        <f t="shared" si="61"/>
        <v>Pre-Senior | High Spender | Lower</v>
      </c>
    </row>
    <row r="1946" spans="1:15" x14ac:dyDescent="0.25">
      <c r="A1946" s="1" t="s">
        <v>1976</v>
      </c>
      <c r="B1946" s="1">
        <v>50</v>
      </c>
      <c r="C1946" s="1" t="str" cm="1">
        <f t="array" ref="C1946">_xlfn.IFS(OR(B1946=" ", B1946="NA",NOT(ISNUMBER(B1946))), "Unknown",B1946&lt;18,"Underage",B1946&lt;=24,"Young Adult",B1946&lt;=34,"Early Career",B1946&lt;=44,"Mid Career",B1946&lt;=54,"Mature",B1946&lt;=65,"Pre-Senior",B1946&gt;65,"Senior")</f>
        <v>Mature</v>
      </c>
      <c r="D1946" s="1" t="s">
        <v>29</v>
      </c>
      <c r="E1946" s="1" t="s">
        <v>34</v>
      </c>
      <c r="F1946" s="1">
        <v>1625000</v>
      </c>
      <c r="G1946" s="1">
        <v>36</v>
      </c>
      <c r="H1946" s="1" t="str" cm="1">
        <f t="array" ref="H1946">_xlfn.IFS( OR(G1946=" ",NOT(ISNUMBER(G1946))),"Unknown",G1946&lt;=33,"Low Spender",G1946&lt;=66,"Medium Spender",TRUE, "High Spender")</f>
        <v>Medium Spender</v>
      </c>
      <c r="I1946" s="1">
        <v>10</v>
      </c>
      <c r="J1946" s="1">
        <v>6100</v>
      </c>
      <c r="K1946" s="1">
        <v>182</v>
      </c>
      <c r="M1946" s="1" t="s">
        <v>32</v>
      </c>
      <c r="N1946" s="1" t="str">
        <f t="shared" si="60"/>
        <v>Higher</v>
      </c>
      <c r="O1946" s="1" t="str">
        <f t="shared" si="61"/>
        <v>Mature | Medium Spender | Higher</v>
      </c>
    </row>
    <row r="1947" spans="1:15" x14ac:dyDescent="0.25">
      <c r="A1947" s="1" t="s">
        <v>1977</v>
      </c>
      <c r="B1947" s="1">
        <v>23</v>
      </c>
      <c r="C1947" s="1" t="str" cm="1">
        <f t="array" ref="C1947">_xlfn.IFS(OR(B1947=" ", B1947="NA",NOT(ISNUMBER(B1947))), "Unknown",B1947&lt;18,"Underage",B1947&lt;=24,"Young Adult",B1947&lt;=34,"Early Career",B1947&lt;=44,"Mid Career",B1947&lt;=54,"Mature",B1947&lt;=65,"Pre-Senior",B1947&gt;65,"Senior")</f>
        <v>Young Adult</v>
      </c>
      <c r="D1947" s="1" t="s">
        <v>18</v>
      </c>
      <c r="E1947" s="1" t="s">
        <v>27</v>
      </c>
      <c r="F1947" s="1">
        <v>1425000</v>
      </c>
      <c r="G1947" s="1">
        <v>32</v>
      </c>
      <c r="H1947" s="1" t="str" cm="1">
        <f t="array" ref="H1947">_xlfn.IFS( OR(G1947=" ",NOT(ISNUMBER(G1947))),"Unknown",G1947&lt;=33,"Low Spender",G1947&lt;=66,"Medium Spender",TRUE, "High Spender")</f>
        <v>Low Spender</v>
      </c>
      <c r="I1947" s="1">
        <v>22</v>
      </c>
      <c r="J1947" s="1">
        <v>11700</v>
      </c>
      <c r="K1947" s="1">
        <v>277</v>
      </c>
      <c r="L1947" s="1" t="s">
        <v>16</v>
      </c>
      <c r="M1947" s="1" t="s">
        <v>21</v>
      </c>
      <c r="N1947" s="1" t="str">
        <f t="shared" si="60"/>
        <v>Higher</v>
      </c>
      <c r="O1947" s="1" t="str">
        <f t="shared" si="61"/>
        <v>Young Adult | Low Spender | Higher</v>
      </c>
    </row>
    <row r="1948" spans="1:15" x14ac:dyDescent="0.25">
      <c r="A1948" s="1" t="s">
        <v>1978</v>
      </c>
      <c r="B1948" s="1">
        <v>41</v>
      </c>
      <c r="C1948" s="1" t="str" cm="1">
        <f t="array" ref="C1948">_xlfn.IFS(OR(B1948=" ", B1948="NA",NOT(ISNUMBER(B1948))), "Unknown",B1948&lt;18,"Underage",B1948&lt;=24,"Young Adult",B1948&lt;=34,"Early Career",B1948&lt;=44,"Mid Career",B1948&lt;=54,"Mature",B1948&lt;=65,"Pre-Senior",B1948&gt;65,"Senior")</f>
        <v>Mid Career</v>
      </c>
      <c r="D1948" s="1" t="s">
        <v>29</v>
      </c>
      <c r="E1948" s="1" t="s">
        <v>58</v>
      </c>
      <c r="F1948" s="1">
        <v>325000</v>
      </c>
      <c r="G1948" s="1">
        <v>45</v>
      </c>
      <c r="H1948" s="1" t="str" cm="1">
        <f t="array" ref="H1948">_xlfn.IFS( OR(G1948=" ",NOT(ISNUMBER(G1948))),"Unknown",G1948&lt;=33,"Low Spender",G1948&lt;=66,"Medium Spender",TRUE, "High Spender")</f>
        <v>Medium Spender</v>
      </c>
      <c r="I1948" s="1">
        <v>79</v>
      </c>
      <c r="J1948" s="1">
        <v>3600</v>
      </c>
      <c r="K1948" s="1">
        <v>257</v>
      </c>
      <c r="L1948" s="1" t="s">
        <v>16</v>
      </c>
      <c r="N1948" s="1" t="str">
        <f t="shared" si="60"/>
        <v>Higher</v>
      </c>
      <c r="O1948" s="1" t="str">
        <f t="shared" si="61"/>
        <v>Mid Career | Medium Spender | Higher</v>
      </c>
    </row>
    <row r="1949" spans="1:15" x14ac:dyDescent="0.25">
      <c r="A1949" s="1" t="s">
        <v>1979</v>
      </c>
      <c r="B1949" s="1">
        <v>36</v>
      </c>
      <c r="C1949" s="1" t="str" cm="1">
        <f t="array" ref="C1949">_xlfn.IFS(OR(B1949=" ", B1949="NA",NOT(ISNUMBER(B1949))), "Unknown",B1949&lt;18,"Underage",B1949&lt;=24,"Young Adult",B1949&lt;=34,"Early Career",B1949&lt;=44,"Mid Career",B1949&lt;=54,"Mature",B1949&lt;=65,"Pre-Senior",B1949&gt;65,"Senior")</f>
        <v>Mid Career</v>
      </c>
      <c r="D1949" s="1" t="s">
        <v>12</v>
      </c>
      <c r="E1949" s="1" t="s">
        <v>13</v>
      </c>
      <c r="F1949" s="1">
        <v>1150000</v>
      </c>
      <c r="G1949" s="1">
        <v>42</v>
      </c>
      <c r="H1949" s="1" t="str" cm="1">
        <f t="array" ref="H1949">_xlfn.IFS( OR(G1949=" ",NOT(ISNUMBER(G1949))),"Unknown",G1949&lt;=33,"Low Spender",G1949&lt;=66,"Medium Spender",TRUE, "High Spender")</f>
        <v>Medium Spender</v>
      </c>
      <c r="I1949" s="1">
        <v>77</v>
      </c>
      <c r="J1949" s="1">
        <v>9900</v>
      </c>
      <c r="K1949" s="1">
        <v>325</v>
      </c>
      <c r="L1949" s="1" t="s">
        <v>35</v>
      </c>
      <c r="M1949" s="1" t="s">
        <v>32</v>
      </c>
      <c r="N1949" s="1" t="str">
        <f t="shared" si="60"/>
        <v>Lower</v>
      </c>
      <c r="O1949" s="1" t="str">
        <f t="shared" si="61"/>
        <v>Mid Career | Medium Spender | Lower</v>
      </c>
    </row>
    <row r="1950" spans="1:15" x14ac:dyDescent="0.25">
      <c r="A1950" s="1" t="s">
        <v>1980</v>
      </c>
      <c r="B1950" s="1">
        <v>33</v>
      </c>
      <c r="C1950" s="1" t="str" cm="1">
        <f t="array" ref="C1950">_xlfn.IFS(OR(B1950=" ", B1950="NA",NOT(ISNUMBER(B1950))), "Unknown",B1950&lt;18,"Underage",B1950&lt;=24,"Young Adult",B1950&lt;=34,"Early Career",B1950&lt;=44,"Mid Career",B1950&lt;=54,"Mature",B1950&lt;=65,"Pre-Senior",B1950&gt;65,"Senior")</f>
        <v>Early Career</v>
      </c>
      <c r="D1950" s="1" t="s">
        <v>18</v>
      </c>
      <c r="E1950" s="1" t="s">
        <v>19</v>
      </c>
      <c r="F1950" s="1">
        <v>200000</v>
      </c>
      <c r="G1950" s="1">
        <v>53</v>
      </c>
      <c r="H1950" s="1" t="str" cm="1">
        <f t="array" ref="H1950">_xlfn.IFS( OR(G1950=" ",NOT(ISNUMBER(G1950))),"Unknown",G1950&lt;=33,"Low Spender",G1950&lt;=66,"Medium Spender",TRUE, "High Spender")</f>
        <v>Medium Spender</v>
      </c>
      <c r="I1950" s="1">
        <v>8</v>
      </c>
      <c r="J1950" s="1">
        <v>6000</v>
      </c>
      <c r="K1950" s="1">
        <v>245</v>
      </c>
      <c r="N1950" s="1" t="str">
        <f t="shared" si="60"/>
        <v>Higher</v>
      </c>
      <c r="O1950" s="1" t="str">
        <f t="shared" si="61"/>
        <v>Early Career | Medium Spender | Higher</v>
      </c>
    </row>
    <row r="1951" spans="1:15" x14ac:dyDescent="0.25">
      <c r="A1951" s="1" t="s">
        <v>1981</v>
      </c>
      <c r="B1951" s="1">
        <v>57</v>
      </c>
      <c r="C1951" s="1" t="str" cm="1">
        <f t="array" ref="C1951">_xlfn.IFS(OR(B1951=" ", B1951="NA",NOT(ISNUMBER(B1951))), "Unknown",B1951&lt;18,"Underage",B1951&lt;=24,"Young Adult",B1951&lt;=34,"Early Career",B1951&lt;=44,"Mid Career",B1951&lt;=54,"Mature",B1951&lt;=65,"Pre-Senior",B1951&gt;65,"Senior")</f>
        <v>Pre-Senior</v>
      </c>
      <c r="D1951" s="1" t="s">
        <v>12</v>
      </c>
      <c r="E1951" s="1" t="s">
        <v>58</v>
      </c>
      <c r="F1951" s="1">
        <v>1850000</v>
      </c>
      <c r="G1951" s="1">
        <v>9</v>
      </c>
      <c r="H1951" s="1" t="str" cm="1">
        <f t="array" ref="H1951">_xlfn.IFS( OR(G1951=" ",NOT(ISNUMBER(G1951))),"Unknown",G1951&lt;=33,"Low Spender",G1951&lt;=66,"Medium Spender",TRUE, "High Spender")</f>
        <v>Low Spender</v>
      </c>
      <c r="I1951" s="1">
        <v>21</v>
      </c>
      <c r="J1951" s="1">
        <v>5000</v>
      </c>
      <c r="K1951" s="1">
        <v>86</v>
      </c>
      <c r="L1951" s="1" t="s">
        <v>37</v>
      </c>
      <c r="N1951" s="1" t="str">
        <f t="shared" si="60"/>
        <v>Lower</v>
      </c>
      <c r="O1951" s="1" t="str">
        <f t="shared" si="61"/>
        <v>Pre-Senior | Low Spender | Lower</v>
      </c>
    </row>
    <row r="1952" spans="1:15" x14ac:dyDescent="0.25">
      <c r="A1952" s="1" t="s">
        <v>1982</v>
      </c>
      <c r="B1952" s="1">
        <v>45</v>
      </c>
      <c r="C1952" s="1" t="str" cm="1">
        <f t="array" ref="C1952">_xlfn.IFS(OR(B1952=" ", B1952="NA",NOT(ISNUMBER(B1952))), "Unknown",B1952&lt;18,"Underage",B1952&lt;=24,"Young Adult",B1952&lt;=34,"Early Career",B1952&lt;=44,"Mid Career",B1952&lt;=54,"Mature",B1952&lt;=65,"Pre-Senior",B1952&gt;65,"Senior")</f>
        <v>Mature</v>
      </c>
      <c r="D1952" s="1" t="s">
        <v>18</v>
      </c>
      <c r="E1952" s="1" t="s">
        <v>19</v>
      </c>
      <c r="F1952" s="1">
        <v>475000</v>
      </c>
      <c r="G1952" s="1">
        <v>75</v>
      </c>
      <c r="H1952" s="1" t="str" cm="1">
        <f t="array" ref="H1952">_xlfn.IFS( OR(G1952=" ",NOT(ISNUMBER(G1952))),"Unknown",G1952&lt;=33,"Low Spender",G1952&lt;=66,"Medium Spender",TRUE, "High Spender")</f>
        <v>High Spender</v>
      </c>
      <c r="I1952" s="1">
        <v>22</v>
      </c>
      <c r="J1952" s="1">
        <v>5600</v>
      </c>
      <c r="K1952" s="1">
        <v>71</v>
      </c>
      <c r="L1952" s="1" t="s">
        <v>16</v>
      </c>
      <c r="M1952" s="1" t="s">
        <v>30</v>
      </c>
      <c r="N1952" s="1" t="str">
        <f t="shared" si="60"/>
        <v>Higher</v>
      </c>
      <c r="O1952" s="1" t="str">
        <f t="shared" si="61"/>
        <v>Mature | High Spender | Higher</v>
      </c>
    </row>
    <row r="1953" spans="1:15" x14ac:dyDescent="0.25">
      <c r="A1953" s="1" t="s">
        <v>1983</v>
      </c>
      <c r="B1953" s="1">
        <v>50</v>
      </c>
      <c r="C1953" s="1" t="str" cm="1">
        <f t="array" ref="C1953">_xlfn.IFS(OR(B1953=" ", B1953="NA",NOT(ISNUMBER(B1953))), "Unknown",B1953&lt;18,"Underage",B1953&lt;=24,"Young Adult",B1953&lt;=34,"Early Career",B1953&lt;=44,"Mid Career",B1953&lt;=54,"Mature",B1953&lt;=65,"Pre-Senior",B1953&gt;65,"Senior")</f>
        <v>Mature</v>
      </c>
      <c r="D1953" s="1" t="s">
        <v>29</v>
      </c>
      <c r="E1953" s="1" t="s">
        <v>49</v>
      </c>
      <c r="F1953" s="1">
        <v>775000</v>
      </c>
      <c r="G1953" s="1">
        <v>87</v>
      </c>
      <c r="H1953" s="1" t="str" cm="1">
        <f t="array" ref="H1953">_xlfn.IFS( OR(G1953=" ",NOT(ISNUMBER(G1953))),"Unknown",G1953&lt;=33,"Low Spender",G1953&lt;=66,"Medium Spender",TRUE, "High Spender")</f>
        <v>High Spender</v>
      </c>
      <c r="I1953" s="1">
        <v>45</v>
      </c>
      <c r="J1953" s="1">
        <v>2000</v>
      </c>
      <c r="K1953" s="1">
        <v>269</v>
      </c>
      <c r="L1953" s="1" t="s">
        <v>37</v>
      </c>
      <c r="M1953" s="1" t="s">
        <v>41</v>
      </c>
      <c r="N1953" s="1" t="str">
        <f t="shared" si="60"/>
        <v>Higher</v>
      </c>
      <c r="O1953" s="1" t="str">
        <f t="shared" si="61"/>
        <v>Mature | High Spender | Higher</v>
      </c>
    </row>
    <row r="1954" spans="1:15" x14ac:dyDescent="0.25">
      <c r="A1954" s="1" t="s">
        <v>1984</v>
      </c>
      <c r="B1954" s="1">
        <v>65</v>
      </c>
      <c r="C1954" s="1" t="str" cm="1">
        <f t="array" ref="C1954">_xlfn.IFS(OR(B1954=" ", B1954="NA",NOT(ISNUMBER(B1954))), "Unknown",B1954&lt;18,"Underage",B1954&lt;=24,"Young Adult",B1954&lt;=34,"Early Career",B1954&lt;=44,"Mid Career",B1954&lt;=54,"Mature",B1954&lt;=65,"Pre-Senior",B1954&gt;65,"Senior")</f>
        <v>Pre-Senior</v>
      </c>
      <c r="D1954" s="1" t="s">
        <v>29</v>
      </c>
      <c r="F1954" s="1">
        <v>1875000</v>
      </c>
      <c r="G1954" s="1">
        <v>75</v>
      </c>
      <c r="H1954" s="1" t="str" cm="1">
        <f t="array" ref="H1954">_xlfn.IFS( OR(G1954=" ",NOT(ISNUMBER(G1954))),"Unknown",G1954&lt;=33,"Low Spender",G1954&lt;=66,"Medium Spender",TRUE, "High Spender")</f>
        <v>High Spender</v>
      </c>
      <c r="I1954" s="1">
        <v>40</v>
      </c>
      <c r="J1954" s="1">
        <v>500</v>
      </c>
      <c r="K1954" s="1">
        <v>180</v>
      </c>
      <c r="L1954" s="1" t="s">
        <v>37</v>
      </c>
      <c r="M1954" s="1" t="s">
        <v>30</v>
      </c>
      <c r="N1954" s="1" t="str">
        <f t="shared" si="60"/>
        <v>Higher</v>
      </c>
      <c r="O1954" s="1" t="str">
        <f t="shared" si="61"/>
        <v>Pre-Senior | High Spender | Higher</v>
      </c>
    </row>
    <row r="1955" spans="1:15" x14ac:dyDescent="0.25">
      <c r="A1955" s="1" t="s">
        <v>1985</v>
      </c>
      <c r="B1955" s="1">
        <v>58</v>
      </c>
      <c r="C1955" s="1" t="str" cm="1">
        <f t="array" ref="C1955">_xlfn.IFS(OR(B1955=" ", B1955="NA",NOT(ISNUMBER(B1955))), "Unknown",B1955&lt;18,"Underage",B1955&lt;=24,"Young Adult",B1955&lt;=34,"Early Career",B1955&lt;=44,"Mid Career",B1955&lt;=54,"Mature",B1955&lt;=65,"Pre-Senior",B1955&gt;65,"Senior")</f>
        <v>Pre-Senior</v>
      </c>
      <c r="D1955" s="1" t="s">
        <v>18</v>
      </c>
      <c r="E1955" s="1" t="s">
        <v>13</v>
      </c>
      <c r="F1955" s="1">
        <v>1575000</v>
      </c>
      <c r="G1955" s="1">
        <v>49</v>
      </c>
      <c r="H1955" s="1" t="str" cm="1">
        <f t="array" ref="H1955">_xlfn.IFS( OR(G1955=" ",NOT(ISNUMBER(G1955))),"Unknown",G1955&lt;=33,"Low Spender",G1955&lt;=66,"Medium Spender",TRUE, "High Spender")</f>
        <v>Medium Spender</v>
      </c>
      <c r="I1955" s="1">
        <v>22</v>
      </c>
      <c r="J1955" s="1">
        <v>2600</v>
      </c>
      <c r="K1955" s="1">
        <v>279</v>
      </c>
      <c r="M1955" s="1" t="s">
        <v>41</v>
      </c>
      <c r="N1955" s="1" t="str">
        <f t="shared" si="60"/>
        <v>Higher</v>
      </c>
      <c r="O1955" s="1" t="str">
        <f t="shared" si="61"/>
        <v>Pre-Senior | Medium Spender | Higher</v>
      </c>
    </row>
    <row r="1956" spans="1:15" x14ac:dyDescent="0.25">
      <c r="A1956" s="1" t="s">
        <v>1986</v>
      </c>
      <c r="B1956" s="1">
        <v>30</v>
      </c>
      <c r="C1956" s="1" t="str" cm="1">
        <f t="array" ref="C1956">_xlfn.IFS(OR(B1956=" ", B1956="NA",NOT(ISNUMBER(B1956))), "Unknown",B1956&lt;18,"Underage",B1956&lt;=24,"Young Adult",B1956&lt;=34,"Early Career",B1956&lt;=44,"Mid Career",B1956&lt;=54,"Mature",B1956&lt;=65,"Pre-Senior",B1956&gt;65,"Senior")</f>
        <v>Early Career</v>
      </c>
      <c r="F1956" s="1">
        <v>1125000</v>
      </c>
      <c r="G1956" s="1">
        <v>2</v>
      </c>
      <c r="H1956" s="1" t="str" cm="1">
        <f t="array" ref="H1956">_xlfn.IFS( OR(G1956=" ",NOT(ISNUMBER(G1956))),"Unknown",G1956&lt;=33,"Low Spender",G1956&lt;=66,"Medium Spender",TRUE, "High Spender")</f>
        <v>Low Spender</v>
      </c>
      <c r="I1956" s="1">
        <v>30</v>
      </c>
      <c r="J1956" s="1">
        <v>300</v>
      </c>
      <c r="K1956" s="1">
        <v>149</v>
      </c>
      <c r="L1956" s="1" t="s">
        <v>16</v>
      </c>
      <c r="M1956" s="1" t="s">
        <v>32</v>
      </c>
      <c r="N1956" s="1" t="str">
        <f t="shared" si="60"/>
        <v>Lower</v>
      </c>
      <c r="O1956" s="1" t="str">
        <f t="shared" si="61"/>
        <v>Early Career | Low Spender | Lower</v>
      </c>
    </row>
    <row r="1957" spans="1:15" x14ac:dyDescent="0.25">
      <c r="A1957" s="1" t="s">
        <v>1987</v>
      </c>
      <c r="B1957" s="1">
        <v>60</v>
      </c>
      <c r="C1957" s="1" t="str" cm="1">
        <f t="array" ref="C1957">_xlfn.IFS(OR(B1957=" ", B1957="NA",NOT(ISNUMBER(B1957))), "Unknown",B1957&lt;18,"Underage",B1957&lt;=24,"Young Adult",B1957&lt;=34,"Early Career",B1957&lt;=44,"Mid Career",B1957&lt;=54,"Mature",B1957&lt;=65,"Pre-Senior",B1957&gt;65,"Senior")</f>
        <v>Pre-Senior</v>
      </c>
      <c r="D1957" s="1" t="s">
        <v>18</v>
      </c>
      <c r="E1957" s="1" t="s">
        <v>13</v>
      </c>
      <c r="F1957" s="1">
        <v>1400000</v>
      </c>
      <c r="G1957" s="1">
        <v>67</v>
      </c>
      <c r="H1957" s="1" t="str" cm="1">
        <f t="array" ref="H1957">_xlfn.IFS( OR(G1957=" ",NOT(ISNUMBER(G1957))),"Unknown",G1957&lt;=33,"Low Spender",G1957&lt;=66,"Medium Spender",TRUE, "High Spender")</f>
        <v>High Spender</v>
      </c>
      <c r="I1957" s="1">
        <v>62</v>
      </c>
      <c r="J1957" s="1">
        <v>800</v>
      </c>
      <c r="K1957" s="1">
        <v>6</v>
      </c>
      <c r="L1957" s="1" t="s">
        <v>20</v>
      </c>
      <c r="N1957" s="1" t="str">
        <f t="shared" si="60"/>
        <v>Higher</v>
      </c>
      <c r="O1957" s="1" t="str">
        <f t="shared" si="61"/>
        <v>Pre-Senior | High Spender | Higher</v>
      </c>
    </row>
    <row r="1958" spans="1:15" x14ac:dyDescent="0.25">
      <c r="A1958" s="1" t="s">
        <v>1988</v>
      </c>
      <c r="B1958" s="1">
        <v>62</v>
      </c>
      <c r="C1958" s="1" t="str" cm="1">
        <f t="array" ref="C1958">_xlfn.IFS(OR(B1958=" ", B1958="NA",NOT(ISNUMBER(B1958))), "Unknown",B1958&lt;18,"Underage",B1958&lt;=24,"Young Adult",B1958&lt;=34,"Early Career",B1958&lt;=44,"Mid Career",B1958&lt;=54,"Mature",B1958&lt;=65,"Pre-Senior",B1958&gt;65,"Senior")</f>
        <v>Pre-Senior</v>
      </c>
      <c r="D1958" s="1" t="s">
        <v>18</v>
      </c>
      <c r="F1958" s="1">
        <v>250000</v>
      </c>
      <c r="G1958" s="1">
        <v>11</v>
      </c>
      <c r="H1958" s="1" t="str" cm="1">
        <f t="array" ref="H1958">_xlfn.IFS( OR(G1958=" ",NOT(ISNUMBER(G1958))),"Unknown",G1958&lt;=33,"Low Spender",G1958&lt;=66,"Medium Spender",TRUE, "High Spender")</f>
        <v>Low Spender</v>
      </c>
      <c r="I1958" s="1">
        <v>73</v>
      </c>
      <c r="J1958" s="1">
        <v>2100</v>
      </c>
      <c r="K1958" s="1">
        <v>148</v>
      </c>
      <c r="L1958" s="1" t="s">
        <v>20</v>
      </c>
      <c r="M1958" s="1" t="s">
        <v>30</v>
      </c>
      <c r="N1958" s="1" t="str">
        <f t="shared" si="60"/>
        <v>Higher</v>
      </c>
      <c r="O1958" s="1" t="str">
        <f t="shared" si="61"/>
        <v>Pre-Senior | Low Spender | Higher</v>
      </c>
    </row>
    <row r="1959" spans="1:15" x14ac:dyDescent="0.25">
      <c r="A1959" s="1" t="s">
        <v>1989</v>
      </c>
      <c r="B1959" s="1">
        <v>42</v>
      </c>
      <c r="C1959" s="1" t="str" cm="1">
        <f t="array" ref="C1959">_xlfn.IFS(OR(B1959=" ", B1959="NA",NOT(ISNUMBER(B1959))), "Unknown",B1959&lt;18,"Underage",B1959&lt;=24,"Young Adult",B1959&lt;=34,"Early Career",B1959&lt;=44,"Mid Career",B1959&lt;=54,"Mature",B1959&lt;=65,"Pre-Senior",B1959&gt;65,"Senior")</f>
        <v>Mid Career</v>
      </c>
      <c r="D1959" s="1" t="s">
        <v>18</v>
      </c>
      <c r="E1959" s="1" t="s">
        <v>58</v>
      </c>
      <c r="F1959" s="1" t="s">
        <v>25</v>
      </c>
      <c r="G1959" s="1">
        <v>50</v>
      </c>
      <c r="H1959" s="1" t="str" cm="1">
        <f t="array" ref="H1959">_xlfn.IFS( OR(G1959=" ",NOT(ISNUMBER(G1959))),"Unknown",G1959&lt;=33,"Low Spender",G1959&lt;=66,"Medium Spender",TRUE, "High Spender")</f>
        <v>Medium Spender</v>
      </c>
      <c r="I1959" s="1">
        <v>45</v>
      </c>
      <c r="J1959" s="1">
        <v>8800</v>
      </c>
      <c r="K1959" s="1">
        <v>332</v>
      </c>
      <c r="N1959" s="1" t="str">
        <f t="shared" si="60"/>
        <v>Higher</v>
      </c>
      <c r="O1959" s="1" t="str">
        <f t="shared" si="61"/>
        <v>Mid Career | Medium Spender | Higher</v>
      </c>
    </row>
    <row r="1960" spans="1:15" x14ac:dyDescent="0.25">
      <c r="A1960" s="1" t="s">
        <v>1990</v>
      </c>
      <c r="C1960" s="1" t="str" cm="1">
        <f t="array" ref="C1960">_xlfn.IFS(OR(B1960=" ", B1960="NA",NOT(ISNUMBER(B1960))), "Unknown",B1960&lt;18,"Underage",B1960&lt;=24,"Young Adult",B1960&lt;=34,"Early Career",B1960&lt;=44,"Mid Career",B1960&lt;=54,"Mature",B1960&lt;=65,"Pre-Senior",B1960&gt;65,"Senior")</f>
        <v>Unknown</v>
      </c>
      <c r="D1960" s="1" t="s">
        <v>18</v>
      </c>
      <c r="F1960" s="1">
        <v>925000</v>
      </c>
      <c r="G1960" s="1">
        <v>35</v>
      </c>
      <c r="H1960" s="1" t="str" cm="1">
        <f t="array" ref="H1960">_xlfn.IFS( OR(G1960=" ",NOT(ISNUMBER(G1960))),"Unknown",G1960&lt;=33,"Low Spender",G1960&lt;=66,"Medium Spender",TRUE, "High Spender")</f>
        <v>Medium Spender</v>
      </c>
      <c r="I1960" s="1">
        <v>35</v>
      </c>
      <c r="J1960" s="1">
        <v>11700</v>
      </c>
      <c r="K1960" s="1">
        <v>168</v>
      </c>
      <c r="L1960" s="1" t="s">
        <v>16</v>
      </c>
      <c r="M1960" s="1" t="s">
        <v>32</v>
      </c>
      <c r="N1960" s="1" t="str">
        <f t="shared" si="60"/>
        <v>Higher</v>
      </c>
      <c r="O1960" s="1" t="str">
        <f t="shared" si="61"/>
        <v>Unknown | Medium Spender | Higher</v>
      </c>
    </row>
    <row r="1961" spans="1:15" x14ac:dyDescent="0.25">
      <c r="A1961" s="1" t="s">
        <v>1991</v>
      </c>
      <c r="B1961" s="1">
        <v>59</v>
      </c>
      <c r="C1961" s="1" t="str" cm="1">
        <f t="array" ref="C1961">_xlfn.IFS(OR(B1961=" ", B1961="NA",NOT(ISNUMBER(B1961))), "Unknown",B1961&lt;18,"Underage",B1961&lt;=24,"Young Adult",B1961&lt;=34,"Early Career",B1961&lt;=44,"Mid Career",B1961&lt;=54,"Mature",B1961&lt;=65,"Pre-Senior",B1961&gt;65,"Senior")</f>
        <v>Pre-Senior</v>
      </c>
      <c r="D1961" s="1" t="s">
        <v>29</v>
      </c>
      <c r="E1961" s="1" t="s">
        <v>15</v>
      </c>
      <c r="F1961" s="1">
        <v>150000</v>
      </c>
      <c r="G1961" s="1">
        <v>15</v>
      </c>
      <c r="H1961" s="1" t="str" cm="1">
        <f t="array" ref="H1961">_xlfn.IFS( OR(G1961=" ",NOT(ISNUMBER(G1961))),"Unknown",G1961&lt;=33,"Low Spender",G1961&lt;=66,"Medium Spender",TRUE, "High Spender")</f>
        <v>Low Spender</v>
      </c>
      <c r="I1961" s="1">
        <v>42</v>
      </c>
      <c r="J1961" s="1">
        <v>4500</v>
      </c>
      <c r="K1961" s="1">
        <v>9</v>
      </c>
      <c r="L1961" s="1" t="s">
        <v>35</v>
      </c>
      <c r="M1961" s="1" t="s">
        <v>32</v>
      </c>
      <c r="N1961" s="1" t="str">
        <f t="shared" si="60"/>
        <v>Higher</v>
      </c>
      <c r="O1961" s="1" t="str">
        <f t="shared" si="61"/>
        <v>Pre-Senior | Low Spender | Higher</v>
      </c>
    </row>
    <row r="1962" spans="1:15" x14ac:dyDescent="0.25">
      <c r="A1962" s="1" t="s">
        <v>1992</v>
      </c>
      <c r="B1962" s="1">
        <v>53</v>
      </c>
      <c r="C1962" s="1" t="str" cm="1">
        <f t="array" ref="C1962">_xlfn.IFS(OR(B1962=" ", B1962="NA",NOT(ISNUMBER(B1962))), "Unknown",B1962&lt;18,"Underage",B1962&lt;=24,"Young Adult",B1962&lt;=34,"Early Career",B1962&lt;=44,"Mid Career",B1962&lt;=54,"Mature",B1962&lt;=65,"Pre-Senior",B1962&gt;65,"Senior")</f>
        <v>Mature</v>
      </c>
      <c r="D1962" s="1" t="s">
        <v>12</v>
      </c>
      <c r="E1962" s="1" t="s">
        <v>13</v>
      </c>
      <c r="F1962" s="1" t="s">
        <v>25</v>
      </c>
      <c r="G1962" s="1">
        <v>75</v>
      </c>
      <c r="H1962" s="1" t="str" cm="1">
        <f t="array" ref="H1962">_xlfn.IFS( OR(G1962=" ",NOT(ISNUMBER(G1962))),"Unknown",G1962&lt;=33,"Low Spender",G1962&lt;=66,"Medium Spender",TRUE, "High Spender")</f>
        <v>High Spender</v>
      </c>
      <c r="I1962" s="1">
        <v>5</v>
      </c>
      <c r="J1962" s="1">
        <v>1000</v>
      </c>
      <c r="K1962" s="1">
        <v>178</v>
      </c>
      <c r="N1962" s="1" t="str">
        <f t="shared" si="60"/>
        <v>Lower</v>
      </c>
      <c r="O1962" s="1" t="str">
        <f t="shared" si="61"/>
        <v>Mature | High Spender | Lower</v>
      </c>
    </row>
    <row r="1963" spans="1:15" x14ac:dyDescent="0.25">
      <c r="A1963" s="1" t="s">
        <v>1993</v>
      </c>
      <c r="B1963" s="1">
        <v>44</v>
      </c>
      <c r="C1963" s="1" t="str" cm="1">
        <f t="array" ref="C1963">_xlfn.IFS(OR(B1963=" ", B1963="NA",NOT(ISNUMBER(B1963))), "Unknown",B1963&lt;18,"Underage",B1963&lt;=24,"Young Adult",B1963&lt;=34,"Early Career",B1963&lt;=44,"Mid Career",B1963&lt;=54,"Mature",B1963&lt;=65,"Pre-Senior",B1963&gt;65,"Senior")</f>
        <v>Mid Career</v>
      </c>
      <c r="E1963" s="1" t="s">
        <v>19</v>
      </c>
      <c r="F1963" s="1">
        <v>1475000</v>
      </c>
      <c r="G1963" s="1">
        <v>31</v>
      </c>
      <c r="H1963" s="1" t="str" cm="1">
        <f t="array" ref="H1963">_xlfn.IFS( OR(G1963=" ",NOT(ISNUMBER(G1963))),"Unknown",G1963&lt;=33,"Low Spender",G1963&lt;=66,"Medium Spender",TRUE, "High Spender")</f>
        <v>Low Spender</v>
      </c>
      <c r="I1963" s="1">
        <v>27</v>
      </c>
      <c r="J1963" s="1">
        <v>7100</v>
      </c>
      <c r="K1963" s="1">
        <v>284</v>
      </c>
      <c r="M1963" s="1" t="s">
        <v>41</v>
      </c>
      <c r="N1963" s="1" t="str">
        <f t="shared" si="60"/>
        <v>Lower</v>
      </c>
      <c r="O1963" s="1" t="str">
        <f t="shared" si="61"/>
        <v>Mid Career | Low Spender | Lower</v>
      </c>
    </row>
    <row r="1964" spans="1:15" x14ac:dyDescent="0.25">
      <c r="A1964" s="1" t="s">
        <v>1994</v>
      </c>
      <c r="B1964" s="1">
        <v>55</v>
      </c>
      <c r="C1964" s="1" t="str" cm="1">
        <f t="array" ref="C1964">_xlfn.IFS(OR(B1964=" ", B1964="NA",NOT(ISNUMBER(B1964))), "Unknown",B1964&lt;18,"Underage",B1964&lt;=24,"Young Adult",B1964&lt;=34,"Early Career",B1964&lt;=44,"Mid Career",B1964&lt;=54,"Mature",B1964&lt;=65,"Pre-Senior",B1964&gt;65,"Senior")</f>
        <v>Pre-Senior</v>
      </c>
      <c r="D1964" s="1" t="s">
        <v>18</v>
      </c>
      <c r="E1964" s="1" t="s">
        <v>13</v>
      </c>
      <c r="F1964" s="1">
        <v>400000</v>
      </c>
      <c r="G1964" s="1">
        <v>92</v>
      </c>
      <c r="H1964" s="1" t="str" cm="1">
        <f t="array" ref="H1964">_xlfn.IFS( OR(G1964=" ",NOT(ISNUMBER(G1964))),"Unknown",G1964&lt;=33,"Low Spender",G1964&lt;=66,"Medium Spender",TRUE, "High Spender")</f>
        <v>High Spender</v>
      </c>
      <c r="I1964" s="1">
        <v>70</v>
      </c>
      <c r="J1964" s="1">
        <v>5400</v>
      </c>
      <c r="K1964" s="1">
        <v>116</v>
      </c>
      <c r="L1964" s="1" t="s">
        <v>37</v>
      </c>
      <c r="N1964" s="1" t="str">
        <f t="shared" si="60"/>
        <v>Higher</v>
      </c>
      <c r="O1964" s="1" t="str">
        <f t="shared" si="61"/>
        <v>Pre-Senior | High Spender | Higher</v>
      </c>
    </row>
    <row r="1965" spans="1:15" x14ac:dyDescent="0.25">
      <c r="A1965" s="1" t="s">
        <v>1995</v>
      </c>
      <c r="B1965" s="1">
        <v>24</v>
      </c>
      <c r="C1965" s="1" t="str" cm="1">
        <f t="array" ref="C1965">_xlfn.IFS(OR(B1965=" ", B1965="NA",NOT(ISNUMBER(B1965))), "Unknown",B1965&lt;18,"Underage",B1965&lt;=24,"Young Adult",B1965&lt;=34,"Early Career",B1965&lt;=44,"Mid Career",B1965&lt;=54,"Mature",B1965&lt;=65,"Pre-Senior",B1965&gt;65,"Senior")</f>
        <v>Young Adult</v>
      </c>
      <c r="D1965" s="1" t="s">
        <v>18</v>
      </c>
      <c r="E1965" s="1" t="s">
        <v>49</v>
      </c>
      <c r="F1965" s="1">
        <v>1450000</v>
      </c>
      <c r="G1965" s="1">
        <v>62</v>
      </c>
      <c r="H1965" s="1" t="str" cm="1">
        <f t="array" ref="H1965">_xlfn.IFS( OR(G1965=" ",NOT(ISNUMBER(G1965))),"Unknown",G1965&lt;=33,"Low Spender",G1965&lt;=66,"Medium Spender",TRUE, "High Spender")</f>
        <v>Medium Spender</v>
      </c>
      <c r="I1965" s="1">
        <v>62</v>
      </c>
      <c r="J1965" s="1">
        <v>7500</v>
      </c>
      <c r="K1965" s="1">
        <v>96</v>
      </c>
      <c r="M1965" s="1" t="s">
        <v>41</v>
      </c>
      <c r="N1965" s="1" t="str">
        <f t="shared" si="60"/>
        <v>Higher</v>
      </c>
      <c r="O1965" s="1" t="str">
        <f t="shared" si="61"/>
        <v>Young Adult | Medium Spender | Higher</v>
      </c>
    </row>
    <row r="1966" spans="1:15" x14ac:dyDescent="0.25">
      <c r="A1966" s="1" t="s">
        <v>1996</v>
      </c>
      <c r="B1966" s="1">
        <v>22</v>
      </c>
      <c r="C1966" s="1" t="str" cm="1">
        <f t="array" ref="C1966">_xlfn.IFS(OR(B1966=" ", B1966="NA",NOT(ISNUMBER(B1966))), "Unknown",B1966&lt;18,"Underage",B1966&lt;=24,"Young Adult",B1966&lt;=34,"Early Career",B1966&lt;=44,"Mid Career",B1966&lt;=54,"Mature",B1966&lt;=65,"Pre-Senior",B1966&gt;65,"Senior")</f>
        <v>Young Adult</v>
      </c>
      <c r="D1966" s="1" t="s">
        <v>18</v>
      </c>
      <c r="E1966" s="1" t="s">
        <v>27</v>
      </c>
      <c r="F1966" s="1">
        <v>325000</v>
      </c>
      <c r="G1966" s="1">
        <v>28</v>
      </c>
      <c r="H1966" s="1" t="str" cm="1">
        <f t="array" ref="H1966">_xlfn.IFS( OR(G1966=" ",NOT(ISNUMBER(G1966))),"Unknown",G1966&lt;=33,"Low Spender",G1966&lt;=66,"Medium Spender",TRUE, "High Spender")</f>
        <v>Low Spender</v>
      </c>
      <c r="I1966" s="1">
        <v>32</v>
      </c>
      <c r="J1966" s="1">
        <v>4900</v>
      </c>
      <c r="K1966" s="1">
        <v>331</v>
      </c>
      <c r="M1966" s="1" t="s">
        <v>41</v>
      </c>
      <c r="N1966" s="1" t="str">
        <f t="shared" si="60"/>
        <v>Higher</v>
      </c>
      <c r="O1966" s="1" t="str">
        <f t="shared" si="61"/>
        <v>Young Adult | Low Spender | Higher</v>
      </c>
    </row>
    <row r="1967" spans="1:15" x14ac:dyDescent="0.25">
      <c r="A1967" s="1" t="s">
        <v>1997</v>
      </c>
      <c r="B1967" s="1">
        <v>60</v>
      </c>
      <c r="C1967" s="1" t="str" cm="1">
        <f t="array" ref="C1967">_xlfn.IFS(OR(B1967=" ", B1967="NA",NOT(ISNUMBER(B1967))), "Unknown",B1967&lt;18,"Underage",B1967&lt;=24,"Young Adult",B1967&lt;=34,"Early Career",B1967&lt;=44,"Mid Career",B1967&lt;=54,"Mature",B1967&lt;=65,"Pre-Senior",B1967&gt;65,"Senior")</f>
        <v>Pre-Senior</v>
      </c>
      <c r="E1967" s="1" t="s">
        <v>15</v>
      </c>
      <c r="F1967" s="1">
        <v>750000</v>
      </c>
      <c r="G1967" s="1">
        <v>96</v>
      </c>
      <c r="H1967" s="1" t="str" cm="1">
        <f t="array" ref="H1967">_xlfn.IFS( OR(G1967=" ",NOT(ISNUMBER(G1967))),"Unknown",G1967&lt;=33,"Low Spender",G1967&lt;=66,"Medium Spender",TRUE, "High Spender")</f>
        <v>High Spender</v>
      </c>
      <c r="I1967" s="1">
        <v>8</v>
      </c>
      <c r="J1967" s="1">
        <v>8700</v>
      </c>
      <c r="K1967" s="1">
        <v>344</v>
      </c>
      <c r="M1967" s="1" t="s">
        <v>32</v>
      </c>
      <c r="N1967" s="1" t="str">
        <f t="shared" si="60"/>
        <v>Lower</v>
      </c>
      <c r="O1967" s="1" t="str">
        <f t="shared" si="61"/>
        <v>Pre-Senior | High Spender | Lower</v>
      </c>
    </row>
    <row r="1968" spans="1:15" x14ac:dyDescent="0.25">
      <c r="A1968" s="1" t="s">
        <v>1998</v>
      </c>
      <c r="B1968" s="1">
        <v>62</v>
      </c>
      <c r="C1968" s="1" t="str" cm="1">
        <f t="array" ref="C1968">_xlfn.IFS(OR(B1968=" ", B1968="NA",NOT(ISNUMBER(B1968))), "Unknown",B1968&lt;18,"Underage",B1968&lt;=24,"Young Adult",B1968&lt;=34,"Early Career",B1968&lt;=44,"Mid Career",B1968&lt;=54,"Mature",B1968&lt;=65,"Pre-Senior",B1968&gt;65,"Senior")</f>
        <v>Pre-Senior</v>
      </c>
      <c r="E1968" s="1" t="s">
        <v>23</v>
      </c>
      <c r="F1968" s="1">
        <v>1125000</v>
      </c>
      <c r="G1968" s="1">
        <v>25</v>
      </c>
      <c r="H1968" s="1" t="str" cm="1">
        <f t="array" ref="H1968">_xlfn.IFS( OR(G1968=" ",NOT(ISNUMBER(G1968))),"Unknown",G1968&lt;=33,"Low Spender",G1968&lt;=66,"Medium Spender",TRUE, "High Spender")</f>
        <v>Low Spender</v>
      </c>
      <c r="I1968" s="1">
        <v>18</v>
      </c>
      <c r="J1968" s="1">
        <v>3000</v>
      </c>
      <c r="K1968" s="1">
        <v>56</v>
      </c>
      <c r="L1968" s="1" t="s">
        <v>16</v>
      </c>
      <c r="M1968" s="1" t="s">
        <v>41</v>
      </c>
      <c r="N1968" s="1" t="str">
        <f t="shared" si="60"/>
        <v>Lower</v>
      </c>
      <c r="O1968" s="1" t="str">
        <f t="shared" si="61"/>
        <v>Pre-Senior | Low Spender | Lower</v>
      </c>
    </row>
    <row r="1969" spans="1:15" x14ac:dyDescent="0.25">
      <c r="A1969" s="1" t="s">
        <v>1999</v>
      </c>
      <c r="B1969" s="1">
        <v>68</v>
      </c>
      <c r="C1969" s="1" t="str" cm="1">
        <f t="array" ref="C1969">_xlfn.IFS(OR(B1969=" ", B1969="NA",NOT(ISNUMBER(B1969))), "Unknown",B1969&lt;18,"Underage",B1969&lt;=24,"Young Adult",B1969&lt;=34,"Early Career",B1969&lt;=44,"Mid Career",B1969&lt;=54,"Mature",B1969&lt;=65,"Pre-Senior",B1969&gt;65,"Senior")</f>
        <v>Senior</v>
      </c>
      <c r="D1969" s="1" t="s">
        <v>29</v>
      </c>
      <c r="E1969" s="1" t="s">
        <v>13</v>
      </c>
      <c r="F1969" s="1">
        <v>925000</v>
      </c>
      <c r="G1969" s="1">
        <v>84</v>
      </c>
      <c r="H1969" s="1" t="str" cm="1">
        <f t="array" ref="H1969">_xlfn.IFS( OR(G1969=" ",NOT(ISNUMBER(G1969))),"Unknown",G1969&lt;=33,"Low Spender",G1969&lt;=66,"Medium Spender",TRUE, "High Spender")</f>
        <v>High Spender</v>
      </c>
      <c r="I1969" s="1">
        <v>78</v>
      </c>
      <c r="J1969" s="1">
        <v>4800</v>
      </c>
      <c r="K1969" s="1">
        <v>207</v>
      </c>
      <c r="L1969" s="1" t="s">
        <v>37</v>
      </c>
      <c r="M1969" s="1" t="s">
        <v>21</v>
      </c>
      <c r="N1969" s="1" t="str">
        <f t="shared" si="60"/>
        <v>Higher</v>
      </c>
      <c r="O1969" s="1" t="str">
        <f t="shared" si="61"/>
        <v>Senior | High Spender | Higher</v>
      </c>
    </row>
    <row r="1970" spans="1:15" x14ac:dyDescent="0.25">
      <c r="A1970" s="1" t="s">
        <v>2000</v>
      </c>
      <c r="B1970" s="1">
        <v>48</v>
      </c>
      <c r="C1970" s="1" t="str" cm="1">
        <f t="array" ref="C1970">_xlfn.IFS(OR(B1970=" ", B1970="NA",NOT(ISNUMBER(B1970))), "Unknown",B1970&lt;18,"Underage",B1970&lt;=24,"Young Adult",B1970&lt;=34,"Early Career",B1970&lt;=44,"Mid Career",B1970&lt;=54,"Mature",B1970&lt;=65,"Pre-Senior",B1970&gt;65,"Senior")</f>
        <v>Mature</v>
      </c>
      <c r="D1970" s="1" t="s">
        <v>18</v>
      </c>
      <c r="E1970" s="1" t="s">
        <v>34</v>
      </c>
      <c r="F1970" s="1">
        <v>825000</v>
      </c>
      <c r="G1970" s="1">
        <v>92</v>
      </c>
      <c r="H1970" s="1" t="str" cm="1">
        <f t="array" ref="H1970">_xlfn.IFS( OR(G1970=" ",NOT(ISNUMBER(G1970))),"Unknown",G1970&lt;=33,"Low Spender",G1970&lt;=66,"Medium Spender",TRUE, "High Spender")</f>
        <v>High Spender</v>
      </c>
      <c r="I1970" s="1">
        <v>15</v>
      </c>
      <c r="J1970" s="1">
        <v>600</v>
      </c>
      <c r="K1970" s="1">
        <v>105</v>
      </c>
      <c r="N1970" s="1" t="str">
        <f t="shared" si="60"/>
        <v>Higher</v>
      </c>
      <c r="O1970" s="1" t="str">
        <f t="shared" si="61"/>
        <v>Mature | High Spender | Higher</v>
      </c>
    </row>
    <row r="1971" spans="1:15" x14ac:dyDescent="0.25">
      <c r="A1971" s="1" t="s">
        <v>2001</v>
      </c>
      <c r="B1971" s="1">
        <v>40</v>
      </c>
      <c r="C1971" s="1" t="str" cm="1">
        <f t="array" ref="C1971">_xlfn.IFS(OR(B1971=" ", B1971="NA",NOT(ISNUMBER(B1971))), "Unknown",B1971&lt;18,"Underage",B1971&lt;=24,"Young Adult",B1971&lt;=34,"Early Career",B1971&lt;=44,"Mid Career",B1971&lt;=54,"Mature",B1971&lt;=65,"Pre-Senior",B1971&gt;65,"Senior")</f>
        <v>Mid Career</v>
      </c>
      <c r="D1971" s="1" t="s">
        <v>29</v>
      </c>
      <c r="E1971" s="1" t="s">
        <v>58</v>
      </c>
      <c r="F1971" s="1">
        <v>200000</v>
      </c>
      <c r="G1971" s="1">
        <v>25</v>
      </c>
      <c r="H1971" s="1" t="str" cm="1">
        <f t="array" ref="H1971">_xlfn.IFS( OR(G1971=" ",NOT(ISNUMBER(G1971))),"Unknown",G1971&lt;=33,"Low Spender",G1971&lt;=66,"Medium Spender",TRUE, "High Spender")</f>
        <v>Low Spender</v>
      </c>
      <c r="I1971" s="1">
        <v>26</v>
      </c>
      <c r="J1971" s="1">
        <v>9000</v>
      </c>
      <c r="K1971" s="1">
        <v>35</v>
      </c>
      <c r="L1971" s="1" t="s">
        <v>20</v>
      </c>
      <c r="N1971" s="1" t="str">
        <f t="shared" si="60"/>
        <v>Higher</v>
      </c>
      <c r="O1971" s="1" t="str">
        <f t="shared" si="61"/>
        <v>Mid Career | Low Spender | Higher</v>
      </c>
    </row>
    <row r="1972" spans="1:15" x14ac:dyDescent="0.25">
      <c r="A1972" s="1" t="s">
        <v>2002</v>
      </c>
      <c r="B1972" s="1">
        <v>59</v>
      </c>
      <c r="C1972" s="1" t="str" cm="1">
        <f t="array" ref="C1972">_xlfn.IFS(OR(B1972=" ", B1972="NA",NOT(ISNUMBER(B1972))), "Unknown",B1972&lt;18,"Underage",B1972&lt;=24,"Young Adult",B1972&lt;=34,"Early Career",B1972&lt;=44,"Mid Career",B1972&lt;=54,"Mature",B1972&lt;=65,"Pre-Senior",B1972&gt;65,"Senior")</f>
        <v>Pre-Senior</v>
      </c>
      <c r="D1972" s="1" t="s">
        <v>12</v>
      </c>
      <c r="E1972" s="1" t="s">
        <v>58</v>
      </c>
      <c r="F1972" s="1">
        <v>1675000</v>
      </c>
      <c r="G1972" s="1">
        <v>75</v>
      </c>
      <c r="H1972" s="1" t="str" cm="1">
        <f t="array" ref="H1972">_xlfn.IFS( OR(G1972=" ",NOT(ISNUMBER(G1972))),"Unknown",G1972&lt;=33,"Low Spender",G1972&lt;=66,"Medium Spender",TRUE, "High Spender")</f>
        <v>High Spender</v>
      </c>
      <c r="I1972" s="1">
        <v>53</v>
      </c>
      <c r="J1972" s="1">
        <v>1000</v>
      </c>
      <c r="K1972" s="1">
        <v>209</v>
      </c>
      <c r="L1972" s="1" t="s">
        <v>35</v>
      </c>
      <c r="N1972" s="1" t="str">
        <f t="shared" si="60"/>
        <v>Lower</v>
      </c>
      <c r="O1972" s="1" t="str">
        <f t="shared" si="61"/>
        <v>Pre-Senior | High Spender | Lower</v>
      </c>
    </row>
    <row r="1973" spans="1:15" x14ac:dyDescent="0.25">
      <c r="A1973" s="1" t="s">
        <v>2003</v>
      </c>
      <c r="B1973" s="1">
        <v>27</v>
      </c>
      <c r="C1973" s="1" t="str" cm="1">
        <f t="array" ref="C1973">_xlfn.IFS(OR(B1973=" ", B1973="NA",NOT(ISNUMBER(B1973))), "Unknown",B1973&lt;18,"Underage",B1973&lt;=24,"Young Adult",B1973&lt;=34,"Early Career",B1973&lt;=44,"Mid Career",B1973&lt;=54,"Mature",B1973&lt;=65,"Pre-Senior",B1973&gt;65,"Senior")</f>
        <v>Early Career</v>
      </c>
      <c r="D1973" s="1" t="s">
        <v>18</v>
      </c>
      <c r="F1973" s="1">
        <v>800000</v>
      </c>
      <c r="G1973" s="1">
        <v>83</v>
      </c>
      <c r="H1973" s="1" t="str" cm="1">
        <f t="array" ref="H1973">_xlfn.IFS( OR(G1973=" ",NOT(ISNUMBER(G1973))),"Unknown",G1973&lt;=33,"Low Spender",G1973&lt;=66,"Medium Spender",TRUE, "High Spender")</f>
        <v>High Spender</v>
      </c>
      <c r="I1973" s="1">
        <v>44</v>
      </c>
      <c r="J1973" s="1">
        <v>11800</v>
      </c>
      <c r="K1973" s="1">
        <v>281</v>
      </c>
      <c r="N1973" s="1" t="str">
        <f t="shared" si="60"/>
        <v>Higher</v>
      </c>
      <c r="O1973" s="1" t="str">
        <f t="shared" si="61"/>
        <v>Early Career | High Spender | Higher</v>
      </c>
    </row>
    <row r="1974" spans="1:15" x14ac:dyDescent="0.25">
      <c r="A1974" s="1" t="s">
        <v>2004</v>
      </c>
      <c r="B1974" s="1">
        <v>49</v>
      </c>
      <c r="C1974" s="1" t="str" cm="1">
        <f t="array" ref="C1974">_xlfn.IFS(OR(B1974=" ", B1974="NA",NOT(ISNUMBER(B1974))), "Unknown",B1974&lt;18,"Underage",B1974&lt;=24,"Young Adult",B1974&lt;=34,"Early Career",B1974&lt;=44,"Mid Career",B1974&lt;=54,"Mature",B1974&lt;=65,"Pre-Senior",B1974&gt;65,"Senior")</f>
        <v>Mature</v>
      </c>
      <c r="F1974" s="1">
        <v>1250000</v>
      </c>
      <c r="G1974" s="1">
        <v>92</v>
      </c>
      <c r="H1974" s="1" t="str" cm="1">
        <f t="array" ref="H1974">_xlfn.IFS( OR(G1974=" ",NOT(ISNUMBER(G1974))),"Unknown",G1974&lt;=33,"Low Spender",G1974&lt;=66,"Medium Spender",TRUE, "High Spender")</f>
        <v>High Spender</v>
      </c>
      <c r="I1974" s="1">
        <v>32</v>
      </c>
      <c r="J1974" s="1">
        <v>6300</v>
      </c>
      <c r="K1974" s="1">
        <v>355</v>
      </c>
      <c r="M1974" s="1" t="s">
        <v>41</v>
      </c>
      <c r="N1974" s="1" t="str">
        <f t="shared" si="60"/>
        <v>Lower</v>
      </c>
      <c r="O1974" s="1" t="str">
        <f t="shared" si="61"/>
        <v>Mature | High Spender | Lower</v>
      </c>
    </row>
    <row r="1975" spans="1:15" x14ac:dyDescent="0.25">
      <c r="A1975" s="1" t="s">
        <v>2005</v>
      </c>
      <c r="B1975" s="1">
        <v>60</v>
      </c>
      <c r="C1975" s="1" t="str" cm="1">
        <f t="array" ref="C1975">_xlfn.IFS(OR(B1975=" ", B1975="NA",NOT(ISNUMBER(B1975))), "Unknown",B1975&lt;18,"Underage",B1975&lt;=24,"Young Adult",B1975&lt;=34,"Early Career",B1975&lt;=44,"Mid Career",B1975&lt;=54,"Mature",B1975&lt;=65,"Pre-Senior",B1975&gt;65,"Senior")</f>
        <v>Pre-Senior</v>
      </c>
      <c r="E1975" s="1" t="s">
        <v>58</v>
      </c>
      <c r="F1975" s="1">
        <v>750000</v>
      </c>
      <c r="G1975" s="1">
        <v>1</v>
      </c>
      <c r="H1975" s="1" t="str" cm="1">
        <f t="array" ref="H1975">_xlfn.IFS( OR(G1975=" ",NOT(ISNUMBER(G1975))),"Unknown",G1975&lt;=33,"Low Spender",G1975&lt;=66,"Medium Spender",TRUE, "High Spender")</f>
        <v>Low Spender</v>
      </c>
      <c r="I1975" s="1">
        <v>28</v>
      </c>
      <c r="J1975" s="1">
        <v>1900</v>
      </c>
      <c r="K1975" s="1">
        <v>147</v>
      </c>
      <c r="M1975" s="1" t="s">
        <v>41</v>
      </c>
      <c r="N1975" s="1" t="str">
        <f t="shared" si="60"/>
        <v>Lower</v>
      </c>
      <c r="O1975" s="1" t="str">
        <f t="shared" si="61"/>
        <v>Pre-Senior | Low Spender | Lower</v>
      </c>
    </row>
    <row r="1976" spans="1:15" x14ac:dyDescent="0.25">
      <c r="A1976" s="1" t="s">
        <v>2006</v>
      </c>
      <c r="C1976" s="1" t="str" cm="1">
        <f t="array" ref="C1976">_xlfn.IFS(OR(B1976=" ", B1976="NA",NOT(ISNUMBER(B1976))), "Unknown",B1976&lt;18,"Underage",B1976&lt;=24,"Young Adult",B1976&lt;=34,"Early Career",B1976&lt;=44,"Mid Career",B1976&lt;=54,"Mature",B1976&lt;=65,"Pre-Senior",B1976&gt;65,"Senior")</f>
        <v>Unknown</v>
      </c>
      <c r="D1976" s="1" t="s">
        <v>12</v>
      </c>
      <c r="F1976" s="1">
        <v>1650000</v>
      </c>
      <c r="G1976" s="1">
        <v>59</v>
      </c>
      <c r="H1976" s="1" t="str" cm="1">
        <f t="array" ref="H1976">_xlfn.IFS( OR(G1976=" ",NOT(ISNUMBER(G1976))),"Unknown",G1976&lt;=33,"Low Spender",G1976&lt;=66,"Medium Spender",TRUE, "High Spender")</f>
        <v>Medium Spender</v>
      </c>
      <c r="I1976" s="1">
        <v>39</v>
      </c>
      <c r="J1976" s="1">
        <v>3600</v>
      </c>
      <c r="K1976" s="1">
        <v>287</v>
      </c>
      <c r="L1976" s="1" t="s">
        <v>35</v>
      </c>
      <c r="M1976" s="1" t="s">
        <v>30</v>
      </c>
      <c r="N1976" s="1" t="str">
        <f t="shared" si="60"/>
        <v>Lower</v>
      </c>
      <c r="O1976" s="1" t="str">
        <f t="shared" si="61"/>
        <v>Unknown | Medium Spender | Lower</v>
      </c>
    </row>
    <row r="1977" spans="1:15" x14ac:dyDescent="0.25">
      <c r="A1977" s="1" t="s">
        <v>2007</v>
      </c>
      <c r="B1977" s="1">
        <v>47</v>
      </c>
      <c r="C1977" s="1" t="str" cm="1">
        <f t="array" ref="C1977">_xlfn.IFS(OR(B1977=" ", B1977="NA",NOT(ISNUMBER(B1977))), "Unknown",B1977&lt;18,"Underage",B1977&lt;=24,"Young Adult",B1977&lt;=34,"Early Career",B1977&lt;=44,"Mid Career",B1977&lt;=54,"Mature",B1977&lt;=65,"Pre-Senior",B1977&gt;65,"Senior")</f>
        <v>Mature</v>
      </c>
      <c r="D1977" s="1" t="s">
        <v>29</v>
      </c>
      <c r="E1977" s="1" t="s">
        <v>15</v>
      </c>
      <c r="F1977" s="1">
        <v>1225000</v>
      </c>
      <c r="G1977" s="1">
        <v>69</v>
      </c>
      <c r="H1977" s="1" t="str" cm="1">
        <f t="array" ref="H1977">_xlfn.IFS( OR(G1977=" ",NOT(ISNUMBER(G1977))),"Unknown",G1977&lt;=33,"Low Spender",G1977&lt;=66,"Medium Spender",TRUE, "High Spender")</f>
        <v>High Spender</v>
      </c>
      <c r="I1977" s="1">
        <v>32</v>
      </c>
      <c r="J1977" s="1">
        <v>2200</v>
      </c>
      <c r="K1977" s="1">
        <v>81</v>
      </c>
      <c r="N1977" s="1" t="str">
        <f t="shared" si="60"/>
        <v>Higher</v>
      </c>
      <c r="O1977" s="1" t="str">
        <f t="shared" si="61"/>
        <v>Mature | High Spender | Higher</v>
      </c>
    </row>
    <row r="1978" spans="1:15" x14ac:dyDescent="0.25">
      <c r="A1978" s="1" t="s">
        <v>2008</v>
      </c>
      <c r="B1978" s="1">
        <v>56</v>
      </c>
      <c r="C1978" s="1" t="str" cm="1">
        <f t="array" ref="C1978">_xlfn.IFS(OR(B1978=" ", B1978="NA",NOT(ISNUMBER(B1978))), "Unknown",B1978&lt;18,"Underage",B1978&lt;=24,"Young Adult",B1978&lt;=34,"Early Career",B1978&lt;=44,"Mid Career",B1978&lt;=54,"Mature",B1978&lt;=65,"Pre-Senior",B1978&gt;65,"Senior")</f>
        <v>Pre-Senior</v>
      </c>
      <c r="E1978" s="1" t="s">
        <v>15</v>
      </c>
      <c r="F1978" s="1">
        <v>1275000</v>
      </c>
      <c r="G1978" s="1">
        <v>74</v>
      </c>
      <c r="H1978" s="1" t="str" cm="1">
        <f t="array" ref="H1978">_xlfn.IFS( OR(G1978=" ",NOT(ISNUMBER(G1978))),"Unknown",G1978&lt;=33,"Low Spender",G1978&lt;=66,"Medium Spender",TRUE, "High Spender")</f>
        <v>High Spender</v>
      </c>
      <c r="I1978" s="1">
        <v>77</v>
      </c>
      <c r="J1978" s="1">
        <v>8200</v>
      </c>
      <c r="K1978" s="1">
        <v>50</v>
      </c>
      <c r="L1978" s="1" t="s">
        <v>20</v>
      </c>
      <c r="N1978" s="1" t="str">
        <f t="shared" si="60"/>
        <v>Lower</v>
      </c>
      <c r="O1978" s="1" t="str">
        <f t="shared" si="61"/>
        <v>Pre-Senior | High Spender | Lower</v>
      </c>
    </row>
    <row r="1979" spans="1:15" x14ac:dyDescent="0.25">
      <c r="A1979" s="1" t="s">
        <v>2009</v>
      </c>
      <c r="B1979" s="1">
        <v>48</v>
      </c>
      <c r="C1979" s="1" t="str" cm="1">
        <f t="array" ref="C1979">_xlfn.IFS(OR(B1979=" ", B1979="NA",NOT(ISNUMBER(B1979))), "Unknown",B1979&lt;18,"Underage",B1979&lt;=24,"Young Adult",B1979&lt;=34,"Early Career",B1979&lt;=44,"Mid Career",B1979&lt;=54,"Mature",B1979&lt;=65,"Pre-Senior",B1979&gt;65,"Senior")</f>
        <v>Mature</v>
      </c>
      <c r="D1979" s="1" t="s">
        <v>18</v>
      </c>
      <c r="E1979" s="1" t="s">
        <v>19</v>
      </c>
      <c r="F1979" s="1">
        <v>475000</v>
      </c>
      <c r="G1979" s="1">
        <v>42</v>
      </c>
      <c r="H1979" s="1" t="str" cm="1">
        <f t="array" ref="H1979">_xlfn.IFS( OR(G1979=" ",NOT(ISNUMBER(G1979))),"Unknown",G1979&lt;=33,"Low Spender",G1979&lt;=66,"Medium Spender",TRUE, "High Spender")</f>
        <v>Medium Spender</v>
      </c>
      <c r="I1979" s="1">
        <v>79</v>
      </c>
      <c r="J1979" s="1">
        <v>7600</v>
      </c>
      <c r="K1979" s="1">
        <v>87</v>
      </c>
      <c r="N1979" s="1" t="str">
        <f t="shared" si="60"/>
        <v>Higher</v>
      </c>
      <c r="O1979" s="1" t="str">
        <f t="shared" si="61"/>
        <v>Mature | Medium Spender | Higher</v>
      </c>
    </row>
    <row r="1980" spans="1:15" x14ac:dyDescent="0.25">
      <c r="A1980" s="1" t="s">
        <v>2010</v>
      </c>
      <c r="B1980" s="1">
        <v>35</v>
      </c>
      <c r="C1980" s="1" t="str" cm="1">
        <f t="array" ref="C1980">_xlfn.IFS(OR(B1980=" ", B1980="NA",NOT(ISNUMBER(B1980))), "Unknown",B1980&lt;18,"Underage",B1980&lt;=24,"Young Adult",B1980&lt;=34,"Early Career",B1980&lt;=44,"Mid Career",B1980&lt;=54,"Mature",B1980&lt;=65,"Pre-Senior",B1980&gt;65,"Senior")</f>
        <v>Mid Career</v>
      </c>
      <c r="D1980" s="1" t="s">
        <v>18</v>
      </c>
      <c r="E1980" s="1" t="s">
        <v>13</v>
      </c>
      <c r="F1980" s="1">
        <v>325000</v>
      </c>
      <c r="G1980" s="1">
        <v>34</v>
      </c>
      <c r="H1980" s="1" t="str" cm="1">
        <f t="array" ref="H1980">_xlfn.IFS( OR(G1980=" ",NOT(ISNUMBER(G1980))),"Unknown",G1980&lt;=33,"Low Spender",G1980&lt;=66,"Medium Spender",TRUE, "High Spender")</f>
        <v>Medium Spender</v>
      </c>
      <c r="I1980" s="1">
        <v>18</v>
      </c>
      <c r="J1980" s="1">
        <v>3600</v>
      </c>
      <c r="K1980" s="1">
        <v>191</v>
      </c>
      <c r="L1980" s="1" t="s">
        <v>16</v>
      </c>
      <c r="M1980" s="1" t="s">
        <v>41</v>
      </c>
      <c r="N1980" s="1" t="str">
        <f t="shared" si="60"/>
        <v>Higher</v>
      </c>
      <c r="O1980" s="1" t="str">
        <f t="shared" si="61"/>
        <v>Mid Career | Medium Spender | Higher</v>
      </c>
    </row>
    <row r="1981" spans="1:15" x14ac:dyDescent="0.25">
      <c r="A1981" s="1" t="s">
        <v>2011</v>
      </c>
      <c r="B1981" s="1">
        <v>53</v>
      </c>
      <c r="C1981" s="1" t="str" cm="1">
        <f t="array" ref="C1981">_xlfn.IFS(OR(B1981=" ", B1981="NA",NOT(ISNUMBER(B1981))), "Unknown",B1981&lt;18,"Underage",B1981&lt;=24,"Young Adult",B1981&lt;=34,"Early Career",B1981&lt;=44,"Mid Career",B1981&lt;=54,"Mature",B1981&lt;=65,"Pre-Senior",B1981&gt;65,"Senior")</f>
        <v>Mature</v>
      </c>
      <c r="E1981" s="1" t="s">
        <v>23</v>
      </c>
      <c r="F1981" s="1">
        <v>1325000</v>
      </c>
      <c r="G1981" s="1">
        <v>100</v>
      </c>
      <c r="H1981" s="1" t="str" cm="1">
        <f t="array" ref="H1981">_xlfn.IFS( OR(G1981=" ",NOT(ISNUMBER(G1981))),"Unknown",G1981&lt;=33,"Low Spender",G1981&lt;=66,"Medium Spender",TRUE, "High Spender")</f>
        <v>High Spender</v>
      </c>
      <c r="I1981" s="1">
        <v>70</v>
      </c>
      <c r="J1981" s="1">
        <v>4500</v>
      </c>
      <c r="K1981" s="1">
        <v>303</v>
      </c>
      <c r="L1981" s="1" t="s">
        <v>37</v>
      </c>
      <c r="M1981" s="1" t="s">
        <v>21</v>
      </c>
      <c r="N1981" s="1" t="str">
        <f t="shared" si="60"/>
        <v>Lower</v>
      </c>
      <c r="O1981" s="1" t="str">
        <f t="shared" si="61"/>
        <v>Mature | High Spender | Lower</v>
      </c>
    </row>
    <row r="1982" spans="1:15" x14ac:dyDescent="0.25">
      <c r="A1982" s="1" t="s">
        <v>2012</v>
      </c>
      <c r="B1982" s="1">
        <v>19</v>
      </c>
      <c r="C1982" s="1" t="str" cm="1">
        <f t="array" ref="C1982">_xlfn.IFS(OR(B1982=" ", B1982="NA",NOT(ISNUMBER(B1982))), "Unknown",B1982&lt;18,"Underage",B1982&lt;=24,"Young Adult",B1982&lt;=34,"Early Career",B1982&lt;=44,"Mid Career",B1982&lt;=54,"Mature",B1982&lt;=65,"Pre-Senior",B1982&gt;65,"Senior")</f>
        <v>Young Adult</v>
      </c>
      <c r="D1982" s="1" t="s">
        <v>29</v>
      </c>
      <c r="E1982" s="1" t="s">
        <v>58</v>
      </c>
      <c r="F1982" s="1">
        <v>475000</v>
      </c>
      <c r="G1982" s="1">
        <v>66</v>
      </c>
      <c r="H1982" s="1" t="str" cm="1">
        <f t="array" ref="H1982">_xlfn.IFS( OR(G1982=" ",NOT(ISNUMBER(G1982))),"Unknown",G1982&lt;=33,"Low Spender",G1982&lt;=66,"Medium Spender",TRUE, "High Spender")</f>
        <v>Medium Spender</v>
      </c>
      <c r="I1982" s="1">
        <v>11</v>
      </c>
      <c r="J1982" s="1">
        <v>1200</v>
      </c>
      <c r="K1982" s="1">
        <v>1</v>
      </c>
      <c r="L1982" s="1" t="s">
        <v>20</v>
      </c>
      <c r="M1982" s="1" t="s">
        <v>30</v>
      </c>
      <c r="N1982" s="1" t="str">
        <f t="shared" si="60"/>
        <v>Higher</v>
      </c>
      <c r="O1982" s="1" t="str">
        <f t="shared" si="61"/>
        <v>Young Adult | Medium Spender | Higher</v>
      </c>
    </row>
    <row r="1983" spans="1:15" x14ac:dyDescent="0.25">
      <c r="A1983" s="1" t="s">
        <v>2013</v>
      </c>
      <c r="B1983" s="1">
        <v>31</v>
      </c>
      <c r="C1983" s="1" t="str" cm="1">
        <f t="array" ref="C1983">_xlfn.IFS(OR(B1983=" ", B1983="NA",NOT(ISNUMBER(B1983))), "Unknown",B1983&lt;18,"Underage",B1983&lt;=24,"Young Adult",B1983&lt;=34,"Early Career",B1983&lt;=44,"Mid Career",B1983&lt;=54,"Mature",B1983&lt;=65,"Pre-Senior",B1983&gt;65,"Senior")</f>
        <v>Early Career</v>
      </c>
      <c r="E1983" s="1" t="s">
        <v>13</v>
      </c>
      <c r="F1983" s="1">
        <v>1750000</v>
      </c>
      <c r="G1983" s="1">
        <v>18</v>
      </c>
      <c r="H1983" s="1" t="str" cm="1">
        <f t="array" ref="H1983">_xlfn.IFS( OR(G1983=" ",NOT(ISNUMBER(G1983))),"Unknown",G1983&lt;=33,"Low Spender",G1983&lt;=66,"Medium Spender",TRUE, "High Spender")</f>
        <v>Low Spender</v>
      </c>
      <c r="I1983" s="1">
        <v>32</v>
      </c>
      <c r="J1983" s="1">
        <v>9600</v>
      </c>
      <c r="K1983" s="1">
        <v>138</v>
      </c>
      <c r="L1983" s="1" t="s">
        <v>35</v>
      </c>
      <c r="M1983" s="1" t="s">
        <v>21</v>
      </c>
      <c r="N1983" s="1" t="str">
        <f t="shared" si="60"/>
        <v>Lower</v>
      </c>
      <c r="O1983" s="1" t="str">
        <f t="shared" si="61"/>
        <v>Early Career | Low Spender | Lower</v>
      </c>
    </row>
    <row r="1984" spans="1:15" x14ac:dyDescent="0.25">
      <c r="A1984" s="1" t="s">
        <v>2014</v>
      </c>
      <c r="B1984" s="1">
        <v>30</v>
      </c>
      <c r="C1984" s="1" t="str" cm="1">
        <f t="array" ref="C1984">_xlfn.IFS(OR(B1984=" ", B1984="NA",NOT(ISNUMBER(B1984))), "Unknown",B1984&lt;18,"Underage",B1984&lt;=24,"Young Adult",B1984&lt;=34,"Early Career",B1984&lt;=44,"Mid Career",B1984&lt;=54,"Mature",B1984&lt;=65,"Pre-Senior",B1984&gt;65,"Senior")</f>
        <v>Early Career</v>
      </c>
      <c r="D1984" s="1" t="s">
        <v>29</v>
      </c>
      <c r="E1984" s="1" t="s">
        <v>15</v>
      </c>
      <c r="F1984" s="1">
        <v>300000</v>
      </c>
      <c r="G1984" s="1">
        <v>77</v>
      </c>
      <c r="H1984" s="1" t="str" cm="1">
        <f t="array" ref="H1984">_xlfn.IFS( OR(G1984=" ",NOT(ISNUMBER(G1984))),"Unknown",G1984&lt;=33,"Low Spender",G1984&lt;=66,"Medium Spender",TRUE, "High Spender")</f>
        <v>High Spender</v>
      </c>
      <c r="I1984" s="1">
        <v>20</v>
      </c>
      <c r="J1984" s="1">
        <v>3200</v>
      </c>
      <c r="K1984" s="1">
        <v>136</v>
      </c>
      <c r="L1984" s="1" t="s">
        <v>35</v>
      </c>
      <c r="M1984" s="1" t="s">
        <v>41</v>
      </c>
      <c r="N1984" s="1" t="str">
        <f t="shared" si="60"/>
        <v>Higher</v>
      </c>
      <c r="O1984" s="1" t="str">
        <f t="shared" si="61"/>
        <v>Early Career | High Spender | Higher</v>
      </c>
    </row>
    <row r="1985" spans="1:15" x14ac:dyDescent="0.25">
      <c r="A1985" s="1" t="s">
        <v>2015</v>
      </c>
      <c r="B1985" s="1">
        <v>46</v>
      </c>
      <c r="C1985" s="1" t="str" cm="1">
        <f t="array" ref="C1985">_xlfn.IFS(OR(B1985=" ", B1985="NA",NOT(ISNUMBER(B1985))), "Unknown",B1985&lt;18,"Underage",B1985&lt;=24,"Young Adult",B1985&lt;=34,"Early Career",B1985&lt;=44,"Mid Career",B1985&lt;=54,"Mature",B1985&lt;=65,"Pre-Senior",B1985&gt;65,"Senior")</f>
        <v>Mature</v>
      </c>
      <c r="E1985" s="1" t="s">
        <v>49</v>
      </c>
      <c r="F1985" s="1">
        <v>1350000</v>
      </c>
      <c r="G1985" s="1">
        <v>5</v>
      </c>
      <c r="H1985" s="1" t="str" cm="1">
        <f t="array" ref="H1985">_xlfn.IFS( OR(G1985=" ",NOT(ISNUMBER(G1985))),"Unknown",G1985&lt;=33,"Low Spender",G1985&lt;=66,"Medium Spender",TRUE, "High Spender")</f>
        <v>Low Spender</v>
      </c>
      <c r="I1985" s="1">
        <v>40</v>
      </c>
      <c r="J1985" s="1">
        <v>11700</v>
      </c>
      <c r="K1985" s="1">
        <v>362</v>
      </c>
      <c r="L1985" s="1" t="s">
        <v>20</v>
      </c>
      <c r="N1985" s="1" t="str">
        <f t="shared" si="60"/>
        <v>Lower</v>
      </c>
      <c r="O1985" s="1" t="str">
        <f t="shared" si="61"/>
        <v>Mature | Low Spender | Lower</v>
      </c>
    </row>
    <row r="1986" spans="1:15" x14ac:dyDescent="0.25">
      <c r="A1986" s="1" t="s">
        <v>2016</v>
      </c>
      <c r="B1986" s="1">
        <v>29</v>
      </c>
      <c r="C1986" s="1" t="str" cm="1">
        <f t="array" ref="C1986">_xlfn.IFS(OR(B1986=" ", B1986="NA",NOT(ISNUMBER(B1986))), "Unknown",B1986&lt;18,"Underage",B1986&lt;=24,"Young Adult",B1986&lt;=34,"Early Career",B1986&lt;=44,"Mid Career",B1986&lt;=54,"Mature",B1986&lt;=65,"Pre-Senior",B1986&gt;65,"Senior")</f>
        <v>Early Career</v>
      </c>
      <c r="E1986" s="1" t="s">
        <v>58</v>
      </c>
      <c r="F1986" s="1">
        <v>1500000</v>
      </c>
      <c r="G1986" s="1">
        <v>20</v>
      </c>
      <c r="H1986" s="1" t="str" cm="1">
        <f t="array" ref="H1986">_xlfn.IFS( OR(G1986=" ",NOT(ISNUMBER(G1986))),"Unknown",G1986&lt;=33,"Low Spender",G1986&lt;=66,"Medium Spender",TRUE, "High Spender")</f>
        <v>Low Spender</v>
      </c>
      <c r="I1986" s="1">
        <v>8</v>
      </c>
      <c r="J1986" s="1">
        <v>2700</v>
      </c>
      <c r="K1986" s="1">
        <v>154</v>
      </c>
      <c r="L1986" s="1" t="s">
        <v>16</v>
      </c>
      <c r="N1986" s="1" t="str">
        <f t="shared" ref="N1986:N2049" si="62">IF(OR(UPPER(TRIM(D1986))="Male",UPPER(TRIM(D1986))="Female"),"Higher","Lower")</f>
        <v>Lower</v>
      </c>
      <c r="O1986" s="1" t="str">
        <f t="shared" ref="O1986:O2049" si="63">_xlfn.TEXTJOIN(" | ", TRUE, C1986, H1986, N1986)</f>
        <v>Early Career | Low Spender | Lower</v>
      </c>
    </row>
    <row r="1987" spans="1:15" x14ac:dyDescent="0.25">
      <c r="A1987" s="1" t="s">
        <v>2017</v>
      </c>
      <c r="B1987" s="1">
        <v>56</v>
      </c>
      <c r="C1987" s="1" t="str" cm="1">
        <f t="array" ref="C1987">_xlfn.IFS(OR(B1987=" ", B1987="NA",NOT(ISNUMBER(B1987))), "Unknown",B1987&lt;18,"Underage",B1987&lt;=24,"Young Adult",B1987&lt;=34,"Early Career",B1987&lt;=44,"Mid Career",B1987&lt;=54,"Mature",B1987&lt;=65,"Pre-Senior",B1987&gt;65,"Senior")</f>
        <v>Pre-Senior</v>
      </c>
      <c r="D1987" s="1" t="s">
        <v>18</v>
      </c>
      <c r="E1987" s="1" t="s">
        <v>13</v>
      </c>
      <c r="F1987" s="1">
        <v>450000</v>
      </c>
      <c r="G1987" s="1">
        <v>66</v>
      </c>
      <c r="H1987" s="1" t="str" cm="1">
        <f t="array" ref="H1987">_xlfn.IFS( OR(G1987=" ",NOT(ISNUMBER(G1987))),"Unknown",G1987&lt;=33,"Low Spender",G1987&lt;=66,"Medium Spender",TRUE, "High Spender")</f>
        <v>Medium Spender</v>
      </c>
      <c r="I1987" s="1">
        <v>35</v>
      </c>
      <c r="J1987" s="1">
        <v>5900</v>
      </c>
      <c r="K1987" s="1">
        <v>162</v>
      </c>
      <c r="M1987" s="1" t="s">
        <v>21</v>
      </c>
      <c r="N1987" s="1" t="str">
        <f t="shared" si="62"/>
        <v>Higher</v>
      </c>
      <c r="O1987" s="1" t="str">
        <f t="shared" si="63"/>
        <v>Pre-Senior | Medium Spender | Higher</v>
      </c>
    </row>
    <row r="1988" spans="1:15" x14ac:dyDescent="0.25">
      <c r="A1988" s="1" t="s">
        <v>2018</v>
      </c>
      <c r="B1988" s="1">
        <v>19</v>
      </c>
      <c r="C1988" s="1" t="str" cm="1">
        <f t="array" ref="C1988">_xlfn.IFS(OR(B1988=" ", B1988="NA",NOT(ISNUMBER(B1988))), "Unknown",B1988&lt;18,"Underage",B1988&lt;=24,"Young Adult",B1988&lt;=34,"Early Career",B1988&lt;=44,"Mid Career",B1988&lt;=54,"Mature",B1988&lt;=65,"Pre-Senior",B1988&gt;65,"Senior")</f>
        <v>Young Adult</v>
      </c>
      <c r="D1988" s="1" t="s">
        <v>29</v>
      </c>
      <c r="E1988" s="1" t="s">
        <v>15</v>
      </c>
      <c r="F1988" s="1">
        <v>1950000</v>
      </c>
      <c r="G1988" s="1">
        <v>75</v>
      </c>
      <c r="H1988" s="1" t="str" cm="1">
        <f t="array" ref="H1988">_xlfn.IFS( OR(G1988=" ",NOT(ISNUMBER(G1988))),"Unknown",G1988&lt;=33,"Low Spender",G1988&lt;=66,"Medium Spender",TRUE, "High Spender")</f>
        <v>High Spender</v>
      </c>
      <c r="I1988" s="1">
        <v>69</v>
      </c>
      <c r="J1988" s="1">
        <v>11200</v>
      </c>
      <c r="K1988" s="1">
        <v>19</v>
      </c>
      <c r="L1988" s="1" t="s">
        <v>16</v>
      </c>
      <c r="M1988" s="1" t="s">
        <v>32</v>
      </c>
      <c r="N1988" s="1" t="str">
        <f t="shared" si="62"/>
        <v>Higher</v>
      </c>
      <c r="O1988" s="1" t="str">
        <f t="shared" si="63"/>
        <v>Young Adult | High Spender | Higher</v>
      </c>
    </row>
    <row r="1989" spans="1:15" x14ac:dyDescent="0.25">
      <c r="A1989" s="1" t="s">
        <v>2019</v>
      </c>
      <c r="B1989" s="1">
        <v>49</v>
      </c>
      <c r="C1989" s="1" t="str" cm="1">
        <f t="array" ref="C1989">_xlfn.IFS(OR(B1989=" ", B1989="NA",NOT(ISNUMBER(B1989))), "Unknown",B1989&lt;18,"Underage",B1989&lt;=24,"Young Adult",B1989&lt;=34,"Early Career",B1989&lt;=44,"Mid Career",B1989&lt;=54,"Mature",B1989&lt;=65,"Pre-Senior",B1989&gt;65,"Senior")</f>
        <v>Mature</v>
      </c>
      <c r="D1989" s="1" t="s">
        <v>29</v>
      </c>
      <c r="E1989" s="1" t="s">
        <v>27</v>
      </c>
      <c r="F1989" s="1">
        <v>1525000</v>
      </c>
      <c r="G1989" s="1">
        <v>62</v>
      </c>
      <c r="H1989" s="1" t="str" cm="1">
        <f t="array" ref="H1989">_xlfn.IFS( OR(G1989=" ",NOT(ISNUMBER(G1989))),"Unknown",G1989&lt;=33,"Low Spender",G1989&lt;=66,"Medium Spender",TRUE, "High Spender")</f>
        <v>Medium Spender</v>
      </c>
      <c r="I1989" s="1">
        <v>78</v>
      </c>
      <c r="J1989" s="1">
        <v>6500</v>
      </c>
      <c r="K1989" s="1">
        <v>328</v>
      </c>
      <c r="M1989" s="1" t="s">
        <v>41</v>
      </c>
      <c r="N1989" s="1" t="str">
        <f t="shared" si="62"/>
        <v>Higher</v>
      </c>
      <c r="O1989" s="1" t="str">
        <f t="shared" si="63"/>
        <v>Mature | Medium Spender | Higher</v>
      </c>
    </row>
    <row r="1990" spans="1:15" x14ac:dyDescent="0.25">
      <c r="A1990" s="1" t="s">
        <v>2020</v>
      </c>
      <c r="B1990" s="1">
        <v>30</v>
      </c>
      <c r="C1990" s="1" t="str" cm="1">
        <f t="array" ref="C1990">_xlfn.IFS(OR(B1990=" ", B1990="NA",NOT(ISNUMBER(B1990))), "Unknown",B1990&lt;18,"Underage",B1990&lt;=24,"Young Adult",B1990&lt;=34,"Early Career",B1990&lt;=44,"Mid Career",B1990&lt;=54,"Mature",B1990&lt;=65,"Pre-Senior",B1990&gt;65,"Senior")</f>
        <v>Early Career</v>
      </c>
      <c r="E1990" s="1" t="s">
        <v>15</v>
      </c>
      <c r="F1990" s="1">
        <v>1525000</v>
      </c>
      <c r="G1990" s="1">
        <v>94</v>
      </c>
      <c r="H1990" s="1" t="str" cm="1">
        <f t="array" ref="H1990">_xlfn.IFS( OR(G1990=" ",NOT(ISNUMBER(G1990))),"Unknown",G1990&lt;=33,"Low Spender",G1990&lt;=66,"Medium Spender",TRUE, "High Spender")</f>
        <v>High Spender</v>
      </c>
      <c r="I1990" s="1">
        <v>21</v>
      </c>
      <c r="J1990" s="1">
        <v>10900</v>
      </c>
      <c r="K1990" s="1">
        <v>243</v>
      </c>
      <c r="N1990" s="1" t="str">
        <f t="shared" si="62"/>
        <v>Lower</v>
      </c>
      <c r="O1990" s="1" t="str">
        <f t="shared" si="63"/>
        <v>Early Career | High Spender | Lower</v>
      </c>
    </row>
    <row r="1991" spans="1:15" x14ac:dyDescent="0.25">
      <c r="A1991" s="1" t="s">
        <v>2021</v>
      </c>
      <c r="B1991" s="1">
        <v>63</v>
      </c>
      <c r="C1991" s="1" t="str" cm="1">
        <f t="array" ref="C1991">_xlfn.IFS(OR(B1991=" ", B1991="NA",NOT(ISNUMBER(B1991))), "Unknown",B1991&lt;18,"Underage",B1991&lt;=24,"Young Adult",B1991&lt;=34,"Early Career",B1991&lt;=44,"Mid Career",B1991&lt;=54,"Mature",B1991&lt;=65,"Pre-Senior",B1991&gt;65,"Senior")</f>
        <v>Pre-Senior</v>
      </c>
      <c r="F1991" s="1">
        <v>500000</v>
      </c>
      <c r="G1991" s="1">
        <v>96</v>
      </c>
      <c r="H1991" s="1" t="str" cm="1">
        <f t="array" ref="H1991">_xlfn.IFS( OR(G1991=" ",NOT(ISNUMBER(G1991))),"Unknown",G1991&lt;=33,"Low Spender",G1991&lt;=66,"Medium Spender",TRUE, "High Spender")</f>
        <v>High Spender</v>
      </c>
      <c r="I1991" s="1">
        <v>24</v>
      </c>
      <c r="J1991" s="1">
        <v>10700</v>
      </c>
      <c r="K1991" s="1">
        <v>129</v>
      </c>
      <c r="L1991" s="1" t="s">
        <v>35</v>
      </c>
      <c r="N1991" s="1" t="str">
        <f t="shared" si="62"/>
        <v>Lower</v>
      </c>
      <c r="O1991" s="1" t="str">
        <f t="shared" si="63"/>
        <v>Pre-Senior | High Spender | Lower</v>
      </c>
    </row>
    <row r="1992" spans="1:15" x14ac:dyDescent="0.25">
      <c r="A1992" s="1" t="s">
        <v>2022</v>
      </c>
      <c r="B1992" s="1">
        <v>44</v>
      </c>
      <c r="C1992" s="1" t="str" cm="1">
        <f t="array" ref="C1992">_xlfn.IFS(OR(B1992=" ", B1992="NA",NOT(ISNUMBER(B1992))), "Unknown",B1992&lt;18,"Underage",B1992&lt;=24,"Young Adult",B1992&lt;=34,"Early Career",B1992&lt;=44,"Mid Career",B1992&lt;=54,"Mature",B1992&lt;=65,"Pre-Senior",B1992&gt;65,"Senior")</f>
        <v>Mid Career</v>
      </c>
      <c r="D1992" s="1" t="s">
        <v>12</v>
      </c>
      <c r="E1992" s="1" t="s">
        <v>34</v>
      </c>
      <c r="F1992" s="1">
        <v>1550000</v>
      </c>
      <c r="G1992" s="1">
        <v>32</v>
      </c>
      <c r="H1992" s="1" t="str" cm="1">
        <f t="array" ref="H1992">_xlfn.IFS( OR(G1992=" ",NOT(ISNUMBER(G1992))),"Unknown",G1992&lt;=33,"Low Spender",G1992&lt;=66,"Medium Spender",TRUE, "High Spender")</f>
        <v>Low Spender</v>
      </c>
      <c r="I1992" s="1">
        <v>17</v>
      </c>
      <c r="J1992" s="1">
        <v>7300</v>
      </c>
      <c r="K1992" s="1">
        <v>176</v>
      </c>
      <c r="M1992" s="1" t="s">
        <v>32</v>
      </c>
      <c r="N1992" s="1" t="str">
        <f t="shared" si="62"/>
        <v>Lower</v>
      </c>
      <c r="O1992" s="1" t="str">
        <f t="shared" si="63"/>
        <v>Mid Career | Low Spender | Lower</v>
      </c>
    </row>
    <row r="1993" spans="1:15" x14ac:dyDescent="0.25">
      <c r="A1993" s="1" t="s">
        <v>2023</v>
      </c>
      <c r="B1993" s="1">
        <v>66</v>
      </c>
      <c r="C1993" s="1" t="str" cm="1">
        <f t="array" ref="C1993">_xlfn.IFS(OR(B1993=" ", B1993="NA",NOT(ISNUMBER(B1993))), "Unknown",B1993&lt;18,"Underage",B1993&lt;=24,"Young Adult",B1993&lt;=34,"Early Career",B1993&lt;=44,"Mid Career",B1993&lt;=54,"Mature",B1993&lt;=65,"Pre-Senior",B1993&gt;65,"Senior")</f>
        <v>Senior</v>
      </c>
      <c r="D1993" s="1" t="s">
        <v>12</v>
      </c>
      <c r="F1993" s="1">
        <v>1575000</v>
      </c>
      <c r="G1993" s="1">
        <v>58</v>
      </c>
      <c r="H1993" s="1" t="str" cm="1">
        <f t="array" ref="H1993">_xlfn.IFS( OR(G1993=" ",NOT(ISNUMBER(G1993))),"Unknown",G1993&lt;=33,"Low Spender",G1993&lt;=66,"Medium Spender",TRUE, "High Spender")</f>
        <v>Medium Spender</v>
      </c>
      <c r="I1993" s="1">
        <v>18</v>
      </c>
      <c r="J1993" s="1">
        <v>4900</v>
      </c>
      <c r="K1993" s="1">
        <v>280</v>
      </c>
      <c r="L1993" s="1" t="s">
        <v>20</v>
      </c>
      <c r="N1993" s="1" t="str">
        <f t="shared" si="62"/>
        <v>Lower</v>
      </c>
      <c r="O1993" s="1" t="str">
        <f t="shared" si="63"/>
        <v>Senior | Medium Spender | Lower</v>
      </c>
    </row>
    <row r="1994" spans="1:15" x14ac:dyDescent="0.25">
      <c r="A1994" s="1" t="s">
        <v>2024</v>
      </c>
      <c r="B1994" s="1">
        <v>58</v>
      </c>
      <c r="C1994" s="1" t="str" cm="1">
        <f t="array" ref="C1994">_xlfn.IFS(OR(B1994=" ", B1994="NA",NOT(ISNUMBER(B1994))), "Unknown",B1994&lt;18,"Underage",B1994&lt;=24,"Young Adult",B1994&lt;=34,"Early Career",B1994&lt;=44,"Mid Career",B1994&lt;=54,"Mature",B1994&lt;=65,"Pre-Senior",B1994&gt;65,"Senior")</f>
        <v>Pre-Senior</v>
      </c>
      <c r="D1994" s="1" t="s">
        <v>12</v>
      </c>
      <c r="F1994" s="1">
        <v>1000000</v>
      </c>
      <c r="G1994" s="1">
        <v>50</v>
      </c>
      <c r="H1994" s="1" t="str" cm="1">
        <f t="array" ref="H1994">_xlfn.IFS( OR(G1994=" ",NOT(ISNUMBER(G1994))),"Unknown",G1994&lt;=33,"Low Spender",G1994&lt;=66,"Medium Spender",TRUE, "High Spender")</f>
        <v>Medium Spender</v>
      </c>
      <c r="I1994" s="1">
        <v>12</v>
      </c>
      <c r="J1994" s="1">
        <v>8600</v>
      </c>
      <c r="K1994" s="1">
        <v>84</v>
      </c>
      <c r="N1994" s="1" t="str">
        <f t="shared" si="62"/>
        <v>Lower</v>
      </c>
      <c r="O1994" s="1" t="str">
        <f t="shared" si="63"/>
        <v>Pre-Senior | Medium Spender | Lower</v>
      </c>
    </row>
    <row r="1995" spans="1:15" x14ac:dyDescent="0.25">
      <c r="A1995" s="1" t="s">
        <v>2025</v>
      </c>
      <c r="B1995" s="1">
        <v>34</v>
      </c>
      <c r="C1995" s="1" t="str" cm="1">
        <f t="array" ref="C1995">_xlfn.IFS(OR(B1995=" ", B1995="NA",NOT(ISNUMBER(B1995))), "Unknown",B1995&lt;18,"Underage",B1995&lt;=24,"Young Adult",B1995&lt;=34,"Early Career",B1995&lt;=44,"Mid Career",B1995&lt;=54,"Mature",B1995&lt;=65,"Pre-Senior",B1995&gt;65,"Senior")</f>
        <v>Early Career</v>
      </c>
      <c r="D1995" s="1" t="s">
        <v>29</v>
      </c>
      <c r="F1995" s="1">
        <v>525000</v>
      </c>
      <c r="G1995" s="1">
        <v>38</v>
      </c>
      <c r="H1995" s="1" t="str" cm="1">
        <f t="array" ref="H1995">_xlfn.IFS( OR(G1995=" ",NOT(ISNUMBER(G1995))),"Unknown",G1995&lt;=33,"Low Spender",G1995&lt;=66,"Medium Spender",TRUE, "High Spender")</f>
        <v>Medium Spender</v>
      </c>
      <c r="I1995" s="1">
        <v>16</v>
      </c>
      <c r="J1995" s="1">
        <v>8300</v>
      </c>
      <c r="K1995" s="1">
        <v>222</v>
      </c>
      <c r="L1995" s="1" t="s">
        <v>20</v>
      </c>
      <c r="N1995" s="1" t="str">
        <f t="shared" si="62"/>
        <v>Higher</v>
      </c>
      <c r="O1995" s="1" t="str">
        <f t="shared" si="63"/>
        <v>Early Career | Medium Spender | Higher</v>
      </c>
    </row>
    <row r="1996" spans="1:15" x14ac:dyDescent="0.25">
      <c r="A1996" s="1" t="s">
        <v>2026</v>
      </c>
      <c r="B1996" s="1">
        <v>57</v>
      </c>
      <c r="C1996" s="1" t="str" cm="1">
        <f t="array" ref="C1996">_xlfn.IFS(OR(B1996=" ", B1996="NA",NOT(ISNUMBER(B1996))), "Unknown",B1996&lt;18,"Underage",B1996&lt;=24,"Young Adult",B1996&lt;=34,"Early Career",B1996&lt;=44,"Mid Career",B1996&lt;=54,"Mature",B1996&lt;=65,"Pre-Senior",B1996&gt;65,"Senior")</f>
        <v>Pre-Senior</v>
      </c>
      <c r="D1996" s="1" t="s">
        <v>18</v>
      </c>
      <c r="F1996" s="1">
        <v>325000</v>
      </c>
      <c r="G1996" s="1">
        <v>55</v>
      </c>
      <c r="H1996" s="1" t="str" cm="1">
        <f t="array" ref="H1996">_xlfn.IFS( OR(G1996=" ",NOT(ISNUMBER(G1996))),"Unknown",G1996&lt;=33,"Low Spender",G1996&lt;=66,"Medium Spender",TRUE, "High Spender")</f>
        <v>Medium Spender</v>
      </c>
      <c r="I1996" s="1">
        <v>4</v>
      </c>
      <c r="J1996" s="1">
        <v>500</v>
      </c>
      <c r="K1996" s="1">
        <v>325</v>
      </c>
      <c r="L1996" s="1" t="s">
        <v>37</v>
      </c>
      <c r="M1996" s="1" t="s">
        <v>32</v>
      </c>
      <c r="N1996" s="1" t="str">
        <f t="shared" si="62"/>
        <v>Higher</v>
      </c>
      <c r="O1996" s="1" t="str">
        <f t="shared" si="63"/>
        <v>Pre-Senior | Medium Spender | Higher</v>
      </c>
    </row>
    <row r="1997" spans="1:15" x14ac:dyDescent="0.25">
      <c r="A1997" s="1" t="s">
        <v>2027</v>
      </c>
      <c r="B1997" s="1">
        <v>48</v>
      </c>
      <c r="C1997" s="1" t="str" cm="1">
        <f t="array" ref="C1997">_xlfn.IFS(OR(B1997=" ", B1997="NA",NOT(ISNUMBER(B1997))), "Unknown",B1997&lt;18,"Underage",B1997&lt;=24,"Young Adult",B1997&lt;=34,"Early Career",B1997&lt;=44,"Mid Career",B1997&lt;=54,"Mature",B1997&lt;=65,"Pre-Senior",B1997&gt;65,"Senior")</f>
        <v>Mature</v>
      </c>
      <c r="D1997" s="1" t="s">
        <v>18</v>
      </c>
      <c r="E1997" s="1" t="s">
        <v>58</v>
      </c>
      <c r="F1997" s="1">
        <v>1250000</v>
      </c>
      <c r="G1997" s="1">
        <v>28</v>
      </c>
      <c r="H1997" s="1" t="str" cm="1">
        <f t="array" ref="H1997">_xlfn.IFS( OR(G1997=" ",NOT(ISNUMBER(G1997))),"Unknown",G1997&lt;=33,"Low Spender",G1997&lt;=66,"Medium Spender",TRUE, "High Spender")</f>
        <v>Low Spender</v>
      </c>
      <c r="I1997" s="1">
        <v>34</v>
      </c>
      <c r="J1997" s="1">
        <v>11300</v>
      </c>
      <c r="K1997" s="1">
        <v>145</v>
      </c>
      <c r="L1997" s="1" t="s">
        <v>35</v>
      </c>
      <c r="M1997" s="1" t="s">
        <v>21</v>
      </c>
      <c r="N1997" s="1" t="str">
        <f t="shared" si="62"/>
        <v>Higher</v>
      </c>
      <c r="O1997" s="1" t="str">
        <f t="shared" si="63"/>
        <v>Mature | Low Spender | Higher</v>
      </c>
    </row>
    <row r="1998" spans="1:15" x14ac:dyDescent="0.25">
      <c r="A1998" s="1" t="s">
        <v>2028</v>
      </c>
      <c r="B1998" s="1">
        <v>51</v>
      </c>
      <c r="C1998" s="1" t="str" cm="1">
        <f t="array" ref="C1998">_xlfn.IFS(OR(B1998=" ", B1998="NA",NOT(ISNUMBER(B1998))), "Unknown",B1998&lt;18,"Underage",B1998&lt;=24,"Young Adult",B1998&lt;=34,"Early Career",B1998&lt;=44,"Mid Career",B1998&lt;=54,"Mature",B1998&lt;=65,"Pre-Senior",B1998&gt;65,"Senior")</f>
        <v>Mature</v>
      </c>
      <c r="D1998" s="1" t="s">
        <v>12</v>
      </c>
      <c r="E1998" s="1" t="s">
        <v>27</v>
      </c>
      <c r="F1998" s="1">
        <v>1125000</v>
      </c>
      <c r="G1998" s="1">
        <v>74</v>
      </c>
      <c r="H1998" s="1" t="str" cm="1">
        <f t="array" ref="H1998">_xlfn.IFS( OR(G1998=" ",NOT(ISNUMBER(G1998))),"Unknown",G1998&lt;=33,"Low Spender",G1998&lt;=66,"Medium Spender",TRUE, "High Spender")</f>
        <v>High Spender</v>
      </c>
      <c r="I1998" s="1">
        <v>46</v>
      </c>
      <c r="J1998" s="1">
        <v>4800</v>
      </c>
      <c r="K1998" s="1">
        <v>106</v>
      </c>
      <c r="L1998" s="1" t="s">
        <v>16</v>
      </c>
      <c r="M1998" s="1" t="s">
        <v>41</v>
      </c>
      <c r="N1998" s="1" t="str">
        <f t="shared" si="62"/>
        <v>Lower</v>
      </c>
      <c r="O1998" s="1" t="str">
        <f t="shared" si="63"/>
        <v>Mature | High Spender | Lower</v>
      </c>
    </row>
    <row r="1999" spans="1:15" x14ac:dyDescent="0.25">
      <c r="A1999" s="1" t="s">
        <v>2029</v>
      </c>
      <c r="B1999" s="1">
        <v>41</v>
      </c>
      <c r="C1999" s="1" t="str" cm="1">
        <f t="array" ref="C1999">_xlfn.IFS(OR(B1999=" ", B1999="NA",NOT(ISNUMBER(B1999))), "Unknown",B1999&lt;18,"Underage",B1999&lt;=24,"Young Adult",B1999&lt;=34,"Early Career",B1999&lt;=44,"Mid Career",B1999&lt;=54,"Mature",B1999&lt;=65,"Pre-Senior",B1999&gt;65,"Senior")</f>
        <v>Mid Career</v>
      </c>
      <c r="D1999" s="1" t="s">
        <v>18</v>
      </c>
      <c r="E1999" s="1" t="s">
        <v>27</v>
      </c>
      <c r="F1999" s="1">
        <v>1475000</v>
      </c>
      <c r="G1999" s="1">
        <v>86</v>
      </c>
      <c r="H1999" s="1" t="str" cm="1">
        <f t="array" ref="H1999">_xlfn.IFS( OR(G1999=" ",NOT(ISNUMBER(G1999))),"Unknown",G1999&lt;=33,"Low Spender",G1999&lt;=66,"Medium Spender",TRUE, "High Spender")</f>
        <v>High Spender</v>
      </c>
      <c r="I1999" s="1">
        <v>75</v>
      </c>
      <c r="J1999" s="1">
        <v>10600</v>
      </c>
      <c r="K1999" s="1">
        <v>325</v>
      </c>
      <c r="M1999" s="1" t="s">
        <v>32</v>
      </c>
      <c r="N1999" s="1" t="str">
        <f t="shared" si="62"/>
        <v>Higher</v>
      </c>
      <c r="O1999" s="1" t="str">
        <f t="shared" si="63"/>
        <v>Mid Career | High Spender | Higher</v>
      </c>
    </row>
    <row r="2000" spans="1:15" x14ac:dyDescent="0.25">
      <c r="A2000" s="1" t="s">
        <v>2030</v>
      </c>
      <c r="B2000" s="1">
        <v>62</v>
      </c>
      <c r="C2000" s="1" t="str" cm="1">
        <f t="array" ref="C2000">_xlfn.IFS(OR(B2000=" ", B2000="NA",NOT(ISNUMBER(B2000))), "Unknown",B2000&lt;18,"Underage",B2000&lt;=24,"Young Adult",B2000&lt;=34,"Early Career",B2000&lt;=44,"Mid Career",B2000&lt;=54,"Mature",B2000&lt;=65,"Pre-Senior",B2000&gt;65,"Senior")</f>
        <v>Pre-Senior</v>
      </c>
      <c r="E2000" s="1" t="s">
        <v>58</v>
      </c>
      <c r="F2000" s="1">
        <v>475000</v>
      </c>
      <c r="G2000" s="1">
        <v>81</v>
      </c>
      <c r="H2000" s="1" t="str" cm="1">
        <f t="array" ref="H2000">_xlfn.IFS( OR(G2000=" ",NOT(ISNUMBER(G2000))),"Unknown",G2000&lt;=33,"Low Spender",G2000&lt;=66,"Medium Spender",TRUE, "High Spender")</f>
        <v>High Spender</v>
      </c>
      <c r="I2000" s="1">
        <v>77</v>
      </c>
      <c r="J2000" s="1">
        <v>3800</v>
      </c>
      <c r="K2000" s="1">
        <v>11</v>
      </c>
      <c r="L2000" s="1" t="s">
        <v>16</v>
      </c>
      <c r="M2000" s="1" t="s">
        <v>32</v>
      </c>
      <c r="N2000" s="1" t="str">
        <f t="shared" si="62"/>
        <v>Lower</v>
      </c>
      <c r="O2000" s="1" t="str">
        <f t="shared" si="63"/>
        <v>Pre-Senior | High Spender | Lower</v>
      </c>
    </row>
    <row r="2001" spans="1:15" x14ac:dyDescent="0.25">
      <c r="A2001" s="1" t="s">
        <v>2031</v>
      </c>
      <c r="B2001" s="1">
        <v>52</v>
      </c>
      <c r="C2001" s="1" t="str" cm="1">
        <f t="array" ref="C2001">_xlfn.IFS(OR(B2001=" ", B2001="NA",NOT(ISNUMBER(B2001))), "Unknown",B2001&lt;18,"Underage",B2001&lt;=24,"Young Adult",B2001&lt;=34,"Early Career",B2001&lt;=44,"Mid Career",B2001&lt;=54,"Mature",B2001&lt;=65,"Pre-Senior",B2001&gt;65,"Senior")</f>
        <v>Mature</v>
      </c>
      <c r="D2001" s="1" t="s">
        <v>29</v>
      </c>
      <c r="E2001" s="1" t="s">
        <v>13</v>
      </c>
      <c r="F2001" s="1">
        <v>1600000</v>
      </c>
      <c r="G2001" s="1">
        <v>22</v>
      </c>
      <c r="H2001" s="1" t="str" cm="1">
        <f t="array" ref="H2001">_xlfn.IFS( OR(G2001=" ",NOT(ISNUMBER(G2001))),"Unknown",G2001&lt;=33,"Low Spender",G2001&lt;=66,"Medium Spender",TRUE, "High Spender")</f>
        <v>Low Spender</v>
      </c>
      <c r="I2001" s="1">
        <v>31</v>
      </c>
      <c r="J2001" s="1">
        <v>2800</v>
      </c>
      <c r="K2001" s="1">
        <v>166</v>
      </c>
      <c r="L2001" s="1" t="s">
        <v>16</v>
      </c>
      <c r="N2001" s="1" t="str">
        <f t="shared" si="62"/>
        <v>Higher</v>
      </c>
      <c r="O2001" s="1" t="str">
        <f t="shared" si="63"/>
        <v>Mature | Low Spender | Higher</v>
      </c>
    </row>
    <row r="2002" spans="1:15" x14ac:dyDescent="0.25">
      <c r="A2002" s="1" t="s">
        <v>2032</v>
      </c>
      <c r="B2002" s="1">
        <v>65</v>
      </c>
      <c r="C2002" s="1" t="str" cm="1">
        <f t="array" ref="C2002">_xlfn.IFS(OR(B2002=" ", B2002="NA",NOT(ISNUMBER(B2002))), "Unknown",B2002&lt;18,"Underage",B2002&lt;=24,"Young Adult",B2002&lt;=34,"Early Career",B2002&lt;=44,"Mid Career",B2002&lt;=54,"Mature",B2002&lt;=65,"Pre-Senior",B2002&gt;65,"Senior")</f>
        <v>Pre-Senior</v>
      </c>
      <c r="D2002" s="1" t="s">
        <v>12</v>
      </c>
      <c r="E2002" s="1" t="s">
        <v>58</v>
      </c>
      <c r="F2002" s="1">
        <v>1450000</v>
      </c>
      <c r="G2002" s="1">
        <v>43</v>
      </c>
      <c r="H2002" s="1" t="str" cm="1">
        <f t="array" ref="H2002">_xlfn.IFS( OR(G2002=" ",NOT(ISNUMBER(G2002))),"Unknown",G2002&lt;=33,"Low Spender",G2002&lt;=66,"Medium Spender",TRUE, "High Spender")</f>
        <v>Medium Spender</v>
      </c>
      <c r="I2002" s="1">
        <v>25</v>
      </c>
      <c r="J2002" s="1">
        <v>1200</v>
      </c>
      <c r="K2002" s="1">
        <v>196</v>
      </c>
      <c r="N2002" s="1" t="str">
        <f t="shared" si="62"/>
        <v>Lower</v>
      </c>
      <c r="O2002" s="1" t="str">
        <f t="shared" si="63"/>
        <v>Pre-Senior | Medium Spender | Lower</v>
      </c>
    </row>
    <row r="2003" spans="1:15" x14ac:dyDescent="0.25">
      <c r="A2003" s="1" t="s">
        <v>2033</v>
      </c>
      <c r="B2003" s="1">
        <v>23</v>
      </c>
      <c r="C2003" s="1" t="str" cm="1">
        <f t="array" ref="C2003">_xlfn.IFS(OR(B2003=" ", B2003="NA",NOT(ISNUMBER(B2003))), "Unknown",B2003&lt;18,"Underage",B2003&lt;=24,"Young Adult",B2003&lt;=34,"Early Career",B2003&lt;=44,"Mid Career",B2003&lt;=54,"Mature",B2003&lt;=65,"Pre-Senior",B2003&gt;65,"Senior")</f>
        <v>Young Adult</v>
      </c>
      <c r="E2003" s="1" t="s">
        <v>23</v>
      </c>
      <c r="F2003" s="1">
        <v>800000</v>
      </c>
      <c r="G2003" s="1">
        <v>83</v>
      </c>
      <c r="H2003" s="1" t="str" cm="1">
        <f t="array" ref="H2003">_xlfn.IFS( OR(G2003=" ",NOT(ISNUMBER(G2003))),"Unknown",G2003&lt;=33,"Low Spender",G2003&lt;=66,"Medium Spender",TRUE, "High Spender")</f>
        <v>High Spender</v>
      </c>
      <c r="I2003" s="1">
        <v>74</v>
      </c>
      <c r="J2003" s="1">
        <v>3600</v>
      </c>
      <c r="K2003" s="1">
        <v>231</v>
      </c>
      <c r="L2003" s="1" t="s">
        <v>35</v>
      </c>
      <c r="M2003" s="1" t="s">
        <v>32</v>
      </c>
      <c r="N2003" s="1" t="str">
        <f t="shared" si="62"/>
        <v>Lower</v>
      </c>
      <c r="O2003" s="1" t="str">
        <f t="shared" si="63"/>
        <v>Young Adult | High Spender | Lower</v>
      </c>
    </row>
    <row r="2004" spans="1:15" x14ac:dyDescent="0.25">
      <c r="A2004" s="1" t="s">
        <v>2034</v>
      </c>
      <c r="B2004" s="1">
        <v>36</v>
      </c>
      <c r="C2004" s="1" t="str" cm="1">
        <f t="array" ref="C2004">_xlfn.IFS(OR(B2004=" ", B2004="NA",NOT(ISNUMBER(B2004))), "Unknown",B2004&lt;18,"Underage",B2004&lt;=24,"Young Adult",B2004&lt;=34,"Early Career",B2004&lt;=44,"Mid Career",B2004&lt;=54,"Mature",B2004&lt;=65,"Pre-Senior",B2004&gt;65,"Senior")</f>
        <v>Mid Career</v>
      </c>
      <c r="D2004" s="1" t="s">
        <v>18</v>
      </c>
      <c r="E2004" s="1" t="s">
        <v>23</v>
      </c>
      <c r="F2004" s="1">
        <v>1300000</v>
      </c>
      <c r="G2004" s="1">
        <v>81</v>
      </c>
      <c r="H2004" s="1" t="str" cm="1">
        <f t="array" ref="H2004">_xlfn.IFS( OR(G2004=" ",NOT(ISNUMBER(G2004))),"Unknown",G2004&lt;=33,"Low Spender",G2004&lt;=66,"Medium Spender",TRUE, "High Spender")</f>
        <v>High Spender</v>
      </c>
      <c r="I2004" s="1">
        <v>24</v>
      </c>
      <c r="J2004" s="1">
        <v>8000</v>
      </c>
      <c r="K2004" s="1">
        <v>147</v>
      </c>
      <c r="M2004" s="1" t="s">
        <v>41</v>
      </c>
      <c r="N2004" s="1" t="str">
        <f t="shared" si="62"/>
        <v>Higher</v>
      </c>
      <c r="O2004" s="1" t="str">
        <f t="shared" si="63"/>
        <v>Mid Career | High Spender | Higher</v>
      </c>
    </row>
    <row r="2005" spans="1:15" x14ac:dyDescent="0.25">
      <c r="A2005" s="1" t="s">
        <v>2035</v>
      </c>
      <c r="B2005" s="1">
        <v>47</v>
      </c>
      <c r="C2005" s="1" t="str" cm="1">
        <f t="array" ref="C2005">_xlfn.IFS(OR(B2005=" ", B2005="NA",NOT(ISNUMBER(B2005))), "Unknown",B2005&lt;18,"Underage",B2005&lt;=24,"Young Adult",B2005&lt;=34,"Early Career",B2005&lt;=44,"Mid Career",B2005&lt;=54,"Mature",B2005&lt;=65,"Pre-Senior",B2005&gt;65,"Senior")</f>
        <v>Mature</v>
      </c>
      <c r="D2005" s="1" t="s">
        <v>29</v>
      </c>
      <c r="F2005" s="1">
        <v>275000</v>
      </c>
      <c r="G2005" s="1">
        <v>88</v>
      </c>
      <c r="H2005" s="1" t="str" cm="1">
        <f t="array" ref="H2005">_xlfn.IFS( OR(G2005=" ",NOT(ISNUMBER(G2005))),"Unknown",G2005&lt;=33,"Low Spender",G2005&lt;=66,"Medium Spender",TRUE, "High Spender")</f>
        <v>High Spender</v>
      </c>
      <c r="I2005" s="1">
        <v>65</v>
      </c>
      <c r="J2005" s="1">
        <v>1000</v>
      </c>
      <c r="K2005" s="1">
        <v>359</v>
      </c>
      <c r="L2005" s="1" t="s">
        <v>37</v>
      </c>
      <c r="M2005" s="1" t="s">
        <v>21</v>
      </c>
      <c r="N2005" s="1" t="str">
        <f t="shared" si="62"/>
        <v>Higher</v>
      </c>
      <c r="O2005" s="1" t="str">
        <f t="shared" si="63"/>
        <v>Mature | High Spender | Higher</v>
      </c>
    </row>
    <row r="2006" spans="1:15" x14ac:dyDescent="0.25">
      <c r="A2006" s="1" t="s">
        <v>2036</v>
      </c>
      <c r="B2006" s="1">
        <v>24</v>
      </c>
      <c r="C2006" s="1" t="str" cm="1">
        <f t="array" ref="C2006">_xlfn.IFS(OR(B2006=" ", B2006="NA",NOT(ISNUMBER(B2006))), "Unknown",B2006&lt;18,"Underage",B2006&lt;=24,"Young Adult",B2006&lt;=34,"Early Career",B2006&lt;=44,"Mid Career",B2006&lt;=54,"Mature",B2006&lt;=65,"Pre-Senior",B2006&gt;65,"Senior")</f>
        <v>Young Adult</v>
      </c>
      <c r="D2006" s="1" t="s">
        <v>29</v>
      </c>
      <c r="E2006" s="1" t="s">
        <v>15</v>
      </c>
      <c r="F2006" s="1">
        <v>1500000</v>
      </c>
      <c r="G2006" s="1">
        <v>36</v>
      </c>
      <c r="H2006" s="1" t="str" cm="1">
        <f t="array" ref="H2006">_xlfn.IFS( OR(G2006=" ",NOT(ISNUMBER(G2006))),"Unknown",G2006&lt;=33,"Low Spender",G2006&lt;=66,"Medium Spender",TRUE, "High Spender")</f>
        <v>Medium Spender</v>
      </c>
      <c r="I2006" s="1">
        <v>25</v>
      </c>
      <c r="J2006" s="1">
        <v>5700</v>
      </c>
      <c r="K2006" s="1">
        <v>238</v>
      </c>
      <c r="L2006" s="1" t="s">
        <v>16</v>
      </c>
      <c r="N2006" s="1" t="str">
        <f t="shared" si="62"/>
        <v>Higher</v>
      </c>
      <c r="O2006" s="1" t="str">
        <f t="shared" si="63"/>
        <v>Young Adult | Medium Spender | Higher</v>
      </c>
    </row>
    <row r="2007" spans="1:15" x14ac:dyDescent="0.25">
      <c r="A2007" s="1" t="s">
        <v>2037</v>
      </c>
      <c r="B2007" s="1">
        <v>27</v>
      </c>
      <c r="C2007" s="1" t="str" cm="1">
        <f t="array" ref="C2007">_xlfn.IFS(OR(B2007=" ", B2007="NA",NOT(ISNUMBER(B2007))), "Unknown",B2007&lt;18,"Underage",B2007&lt;=24,"Young Adult",B2007&lt;=34,"Early Career",B2007&lt;=44,"Mid Career",B2007&lt;=54,"Mature",B2007&lt;=65,"Pre-Senior",B2007&gt;65,"Senior")</f>
        <v>Early Career</v>
      </c>
      <c r="D2007" s="1" t="s">
        <v>18</v>
      </c>
      <c r="E2007" s="1" t="s">
        <v>58</v>
      </c>
      <c r="F2007" s="1">
        <v>1225000</v>
      </c>
      <c r="G2007" s="1">
        <v>96</v>
      </c>
      <c r="H2007" s="1" t="str" cm="1">
        <f t="array" ref="H2007">_xlfn.IFS( OR(G2007=" ",NOT(ISNUMBER(G2007))),"Unknown",G2007&lt;=33,"Low Spender",G2007&lt;=66,"Medium Spender",TRUE, "High Spender")</f>
        <v>High Spender</v>
      </c>
      <c r="I2007" s="1">
        <v>28</v>
      </c>
      <c r="J2007" s="1">
        <v>9300</v>
      </c>
      <c r="K2007" s="1">
        <v>13</v>
      </c>
      <c r="M2007" s="1" t="s">
        <v>21</v>
      </c>
      <c r="N2007" s="1" t="str">
        <f t="shared" si="62"/>
        <v>Higher</v>
      </c>
      <c r="O2007" s="1" t="str">
        <f t="shared" si="63"/>
        <v>Early Career | High Spender | Higher</v>
      </c>
    </row>
    <row r="2008" spans="1:15" x14ac:dyDescent="0.25">
      <c r="A2008" s="1" t="s">
        <v>2038</v>
      </c>
      <c r="B2008" s="1">
        <v>58</v>
      </c>
      <c r="C2008" s="1" t="str" cm="1">
        <f t="array" ref="C2008">_xlfn.IFS(OR(B2008=" ", B2008="NA",NOT(ISNUMBER(B2008))), "Unknown",B2008&lt;18,"Underage",B2008&lt;=24,"Young Adult",B2008&lt;=34,"Early Career",B2008&lt;=44,"Mid Career",B2008&lt;=54,"Mature",B2008&lt;=65,"Pre-Senior",B2008&gt;65,"Senior")</f>
        <v>Pre-Senior</v>
      </c>
      <c r="D2008" s="1" t="s">
        <v>12</v>
      </c>
      <c r="E2008" s="1" t="s">
        <v>58</v>
      </c>
      <c r="F2008" s="1">
        <v>575000</v>
      </c>
      <c r="G2008" s="1">
        <v>52</v>
      </c>
      <c r="H2008" s="1" t="str" cm="1">
        <f t="array" ref="H2008">_xlfn.IFS( OR(G2008=" ",NOT(ISNUMBER(G2008))),"Unknown",G2008&lt;=33,"Low Spender",G2008&lt;=66,"Medium Spender",TRUE, "High Spender")</f>
        <v>Medium Spender</v>
      </c>
      <c r="I2008" s="1">
        <v>36</v>
      </c>
      <c r="J2008" s="1">
        <v>1200</v>
      </c>
      <c r="K2008" s="1">
        <v>219</v>
      </c>
      <c r="L2008" s="1" t="s">
        <v>16</v>
      </c>
      <c r="M2008" s="1" t="s">
        <v>21</v>
      </c>
      <c r="N2008" s="1" t="str">
        <f t="shared" si="62"/>
        <v>Lower</v>
      </c>
      <c r="O2008" s="1" t="str">
        <f t="shared" si="63"/>
        <v>Pre-Senior | Medium Spender | Lower</v>
      </c>
    </row>
    <row r="2009" spans="1:15" x14ac:dyDescent="0.25">
      <c r="A2009" s="1" t="s">
        <v>2039</v>
      </c>
      <c r="B2009" s="1">
        <v>49</v>
      </c>
      <c r="C2009" s="1" t="str" cm="1">
        <f t="array" ref="C2009">_xlfn.IFS(OR(B2009=" ", B2009="NA",NOT(ISNUMBER(B2009))), "Unknown",B2009&lt;18,"Underage",B2009&lt;=24,"Young Adult",B2009&lt;=34,"Early Career",B2009&lt;=44,"Mid Career",B2009&lt;=54,"Mature",B2009&lt;=65,"Pre-Senior",B2009&gt;65,"Senior")</f>
        <v>Mature</v>
      </c>
      <c r="D2009" s="1" t="s">
        <v>29</v>
      </c>
      <c r="E2009" s="1" t="s">
        <v>13</v>
      </c>
      <c r="F2009" s="1">
        <v>525000</v>
      </c>
      <c r="G2009" s="1">
        <v>36</v>
      </c>
      <c r="H2009" s="1" t="str" cm="1">
        <f t="array" ref="H2009">_xlfn.IFS( OR(G2009=" ",NOT(ISNUMBER(G2009))),"Unknown",G2009&lt;=33,"Low Spender",G2009&lt;=66,"Medium Spender",TRUE, "High Spender")</f>
        <v>Medium Spender</v>
      </c>
      <c r="I2009" s="1">
        <v>6</v>
      </c>
      <c r="J2009" s="1">
        <v>5900</v>
      </c>
      <c r="K2009" s="1">
        <v>257</v>
      </c>
      <c r="L2009" s="1" t="s">
        <v>35</v>
      </c>
      <c r="M2009" s="1" t="s">
        <v>41</v>
      </c>
      <c r="N2009" s="1" t="str">
        <f t="shared" si="62"/>
        <v>Higher</v>
      </c>
      <c r="O2009" s="1" t="str">
        <f t="shared" si="63"/>
        <v>Mature | Medium Spender | Higher</v>
      </c>
    </row>
    <row r="2010" spans="1:15" x14ac:dyDescent="0.25">
      <c r="A2010" s="1" t="s">
        <v>2040</v>
      </c>
      <c r="B2010" s="1">
        <v>51</v>
      </c>
      <c r="C2010" s="1" t="str" cm="1">
        <f t="array" ref="C2010">_xlfn.IFS(OR(B2010=" ", B2010="NA",NOT(ISNUMBER(B2010))), "Unknown",B2010&lt;18,"Underage",B2010&lt;=24,"Young Adult",B2010&lt;=34,"Early Career",B2010&lt;=44,"Mid Career",B2010&lt;=54,"Mature",B2010&lt;=65,"Pre-Senior",B2010&gt;65,"Senior")</f>
        <v>Mature</v>
      </c>
      <c r="D2010" s="1" t="s">
        <v>18</v>
      </c>
      <c r="E2010" s="1" t="s">
        <v>19</v>
      </c>
      <c r="F2010" s="1">
        <v>425000</v>
      </c>
      <c r="G2010" s="1">
        <v>28</v>
      </c>
      <c r="H2010" s="1" t="str" cm="1">
        <f t="array" ref="H2010">_xlfn.IFS( OR(G2010=" ",NOT(ISNUMBER(G2010))),"Unknown",G2010&lt;=33,"Low Spender",G2010&lt;=66,"Medium Spender",TRUE, "High Spender")</f>
        <v>Low Spender</v>
      </c>
      <c r="I2010" s="1">
        <v>66</v>
      </c>
      <c r="J2010" s="1">
        <v>11600</v>
      </c>
      <c r="K2010" s="1">
        <v>2</v>
      </c>
      <c r="L2010" s="1" t="s">
        <v>35</v>
      </c>
      <c r="N2010" s="1" t="str">
        <f t="shared" si="62"/>
        <v>Higher</v>
      </c>
      <c r="O2010" s="1" t="str">
        <f t="shared" si="63"/>
        <v>Mature | Low Spender | Higher</v>
      </c>
    </row>
    <row r="2011" spans="1:15" x14ac:dyDescent="0.25">
      <c r="A2011" s="1" t="s">
        <v>2041</v>
      </c>
      <c r="B2011" s="1">
        <v>45</v>
      </c>
      <c r="C2011" s="1" t="str" cm="1">
        <f t="array" ref="C2011">_xlfn.IFS(OR(B2011=" ", B2011="NA",NOT(ISNUMBER(B2011))), "Unknown",B2011&lt;18,"Underage",B2011&lt;=24,"Young Adult",B2011&lt;=34,"Early Career",B2011&lt;=44,"Mid Career",B2011&lt;=54,"Mature",B2011&lt;=65,"Pre-Senior",B2011&gt;65,"Senior")</f>
        <v>Mature</v>
      </c>
      <c r="D2011" s="1" t="s">
        <v>18</v>
      </c>
      <c r="F2011" s="1">
        <v>625000</v>
      </c>
      <c r="G2011" s="1">
        <v>78</v>
      </c>
      <c r="H2011" s="1" t="str" cm="1">
        <f t="array" ref="H2011">_xlfn.IFS( OR(G2011=" ",NOT(ISNUMBER(G2011))),"Unknown",G2011&lt;=33,"Low Spender",G2011&lt;=66,"Medium Spender",TRUE, "High Spender")</f>
        <v>High Spender</v>
      </c>
      <c r="I2011" s="1">
        <v>67</v>
      </c>
      <c r="J2011" s="1">
        <v>8100</v>
      </c>
      <c r="K2011" s="1">
        <v>210</v>
      </c>
      <c r="L2011" s="1" t="s">
        <v>20</v>
      </c>
      <c r="N2011" s="1" t="str">
        <f t="shared" si="62"/>
        <v>Higher</v>
      </c>
      <c r="O2011" s="1" t="str">
        <f t="shared" si="63"/>
        <v>Mature | High Spender | Higher</v>
      </c>
    </row>
    <row r="2012" spans="1:15" x14ac:dyDescent="0.25">
      <c r="A2012" s="1" t="s">
        <v>2042</v>
      </c>
      <c r="B2012" s="1">
        <v>32</v>
      </c>
      <c r="C2012" s="1" t="str" cm="1">
        <f t="array" ref="C2012">_xlfn.IFS(OR(B2012=" ", B2012="NA",NOT(ISNUMBER(B2012))), "Unknown",B2012&lt;18,"Underage",B2012&lt;=24,"Young Adult",B2012&lt;=34,"Early Career",B2012&lt;=44,"Mid Career",B2012&lt;=54,"Mature",B2012&lt;=65,"Pre-Senior",B2012&gt;65,"Senior")</f>
        <v>Early Career</v>
      </c>
      <c r="D2012" s="1" t="s">
        <v>18</v>
      </c>
      <c r="F2012" s="1">
        <v>1250000</v>
      </c>
      <c r="G2012" s="1">
        <v>58</v>
      </c>
      <c r="H2012" s="1" t="str" cm="1">
        <f t="array" ref="H2012">_xlfn.IFS( OR(G2012=" ",NOT(ISNUMBER(G2012))),"Unknown",G2012&lt;=33,"Low Spender",G2012&lt;=66,"Medium Spender",TRUE, "High Spender")</f>
        <v>Medium Spender</v>
      </c>
      <c r="I2012" s="1">
        <v>72</v>
      </c>
      <c r="J2012" s="1">
        <v>10300</v>
      </c>
      <c r="L2012" s="1" t="s">
        <v>35</v>
      </c>
      <c r="N2012" s="1" t="str">
        <f t="shared" si="62"/>
        <v>Higher</v>
      </c>
      <c r="O2012" s="1" t="str">
        <f t="shared" si="63"/>
        <v>Early Career | Medium Spender | Higher</v>
      </c>
    </row>
    <row r="2013" spans="1:15" x14ac:dyDescent="0.25">
      <c r="A2013" s="1" t="s">
        <v>2043</v>
      </c>
      <c r="B2013" s="1">
        <v>47</v>
      </c>
      <c r="C2013" s="1" t="str" cm="1">
        <f t="array" ref="C2013">_xlfn.IFS(OR(B2013=" ", B2013="NA",NOT(ISNUMBER(B2013))), "Unknown",B2013&lt;18,"Underage",B2013&lt;=24,"Young Adult",B2013&lt;=34,"Early Career",B2013&lt;=44,"Mid Career",B2013&lt;=54,"Mature",B2013&lt;=65,"Pre-Senior",B2013&gt;65,"Senior")</f>
        <v>Mature</v>
      </c>
      <c r="D2013" s="1" t="s">
        <v>29</v>
      </c>
      <c r="F2013" s="1">
        <v>1725000</v>
      </c>
      <c r="G2013" s="1">
        <v>36</v>
      </c>
      <c r="H2013" s="1" t="str" cm="1">
        <f t="array" ref="H2013">_xlfn.IFS( OR(G2013=" ",NOT(ISNUMBER(G2013))),"Unknown",G2013&lt;=33,"Low Spender",G2013&lt;=66,"Medium Spender",TRUE, "High Spender")</f>
        <v>Medium Spender</v>
      </c>
      <c r="I2013" s="1">
        <v>48</v>
      </c>
      <c r="J2013" s="1">
        <v>8800</v>
      </c>
      <c r="K2013" s="1">
        <v>225</v>
      </c>
      <c r="L2013" s="1" t="s">
        <v>35</v>
      </c>
      <c r="M2013" s="1" t="s">
        <v>41</v>
      </c>
      <c r="N2013" s="1" t="str">
        <f t="shared" si="62"/>
        <v>Higher</v>
      </c>
      <c r="O2013" s="1" t="str">
        <f t="shared" si="63"/>
        <v>Mature | Medium Spender | Higher</v>
      </c>
    </row>
    <row r="2014" spans="1:15" x14ac:dyDescent="0.25">
      <c r="A2014" s="1" t="s">
        <v>2044</v>
      </c>
      <c r="B2014" s="1">
        <v>54</v>
      </c>
      <c r="C2014" s="1" t="str" cm="1">
        <f t="array" ref="C2014">_xlfn.IFS(OR(B2014=" ", B2014="NA",NOT(ISNUMBER(B2014))), "Unknown",B2014&lt;18,"Underage",B2014&lt;=24,"Young Adult",B2014&lt;=34,"Early Career",B2014&lt;=44,"Mid Career",B2014&lt;=54,"Mature",B2014&lt;=65,"Pre-Senior",B2014&gt;65,"Senior")</f>
        <v>Mature</v>
      </c>
      <c r="D2014" s="1" t="s">
        <v>18</v>
      </c>
      <c r="E2014" s="1" t="s">
        <v>15</v>
      </c>
      <c r="F2014" s="1">
        <v>1600000</v>
      </c>
      <c r="G2014" s="1">
        <v>70</v>
      </c>
      <c r="H2014" s="1" t="str" cm="1">
        <f t="array" ref="H2014">_xlfn.IFS( OR(G2014=" ",NOT(ISNUMBER(G2014))),"Unknown",G2014&lt;=33,"Low Spender",G2014&lt;=66,"Medium Spender",TRUE, "High Spender")</f>
        <v>High Spender</v>
      </c>
      <c r="I2014" s="1">
        <v>70</v>
      </c>
      <c r="J2014" s="1">
        <v>4700</v>
      </c>
      <c r="K2014" s="1">
        <v>194</v>
      </c>
      <c r="L2014" s="1" t="s">
        <v>16</v>
      </c>
      <c r="N2014" s="1" t="str">
        <f t="shared" si="62"/>
        <v>Higher</v>
      </c>
      <c r="O2014" s="1" t="str">
        <f t="shared" si="63"/>
        <v>Mature | High Spender | Higher</v>
      </c>
    </row>
    <row r="2015" spans="1:15" x14ac:dyDescent="0.25">
      <c r="A2015" s="1" t="s">
        <v>2045</v>
      </c>
      <c r="B2015" s="1">
        <v>46</v>
      </c>
      <c r="C2015" s="1" t="str" cm="1">
        <f t="array" ref="C2015">_xlfn.IFS(OR(B2015=" ", B2015="NA",NOT(ISNUMBER(B2015))), "Unknown",B2015&lt;18,"Underage",B2015&lt;=24,"Young Adult",B2015&lt;=34,"Early Career",B2015&lt;=44,"Mid Career",B2015&lt;=54,"Mature",B2015&lt;=65,"Pre-Senior",B2015&gt;65,"Senior")</f>
        <v>Mature</v>
      </c>
      <c r="F2015" s="1">
        <v>675000</v>
      </c>
      <c r="G2015" s="1">
        <v>9</v>
      </c>
      <c r="H2015" s="1" t="str" cm="1">
        <f t="array" ref="H2015">_xlfn.IFS( OR(G2015=" ",NOT(ISNUMBER(G2015))),"Unknown",G2015&lt;=33,"Low Spender",G2015&lt;=66,"Medium Spender",TRUE, "High Spender")</f>
        <v>Low Spender</v>
      </c>
      <c r="I2015" s="1">
        <v>78</v>
      </c>
      <c r="J2015" s="1">
        <v>5200</v>
      </c>
      <c r="K2015" s="1">
        <v>196</v>
      </c>
      <c r="L2015" s="1" t="s">
        <v>37</v>
      </c>
      <c r="M2015" s="1" t="s">
        <v>32</v>
      </c>
      <c r="N2015" s="1" t="str">
        <f t="shared" si="62"/>
        <v>Lower</v>
      </c>
      <c r="O2015" s="1" t="str">
        <f t="shared" si="63"/>
        <v>Mature | Low Spender | Lower</v>
      </c>
    </row>
    <row r="2016" spans="1:15" x14ac:dyDescent="0.25">
      <c r="A2016" s="1" t="s">
        <v>2046</v>
      </c>
      <c r="B2016" s="1">
        <v>39</v>
      </c>
      <c r="C2016" s="1" t="str" cm="1">
        <f t="array" ref="C2016">_xlfn.IFS(OR(B2016=" ", B2016="NA",NOT(ISNUMBER(B2016))), "Unknown",B2016&lt;18,"Underage",B2016&lt;=24,"Young Adult",B2016&lt;=34,"Early Career",B2016&lt;=44,"Mid Career",B2016&lt;=54,"Mature",B2016&lt;=65,"Pre-Senior",B2016&gt;65,"Senior")</f>
        <v>Mid Career</v>
      </c>
      <c r="D2016" s="1" t="s">
        <v>29</v>
      </c>
      <c r="E2016" s="1" t="s">
        <v>49</v>
      </c>
      <c r="F2016" s="1">
        <v>1300000</v>
      </c>
      <c r="G2016" s="1">
        <v>21</v>
      </c>
      <c r="H2016" s="1" t="str" cm="1">
        <f t="array" ref="H2016">_xlfn.IFS( OR(G2016=" ",NOT(ISNUMBER(G2016))),"Unknown",G2016&lt;=33,"Low Spender",G2016&lt;=66,"Medium Spender",TRUE, "High Spender")</f>
        <v>Low Spender</v>
      </c>
      <c r="I2016" s="1">
        <v>67</v>
      </c>
      <c r="J2016" s="1">
        <v>6600</v>
      </c>
      <c r="K2016" s="1">
        <v>260</v>
      </c>
      <c r="L2016" s="1" t="s">
        <v>16</v>
      </c>
      <c r="M2016" s="1" t="s">
        <v>30</v>
      </c>
      <c r="N2016" s="1" t="str">
        <f t="shared" si="62"/>
        <v>Higher</v>
      </c>
      <c r="O2016" s="1" t="str">
        <f t="shared" si="63"/>
        <v>Mid Career | Low Spender | Higher</v>
      </c>
    </row>
    <row r="2017" spans="1:15" x14ac:dyDescent="0.25">
      <c r="A2017" s="1" t="s">
        <v>2047</v>
      </c>
      <c r="B2017" s="1">
        <v>21</v>
      </c>
      <c r="C2017" s="1" t="str" cm="1">
        <f t="array" ref="C2017">_xlfn.IFS(OR(B2017=" ", B2017="NA",NOT(ISNUMBER(B2017))), "Unknown",B2017&lt;18,"Underage",B2017&lt;=24,"Young Adult",B2017&lt;=34,"Early Career",B2017&lt;=44,"Mid Career",B2017&lt;=54,"Mature",B2017&lt;=65,"Pre-Senior",B2017&gt;65,"Senior")</f>
        <v>Young Adult</v>
      </c>
      <c r="D2017" s="1" t="s">
        <v>12</v>
      </c>
      <c r="E2017" s="1" t="s">
        <v>19</v>
      </c>
      <c r="F2017" s="1">
        <v>850000</v>
      </c>
      <c r="G2017" s="1">
        <v>64</v>
      </c>
      <c r="H2017" s="1" t="str" cm="1">
        <f t="array" ref="H2017">_xlfn.IFS( OR(G2017=" ",NOT(ISNUMBER(G2017))),"Unknown",G2017&lt;=33,"Low Spender",G2017&lt;=66,"Medium Spender",TRUE, "High Spender")</f>
        <v>Medium Spender</v>
      </c>
      <c r="I2017" s="1">
        <v>48</v>
      </c>
      <c r="J2017" s="1">
        <v>9700</v>
      </c>
      <c r="K2017" s="1">
        <v>57</v>
      </c>
      <c r="M2017" s="1" t="s">
        <v>30</v>
      </c>
      <c r="N2017" s="1" t="str">
        <f t="shared" si="62"/>
        <v>Lower</v>
      </c>
      <c r="O2017" s="1" t="str">
        <f t="shared" si="63"/>
        <v>Young Adult | Medium Spender | Lower</v>
      </c>
    </row>
    <row r="2018" spans="1:15" x14ac:dyDescent="0.25">
      <c r="A2018" s="1" t="s">
        <v>2048</v>
      </c>
      <c r="B2018" s="1">
        <v>37</v>
      </c>
      <c r="C2018" s="1" t="str" cm="1">
        <f t="array" ref="C2018">_xlfn.IFS(OR(B2018=" ", B2018="NA",NOT(ISNUMBER(B2018))), "Unknown",B2018&lt;18,"Underage",B2018&lt;=24,"Young Adult",B2018&lt;=34,"Early Career",B2018&lt;=44,"Mid Career",B2018&lt;=54,"Mature",B2018&lt;=65,"Pre-Senior",B2018&gt;65,"Senior")</f>
        <v>Mid Career</v>
      </c>
      <c r="D2018" s="1" t="s">
        <v>12</v>
      </c>
      <c r="E2018" s="1" t="s">
        <v>15</v>
      </c>
      <c r="F2018" s="1">
        <v>1250000</v>
      </c>
      <c r="G2018" s="1">
        <v>76</v>
      </c>
      <c r="H2018" s="1" t="str" cm="1">
        <f t="array" ref="H2018">_xlfn.IFS( OR(G2018=" ",NOT(ISNUMBER(G2018))),"Unknown",G2018&lt;=33,"Low Spender",G2018&lt;=66,"Medium Spender",TRUE, "High Spender")</f>
        <v>High Spender</v>
      </c>
      <c r="I2018" s="1">
        <v>65</v>
      </c>
      <c r="J2018" s="1">
        <v>400</v>
      </c>
      <c r="K2018" s="1">
        <v>113</v>
      </c>
      <c r="L2018" s="1" t="s">
        <v>35</v>
      </c>
      <c r="M2018" s="1" t="s">
        <v>30</v>
      </c>
      <c r="N2018" s="1" t="str">
        <f t="shared" si="62"/>
        <v>Lower</v>
      </c>
      <c r="O2018" s="1" t="str">
        <f t="shared" si="63"/>
        <v>Mid Career | High Spender | Lower</v>
      </c>
    </row>
    <row r="2019" spans="1:15" x14ac:dyDescent="0.25">
      <c r="A2019" s="1" t="s">
        <v>2049</v>
      </c>
      <c r="B2019" s="1">
        <v>49</v>
      </c>
      <c r="C2019" s="1" t="str" cm="1">
        <f t="array" ref="C2019">_xlfn.IFS(OR(B2019=" ", B2019="NA",NOT(ISNUMBER(B2019))), "Unknown",B2019&lt;18,"Underage",B2019&lt;=24,"Young Adult",B2019&lt;=34,"Early Career",B2019&lt;=44,"Mid Career",B2019&lt;=54,"Mature",B2019&lt;=65,"Pre-Senior",B2019&gt;65,"Senior")</f>
        <v>Mature</v>
      </c>
      <c r="E2019" s="1" t="s">
        <v>23</v>
      </c>
      <c r="F2019" s="1" t="s">
        <v>25</v>
      </c>
      <c r="G2019" s="1">
        <v>61</v>
      </c>
      <c r="H2019" s="1" t="str" cm="1">
        <f t="array" ref="H2019">_xlfn.IFS( OR(G2019=" ",NOT(ISNUMBER(G2019))),"Unknown",G2019&lt;=33,"Low Spender",G2019&lt;=66,"Medium Spender",TRUE, "High Spender")</f>
        <v>Medium Spender</v>
      </c>
      <c r="I2019" s="1">
        <v>44</v>
      </c>
      <c r="J2019" s="1">
        <v>4700</v>
      </c>
      <c r="K2019" s="1">
        <v>213</v>
      </c>
      <c r="L2019" s="1" t="s">
        <v>20</v>
      </c>
      <c r="M2019" s="1" t="s">
        <v>21</v>
      </c>
      <c r="N2019" s="1" t="str">
        <f t="shared" si="62"/>
        <v>Lower</v>
      </c>
      <c r="O2019" s="1" t="str">
        <f t="shared" si="63"/>
        <v>Mature | Medium Spender | Lower</v>
      </c>
    </row>
    <row r="2020" spans="1:15" x14ac:dyDescent="0.25">
      <c r="A2020" s="1" t="s">
        <v>2050</v>
      </c>
      <c r="B2020" s="1">
        <v>53</v>
      </c>
      <c r="C2020" s="1" t="str" cm="1">
        <f t="array" ref="C2020">_xlfn.IFS(OR(B2020=" ", B2020="NA",NOT(ISNUMBER(B2020))), "Unknown",B2020&lt;18,"Underage",B2020&lt;=24,"Young Adult",B2020&lt;=34,"Early Career",B2020&lt;=44,"Mid Career",B2020&lt;=54,"Mature",B2020&lt;=65,"Pre-Senior",B2020&gt;65,"Senior")</f>
        <v>Mature</v>
      </c>
      <c r="D2020" s="1" t="s">
        <v>18</v>
      </c>
      <c r="E2020" s="1" t="s">
        <v>13</v>
      </c>
      <c r="F2020" s="1">
        <v>350000</v>
      </c>
      <c r="G2020" s="1">
        <v>94</v>
      </c>
      <c r="H2020" s="1" t="str" cm="1">
        <f t="array" ref="H2020">_xlfn.IFS( OR(G2020=" ",NOT(ISNUMBER(G2020))),"Unknown",G2020&lt;=33,"Low Spender",G2020&lt;=66,"Medium Spender",TRUE, "High Spender")</f>
        <v>High Spender</v>
      </c>
      <c r="I2020" s="1">
        <v>63</v>
      </c>
      <c r="J2020" s="1">
        <v>9700</v>
      </c>
      <c r="K2020" s="1">
        <v>279</v>
      </c>
      <c r="L2020" s="1" t="s">
        <v>37</v>
      </c>
      <c r="N2020" s="1" t="str">
        <f t="shared" si="62"/>
        <v>Higher</v>
      </c>
      <c r="O2020" s="1" t="str">
        <f t="shared" si="63"/>
        <v>Mature | High Spender | Higher</v>
      </c>
    </row>
    <row r="2021" spans="1:15" x14ac:dyDescent="0.25">
      <c r="A2021" s="1" t="s">
        <v>2051</v>
      </c>
      <c r="B2021" s="1">
        <v>67</v>
      </c>
      <c r="C2021" s="1" t="str" cm="1">
        <f t="array" ref="C2021">_xlfn.IFS(OR(B2021=" ", B2021="NA",NOT(ISNUMBER(B2021))), "Unknown",B2021&lt;18,"Underage",B2021&lt;=24,"Young Adult",B2021&lt;=34,"Early Career",B2021&lt;=44,"Mid Career",B2021&lt;=54,"Mature",B2021&lt;=65,"Pre-Senior",B2021&gt;65,"Senior")</f>
        <v>Senior</v>
      </c>
      <c r="D2021" s="1" t="s">
        <v>18</v>
      </c>
      <c r="F2021" s="1">
        <v>725000</v>
      </c>
      <c r="G2021" s="1">
        <v>95</v>
      </c>
      <c r="H2021" s="1" t="str" cm="1">
        <f t="array" ref="H2021">_xlfn.IFS( OR(G2021=" ",NOT(ISNUMBER(G2021))),"Unknown",G2021&lt;=33,"Low Spender",G2021&lt;=66,"Medium Spender",TRUE, "High Spender")</f>
        <v>High Spender</v>
      </c>
      <c r="I2021" s="1">
        <v>46</v>
      </c>
      <c r="J2021" s="1">
        <v>6400</v>
      </c>
      <c r="K2021" s="1">
        <v>244</v>
      </c>
      <c r="L2021" s="1" t="s">
        <v>20</v>
      </c>
      <c r="M2021" s="1" t="s">
        <v>41</v>
      </c>
      <c r="N2021" s="1" t="str">
        <f t="shared" si="62"/>
        <v>Higher</v>
      </c>
      <c r="O2021" s="1" t="str">
        <f t="shared" si="63"/>
        <v>Senior | High Spender | Higher</v>
      </c>
    </row>
    <row r="2022" spans="1:15" x14ac:dyDescent="0.25">
      <c r="A2022" s="1" t="s">
        <v>2052</v>
      </c>
      <c r="B2022" s="1">
        <v>21</v>
      </c>
      <c r="C2022" s="1" t="str" cm="1">
        <f t="array" ref="C2022">_xlfn.IFS(OR(B2022=" ", B2022="NA",NOT(ISNUMBER(B2022))), "Unknown",B2022&lt;18,"Underage",B2022&lt;=24,"Young Adult",B2022&lt;=34,"Early Career",B2022&lt;=44,"Mid Career",B2022&lt;=54,"Mature",B2022&lt;=65,"Pre-Senior",B2022&gt;65,"Senior")</f>
        <v>Young Adult</v>
      </c>
      <c r="D2022" s="1" t="s">
        <v>29</v>
      </c>
      <c r="E2022" s="1" t="s">
        <v>23</v>
      </c>
      <c r="F2022" s="1">
        <v>500000</v>
      </c>
      <c r="G2022" s="1">
        <v>40</v>
      </c>
      <c r="H2022" s="1" t="str" cm="1">
        <f t="array" ref="H2022">_xlfn.IFS( OR(G2022=" ",NOT(ISNUMBER(G2022))),"Unknown",G2022&lt;=33,"Low Spender",G2022&lt;=66,"Medium Spender",TRUE, "High Spender")</f>
        <v>Medium Spender</v>
      </c>
      <c r="I2022" s="1">
        <v>19</v>
      </c>
      <c r="J2022" s="1">
        <v>1600</v>
      </c>
      <c r="K2022" s="1">
        <v>117</v>
      </c>
      <c r="N2022" s="1" t="str">
        <f t="shared" si="62"/>
        <v>Higher</v>
      </c>
      <c r="O2022" s="1" t="str">
        <f t="shared" si="63"/>
        <v>Young Adult | Medium Spender | Higher</v>
      </c>
    </row>
    <row r="2023" spans="1:15" x14ac:dyDescent="0.25">
      <c r="A2023" s="1" t="s">
        <v>2053</v>
      </c>
      <c r="B2023" s="1">
        <v>44</v>
      </c>
      <c r="C2023" s="1" t="str" cm="1">
        <f t="array" ref="C2023">_xlfn.IFS(OR(B2023=" ", B2023="NA",NOT(ISNUMBER(B2023))), "Unknown",B2023&lt;18,"Underage",B2023&lt;=24,"Young Adult",B2023&lt;=34,"Early Career",B2023&lt;=44,"Mid Career",B2023&lt;=54,"Mature",B2023&lt;=65,"Pre-Senior",B2023&gt;65,"Senior")</f>
        <v>Mid Career</v>
      </c>
      <c r="D2023" s="1" t="s">
        <v>12</v>
      </c>
      <c r="F2023" s="1">
        <v>1025000</v>
      </c>
      <c r="G2023" s="1">
        <v>56</v>
      </c>
      <c r="H2023" s="1" t="str" cm="1">
        <f t="array" ref="H2023">_xlfn.IFS( OR(G2023=" ",NOT(ISNUMBER(G2023))),"Unknown",G2023&lt;=33,"Low Spender",G2023&lt;=66,"Medium Spender",TRUE, "High Spender")</f>
        <v>Medium Spender</v>
      </c>
      <c r="I2023" s="1">
        <v>64</v>
      </c>
      <c r="J2023" s="1">
        <v>7600</v>
      </c>
      <c r="K2023" s="1">
        <v>87</v>
      </c>
      <c r="L2023" s="1" t="s">
        <v>20</v>
      </c>
      <c r="M2023" s="1" t="s">
        <v>41</v>
      </c>
      <c r="N2023" s="1" t="str">
        <f t="shared" si="62"/>
        <v>Lower</v>
      </c>
      <c r="O2023" s="1" t="str">
        <f t="shared" si="63"/>
        <v>Mid Career | Medium Spender | Lower</v>
      </c>
    </row>
    <row r="2024" spans="1:15" x14ac:dyDescent="0.25">
      <c r="A2024" s="1" t="s">
        <v>2054</v>
      </c>
      <c r="B2024" s="1">
        <v>34</v>
      </c>
      <c r="C2024" s="1" t="str" cm="1">
        <f t="array" ref="C2024">_xlfn.IFS(OR(B2024=" ", B2024="NA",NOT(ISNUMBER(B2024))), "Unknown",B2024&lt;18,"Underage",B2024&lt;=24,"Young Adult",B2024&lt;=34,"Early Career",B2024&lt;=44,"Mid Career",B2024&lt;=54,"Mature",B2024&lt;=65,"Pre-Senior",B2024&gt;65,"Senior")</f>
        <v>Early Career</v>
      </c>
      <c r="E2024" s="1" t="s">
        <v>27</v>
      </c>
      <c r="F2024" s="1">
        <v>450000</v>
      </c>
      <c r="G2024" s="1">
        <v>4</v>
      </c>
      <c r="H2024" s="1" t="str" cm="1">
        <f t="array" ref="H2024">_xlfn.IFS( OR(G2024=" ",NOT(ISNUMBER(G2024))),"Unknown",G2024&lt;=33,"Low Spender",G2024&lt;=66,"Medium Spender",TRUE, "High Spender")</f>
        <v>Low Spender</v>
      </c>
      <c r="I2024" s="1">
        <v>73</v>
      </c>
      <c r="J2024" s="1">
        <v>9600</v>
      </c>
      <c r="K2024" s="1">
        <v>263</v>
      </c>
      <c r="L2024" s="1" t="s">
        <v>20</v>
      </c>
      <c r="N2024" s="1" t="str">
        <f t="shared" si="62"/>
        <v>Lower</v>
      </c>
      <c r="O2024" s="1" t="str">
        <f t="shared" si="63"/>
        <v>Early Career | Low Spender | Lower</v>
      </c>
    </row>
    <row r="2025" spans="1:15" x14ac:dyDescent="0.25">
      <c r="A2025" s="1" t="s">
        <v>2055</v>
      </c>
      <c r="B2025" s="1">
        <v>29</v>
      </c>
      <c r="C2025" s="1" t="str" cm="1">
        <f t="array" ref="C2025">_xlfn.IFS(OR(B2025=" ", B2025="NA",NOT(ISNUMBER(B2025))), "Unknown",B2025&lt;18,"Underage",B2025&lt;=24,"Young Adult",B2025&lt;=34,"Early Career",B2025&lt;=44,"Mid Career",B2025&lt;=54,"Mature",B2025&lt;=65,"Pre-Senior",B2025&gt;65,"Senior")</f>
        <v>Early Career</v>
      </c>
      <c r="F2025" s="1">
        <v>1225000</v>
      </c>
      <c r="G2025" s="1">
        <v>31</v>
      </c>
      <c r="H2025" s="1" t="str" cm="1">
        <f t="array" ref="H2025">_xlfn.IFS( OR(G2025=" ",NOT(ISNUMBER(G2025))),"Unknown",G2025&lt;=33,"Low Spender",G2025&lt;=66,"Medium Spender",TRUE, "High Spender")</f>
        <v>Low Spender</v>
      </c>
      <c r="I2025" s="1">
        <v>71</v>
      </c>
      <c r="J2025" s="1">
        <v>10200</v>
      </c>
      <c r="K2025" s="1">
        <v>300</v>
      </c>
      <c r="M2025" s="1" t="s">
        <v>21</v>
      </c>
      <c r="N2025" s="1" t="str">
        <f t="shared" si="62"/>
        <v>Lower</v>
      </c>
      <c r="O2025" s="1" t="str">
        <f t="shared" si="63"/>
        <v>Early Career | Low Spender | Lower</v>
      </c>
    </row>
    <row r="2026" spans="1:15" x14ac:dyDescent="0.25">
      <c r="A2026" s="1" t="s">
        <v>2056</v>
      </c>
      <c r="B2026" s="1">
        <v>39</v>
      </c>
      <c r="C2026" s="1" t="str" cm="1">
        <f t="array" ref="C2026">_xlfn.IFS(OR(B2026=" ", B2026="NA",NOT(ISNUMBER(B2026))), "Unknown",B2026&lt;18,"Underage",B2026&lt;=24,"Young Adult",B2026&lt;=34,"Early Career",B2026&lt;=44,"Mid Career",B2026&lt;=54,"Mature",B2026&lt;=65,"Pre-Senior",B2026&gt;65,"Senior")</f>
        <v>Mid Career</v>
      </c>
      <c r="F2026" s="1">
        <v>1900000</v>
      </c>
      <c r="G2026" s="1">
        <v>27</v>
      </c>
      <c r="H2026" s="1" t="str" cm="1">
        <f t="array" ref="H2026">_xlfn.IFS( OR(G2026=" ",NOT(ISNUMBER(G2026))),"Unknown",G2026&lt;=33,"Low Spender",G2026&lt;=66,"Medium Spender",TRUE, "High Spender")</f>
        <v>Low Spender</v>
      </c>
      <c r="I2026" s="1">
        <v>50</v>
      </c>
      <c r="J2026" s="1">
        <v>11300</v>
      </c>
      <c r="K2026" s="1">
        <v>113</v>
      </c>
      <c r="L2026" s="1" t="s">
        <v>35</v>
      </c>
      <c r="M2026" s="1" t="s">
        <v>32</v>
      </c>
      <c r="N2026" s="1" t="str">
        <f t="shared" si="62"/>
        <v>Lower</v>
      </c>
      <c r="O2026" s="1" t="str">
        <f t="shared" si="63"/>
        <v>Mid Career | Low Spender | Lower</v>
      </c>
    </row>
    <row r="2027" spans="1:15" x14ac:dyDescent="0.25">
      <c r="A2027" s="1" t="s">
        <v>2057</v>
      </c>
      <c r="B2027" s="1">
        <v>34</v>
      </c>
      <c r="C2027" s="1" t="str" cm="1">
        <f t="array" ref="C2027">_xlfn.IFS(OR(B2027=" ", B2027="NA",NOT(ISNUMBER(B2027))), "Unknown",B2027&lt;18,"Underage",B2027&lt;=24,"Young Adult",B2027&lt;=34,"Early Career",B2027&lt;=44,"Mid Career",B2027&lt;=54,"Mature",B2027&lt;=65,"Pre-Senior",B2027&gt;65,"Senior")</f>
        <v>Early Career</v>
      </c>
      <c r="D2027" s="1" t="s">
        <v>12</v>
      </c>
      <c r="E2027" s="1" t="s">
        <v>34</v>
      </c>
      <c r="F2027" s="1">
        <v>1925000</v>
      </c>
      <c r="G2027" s="1">
        <v>58</v>
      </c>
      <c r="H2027" s="1" t="str" cm="1">
        <f t="array" ref="H2027">_xlfn.IFS( OR(G2027=" ",NOT(ISNUMBER(G2027))),"Unknown",G2027&lt;=33,"Low Spender",G2027&lt;=66,"Medium Spender",TRUE, "High Spender")</f>
        <v>Medium Spender</v>
      </c>
      <c r="I2027" s="1">
        <v>63</v>
      </c>
      <c r="J2027" s="1">
        <v>10600</v>
      </c>
      <c r="K2027" s="1">
        <v>164</v>
      </c>
      <c r="M2027" s="1" t="s">
        <v>30</v>
      </c>
      <c r="N2027" s="1" t="str">
        <f t="shared" si="62"/>
        <v>Lower</v>
      </c>
      <c r="O2027" s="1" t="str">
        <f t="shared" si="63"/>
        <v>Early Career | Medium Spender | Lower</v>
      </c>
    </row>
    <row r="2028" spans="1:15" x14ac:dyDescent="0.25">
      <c r="A2028" s="1" t="s">
        <v>2058</v>
      </c>
      <c r="B2028" s="1">
        <v>27</v>
      </c>
      <c r="C2028" s="1" t="str" cm="1">
        <f t="array" ref="C2028">_xlfn.IFS(OR(B2028=" ", B2028="NA",NOT(ISNUMBER(B2028))), "Unknown",B2028&lt;18,"Underage",B2028&lt;=24,"Young Adult",B2028&lt;=34,"Early Career",B2028&lt;=44,"Mid Career",B2028&lt;=54,"Mature",B2028&lt;=65,"Pre-Senior",B2028&gt;65,"Senior")</f>
        <v>Early Career</v>
      </c>
      <c r="D2028" s="1" t="s">
        <v>18</v>
      </c>
      <c r="G2028" s="1">
        <v>25</v>
      </c>
      <c r="H2028" s="1" t="str" cm="1">
        <f t="array" ref="H2028">_xlfn.IFS( OR(G2028=" ",NOT(ISNUMBER(G2028))),"Unknown",G2028&lt;=33,"Low Spender",G2028&lt;=66,"Medium Spender",TRUE, "High Spender")</f>
        <v>Low Spender</v>
      </c>
      <c r="I2028" s="1">
        <v>41</v>
      </c>
      <c r="J2028" s="1">
        <v>1700</v>
      </c>
      <c r="K2028" s="1">
        <v>4</v>
      </c>
      <c r="L2028" s="1" t="s">
        <v>35</v>
      </c>
      <c r="M2028" s="1" t="s">
        <v>30</v>
      </c>
      <c r="N2028" s="1" t="str">
        <f t="shared" si="62"/>
        <v>Higher</v>
      </c>
      <c r="O2028" s="1" t="str">
        <f t="shared" si="63"/>
        <v>Early Career | Low Spender | Higher</v>
      </c>
    </row>
    <row r="2029" spans="1:15" x14ac:dyDescent="0.25">
      <c r="A2029" s="1" t="s">
        <v>2059</v>
      </c>
      <c r="C2029" s="1" t="str" cm="1">
        <f t="array" ref="C2029">_xlfn.IFS(OR(B2029=" ", B2029="NA",NOT(ISNUMBER(B2029))), "Unknown",B2029&lt;18,"Underage",B2029&lt;=24,"Young Adult",B2029&lt;=34,"Early Career",B2029&lt;=44,"Mid Career",B2029&lt;=54,"Mature",B2029&lt;=65,"Pre-Senior",B2029&gt;65,"Senior")</f>
        <v>Unknown</v>
      </c>
      <c r="F2029" s="1">
        <v>1025000</v>
      </c>
      <c r="G2029" s="1">
        <v>69</v>
      </c>
      <c r="H2029" s="1" t="str" cm="1">
        <f t="array" ref="H2029">_xlfn.IFS( OR(G2029=" ",NOT(ISNUMBER(G2029))),"Unknown",G2029&lt;=33,"Low Spender",G2029&lt;=66,"Medium Spender",TRUE, "High Spender")</f>
        <v>High Spender</v>
      </c>
      <c r="I2029" s="1">
        <v>7</v>
      </c>
      <c r="J2029" s="1">
        <v>1600</v>
      </c>
      <c r="K2029" s="1">
        <v>118</v>
      </c>
      <c r="N2029" s="1" t="str">
        <f t="shared" si="62"/>
        <v>Lower</v>
      </c>
      <c r="O2029" s="1" t="str">
        <f t="shared" si="63"/>
        <v>Unknown | High Spender | Lower</v>
      </c>
    </row>
    <row r="2030" spans="1:15" x14ac:dyDescent="0.25">
      <c r="A2030" s="1" t="s">
        <v>2060</v>
      </c>
      <c r="B2030" s="1">
        <v>18</v>
      </c>
      <c r="C2030" s="1" t="str" cm="1">
        <f t="array" ref="C2030">_xlfn.IFS(OR(B2030=" ", B2030="NA",NOT(ISNUMBER(B2030))), "Unknown",B2030&lt;18,"Underage",B2030&lt;=24,"Young Adult",B2030&lt;=34,"Early Career",B2030&lt;=44,"Mid Career",B2030&lt;=54,"Mature",B2030&lt;=65,"Pre-Senior",B2030&gt;65,"Senior")</f>
        <v>Young Adult</v>
      </c>
      <c r="D2030" s="1" t="s">
        <v>18</v>
      </c>
      <c r="E2030" s="1" t="s">
        <v>13</v>
      </c>
      <c r="F2030" s="1">
        <v>1650000</v>
      </c>
      <c r="G2030" s="1">
        <v>70</v>
      </c>
      <c r="H2030" s="1" t="str" cm="1">
        <f t="array" ref="H2030">_xlfn.IFS( OR(G2030=" ",NOT(ISNUMBER(G2030))),"Unknown",G2030&lt;=33,"Low Spender",G2030&lt;=66,"Medium Spender",TRUE, "High Spender")</f>
        <v>High Spender</v>
      </c>
      <c r="I2030" s="1">
        <v>9</v>
      </c>
      <c r="J2030" s="1">
        <v>3300</v>
      </c>
      <c r="K2030" s="1">
        <v>23</v>
      </c>
      <c r="L2030" s="1" t="s">
        <v>35</v>
      </c>
      <c r="M2030" s="1" t="s">
        <v>21</v>
      </c>
      <c r="N2030" s="1" t="str">
        <f t="shared" si="62"/>
        <v>Higher</v>
      </c>
      <c r="O2030" s="1" t="str">
        <f t="shared" si="63"/>
        <v>Young Adult | High Spender | Higher</v>
      </c>
    </row>
    <row r="2031" spans="1:15" x14ac:dyDescent="0.25">
      <c r="A2031" s="1" t="s">
        <v>2061</v>
      </c>
      <c r="B2031" s="1">
        <v>39</v>
      </c>
      <c r="C2031" s="1" t="str" cm="1">
        <f t="array" ref="C2031">_xlfn.IFS(OR(B2031=" ", B2031="NA",NOT(ISNUMBER(B2031))), "Unknown",B2031&lt;18,"Underage",B2031&lt;=24,"Young Adult",B2031&lt;=34,"Early Career",B2031&lt;=44,"Mid Career",B2031&lt;=54,"Mature",B2031&lt;=65,"Pre-Senior",B2031&gt;65,"Senior")</f>
        <v>Mid Career</v>
      </c>
      <c r="D2031" s="1" t="s">
        <v>29</v>
      </c>
      <c r="E2031" s="1" t="s">
        <v>19</v>
      </c>
      <c r="F2031" s="1">
        <v>1125000</v>
      </c>
      <c r="G2031" s="1">
        <v>5</v>
      </c>
      <c r="H2031" s="1" t="str" cm="1">
        <f t="array" ref="H2031">_xlfn.IFS( OR(G2031=" ",NOT(ISNUMBER(G2031))),"Unknown",G2031&lt;=33,"Low Spender",G2031&lt;=66,"Medium Spender",TRUE, "High Spender")</f>
        <v>Low Spender</v>
      </c>
      <c r="I2031" s="1">
        <v>4</v>
      </c>
      <c r="J2031" s="1">
        <v>3100</v>
      </c>
      <c r="K2031" s="1">
        <v>233</v>
      </c>
      <c r="L2031" s="1" t="s">
        <v>35</v>
      </c>
      <c r="M2031" s="1" t="s">
        <v>30</v>
      </c>
      <c r="N2031" s="1" t="str">
        <f t="shared" si="62"/>
        <v>Higher</v>
      </c>
      <c r="O2031" s="1" t="str">
        <f t="shared" si="63"/>
        <v>Mid Career | Low Spender | Higher</v>
      </c>
    </row>
    <row r="2032" spans="1:15" x14ac:dyDescent="0.25">
      <c r="A2032" s="1" t="s">
        <v>2062</v>
      </c>
      <c r="B2032" s="1">
        <v>43</v>
      </c>
      <c r="C2032" s="1" t="str" cm="1">
        <f t="array" ref="C2032">_xlfn.IFS(OR(B2032=" ", B2032="NA",NOT(ISNUMBER(B2032))), "Unknown",B2032&lt;18,"Underage",B2032&lt;=24,"Young Adult",B2032&lt;=34,"Early Career",B2032&lt;=44,"Mid Career",B2032&lt;=54,"Mature",B2032&lt;=65,"Pre-Senior",B2032&gt;65,"Senior")</f>
        <v>Mid Career</v>
      </c>
      <c r="D2032" s="1" t="s">
        <v>18</v>
      </c>
      <c r="E2032" s="1" t="s">
        <v>23</v>
      </c>
      <c r="F2032" s="1">
        <v>800000</v>
      </c>
      <c r="G2032" s="1">
        <v>91</v>
      </c>
      <c r="H2032" s="1" t="str" cm="1">
        <f t="array" ref="H2032">_xlfn.IFS( OR(G2032=" ",NOT(ISNUMBER(G2032))),"Unknown",G2032&lt;=33,"Low Spender",G2032&lt;=66,"Medium Spender",TRUE, "High Spender")</f>
        <v>High Spender</v>
      </c>
      <c r="I2032" s="1">
        <v>49</v>
      </c>
      <c r="J2032" s="1">
        <v>2900</v>
      </c>
      <c r="K2032" s="1">
        <v>90</v>
      </c>
      <c r="L2032" s="1" t="s">
        <v>35</v>
      </c>
      <c r="N2032" s="1" t="str">
        <f t="shared" si="62"/>
        <v>Higher</v>
      </c>
      <c r="O2032" s="1" t="str">
        <f t="shared" si="63"/>
        <v>Mid Career | High Spender | Higher</v>
      </c>
    </row>
    <row r="2033" spans="1:15" x14ac:dyDescent="0.25">
      <c r="A2033" s="1" t="s">
        <v>2063</v>
      </c>
      <c r="B2033" s="1">
        <v>35</v>
      </c>
      <c r="C2033" s="1" t="str" cm="1">
        <f t="array" ref="C2033">_xlfn.IFS(OR(B2033=" ", B2033="NA",NOT(ISNUMBER(B2033))), "Unknown",B2033&lt;18,"Underage",B2033&lt;=24,"Young Adult",B2033&lt;=34,"Early Career",B2033&lt;=44,"Mid Career",B2033&lt;=54,"Mature",B2033&lt;=65,"Pre-Senior",B2033&gt;65,"Senior")</f>
        <v>Mid Career</v>
      </c>
      <c r="D2033" s="1" t="s">
        <v>18</v>
      </c>
      <c r="F2033" s="1">
        <v>150000</v>
      </c>
      <c r="G2033" s="1">
        <v>8</v>
      </c>
      <c r="H2033" s="1" t="str" cm="1">
        <f t="array" ref="H2033">_xlfn.IFS( OR(G2033=" ",NOT(ISNUMBER(G2033))),"Unknown",G2033&lt;=33,"Low Spender",G2033&lt;=66,"Medium Spender",TRUE, "High Spender")</f>
        <v>Low Spender</v>
      </c>
      <c r="I2033" s="1">
        <v>76</v>
      </c>
      <c r="J2033" s="1">
        <v>8700</v>
      </c>
      <c r="K2033" s="1">
        <v>255</v>
      </c>
      <c r="L2033" s="1" t="s">
        <v>20</v>
      </c>
      <c r="N2033" s="1" t="str">
        <f t="shared" si="62"/>
        <v>Higher</v>
      </c>
      <c r="O2033" s="1" t="str">
        <f t="shared" si="63"/>
        <v>Mid Career | Low Spender | Higher</v>
      </c>
    </row>
    <row r="2034" spans="1:15" x14ac:dyDescent="0.25">
      <c r="A2034" s="1" t="s">
        <v>2064</v>
      </c>
      <c r="B2034" s="1">
        <v>67</v>
      </c>
      <c r="C2034" s="1" t="str" cm="1">
        <f t="array" ref="C2034">_xlfn.IFS(OR(B2034=" ", B2034="NA",NOT(ISNUMBER(B2034))), "Unknown",B2034&lt;18,"Underage",B2034&lt;=24,"Young Adult",B2034&lt;=34,"Early Career",B2034&lt;=44,"Mid Career",B2034&lt;=54,"Mature",B2034&lt;=65,"Pre-Senior",B2034&gt;65,"Senior")</f>
        <v>Senior</v>
      </c>
      <c r="F2034" s="1">
        <v>975000</v>
      </c>
      <c r="G2034" s="1">
        <v>9</v>
      </c>
      <c r="H2034" s="1" t="str" cm="1">
        <f t="array" ref="H2034">_xlfn.IFS( OR(G2034=" ",NOT(ISNUMBER(G2034))),"Unknown",G2034&lt;=33,"Low Spender",G2034&lt;=66,"Medium Spender",TRUE, "High Spender")</f>
        <v>Low Spender</v>
      </c>
      <c r="I2034" s="1">
        <v>6</v>
      </c>
      <c r="J2034" s="1">
        <v>1100</v>
      </c>
      <c r="K2034" s="1">
        <v>92</v>
      </c>
      <c r="N2034" s="1" t="str">
        <f t="shared" si="62"/>
        <v>Lower</v>
      </c>
      <c r="O2034" s="1" t="str">
        <f t="shared" si="63"/>
        <v>Senior | Low Spender | Lower</v>
      </c>
    </row>
    <row r="2035" spans="1:15" x14ac:dyDescent="0.25">
      <c r="A2035" s="1" t="s">
        <v>2065</v>
      </c>
      <c r="B2035" s="1">
        <v>31</v>
      </c>
      <c r="C2035" s="1" t="str" cm="1">
        <f t="array" ref="C2035">_xlfn.IFS(OR(B2035=" ", B2035="NA",NOT(ISNUMBER(B2035))), "Unknown",B2035&lt;18,"Underage",B2035&lt;=24,"Young Adult",B2035&lt;=34,"Early Career",B2035&lt;=44,"Mid Career",B2035&lt;=54,"Mature",B2035&lt;=65,"Pre-Senior",B2035&gt;65,"Senior")</f>
        <v>Early Career</v>
      </c>
      <c r="D2035" s="1" t="s">
        <v>29</v>
      </c>
      <c r="E2035" s="1" t="s">
        <v>27</v>
      </c>
      <c r="F2035" s="1">
        <v>1825000</v>
      </c>
      <c r="G2035" s="1">
        <v>15</v>
      </c>
      <c r="H2035" s="1" t="str" cm="1">
        <f t="array" ref="H2035">_xlfn.IFS( OR(G2035=" ",NOT(ISNUMBER(G2035))),"Unknown",G2035&lt;=33,"Low Spender",G2035&lt;=66,"Medium Spender",TRUE, "High Spender")</f>
        <v>Low Spender</v>
      </c>
      <c r="I2035" s="1">
        <v>21</v>
      </c>
      <c r="J2035" s="1">
        <v>2200</v>
      </c>
      <c r="K2035" s="1">
        <v>155</v>
      </c>
      <c r="L2035" s="1" t="s">
        <v>35</v>
      </c>
      <c r="M2035" s="1" t="s">
        <v>41</v>
      </c>
      <c r="N2035" s="1" t="str">
        <f t="shared" si="62"/>
        <v>Higher</v>
      </c>
      <c r="O2035" s="1" t="str">
        <f t="shared" si="63"/>
        <v>Early Career | Low Spender | Higher</v>
      </c>
    </row>
    <row r="2036" spans="1:15" x14ac:dyDescent="0.25">
      <c r="A2036" s="1" t="s">
        <v>2066</v>
      </c>
      <c r="B2036" s="1">
        <v>64</v>
      </c>
      <c r="C2036" s="1" t="str" cm="1">
        <f t="array" ref="C2036">_xlfn.IFS(OR(B2036=" ", B2036="NA",NOT(ISNUMBER(B2036))), "Unknown",B2036&lt;18,"Underage",B2036&lt;=24,"Young Adult",B2036&lt;=34,"Early Career",B2036&lt;=44,"Mid Career",B2036&lt;=54,"Mature",B2036&lt;=65,"Pre-Senior",B2036&gt;65,"Senior")</f>
        <v>Pre-Senior</v>
      </c>
      <c r="D2036" s="1" t="s">
        <v>29</v>
      </c>
      <c r="F2036" s="1">
        <v>650000</v>
      </c>
      <c r="G2036" s="1">
        <v>100</v>
      </c>
      <c r="H2036" s="1" t="str" cm="1">
        <f t="array" ref="H2036">_xlfn.IFS( OR(G2036=" ",NOT(ISNUMBER(G2036))),"Unknown",G2036&lt;=33,"Low Spender",G2036&lt;=66,"Medium Spender",TRUE, "High Spender")</f>
        <v>High Spender</v>
      </c>
      <c r="I2036" s="1">
        <v>15</v>
      </c>
      <c r="J2036" s="1">
        <v>10100</v>
      </c>
      <c r="K2036" s="1">
        <v>307</v>
      </c>
      <c r="M2036" s="1" t="s">
        <v>30</v>
      </c>
      <c r="N2036" s="1" t="str">
        <f t="shared" si="62"/>
        <v>Higher</v>
      </c>
      <c r="O2036" s="1" t="str">
        <f t="shared" si="63"/>
        <v>Pre-Senior | High Spender | Higher</v>
      </c>
    </row>
    <row r="2037" spans="1:15" x14ac:dyDescent="0.25">
      <c r="A2037" s="1" t="s">
        <v>2067</v>
      </c>
      <c r="B2037" s="1">
        <v>46</v>
      </c>
      <c r="C2037" s="1" t="str" cm="1">
        <f t="array" ref="C2037">_xlfn.IFS(OR(B2037=" ", B2037="NA",NOT(ISNUMBER(B2037))), "Unknown",B2037&lt;18,"Underage",B2037&lt;=24,"Young Adult",B2037&lt;=34,"Early Career",B2037&lt;=44,"Mid Career",B2037&lt;=54,"Mature",B2037&lt;=65,"Pre-Senior",B2037&gt;65,"Senior")</f>
        <v>Mature</v>
      </c>
      <c r="D2037" s="1" t="s">
        <v>12</v>
      </c>
      <c r="E2037" s="1" t="s">
        <v>58</v>
      </c>
      <c r="F2037" s="1">
        <v>950000</v>
      </c>
      <c r="G2037" s="1">
        <v>7</v>
      </c>
      <c r="H2037" s="1" t="str" cm="1">
        <f t="array" ref="H2037">_xlfn.IFS( OR(G2037=" ",NOT(ISNUMBER(G2037))),"Unknown",G2037&lt;=33,"Low Spender",G2037&lt;=66,"Medium Spender",TRUE, "High Spender")</f>
        <v>Low Spender</v>
      </c>
      <c r="I2037" s="1">
        <v>67</v>
      </c>
      <c r="J2037" s="1">
        <v>6000</v>
      </c>
      <c r="K2037" s="1">
        <v>115</v>
      </c>
      <c r="M2037" s="1" t="s">
        <v>30</v>
      </c>
      <c r="N2037" s="1" t="str">
        <f t="shared" si="62"/>
        <v>Lower</v>
      </c>
      <c r="O2037" s="1" t="str">
        <f t="shared" si="63"/>
        <v>Mature | Low Spender | Lower</v>
      </c>
    </row>
    <row r="2038" spans="1:15" x14ac:dyDescent="0.25">
      <c r="A2038" s="1" t="s">
        <v>2068</v>
      </c>
      <c r="B2038" s="1">
        <v>29</v>
      </c>
      <c r="C2038" s="1" t="str" cm="1">
        <f t="array" ref="C2038">_xlfn.IFS(OR(B2038=" ", B2038="NA",NOT(ISNUMBER(B2038))), "Unknown",B2038&lt;18,"Underage",B2038&lt;=24,"Young Adult",B2038&lt;=34,"Early Career",B2038&lt;=44,"Mid Career",B2038&lt;=54,"Mature",B2038&lt;=65,"Pre-Senior",B2038&gt;65,"Senior")</f>
        <v>Early Career</v>
      </c>
      <c r="D2038" s="1" t="s">
        <v>12</v>
      </c>
      <c r="E2038" s="1" t="s">
        <v>49</v>
      </c>
      <c r="F2038" s="1">
        <v>300000</v>
      </c>
      <c r="G2038" s="1">
        <v>96</v>
      </c>
      <c r="H2038" s="1" t="str" cm="1">
        <f t="array" ref="H2038">_xlfn.IFS( OR(G2038=" ",NOT(ISNUMBER(G2038))),"Unknown",G2038&lt;=33,"Low Spender",G2038&lt;=66,"Medium Spender",TRUE, "High Spender")</f>
        <v>High Spender</v>
      </c>
      <c r="I2038" s="1">
        <v>66</v>
      </c>
      <c r="J2038" s="1">
        <v>8100</v>
      </c>
      <c r="K2038" s="1">
        <v>207</v>
      </c>
      <c r="L2038" s="1" t="s">
        <v>16</v>
      </c>
      <c r="N2038" s="1" t="str">
        <f t="shared" si="62"/>
        <v>Lower</v>
      </c>
      <c r="O2038" s="1" t="str">
        <f t="shared" si="63"/>
        <v>Early Career | High Spender | Lower</v>
      </c>
    </row>
    <row r="2039" spans="1:15" x14ac:dyDescent="0.25">
      <c r="A2039" s="1" t="s">
        <v>2069</v>
      </c>
      <c r="B2039" s="1">
        <v>53</v>
      </c>
      <c r="C2039" s="1" t="str" cm="1">
        <f t="array" ref="C2039">_xlfn.IFS(OR(B2039=" ", B2039="NA",NOT(ISNUMBER(B2039))), "Unknown",B2039&lt;18,"Underage",B2039&lt;=24,"Young Adult",B2039&lt;=34,"Early Career",B2039&lt;=44,"Mid Career",B2039&lt;=54,"Mature",B2039&lt;=65,"Pre-Senior",B2039&gt;65,"Senior")</f>
        <v>Mature</v>
      </c>
      <c r="D2039" s="1" t="s">
        <v>29</v>
      </c>
      <c r="E2039" s="1" t="s">
        <v>58</v>
      </c>
      <c r="F2039" s="1">
        <v>1750000</v>
      </c>
      <c r="G2039" s="1">
        <v>72</v>
      </c>
      <c r="H2039" s="1" t="str" cm="1">
        <f t="array" ref="H2039">_xlfn.IFS( OR(G2039=" ",NOT(ISNUMBER(G2039))),"Unknown",G2039&lt;=33,"Low Spender",G2039&lt;=66,"Medium Spender",TRUE, "High Spender")</f>
        <v>High Spender</v>
      </c>
      <c r="I2039" s="1">
        <v>56</v>
      </c>
      <c r="J2039" s="1">
        <v>9000</v>
      </c>
      <c r="K2039" s="1">
        <v>81</v>
      </c>
      <c r="L2039" s="1" t="s">
        <v>16</v>
      </c>
      <c r="M2039" s="1" t="s">
        <v>32</v>
      </c>
      <c r="N2039" s="1" t="str">
        <f t="shared" si="62"/>
        <v>Higher</v>
      </c>
      <c r="O2039" s="1" t="str">
        <f t="shared" si="63"/>
        <v>Mature | High Spender | Higher</v>
      </c>
    </row>
    <row r="2040" spans="1:15" x14ac:dyDescent="0.25">
      <c r="A2040" s="1" t="s">
        <v>2070</v>
      </c>
      <c r="B2040" s="1">
        <v>52</v>
      </c>
      <c r="C2040" s="1" t="str" cm="1">
        <f t="array" ref="C2040">_xlfn.IFS(OR(B2040=" ", B2040="NA",NOT(ISNUMBER(B2040))), "Unknown",B2040&lt;18,"Underage",B2040&lt;=24,"Young Adult",B2040&lt;=34,"Early Career",B2040&lt;=44,"Mid Career",B2040&lt;=54,"Mature",B2040&lt;=65,"Pre-Senior",B2040&gt;65,"Senior")</f>
        <v>Mature</v>
      </c>
      <c r="F2040" s="1">
        <v>200000</v>
      </c>
      <c r="G2040" s="1">
        <v>15</v>
      </c>
      <c r="H2040" s="1" t="str" cm="1">
        <f t="array" ref="H2040">_xlfn.IFS( OR(G2040=" ",NOT(ISNUMBER(G2040))),"Unknown",G2040&lt;=33,"Low Spender",G2040&lt;=66,"Medium Spender",TRUE, "High Spender")</f>
        <v>Low Spender</v>
      </c>
      <c r="I2040" s="1">
        <v>68</v>
      </c>
      <c r="J2040" s="1">
        <v>5100</v>
      </c>
      <c r="K2040" s="1">
        <v>103</v>
      </c>
      <c r="L2040" s="1" t="s">
        <v>37</v>
      </c>
      <c r="N2040" s="1" t="str">
        <f t="shared" si="62"/>
        <v>Lower</v>
      </c>
      <c r="O2040" s="1" t="str">
        <f t="shared" si="63"/>
        <v>Mature | Low Spender | Lower</v>
      </c>
    </row>
    <row r="2041" spans="1:15" x14ac:dyDescent="0.25">
      <c r="A2041" s="1" t="s">
        <v>2071</v>
      </c>
      <c r="B2041" s="1">
        <v>69</v>
      </c>
      <c r="C2041" s="1" t="str" cm="1">
        <f t="array" ref="C2041">_xlfn.IFS(OR(B2041=" ", B2041="NA",NOT(ISNUMBER(B2041))), "Unknown",B2041&lt;18,"Underage",B2041&lt;=24,"Young Adult",B2041&lt;=34,"Early Career",B2041&lt;=44,"Mid Career",B2041&lt;=54,"Mature",B2041&lt;=65,"Pre-Senior",B2041&gt;65,"Senior")</f>
        <v>Senior</v>
      </c>
      <c r="D2041" s="1" t="s">
        <v>29</v>
      </c>
      <c r="E2041" s="1" t="s">
        <v>58</v>
      </c>
      <c r="F2041" s="1">
        <v>1400000</v>
      </c>
      <c r="G2041" s="1">
        <v>37</v>
      </c>
      <c r="H2041" s="1" t="str" cm="1">
        <f t="array" ref="H2041">_xlfn.IFS( OR(G2041=" ",NOT(ISNUMBER(G2041))),"Unknown",G2041&lt;=33,"Low Spender",G2041&lt;=66,"Medium Spender",TRUE, "High Spender")</f>
        <v>Medium Spender</v>
      </c>
      <c r="I2041" s="1">
        <v>32</v>
      </c>
      <c r="J2041" s="1">
        <v>5900</v>
      </c>
      <c r="K2041" s="1">
        <v>80</v>
      </c>
      <c r="M2041" s="1" t="s">
        <v>32</v>
      </c>
      <c r="N2041" s="1" t="str">
        <f t="shared" si="62"/>
        <v>Higher</v>
      </c>
      <c r="O2041" s="1" t="str">
        <f t="shared" si="63"/>
        <v>Senior | Medium Spender | Higher</v>
      </c>
    </row>
    <row r="2042" spans="1:15" x14ac:dyDescent="0.25">
      <c r="A2042" s="1" t="s">
        <v>2072</v>
      </c>
      <c r="B2042" s="1">
        <v>29</v>
      </c>
      <c r="C2042" s="1" t="str" cm="1">
        <f t="array" ref="C2042">_xlfn.IFS(OR(B2042=" ", B2042="NA",NOT(ISNUMBER(B2042))), "Unknown",B2042&lt;18,"Underage",B2042&lt;=24,"Young Adult",B2042&lt;=34,"Early Career",B2042&lt;=44,"Mid Career",B2042&lt;=54,"Mature",B2042&lt;=65,"Pre-Senior",B2042&gt;65,"Senior")</f>
        <v>Early Career</v>
      </c>
      <c r="D2042" s="1" t="s">
        <v>12</v>
      </c>
      <c r="E2042" s="1" t="s">
        <v>13</v>
      </c>
      <c r="F2042" s="1">
        <v>1475000</v>
      </c>
      <c r="G2042" s="1">
        <v>83</v>
      </c>
      <c r="H2042" s="1" t="str" cm="1">
        <f t="array" ref="H2042">_xlfn.IFS( OR(G2042=" ",NOT(ISNUMBER(G2042))),"Unknown",G2042&lt;=33,"Low Spender",G2042&lt;=66,"Medium Spender",TRUE, "High Spender")</f>
        <v>High Spender</v>
      </c>
      <c r="I2042" s="1">
        <v>66</v>
      </c>
      <c r="J2042" s="1">
        <v>1800</v>
      </c>
      <c r="K2042" s="1">
        <v>103</v>
      </c>
      <c r="L2042" s="1" t="s">
        <v>16</v>
      </c>
      <c r="N2042" s="1" t="str">
        <f t="shared" si="62"/>
        <v>Lower</v>
      </c>
      <c r="O2042" s="1" t="str">
        <f t="shared" si="63"/>
        <v>Early Career | High Spender | Lower</v>
      </c>
    </row>
    <row r="2043" spans="1:15" x14ac:dyDescent="0.25">
      <c r="A2043" s="1" t="s">
        <v>2073</v>
      </c>
      <c r="B2043" s="1">
        <v>24</v>
      </c>
      <c r="C2043" s="1" t="str" cm="1">
        <f t="array" ref="C2043">_xlfn.IFS(OR(B2043=" ", B2043="NA",NOT(ISNUMBER(B2043))), "Unknown",B2043&lt;18,"Underage",B2043&lt;=24,"Young Adult",B2043&lt;=34,"Early Career",B2043&lt;=44,"Mid Career",B2043&lt;=54,"Mature",B2043&lt;=65,"Pre-Senior",B2043&gt;65,"Senior")</f>
        <v>Young Adult</v>
      </c>
      <c r="D2043" s="1" t="s">
        <v>29</v>
      </c>
      <c r="E2043" s="1" t="s">
        <v>34</v>
      </c>
      <c r="F2043" s="1">
        <v>1975000</v>
      </c>
      <c r="G2043" s="1">
        <v>39</v>
      </c>
      <c r="H2043" s="1" t="str" cm="1">
        <f t="array" ref="H2043">_xlfn.IFS( OR(G2043=" ",NOT(ISNUMBER(G2043))),"Unknown",G2043&lt;=33,"Low Spender",G2043&lt;=66,"Medium Spender",TRUE, "High Spender")</f>
        <v>Medium Spender</v>
      </c>
      <c r="I2043" s="1">
        <v>29</v>
      </c>
      <c r="J2043" s="1">
        <v>10200</v>
      </c>
      <c r="K2043" s="1">
        <v>240</v>
      </c>
      <c r="L2043" s="1" t="s">
        <v>35</v>
      </c>
      <c r="N2043" s="1" t="str">
        <f t="shared" si="62"/>
        <v>Higher</v>
      </c>
      <c r="O2043" s="1" t="str">
        <f t="shared" si="63"/>
        <v>Young Adult | Medium Spender | Higher</v>
      </c>
    </row>
    <row r="2044" spans="1:15" x14ac:dyDescent="0.25">
      <c r="A2044" s="1" t="s">
        <v>2074</v>
      </c>
      <c r="B2044" s="1">
        <v>46</v>
      </c>
      <c r="C2044" s="1" t="str" cm="1">
        <f t="array" ref="C2044">_xlfn.IFS(OR(B2044=" ", B2044="NA",NOT(ISNUMBER(B2044))), "Unknown",B2044&lt;18,"Underage",B2044&lt;=24,"Young Adult",B2044&lt;=34,"Early Career",B2044&lt;=44,"Mid Career",B2044&lt;=54,"Mature",B2044&lt;=65,"Pre-Senior",B2044&gt;65,"Senior")</f>
        <v>Mature</v>
      </c>
      <c r="F2044" s="1">
        <v>1600000</v>
      </c>
      <c r="G2044" s="1">
        <v>6</v>
      </c>
      <c r="H2044" s="1" t="str" cm="1">
        <f t="array" ref="H2044">_xlfn.IFS( OR(G2044=" ",NOT(ISNUMBER(G2044))),"Unknown",G2044&lt;=33,"Low Spender",G2044&lt;=66,"Medium Spender",TRUE, "High Spender")</f>
        <v>Low Spender</v>
      </c>
      <c r="I2044" s="1">
        <v>66</v>
      </c>
      <c r="J2044" s="1">
        <v>7700</v>
      </c>
      <c r="K2044" s="1">
        <v>265</v>
      </c>
      <c r="M2044" s="1" t="s">
        <v>32</v>
      </c>
      <c r="N2044" s="1" t="str">
        <f t="shared" si="62"/>
        <v>Lower</v>
      </c>
      <c r="O2044" s="1" t="str">
        <f t="shared" si="63"/>
        <v>Mature | Low Spender | Lower</v>
      </c>
    </row>
    <row r="2045" spans="1:15" x14ac:dyDescent="0.25">
      <c r="A2045" s="1" t="s">
        <v>2075</v>
      </c>
      <c r="B2045" s="1">
        <v>28</v>
      </c>
      <c r="C2045" s="1" t="str" cm="1">
        <f t="array" ref="C2045">_xlfn.IFS(OR(B2045=" ", B2045="NA",NOT(ISNUMBER(B2045))), "Unknown",B2045&lt;18,"Underage",B2045&lt;=24,"Young Adult",B2045&lt;=34,"Early Career",B2045&lt;=44,"Mid Career",B2045&lt;=54,"Mature",B2045&lt;=65,"Pre-Senior",B2045&gt;65,"Senior")</f>
        <v>Early Career</v>
      </c>
      <c r="F2045" s="1">
        <v>275000</v>
      </c>
      <c r="G2045" s="1">
        <v>83</v>
      </c>
      <c r="H2045" s="1" t="str" cm="1">
        <f t="array" ref="H2045">_xlfn.IFS( OR(G2045=" ",NOT(ISNUMBER(G2045))),"Unknown",G2045&lt;=33,"Low Spender",G2045&lt;=66,"Medium Spender",TRUE, "High Spender")</f>
        <v>High Spender</v>
      </c>
      <c r="I2045" s="1">
        <v>34</v>
      </c>
      <c r="J2045" s="1">
        <v>1000</v>
      </c>
      <c r="K2045" s="1">
        <v>33</v>
      </c>
      <c r="M2045" s="1" t="s">
        <v>21</v>
      </c>
      <c r="N2045" s="1" t="str">
        <f t="shared" si="62"/>
        <v>Lower</v>
      </c>
      <c r="O2045" s="1" t="str">
        <f t="shared" si="63"/>
        <v>Early Career | High Spender | Lower</v>
      </c>
    </row>
    <row r="2046" spans="1:15" x14ac:dyDescent="0.25">
      <c r="A2046" s="1" t="s">
        <v>2076</v>
      </c>
      <c r="B2046" s="1">
        <v>50</v>
      </c>
      <c r="C2046" s="1" t="str" cm="1">
        <f t="array" ref="C2046">_xlfn.IFS(OR(B2046=" ", B2046="NA",NOT(ISNUMBER(B2046))), "Unknown",B2046&lt;18,"Underage",B2046&lt;=24,"Young Adult",B2046&lt;=34,"Early Career",B2046&lt;=44,"Mid Career",B2046&lt;=54,"Mature",B2046&lt;=65,"Pre-Senior",B2046&gt;65,"Senior")</f>
        <v>Mature</v>
      </c>
      <c r="D2046" s="1" t="s">
        <v>29</v>
      </c>
      <c r="E2046" s="1" t="s">
        <v>34</v>
      </c>
      <c r="F2046" s="1">
        <v>850000</v>
      </c>
      <c r="G2046" s="1">
        <v>57</v>
      </c>
      <c r="H2046" s="1" t="str" cm="1">
        <f t="array" ref="H2046">_xlfn.IFS( OR(G2046=" ",NOT(ISNUMBER(G2046))),"Unknown",G2046&lt;=33,"Low Spender",G2046&lt;=66,"Medium Spender",TRUE, "High Spender")</f>
        <v>Medium Spender</v>
      </c>
      <c r="I2046" s="1">
        <v>27</v>
      </c>
      <c r="J2046" s="1">
        <v>6900</v>
      </c>
      <c r="K2046" s="1">
        <v>35</v>
      </c>
      <c r="L2046" s="1" t="s">
        <v>37</v>
      </c>
      <c r="N2046" s="1" t="str">
        <f t="shared" si="62"/>
        <v>Higher</v>
      </c>
      <c r="O2046" s="1" t="str">
        <f t="shared" si="63"/>
        <v>Mature | Medium Spender | Higher</v>
      </c>
    </row>
    <row r="2047" spans="1:15" x14ac:dyDescent="0.25">
      <c r="A2047" s="1" t="s">
        <v>2077</v>
      </c>
      <c r="B2047" s="1">
        <v>23</v>
      </c>
      <c r="C2047" s="1" t="str" cm="1">
        <f t="array" ref="C2047">_xlfn.IFS(OR(B2047=" ", B2047="NA",NOT(ISNUMBER(B2047))), "Unknown",B2047&lt;18,"Underage",B2047&lt;=24,"Young Adult",B2047&lt;=34,"Early Career",B2047&lt;=44,"Mid Career",B2047&lt;=54,"Mature",B2047&lt;=65,"Pre-Senior",B2047&gt;65,"Senior")</f>
        <v>Young Adult</v>
      </c>
      <c r="E2047" s="1" t="s">
        <v>23</v>
      </c>
      <c r="F2047" s="1">
        <v>550000</v>
      </c>
      <c r="G2047" s="1">
        <v>92</v>
      </c>
      <c r="H2047" s="1" t="str" cm="1">
        <f t="array" ref="H2047">_xlfn.IFS( OR(G2047=" ",NOT(ISNUMBER(G2047))),"Unknown",G2047&lt;=33,"Low Spender",G2047&lt;=66,"Medium Spender",TRUE, "High Spender")</f>
        <v>High Spender</v>
      </c>
      <c r="I2047" s="1">
        <v>60</v>
      </c>
      <c r="J2047" s="1">
        <v>2100</v>
      </c>
      <c r="K2047" s="1">
        <v>249</v>
      </c>
      <c r="L2047" s="1" t="s">
        <v>16</v>
      </c>
      <c r="N2047" s="1" t="str">
        <f t="shared" si="62"/>
        <v>Lower</v>
      </c>
      <c r="O2047" s="1" t="str">
        <f t="shared" si="63"/>
        <v>Young Adult | High Spender | Lower</v>
      </c>
    </row>
    <row r="2048" spans="1:15" x14ac:dyDescent="0.25">
      <c r="A2048" s="1" t="s">
        <v>2078</v>
      </c>
      <c r="B2048" s="1">
        <v>64</v>
      </c>
      <c r="C2048" s="1" t="str" cm="1">
        <f t="array" ref="C2048">_xlfn.IFS(OR(B2048=" ", B2048="NA",NOT(ISNUMBER(B2048))), "Unknown",B2048&lt;18,"Underage",B2048&lt;=24,"Young Adult",B2048&lt;=34,"Early Career",B2048&lt;=44,"Mid Career",B2048&lt;=54,"Mature",B2048&lt;=65,"Pre-Senior",B2048&gt;65,"Senior")</f>
        <v>Pre-Senior</v>
      </c>
      <c r="D2048" s="1" t="s">
        <v>12</v>
      </c>
      <c r="E2048" s="1" t="s">
        <v>34</v>
      </c>
      <c r="F2048" s="1">
        <v>1625000</v>
      </c>
      <c r="G2048" s="1">
        <v>81</v>
      </c>
      <c r="H2048" s="1" t="str" cm="1">
        <f t="array" ref="H2048">_xlfn.IFS( OR(G2048=" ",NOT(ISNUMBER(G2048))),"Unknown",G2048&lt;=33,"Low Spender",G2048&lt;=66,"Medium Spender",TRUE, "High Spender")</f>
        <v>High Spender</v>
      </c>
      <c r="I2048" s="1">
        <v>39</v>
      </c>
      <c r="J2048" s="1">
        <v>11200</v>
      </c>
      <c r="K2048" s="1">
        <v>50</v>
      </c>
      <c r="L2048" s="1" t="s">
        <v>20</v>
      </c>
      <c r="M2048" s="1" t="s">
        <v>41</v>
      </c>
      <c r="N2048" s="1" t="str">
        <f t="shared" si="62"/>
        <v>Lower</v>
      </c>
      <c r="O2048" s="1" t="str">
        <f t="shared" si="63"/>
        <v>Pre-Senior | High Spender | Lower</v>
      </c>
    </row>
    <row r="2049" spans="1:15" x14ac:dyDescent="0.25">
      <c r="A2049" s="1" t="s">
        <v>2079</v>
      </c>
      <c r="B2049" s="1">
        <v>32</v>
      </c>
      <c r="C2049" s="1" t="str" cm="1">
        <f t="array" ref="C2049">_xlfn.IFS(OR(B2049=" ", B2049="NA",NOT(ISNUMBER(B2049))), "Unknown",B2049&lt;18,"Underage",B2049&lt;=24,"Young Adult",B2049&lt;=34,"Early Career",B2049&lt;=44,"Mid Career",B2049&lt;=54,"Mature",B2049&lt;=65,"Pre-Senior",B2049&gt;65,"Senior")</f>
        <v>Early Career</v>
      </c>
      <c r="D2049" s="1" t="s">
        <v>18</v>
      </c>
      <c r="E2049" s="1" t="s">
        <v>58</v>
      </c>
      <c r="F2049" s="1">
        <v>675000</v>
      </c>
      <c r="G2049" s="1">
        <v>19</v>
      </c>
      <c r="H2049" s="1" t="str" cm="1">
        <f t="array" ref="H2049">_xlfn.IFS( OR(G2049=" ",NOT(ISNUMBER(G2049))),"Unknown",G2049&lt;=33,"Low Spender",G2049&lt;=66,"Medium Spender",TRUE, "High Spender")</f>
        <v>Low Spender</v>
      </c>
      <c r="I2049" s="1">
        <v>44</v>
      </c>
      <c r="J2049" s="1">
        <v>10700</v>
      </c>
      <c r="K2049" s="1">
        <v>280</v>
      </c>
      <c r="M2049" s="1" t="s">
        <v>41</v>
      </c>
      <c r="N2049" s="1" t="str">
        <f t="shared" si="62"/>
        <v>Higher</v>
      </c>
      <c r="O2049" s="1" t="str">
        <f t="shared" si="63"/>
        <v>Early Career | Low Spender | Higher</v>
      </c>
    </row>
    <row r="2050" spans="1:15" x14ac:dyDescent="0.25">
      <c r="A2050" s="1" t="s">
        <v>2080</v>
      </c>
      <c r="B2050" s="1">
        <v>49</v>
      </c>
      <c r="C2050" s="1" t="str" cm="1">
        <f t="array" ref="C2050">_xlfn.IFS(OR(B2050=" ", B2050="NA",NOT(ISNUMBER(B2050))), "Unknown",B2050&lt;18,"Underage",B2050&lt;=24,"Young Adult",B2050&lt;=34,"Early Career",B2050&lt;=44,"Mid Career",B2050&lt;=54,"Mature",B2050&lt;=65,"Pre-Senior",B2050&gt;65,"Senior")</f>
        <v>Mature</v>
      </c>
      <c r="E2050" s="1" t="s">
        <v>13</v>
      </c>
      <c r="F2050" s="1">
        <v>725000</v>
      </c>
      <c r="G2050" s="1">
        <v>63</v>
      </c>
      <c r="H2050" s="1" t="str" cm="1">
        <f t="array" ref="H2050">_xlfn.IFS( OR(G2050=" ",NOT(ISNUMBER(G2050))),"Unknown",G2050&lt;=33,"Low Spender",G2050&lt;=66,"Medium Spender",TRUE, "High Spender")</f>
        <v>Medium Spender</v>
      </c>
      <c r="I2050" s="1">
        <v>36</v>
      </c>
      <c r="J2050" s="1">
        <v>6900</v>
      </c>
      <c r="K2050" s="1">
        <v>242</v>
      </c>
      <c r="L2050" s="1" t="s">
        <v>37</v>
      </c>
      <c r="M2050" s="1" t="s">
        <v>41</v>
      </c>
      <c r="N2050" s="1" t="str">
        <f t="shared" ref="N2050:N2113" si="64">IF(OR(UPPER(TRIM(D2050))="Male",UPPER(TRIM(D2050))="Female"),"Higher","Lower")</f>
        <v>Lower</v>
      </c>
      <c r="O2050" s="1" t="str">
        <f t="shared" ref="O2050:O2113" si="65">_xlfn.TEXTJOIN(" | ", TRUE, C2050, H2050, N2050)</f>
        <v>Mature | Medium Spender | Lower</v>
      </c>
    </row>
    <row r="2051" spans="1:15" x14ac:dyDescent="0.25">
      <c r="A2051" s="1" t="s">
        <v>2081</v>
      </c>
      <c r="B2051" s="1">
        <v>68</v>
      </c>
      <c r="C2051" s="1" t="str" cm="1">
        <f t="array" ref="C2051">_xlfn.IFS(OR(B2051=" ", B2051="NA",NOT(ISNUMBER(B2051))), "Unknown",B2051&lt;18,"Underage",B2051&lt;=24,"Young Adult",B2051&lt;=34,"Early Career",B2051&lt;=44,"Mid Career",B2051&lt;=54,"Mature",B2051&lt;=65,"Pre-Senior",B2051&gt;65,"Senior")</f>
        <v>Senior</v>
      </c>
      <c r="D2051" s="1" t="s">
        <v>29</v>
      </c>
      <c r="E2051" s="1" t="s">
        <v>27</v>
      </c>
      <c r="F2051" s="1">
        <v>1400000</v>
      </c>
      <c r="G2051" s="1">
        <v>31</v>
      </c>
      <c r="H2051" s="1" t="str" cm="1">
        <f t="array" ref="H2051">_xlfn.IFS( OR(G2051=" ",NOT(ISNUMBER(G2051))),"Unknown",G2051&lt;=33,"Low Spender",G2051&lt;=66,"Medium Spender",TRUE, "High Spender")</f>
        <v>Low Spender</v>
      </c>
      <c r="I2051" s="1">
        <v>19</v>
      </c>
      <c r="J2051" s="1">
        <v>3800</v>
      </c>
      <c r="K2051" s="1">
        <v>152</v>
      </c>
      <c r="L2051" s="1" t="s">
        <v>35</v>
      </c>
      <c r="N2051" s="1" t="str">
        <f t="shared" si="64"/>
        <v>Higher</v>
      </c>
      <c r="O2051" s="1" t="str">
        <f t="shared" si="65"/>
        <v>Senior | Low Spender | Higher</v>
      </c>
    </row>
    <row r="2052" spans="1:15" x14ac:dyDescent="0.25">
      <c r="A2052" s="1" t="s">
        <v>2082</v>
      </c>
      <c r="B2052" s="1">
        <v>28</v>
      </c>
      <c r="C2052" s="1" t="str" cm="1">
        <f t="array" ref="C2052">_xlfn.IFS(OR(B2052=" ", B2052="NA",NOT(ISNUMBER(B2052))), "Unknown",B2052&lt;18,"Underage",B2052&lt;=24,"Young Adult",B2052&lt;=34,"Early Career",B2052&lt;=44,"Mid Career",B2052&lt;=54,"Mature",B2052&lt;=65,"Pre-Senior",B2052&gt;65,"Senior")</f>
        <v>Early Career</v>
      </c>
      <c r="D2052" s="1" t="s">
        <v>18</v>
      </c>
      <c r="E2052" s="1" t="s">
        <v>23</v>
      </c>
      <c r="F2052" s="1">
        <v>1375000</v>
      </c>
      <c r="G2052" s="1">
        <v>75</v>
      </c>
      <c r="H2052" s="1" t="str" cm="1">
        <f t="array" ref="H2052">_xlfn.IFS( OR(G2052=" ",NOT(ISNUMBER(G2052))),"Unknown",G2052&lt;=33,"Low Spender",G2052&lt;=66,"Medium Spender",TRUE, "High Spender")</f>
        <v>High Spender</v>
      </c>
      <c r="I2052" s="1">
        <v>45</v>
      </c>
      <c r="J2052" s="1">
        <v>9100</v>
      </c>
      <c r="K2052" s="1">
        <v>147</v>
      </c>
      <c r="M2052" s="1" t="s">
        <v>30</v>
      </c>
      <c r="N2052" s="1" t="str">
        <f t="shared" si="64"/>
        <v>Higher</v>
      </c>
      <c r="O2052" s="1" t="str">
        <f t="shared" si="65"/>
        <v>Early Career | High Spender | Higher</v>
      </c>
    </row>
    <row r="2053" spans="1:15" x14ac:dyDescent="0.25">
      <c r="A2053" s="1" t="s">
        <v>2083</v>
      </c>
      <c r="B2053" s="1">
        <v>40</v>
      </c>
      <c r="C2053" s="1" t="str" cm="1">
        <f t="array" ref="C2053">_xlfn.IFS(OR(B2053=" ", B2053="NA",NOT(ISNUMBER(B2053))), "Unknown",B2053&lt;18,"Underage",B2053&lt;=24,"Young Adult",B2053&lt;=34,"Early Career",B2053&lt;=44,"Mid Career",B2053&lt;=54,"Mature",B2053&lt;=65,"Pre-Senior",B2053&gt;65,"Senior")</f>
        <v>Mid Career</v>
      </c>
      <c r="E2053" s="1" t="s">
        <v>15</v>
      </c>
      <c r="F2053" s="1">
        <v>400000</v>
      </c>
      <c r="G2053" s="1">
        <v>79</v>
      </c>
      <c r="H2053" s="1" t="str" cm="1">
        <f t="array" ref="H2053">_xlfn.IFS( OR(G2053=" ",NOT(ISNUMBER(G2053))),"Unknown",G2053&lt;=33,"Low Spender",G2053&lt;=66,"Medium Spender",TRUE, "High Spender")</f>
        <v>High Spender</v>
      </c>
      <c r="I2053" s="1">
        <v>21</v>
      </c>
      <c r="J2053" s="1">
        <v>6200</v>
      </c>
      <c r="K2053" s="1">
        <v>39</v>
      </c>
      <c r="N2053" s="1" t="str">
        <f t="shared" si="64"/>
        <v>Lower</v>
      </c>
      <c r="O2053" s="1" t="str">
        <f t="shared" si="65"/>
        <v>Mid Career | High Spender | Lower</v>
      </c>
    </row>
    <row r="2054" spans="1:15" x14ac:dyDescent="0.25">
      <c r="A2054" s="1" t="s">
        <v>2084</v>
      </c>
      <c r="B2054" s="1">
        <v>43</v>
      </c>
      <c r="C2054" s="1" t="str" cm="1">
        <f t="array" ref="C2054">_xlfn.IFS(OR(B2054=" ", B2054="NA",NOT(ISNUMBER(B2054))), "Unknown",B2054&lt;18,"Underage",B2054&lt;=24,"Young Adult",B2054&lt;=34,"Early Career",B2054&lt;=44,"Mid Career",B2054&lt;=54,"Mature",B2054&lt;=65,"Pre-Senior",B2054&gt;65,"Senior")</f>
        <v>Mid Career</v>
      </c>
      <c r="D2054" s="1" t="s">
        <v>29</v>
      </c>
      <c r="E2054" s="1" t="s">
        <v>27</v>
      </c>
      <c r="F2054" s="1">
        <v>1525000</v>
      </c>
      <c r="G2054" s="1">
        <v>10</v>
      </c>
      <c r="H2054" s="1" t="str" cm="1">
        <f t="array" ref="H2054">_xlfn.IFS( OR(G2054=" ",NOT(ISNUMBER(G2054))),"Unknown",G2054&lt;=33,"Low Spender",G2054&lt;=66,"Medium Spender",TRUE, "High Spender")</f>
        <v>Low Spender</v>
      </c>
      <c r="I2054" s="1">
        <v>23</v>
      </c>
      <c r="J2054" s="1">
        <v>3800</v>
      </c>
      <c r="K2054" s="1">
        <v>189</v>
      </c>
      <c r="L2054" s="1" t="s">
        <v>35</v>
      </c>
      <c r="N2054" s="1" t="str">
        <f t="shared" si="64"/>
        <v>Higher</v>
      </c>
      <c r="O2054" s="1" t="str">
        <f t="shared" si="65"/>
        <v>Mid Career | Low Spender | Higher</v>
      </c>
    </row>
    <row r="2055" spans="1:15" x14ac:dyDescent="0.25">
      <c r="A2055" s="1" t="s">
        <v>2085</v>
      </c>
      <c r="B2055" s="1">
        <v>51</v>
      </c>
      <c r="C2055" s="1" t="str" cm="1">
        <f t="array" ref="C2055">_xlfn.IFS(OR(B2055=" ", B2055="NA",NOT(ISNUMBER(B2055))), "Unknown",B2055&lt;18,"Underage",B2055&lt;=24,"Young Adult",B2055&lt;=34,"Early Career",B2055&lt;=44,"Mid Career",B2055&lt;=54,"Mature",B2055&lt;=65,"Pre-Senior",B2055&gt;65,"Senior")</f>
        <v>Mature</v>
      </c>
      <c r="E2055" s="1" t="s">
        <v>19</v>
      </c>
      <c r="F2055" s="1">
        <v>1900000</v>
      </c>
      <c r="G2055" s="1">
        <v>87</v>
      </c>
      <c r="H2055" s="1" t="str" cm="1">
        <f t="array" ref="H2055">_xlfn.IFS( OR(G2055=" ",NOT(ISNUMBER(G2055))),"Unknown",G2055&lt;=33,"Low Spender",G2055&lt;=66,"Medium Spender",TRUE, "High Spender")</f>
        <v>High Spender</v>
      </c>
      <c r="I2055" s="1">
        <v>27</v>
      </c>
      <c r="J2055" s="1">
        <v>1300</v>
      </c>
      <c r="K2055" s="1">
        <v>25</v>
      </c>
      <c r="L2055" s="1" t="s">
        <v>35</v>
      </c>
      <c r="M2055" s="1" t="s">
        <v>32</v>
      </c>
      <c r="N2055" s="1" t="str">
        <f t="shared" si="64"/>
        <v>Lower</v>
      </c>
      <c r="O2055" s="1" t="str">
        <f t="shared" si="65"/>
        <v>Mature | High Spender | Lower</v>
      </c>
    </row>
    <row r="2056" spans="1:15" x14ac:dyDescent="0.25">
      <c r="A2056" s="1" t="s">
        <v>2086</v>
      </c>
      <c r="B2056" s="1">
        <v>63</v>
      </c>
      <c r="C2056" s="1" t="str" cm="1">
        <f t="array" ref="C2056">_xlfn.IFS(OR(B2056=" ", B2056="NA",NOT(ISNUMBER(B2056))), "Unknown",B2056&lt;18,"Underage",B2056&lt;=24,"Young Adult",B2056&lt;=34,"Early Career",B2056&lt;=44,"Mid Career",B2056&lt;=54,"Mature",B2056&lt;=65,"Pre-Senior",B2056&gt;65,"Senior")</f>
        <v>Pre-Senior</v>
      </c>
      <c r="D2056" s="1" t="s">
        <v>29</v>
      </c>
      <c r="E2056" s="1" t="s">
        <v>19</v>
      </c>
      <c r="F2056" s="1">
        <v>1175000</v>
      </c>
      <c r="G2056" s="1">
        <v>67</v>
      </c>
      <c r="H2056" s="1" t="str" cm="1">
        <f t="array" ref="H2056">_xlfn.IFS( OR(G2056=" ",NOT(ISNUMBER(G2056))),"Unknown",G2056&lt;=33,"Low Spender",G2056&lt;=66,"Medium Spender",TRUE, "High Spender")</f>
        <v>High Spender</v>
      </c>
      <c r="I2056" s="1">
        <v>72</v>
      </c>
      <c r="J2056" s="1">
        <v>5300</v>
      </c>
      <c r="K2056" s="1">
        <v>244</v>
      </c>
      <c r="N2056" s="1" t="str">
        <f t="shared" si="64"/>
        <v>Higher</v>
      </c>
      <c r="O2056" s="1" t="str">
        <f t="shared" si="65"/>
        <v>Pre-Senior | High Spender | Higher</v>
      </c>
    </row>
    <row r="2057" spans="1:15" x14ac:dyDescent="0.25">
      <c r="A2057" s="1" t="s">
        <v>2087</v>
      </c>
      <c r="B2057" s="1">
        <v>51</v>
      </c>
      <c r="C2057" s="1" t="str" cm="1">
        <f t="array" ref="C2057">_xlfn.IFS(OR(B2057=" ", B2057="NA",NOT(ISNUMBER(B2057))), "Unknown",B2057&lt;18,"Underage",B2057&lt;=24,"Young Adult",B2057&lt;=34,"Early Career",B2057&lt;=44,"Mid Career",B2057&lt;=54,"Mature",B2057&lt;=65,"Pre-Senior",B2057&gt;65,"Senior")</f>
        <v>Mature</v>
      </c>
      <c r="E2057" s="1" t="s">
        <v>19</v>
      </c>
      <c r="F2057" s="1">
        <v>1100000</v>
      </c>
      <c r="G2057" s="1">
        <v>62</v>
      </c>
      <c r="H2057" s="1" t="str" cm="1">
        <f t="array" ref="H2057">_xlfn.IFS( OR(G2057=" ",NOT(ISNUMBER(G2057))),"Unknown",G2057&lt;=33,"Low Spender",G2057&lt;=66,"Medium Spender",TRUE, "High Spender")</f>
        <v>Medium Spender</v>
      </c>
      <c r="I2057" s="1">
        <v>19</v>
      </c>
      <c r="J2057" s="1">
        <v>8200</v>
      </c>
      <c r="K2057" s="1">
        <v>223</v>
      </c>
      <c r="L2057" s="1" t="s">
        <v>20</v>
      </c>
      <c r="N2057" s="1" t="str">
        <f t="shared" si="64"/>
        <v>Lower</v>
      </c>
      <c r="O2057" s="1" t="str">
        <f t="shared" si="65"/>
        <v>Mature | Medium Spender | Lower</v>
      </c>
    </row>
    <row r="2058" spans="1:15" x14ac:dyDescent="0.25">
      <c r="A2058" s="1" t="s">
        <v>2088</v>
      </c>
      <c r="B2058" s="1">
        <v>46</v>
      </c>
      <c r="C2058" s="1" t="str" cm="1">
        <f t="array" ref="C2058">_xlfn.IFS(OR(B2058=" ", B2058="NA",NOT(ISNUMBER(B2058))), "Unknown",B2058&lt;18,"Underage",B2058&lt;=24,"Young Adult",B2058&lt;=34,"Early Career",B2058&lt;=44,"Mid Career",B2058&lt;=54,"Mature",B2058&lt;=65,"Pre-Senior",B2058&gt;65,"Senior")</f>
        <v>Mature</v>
      </c>
      <c r="E2058" s="1" t="s">
        <v>19</v>
      </c>
      <c r="F2058" s="1">
        <v>1850000</v>
      </c>
      <c r="G2058" s="1">
        <v>3</v>
      </c>
      <c r="H2058" s="1" t="str" cm="1">
        <f t="array" ref="H2058">_xlfn.IFS( OR(G2058=" ",NOT(ISNUMBER(G2058))),"Unknown",G2058&lt;=33,"Low Spender",G2058&lt;=66,"Medium Spender",TRUE, "High Spender")</f>
        <v>Low Spender</v>
      </c>
      <c r="I2058" s="1">
        <v>41</v>
      </c>
      <c r="J2058" s="1">
        <v>5700</v>
      </c>
      <c r="K2058" s="1">
        <v>230</v>
      </c>
      <c r="L2058" s="1" t="s">
        <v>20</v>
      </c>
      <c r="M2058" s="1" t="s">
        <v>32</v>
      </c>
      <c r="N2058" s="1" t="str">
        <f t="shared" si="64"/>
        <v>Lower</v>
      </c>
      <c r="O2058" s="1" t="str">
        <f t="shared" si="65"/>
        <v>Mature | Low Spender | Lower</v>
      </c>
    </row>
    <row r="2059" spans="1:15" x14ac:dyDescent="0.25">
      <c r="A2059" s="1" t="s">
        <v>2089</v>
      </c>
      <c r="B2059" s="1">
        <v>21</v>
      </c>
      <c r="C2059" s="1" t="str" cm="1">
        <f t="array" ref="C2059">_xlfn.IFS(OR(B2059=" ", B2059="NA",NOT(ISNUMBER(B2059))), "Unknown",B2059&lt;18,"Underage",B2059&lt;=24,"Young Adult",B2059&lt;=34,"Early Career",B2059&lt;=44,"Mid Career",B2059&lt;=54,"Mature",B2059&lt;=65,"Pre-Senior",B2059&gt;65,"Senior")</f>
        <v>Young Adult</v>
      </c>
      <c r="D2059" s="1" t="s">
        <v>29</v>
      </c>
      <c r="E2059" s="1" t="s">
        <v>13</v>
      </c>
      <c r="F2059" s="1">
        <v>1325000</v>
      </c>
      <c r="G2059" s="1">
        <v>18</v>
      </c>
      <c r="H2059" s="1" t="str" cm="1">
        <f t="array" ref="H2059">_xlfn.IFS( OR(G2059=" ",NOT(ISNUMBER(G2059))),"Unknown",G2059&lt;=33,"Low Spender",G2059&lt;=66,"Medium Spender",TRUE, "High Spender")</f>
        <v>Low Spender</v>
      </c>
      <c r="I2059" s="1">
        <v>26</v>
      </c>
      <c r="J2059" s="1">
        <v>5600</v>
      </c>
      <c r="K2059" s="1">
        <v>153</v>
      </c>
      <c r="N2059" s="1" t="str">
        <f t="shared" si="64"/>
        <v>Higher</v>
      </c>
      <c r="O2059" s="1" t="str">
        <f t="shared" si="65"/>
        <v>Young Adult | Low Spender | Higher</v>
      </c>
    </row>
    <row r="2060" spans="1:15" x14ac:dyDescent="0.25">
      <c r="A2060" s="1" t="s">
        <v>2090</v>
      </c>
      <c r="B2060" s="1">
        <v>34</v>
      </c>
      <c r="C2060" s="1" t="str" cm="1">
        <f t="array" ref="C2060">_xlfn.IFS(OR(B2060=" ", B2060="NA",NOT(ISNUMBER(B2060))), "Unknown",B2060&lt;18,"Underage",B2060&lt;=24,"Young Adult",B2060&lt;=34,"Early Career",B2060&lt;=44,"Mid Career",B2060&lt;=54,"Mature",B2060&lt;=65,"Pre-Senior",B2060&gt;65,"Senior")</f>
        <v>Early Career</v>
      </c>
      <c r="D2060" s="1" t="s">
        <v>12</v>
      </c>
      <c r="E2060" s="1" t="s">
        <v>27</v>
      </c>
      <c r="F2060" s="1">
        <v>1550000</v>
      </c>
      <c r="G2060" s="1">
        <v>25</v>
      </c>
      <c r="H2060" s="1" t="str" cm="1">
        <f t="array" ref="H2060">_xlfn.IFS( OR(G2060=" ",NOT(ISNUMBER(G2060))),"Unknown",G2060&lt;=33,"Low Spender",G2060&lt;=66,"Medium Spender",TRUE, "High Spender")</f>
        <v>Low Spender</v>
      </c>
      <c r="I2060" s="1">
        <v>28</v>
      </c>
      <c r="J2060" s="1">
        <v>1900</v>
      </c>
      <c r="K2060" s="1">
        <v>288</v>
      </c>
      <c r="N2060" s="1" t="str">
        <f t="shared" si="64"/>
        <v>Lower</v>
      </c>
      <c r="O2060" s="1" t="str">
        <f t="shared" si="65"/>
        <v>Early Career | Low Spender | Lower</v>
      </c>
    </row>
    <row r="2061" spans="1:15" x14ac:dyDescent="0.25">
      <c r="A2061" s="1" t="s">
        <v>2091</v>
      </c>
      <c r="B2061" s="1">
        <v>52</v>
      </c>
      <c r="C2061" s="1" t="str" cm="1">
        <f t="array" ref="C2061">_xlfn.IFS(OR(B2061=" ", B2061="NA",NOT(ISNUMBER(B2061))), "Unknown",B2061&lt;18,"Underage",B2061&lt;=24,"Young Adult",B2061&lt;=34,"Early Career",B2061&lt;=44,"Mid Career",B2061&lt;=54,"Mature",B2061&lt;=65,"Pre-Senior",B2061&gt;65,"Senior")</f>
        <v>Mature</v>
      </c>
      <c r="F2061" s="1">
        <v>650000</v>
      </c>
      <c r="G2061" s="1">
        <v>20</v>
      </c>
      <c r="H2061" s="1" t="str" cm="1">
        <f t="array" ref="H2061">_xlfn.IFS( OR(G2061=" ",NOT(ISNUMBER(G2061))),"Unknown",G2061&lt;=33,"Low Spender",G2061&lt;=66,"Medium Spender",TRUE, "High Spender")</f>
        <v>Low Spender</v>
      </c>
      <c r="I2061" s="1">
        <v>64</v>
      </c>
      <c r="J2061" s="1">
        <v>6400</v>
      </c>
      <c r="K2061" s="1">
        <v>108</v>
      </c>
      <c r="M2061" s="1" t="s">
        <v>21</v>
      </c>
      <c r="N2061" s="1" t="str">
        <f t="shared" si="64"/>
        <v>Lower</v>
      </c>
      <c r="O2061" s="1" t="str">
        <f t="shared" si="65"/>
        <v>Mature | Low Spender | Lower</v>
      </c>
    </row>
    <row r="2062" spans="1:15" x14ac:dyDescent="0.25">
      <c r="A2062" s="1" t="s">
        <v>2092</v>
      </c>
      <c r="B2062" s="1">
        <v>30</v>
      </c>
      <c r="C2062" s="1" t="str" cm="1">
        <f t="array" ref="C2062">_xlfn.IFS(OR(B2062=" ", B2062="NA",NOT(ISNUMBER(B2062))), "Unknown",B2062&lt;18,"Underage",B2062&lt;=24,"Young Adult",B2062&lt;=34,"Early Career",B2062&lt;=44,"Mid Career",B2062&lt;=54,"Mature",B2062&lt;=65,"Pre-Senior",B2062&gt;65,"Senior")</f>
        <v>Early Career</v>
      </c>
      <c r="D2062" s="1" t="s">
        <v>12</v>
      </c>
      <c r="E2062" s="1" t="s">
        <v>49</v>
      </c>
      <c r="F2062" s="1">
        <v>625000</v>
      </c>
      <c r="G2062" s="1">
        <v>58</v>
      </c>
      <c r="H2062" s="1" t="str" cm="1">
        <f t="array" ref="H2062">_xlfn.IFS( OR(G2062=" ",NOT(ISNUMBER(G2062))),"Unknown",G2062&lt;=33,"Low Spender",G2062&lt;=66,"Medium Spender",TRUE, "High Spender")</f>
        <v>Medium Spender</v>
      </c>
      <c r="I2062" s="1">
        <v>68</v>
      </c>
      <c r="J2062" s="1">
        <v>4400</v>
      </c>
      <c r="K2062" s="1">
        <v>33</v>
      </c>
      <c r="N2062" s="1" t="str">
        <f t="shared" si="64"/>
        <v>Lower</v>
      </c>
      <c r="O2062" s="1" t="str">
        <f t="shared" si="65"/>
        <v>Early Career | Medium Spender | Lower</v>
      </c>
    </row>
    <row r="2063" spans="1:15" x14ac:dyDescent="0.25">
      <c r="A2063" s="1" t="s">
        <v>2093</v>
      </c>
      <c r="B2063" s="1">
        <v>58</v>
      </c>
      <c r="C2063" s="1" t="str" cm="1">
        <f t="array" ref="C2063">_xlfn.IFS(OR(B2063=" ", B2063="NA",NOT(ISNUMBER(B2063))), "Unknown",B2063&lt;18,"Underage",B2063&lt;=24,"Young Adult",B2063&lt;=34,"Early Career",B2063&lt;=44,"Mid Career",B2063&lt;=54,"Mature",B2063&lt;=65,"Pre-Senior",B2063&gt;65,"Senior")</f>
        <v>Pre-Senior</v>
      </c>
      <c r="E2063" s="1" t="s">
        <v>23</v>
      </c>
      <c r="F2063" s="1">
        <v>500000</v>
      </c>
      <c r="G2063" s="1">
        <v>93</v>
      </c>
      <c r="H2063" s="1" t="str" cm="1">
        <f t="array" ref="H2063">_xlfn.IFS( OR(G2063=" ",NOT(ISNUMBER(G2063))),"Unknown",G2063&lt;=33,"Low Spender",G2063&lt;=66,"Medium Spender",TRUE, "High Spender")</f>
        <v>High Spender</v>
      </c>
      <c r="J2063" s="1">
        <v>2600</v>
      </c>
      <c r="K2063" s="1">
        <v>363</v>
      </c>
      <c r="L2063" s="1" t="s">
        <v>16</v>
      </c>
      <c r="M2063" s="1" t="s">
        <v>32</v>
      </c>
      <c r="N2063" s="1" t="str">
        <f t="shared" si="64"/>
        <v>Lower</v>
      </c>
      <c r="O2063" s="1" t="str">
        <f t="shared" si="65"/>
        <v>Pre-Senior | High Spender | Lower</v>
      </c>
    </row>
    <row r="2064" spans="1:15" x14ac:dyDescent="0.25">
      <c r="A2064" s="1" t="s">
        <v>2094</v>
      </c>
      <c r="B2064" s="1">
        <v>56</v>
      </c>
      <c r="C2064" s="1" t="str" cm="1">
        <f t="array" ref="C2064">_xlfn.IFS(OR(B2064=" ", B2064="NA",NOT(ISNUMBER(B2064))), "Unknown",B2064&lt;18,"Underage",B2064&lt;=24,"Young Adult",B2064&lt;=34,"Early Career",B2064&lt;=44,"Mid Career",B2064&lt;=54,"Mature",B2064&lt;=65,"Pre-Senior",B2064&gt;65,"Senior")</f>
        <v>Pre-Senior</v>
      </c>
      <c r="D2064" s="1" t="s">
        <v>12</v>
      </c>
      <c r="E2064" s="1" t="s">
        <v>15</v>
      </c>
      <c r="F2064" s="1">
        <v>1850000</v>
      </c>
      <c r="G2064" s="1">
        <v>86</v>
      </c>
      <c r="H2064" s="1" t="str" cm="1">
        <f t="array" ref="H2064">_xlfn.IFS( OR(G2064=" ",NOT(ISNUMBER(G2064))),"Unknown",G2064&lt;=33,"Low Spender",G2064&lt;=66,"Medium Spender",TRUE, "High Spender")</f>
        <v>High Spender</v>
      </c>
      <c r="I2064" s="1">
        <v>51</v>
      </c>
      <c r="J2064" s="1">
        <v>1900</v>
      </c>
      <c r="K2064" s="1">
        <v>111</v>
      </c>
      <c r="L2064" s="1" t="s">
        <v>35</v>
      </c>
      <c r="M2064" s="1" t="s">
        <v>21</v>
      </c>
      <c r="N2064" s="1" t="str">
        <f t="shared" si="64"/>
        <v>Lower</v>
      </c>
      <c r="O2064" s="1" t="str">
        <f t="shared" si="65"/>
        <v>Pre-Senior | High Spender | Lower</v>
      </c>
    </row>
    <row r="2065" spans="1:15" x14ac:dyDescent="0.25">
      <c r="A2065" s="1" t="s">
        <v>2095</v>
      </c>
      <c r="B2065" s="1">
        <v>32</v>
      </c>
      <c r="C2065" s="1" t="str" cm="1">
        <f t="array" ref="C2065">_xlfn.IFS(OR(B2065=" ", B2065="NA",NOT(ISNUMBER(B2065))), "Unknown",B2065&lt;18,"Underage",B2065&lt;=24,"Young Adult",B2065&lt;=34,"Early Career",B2065&lt;=44,"Mid Career",B2065&lt;=54,"Mature",B2065&lt;=65,"Pre-Senior",B2065&gt;65,"Senior")</f>
        <v>Early Career</v>
      </c>
      <c r="E2065" s="1" t="s">
        <v>58</v>
      </c>
      <c r="F2065" s="1" t="s">
        <v>25</v>
      </c>
      <c r="G2065" s="1">
        <v>50</v>
      </c>
      <c r="H2065" s="1" t="str" cm="1">
        <f t="array" ref="H2065">_xlfn.IFS( OR(G2065=" ",NOT(ISNUMBER(G2065))),"Unknown",G2065&lt;=33,"Low Spender",G2065&lt;=66,"Medium Spender",TRUE, "High Spender")</f>
        <v>Medium Spender</v>
      </c>
      <c r="I2065" s="1">
        <v>74</v>
      </c>
      <c r="J2065" s="1">
        <v>5000</v>
      </c>
      <c r="K2065" s="1">
        <v>121</v>
      </c>
      <c r="M2065" s="1" t="s">
        <v>30</v>
      </c>
      <c r="N2065" s="1" t="str">
        <f t="shared" si="64"/>
        <v>Lower</v>
      </c>
      <c r="O2065" s="1" t="str">
        <f t="shared" si="65"/>
        <v>Early Career | Medium Spender | Lower</v>
      </c>
    </row>
    <row r="2066" spans="1:15" x14ac:dyDescent="0.25">
      <c r="A2066" s="1" t="s">
        <v>2096</v>
      </c>
      <c r="B2066" s="1" t="s">
        <v>73</v>
      </c>
      <c r="C2066" s="1" t="str" cm="1">
        <f t="array" ref="C2066">_xlfn.IFS(OR(B2066=" ", B2066="NA",NOT(ISNUMBER(B2066))), "Unknown",B2066&lt;18,"Underage",B2066&lt;=24,"Young Adult",B2066&lt;=34,"Early Career",B2066&lt;=44,"Mid Career",B2066&lt;=54,"Mature",B2066&lt;=65,"Pre-Senior",B2066&gt;65,"Senior")</f>
        <v>Unknown</v>
      </c>
      <c r="D2066" s="1" t="s">
        <v>18</v>
      </c>
      <c r="F2066" s="1">
        <v>1400000</v>
      </c>
      <c r="G2066" s="1">
        <v>79</v>
      </c>
      <c r="H2066" s="1" t="str" cm="1">
        <f t="array" ref="H2066">_xlfn.IFS( OR(G2066=" ",NOT(ISNUMBER(G2066))),"Unknown",G2066&lt;=33,"Low Spender",G2066&lt;=66,"Medium Spender",TRUE, "High Spender")</f>
        <v>High Spender</v>
      </c>
      <c r="I2066" s="1">
        <v>48</v>
      </c>
      <c r="J2066" s="1">
        <v>8600</v>
      </c>
      <c r="K2066" s="1">
        <v>16</v>
      </c>
      <c r="L2066" s="1" t="s">
        <v>16</v>
      </c>
      <c r="M2066" s="1" t="s">
        <v>32</v>
      </c>
      <c r="N2066" s="1" t="str">
        <f t="shared" si="64"/>
        <v>Higher</v>
      </c>
      <c r="O2066" s="1" t="str">
        <f t="shared" si="65"/>
        <v>Unknown | High Spender | Higher</v>
      </c>
    </row>
    <row r="2067" spans="1:15" x14ac:dyDescent="0.25">
      <c r="A2067" s="1" t="s">
        <v>2097</v>
      </c>
      <c r="B2067" s="1">
        <v>46</v>
      </c>
      <c r="C2067" s="1" t="str" cm="1">
        <f t="array" ref="C2067">_xlfn.IFS(OR(B2067=" ", B2067="NA",NOT(ISNUMBER(B2067))), "Unknown",B2067&lt;18,"Underage",B2067&lt;=24,"Young Adult",B2067&lt;=34,"Early Career",B2067&lt;=44,"Mid Career",B2067&lt;=54,"Mature",B2067&lt;=65,"Pre-Senior",B2067&gt;65,"Senior")</f>
        <v>Mature</v>
      </c>
      <c r="E2067" s="1" t="s">
        <v>19</v>
      </c>
      <c r="G2067" s="1">
        <v>10</v>
      </c>
      <c r="H2067" s="1" t="str" cm="1">
        <f t="array" ref="H2067">_xlfn.IFS( OR(G2067=" ",NOT(ISNUMBER(G2067))),"Unknown",G2067&lt;=33,"Low Spender",G2067&lt;=66,"Medium Spender",TRUE, "High Spender")</f>
        <v>Low Spender</v>
      </c>
      <c r="I2067" s="1">
        <v>10</v>
      </c>
      <c r="J2067" s="1">
        <v>8800</v>
      </c>
      <c r="K2067" s="1">
        <v>227</v>
      </c>
      <c r="N2067" s="1" t="str">
        <f t="shared" si="64"/>
        <v>Lower</v>
      </c>
      <c r="O2067" s="1" t="str">
        <f t="shared" si="65"/>
        <v>Mature | Low Spender | Lower</v>
      </c>
    </row>
    <row r="2068" spans="1:15" x14ac:dyDescent="0.25">
      <c r="A2068" s="1" t="s">
        <v>2098</v>
      </c>
      <c r="B2068" s="1">
        <v>46</v>
      </c>
      <c r="C2068" s="1" t="str" cm="1">
        <f t="array" ref="C2068">_xlfn.IFS(OR(B2068=" ", B2068="NA",NOT(ISNUMBER(B2068))), "Unknown",B2068&lt;18,"Underage",B2068&lt;=24,"Young Adult",B2068&lt;=34,"Early Career",B2068&lt;=44,"Mid Career",B2068&lt;=54,"Mature",B2068&lt;=65,"Pre-Senior",B2068&gt;65,"Senior")</f>
        <v>Mature</v>
      </c>
      <c r="E2068" s="1" t="s">
        <v>15</v>
      </c>
      <c r="F2068" s="1">
        <v>1675000</v>
      </c>
      <c r="G2068" s="1">
        <v>21</v>
      </c>
      <c r="H2068" s="1" t="str" cm="1">
        <f t="array" ref="H2068">_xlfn.IFS( OR(G2068=" ",NOT(ISNUMBER(G2068))),"Unknown",G2068&lt;=33,"Low Spender",G2068&lt;=66,"Medium Spender",TRUE, "High Spender")</f>
        <v>Low Spender</v>
      </c>
      <c r="I2068" s="1">
        <v>73</v>
      </c>
      <c r="J2068" s="1">
        <v>7200</v>
      </c>
      <c r="K2068" s="1">
        <v>11</v>
      </c>
      <c r="L2068" s="1" t="s">
        <v>35</v>
      </c>
      <c r="N2068" s="1" t="str">
        <f t="shared" si="64"/>
        <v>Lower</v>
      </c>
      <c r="O2068" s="1" t="str">
        <f t="shared" si="65"/>
        <v>Mature | Low Spender | Lower</v>
      </c>
    </row>
    <row r="2069" spans="1:15" x14ac:dyDescent="0.25">
      <c r="A2069" s="1" t="s">
        <v>2099</v>
      </c>
      <c r="B2069" s="1">
        <v>28</v>
      </c>
      <c r="C2069" s="1" t="str" cm="1">
        <f t="array" ref="C2069">_xlfn.IFS(OR(B2069=" ", B2069="NA",NOT(ISNUMBER(B2069))), "Unknown",B2069&lt;18,"Underage",B2069&lt;=24,"Young Adult",B2069&lt;=34,"Early Career",B2069&lt;=44,"Mid Career",B2069&lt;=54,"Mature",B2069&lt;=65,"Pre-Senior",B2069&gt;65,"Senior")</f>
        <v>Early Career</v>
      </c>
      <c r="D2069" s="1" t="s">
        <v>12</v>
      </c>
      <c r="F2069" s="1">
        <v>1050000</v>
      </c>
      <c r="G2069" s="1">
        <v>29</v>
      </c>
      <c r="H2069" s="1" t="str" cm="1">
        <f t="array" ref="H2069">_xlfn.IFS( OR(G2069=" ",NOT(ISNUMBER(G2069))),"Unknown",G2069&lt;=33,"Low Spender",G2069&lt;=66,"Medium Spender",TRUE, "High Spender")</f>
        <v>Low Spender</v>
      </c>
      <c r="I2069" s="1">
        <v>39</v>
      </c>
      <c r="J2069" s="1">
        <v>900</v>
      </c>
      <c r="K2069" s="1">
        <v>203</v>
      </c>
      <c r="L2069" s="1" t="s">
        <v>16</v>
      </c>
      <c r="N2069" s="1" t="str">
        <f t="shared" si="64"/>
        <v>Lower</v>
      </c>
      <c r="O2069" s="1" t="str">
        <f t="shared" si="65"/>
        <v>Early Career | Low Spender | Lower</v>
      </c>
    </row>
    <row r="2070" spans="1:15" x14ac:dyDescent="0.25">
      <c r="A2070" s="1" t="s">
        <v>2100</v>
      </c>
      <c r="B2070" s="1">
        <v>69</v>
      </c>
      <c r="C2070" s="1" t="str" cm="1">
        <f t="array" ref="C2070">_xlfn.IFS(OR(B2070=" ", B2070="NA",NOT(ISNUMBER(B2070))), "Unknown",B2070&lt;18,"Underage",B2070&lt;=24,"Young Adult",B2070&lt;=34,"Early Career",B2070&lt;=44,"Mid Career",B2070&lt;=54,"Mature",B2070&lt;=65,"Pre-Senior",B2070&gt;65,"Senior")</f>
        <v>Senior</v>
      </c>
      <c r="D2070" s="1" t="s">
        <v>29</v>
      </c>
      <c r="E2070" s="1" t="s">
        <v>49</v>
      </c>
      <c r="F2070" s="1">
        <v>275000</v>
      </c>
      <c r="G2070" s="1">
        <v>96</v>
      </c>
      <c r="H2070" s="1" t="str" cm="1">
        <f t="array" ref="H2070">_xlfn.IFS( OR(G2070=" ",NOT(ISNUMBER(G2070))),"Unknown",G2070&lt;=33,"Low Spender",G2070&lt;=66,"Medium Spender",TRUE, "High Spender")</f>
        <v>High Spender</v>
      </c>
      <c r="I2070" s="1">
        <v>19</v>
      </c>
      <c r="J2070" s="1">
        <v>1600</v>
      </c>
      <c r="K2070" s="1">
        <v>202</v>
      </c>
      <c r="L2070" s="1" t="s">
        <v>35</v>
      </c>
      <c r="M2070" s="1" t="s">
        <v>21</v>
      </c>
      <c r="N2070" s="1" t="str">
        <f t="shared" si="64"/>
        <v>Higher</v>
      </c>
      <c r="O2070" s="1" t="str">
        <f t="shared" si="65"/>
        <v>Senior | High Spender | Higher</v>
      </c>
    </row>
    <row r="2071" spans="1:15" x14ac:dyDescent="0.25">
      <c r="A2071" s="1" t="s">
        <v>2101</v>
      </c>
      <c r="B2071" s="1">
        <v>49</v>
      </c>
      <c r="C2071" s="1" t="str" cm="1">
        <f t="array" ref="C2071">_xlfn.IFS(OR(B2071=" ", B2071="NA",NOT(ISNUMBER(B2071))), "Unknown",B2071&lt;18,"Underage",B2071&lt;=24,"Young Adult",B2071&lt;=34,"Early Career",B2071&lt;=44,"Mid Career",B2071&lt;=54,"Mature",B2071&lt;=65,"Pre-Senior",B2071&gt;65,"Senior")</f>
        <v>Mature</v>
      </c>
      <c r="E2071" s="1" t="s">
        <v>15</v>
      </c>
      <c r="F2071" s="1">
        <v>1900000</v>
      </c>
      <c r="G2071" s="1">
        <v>10</v>
      </c>
      <c r="H2071" s="1" t="str" cm="1">
        <f t="array" ref="H2071">_xlfn.IFS( OR(G2071=" ",NOT(ISNUMBER(G2071))),"Unknown",G2071&lt;=33,"Low Spender",G2071&lt;=66,"Medium Spender",TRUE, "High Spender")</f>
        <v>Low Spender</v>
      </c>
      <c r="I2071" s="1">
        <v>64</v>
      </c>
      <c r="J2071" s="1">
        <v>1300</v>
      </c>
      <c r="K2071" s="1">
        <v>98</v>
      </c>
      <c r="L2071" s="1" t="s">
        <v>20</v>
      </c>
      <c r="M2071" s="1" t="s">
        <v>21</v>
      </c>
      <c r="N2071" s="1" t="str">
        <f t="shared" si="64"/>
        <v>Lower</v>
      </c>
      <c r="O2071" s="1" t="str">
        <f t="shared" si="65"/>
        <v>Mature | Low Spender | Lower</v>
      </c>
    </row>
    <row r="2072" spans="1:15" x14ac:dyDescent="0.25">
      <c r="A2072" s="1" t="s">
        <v>2102</v>
      </c>
      <c r="B2072" s="1">
        <v>19</v>
      </c>
      <c r="C2072" s="1" t="str" cm="1">
        <f t="array" ref="C2072">_xlfn.IFS(OR(B2072=" ", B2072="NA",NOT(ISNUMBER(B2072))), "Unknown",B2072&lt;18,"Underage",B2072&lt;=24,"Young Adult",B2072&lt;=34,"Early Career",B2072&lt;=44,"Mid Career",B2072&lt;=54,"Mature",B2072&lt;=65,"Pre-Senior",B2072&gt;65,"Senior")</f>
        <v>Young Adult</v>
      </c>
      <c r="D2072" s="1" t="s">
        <v>12</v>
      </c>
      <c r="E2072" s="1" t="s">
        <v>27</v>
      </c>
      <c r="F2072" s="1">
        <v>775000</v>
      </c>
      <c r="G2072" s="1">
        <v>13</v>
      </c>
      <c r="H2072" s="1" t="str" cm="1">
        <f t="array" ref="H2072">_xlfn.IFS( OR(G2072=" ",NOT(ISNUMBER(G2072))),"Unknown",G2072&lt;=33,"Low Spender",G2072&lt;=66,"Medium Spender",TRUE, "High Spender")</f>
        <v>Low Spender</v>
      </c>
      <c r="I2072" s="1">
        <v>19</v>
      </c>
      <c r="J2072" s="1">
        <v>1400</v>
      </c>
      <c r="K2072" s="1">
        <v>116</v>
      </c>
      <c r="M2072" s="1" t="s">
        <v>30</v>
      </c>
      <c r="N2072" s="1" t="str">
        <f t="shared" si="64"/>
        <v>Lower</v>
      </c>
      <c r="O2072" s="1" t="str">
        <f t="shared" si="65"/>
        <v>Young Adult | Low Spender | Lower</v>
      </c>
    </row>
    <row r="2073" spans="1:15" x14ac:dyDescent="0.25">
      <c r="A2073" s="1" t="s">
        <v>2103</v>
      </c>
      <c r="B2073" s="1">
        <v>64</v>
      </c>
      <c r="C2073" s="1" t="str" cm="1">
        <f t="array" ref="C2073">_xlfn.IFS(OR(B2073=" ", B2073="NA",NOT(ISNUMBER(B2073))), "Unknown",B2073&lt;18,"Underage",B2073&lt;=24,"Young Adult",B2073&lt;=34,"Early Career",B2073&lt;=44,"Mid Career",B2073&lt;=54,"Mature",B2073&lt;=65,"Pre-Senior",B2073&gt;65,"Senior")</f>
        <v>Pre-Senior</v>
      </c>
      <c r="D2073" s="1" t="s">
        <v>18</v>
      </c>
      <c r="E2073" s="1" t="s">
        <v>15</v>
      </c>
      <c r="F2073" s="1">
        <v>325000</v>
      </c>
      <c r="G2073" s="1">
        <v>47</v>
      </c>
      <c r="H2073" s="1" t="str" cm="1">
        <f t="array" ref="H2073">_xlfn.IFS( OR(G2073=" ",NOT(ISNUMBER(G2073))),"Unknown",G2073&lt;=33,"Low Spender",G2073&lt;=66,"Medium Spender",TRUE, "High Spender")</f>
        <v>Medium Spender</v>
      </c>
      <c r="I2073" s="1">
        <v>76</v>
      </c>
      <c r="J2073" s="1">
        <v>11200</v>
      </c>
      <c r="K2073" s="1">
        <v>281</v>
      </c>
      <c r="L2073" s="1" t="s">
        <v>20</v>
      </c>
      <c r="M2073" s="1" t="s">
        <v>30</v>
      </c>
      <c r="N2073" s="1" t="str">
        <f t="shared" si="64"/>
        <v>Higher</v>
      </c>
      <c r="O2073" s="1" t="str">
        <f t="shared" si="65"/>
        <v>Pre-Senior | Medium Spender | Higher</v>
      </c>
    </row>
    <row r="2074" spans="1:15" x14ac:dyDescent="0.25">
      <c r="A2074" s="1" t="s">
        <v>2104</v>
      </c>
      <c r="B2074" s="1">
        <v>31</v>
      </c>
      <c r="C2074" s="1" t="str" cm="1">
        <f t="array" ref="C2074">_xlfn.IFS(OR(B2074=" ", B2074="NA",NOT(ISNUMBER(B2074))), "Unknown",B2074&lt;18,"Underage",B2074&lt;=24,"Young Adult",B2074&lt;=34,"Early Career",B2074&lt;=44,"Mid Career",B2074&lt;=54,"Mature",B2074&lt;=65,"Pre-Senior",B2074&gt;65,"Senior")</f>
        <v>Early Career</v>
      </c>
      <c r="D2074" s="1" t="s">
        <v>12</v>
      </c>
      <c r="E2074" s="1" t="s">
        <v>19</v>
      </c>
      <c r="F2074" s="1">
        <v>1950000</v>
      </c>
      <c r="G2074" s="1">
        <v>23</v>
      </c>
      <c r="H2074" s="1" t="str" cm="1">
        <f t="array" ref="H2074">_xlfn.IFS( OR(G2074=" ",NOT(ISNUMBER(G2074))),"Unknown",G2074&lt;=33,"Low Spender",G2074&lt;=66,"Medium Spender",TRUE, "High Spender")</f>
        <v>Low Spender</v>
      </c>
      <c r="I2074" s="1">
        <v>62</v>
      </c>
      <c r="J2074" s="1">
        <v>700</v>
      </c>
      <c r="K2074" s="1">
        <v>349</v>
      </c>
      <c r="L2074" s="1" t="s">
        <v>37</v>
      </c>
      <c r="N2074" s="1" t="str">
        <f t="shared" si="64"/>
        <v>Lower</v>
      </c>
      <c r="O2074" s="1" t="str">
        <f t="shared" si="65"/>
        <v>Early Career | Low Spender | Lower</v>
      </c>
    </row>
    <row r="2075" spans="1:15" x14ac:dyDescent="0.25">
      <c r="A2075" s="1" t="s">
        <v>2105</v>
      </c>
      <c r="B2075" s="1">
        <v>37</v>
      </c>
      <c r="C2075" s="1" t="str" cm="1">
        <f t="array" ref="C2075">_xlfn.IFS(OR(B2075=" ", B2075="NA",NOT(ISNUMBER(B2075))), "Unknown",B2075&lt;18,"Underage",B2075&lt;=24,"Young Adult",B2075&lt;=34,"Early Career",B2075&lt;=44,"Mid Career",B2075&lt;=54,"Mature",B2075&lt;=65,"Pre-Senior",B2075&gt;65,"Senior")</f>
        <v>Mid Career</v>
      </c>
      <c r="E2075" s="1" t="s">
        <v>49</v>
      </c>
      <c r="F2075" s="1">
        <v>225000</v>
      </c>
      <c r="G2075" s="1">
        <v>50</v>
      </c>
      <c r="H2075" s="1" t="str" cm="1">
        <f t="array" ref="H2075">_xlfn.IFS( OR(G2075=" ",NOT(ISNUMBER(G2075))),"Unknown",G2075&lt;=33,"Low Spender",G2075&lt;=66,"Medium Spender",TRUE, "High Spender")</f>
        <v>Medium Spender</v>
      </c>
      <c r="I2075" s="1">
        <v>13</v>
      </c>
      <c r="J2075" s="1">
        <v>700</v>
      </c>
      <c r="K2075" s="1">
        <v>232</v>
      </c>
      <c r="N2075" s="1" t="str">
        <f t="shared" si="64"/>
        <v>Lower</v>
      </c>
      <c r="O2075" s="1" t="str">
        <f t="shared" si="65"/>
        <v>Mid Career | Medium Spender | Lower</v>
      </c>
    </row>
    <row r="2076" spans="1:15" x14ac:dyDescent="0.25">
      <c r="A2076" s="1" t="s">
        <v>2106</v>
      </c>
      <c r="B2076" s="1">
        <v>39</v>
      </c>
      <c r="C2076" s="1" t="str" cm="1">
        <f t="array" ref="C2076">_xlfn.IFS(OR(B2076=" ", B2076="NA",NOT(ISNUMBER(B2076))), "Unknown",B2076&lt;18,"Underage",B2076&lt;=24,"Young Adult",B2076&lt;=34,"Early Career",B2076&lt;=44,"Mid Career",B2076&lt;=54,"Mature",B2076&lt;=65,"Pre-Senior",B2076&gt;65,"Senior")</f>
        <v>Mid Career</v>
      </c>
      <c r="D2076" s="1" t="s">
        <v>18</v>
      </c>
      <c r="E2076" s="1" t="s">
        <v>58</v>
      </c>
      <c r="F2076" s="1">
        <v>650000</v>
      </c>
      <c r="G2076" s="1">
        <v>87</v>
      </c>
      <c r="H2076" s="1" t="str" cm="1">
        <f t="array" ref="H2076">_xlfn.IFS( OR(G2076=" ",NOT(ISNUMBER(G2076))),"Unknown",G2076&lt;=33,"Low Spender",G2076&lt;=66,"Medium Spender",TRUE, "High Spender")</f>
        <v>High Spender</v>
      </c>
      <c r="I2076" s="1">
        <v>25</v>
      </c>
      <c r="J2076" s="1">
        <v>2200</v>
      </c>
      <c r="K2076" s="1">
        <v>111</v>
      </c>
      <c r="M2076" s="1" t="s">
        <v>41</v>
      </c>
      <c r="N2076" s="1" t="str">
        <f t="shared" si="64"/>
        <v>Higher</v>
      </c>
      <c r="O2076" s="1" t="str">
        <f t="shared" si="65"/>
        <v>Mid Career | High Spender | Higher</v>
      </c>
    </row>
    <row r="2077" spans="1:15" x14ac:dyDescent="0.25">
      <c r="A2077" s="1" t="s">
        <v>2107</v>
      </c>
      <c r="B2077" s="1">
        <v>28</v>
      </c>
      <c r="C2077" s="1" t="str" cm="1">
        <f t="array" ref="C2077">_xlfn.IFS(OR(B2077=" ", B2077="NA",NOT(ISNUMBER(B2077))), "Unknown",B2077&lt;18,"Underage",B2077&lt;=24,"Young Adult",B2077&lt;=34,"Early Career",B2077&lt;=44,"Mid Career",B2077&lt;=54,"Mature",B2077&lt;=65,"Pre-Senior",B2077&gt;65,"Senior")</f>
        <v>Early Career</v>
      </c>
      <c r="D2077" s="1" t="s">
        <v>18</v>
      </c>
      <c r="F2077" s="1">
        <v>900000</v>
      </c>
      <c r="G2077" s="1">
        <v>95</v>
      </c>
      <c r="H2077" s="1" t="str" cm="1">
        <f t="array" ref="H2077">_xlfn.IFS( OR(G2077=" ",NOT(ISNUMBER(G2077))),"Unknown",G2077&lt;=33,"Low Spender",G2077&lt;=66,"Medium Spender",TRUE, "High Spender")</f>
        <v>High Spender</v>
      </c>
      <c r="I2077" s="1">
        <v>42</v>
      </c>
      <c r="J2077" s="1">
        <v>5600</v>
      </c>
      <c r="K2077" s="1">
        <v>352</v>
      </c>
      <c r="L2077" s="1" t="s">
        <v>16</v>
      </c>
      <c r="M2077" s="1" t="s">
        <v>30</v>
      </c>
      <c r="N2077" s="1" t="str">
        <f t="shared" si="64"/>
        <v>Higher</v>
      </c>
      <c r="O2077" s="1" t="str">
        <f t="shared" si="65"/>
        <v>Early Career | High Spender | Higher</v>
      </c>
    </row>
    <row r="2078" spans="1:15" x14ac:dyDescent="0.25">
      <c r="A2078" s="1" t="s">
        <v>2108</v>
      </c>
      <c r="B2078" s="1">
        <v>44</v>
      </c>
      <c r="C2078" s="1" t="str" cm="1">
        <f t="array" ref="C2078">_xlfn.IFS(OR(B2078=" ", B2078="NA",NOT(ISNUMBER(B2078))), "Unknown",B2078&lt;18,"Underage",B2078&lt;=24,"Young Adult",B2078&lt;=34,"Early Career",B2078&lt;=44,"Mid Career",B2078&lt;=54,"Mature",B2078&lt;=65,"Pre-Senior",B2078&gt;65,"Senior")</f>
        <v>Mid Career</v>
      </c>
      <c r="E2078" s="1" t="s">
        <v>34</v>
      </c>
      <c r="F2078" s="1">
        <v>650000</v>
      </c>
      <c r="G2078" s="1">
        <v>4</v>
      </c>
      <c r="H2078" s="1" t="str" cm="1">
        <f t="array" ref="H2078">_xlfn.IFS( OR(G2078=" ",NOT(ISNUMBER(G2078))),"Unknown",G2078&lt;=33,"Low Spender",G2078&lt;=66,"Medium Spender",TRUE, "High Spender")</f>
        <v>Low Spender</v>
      </c>
      <c r="I2078" s="1">
        <v>39</v>
      </c>
      <c r="J2078" s="1">
        <v>5700</v>
      </c>
      <c r="K2078" s="1">
        <v>12</v>
      </c>
      <c r="L2078" s="1" t="s">
        <v>35</v>
      </c>
      <c r="N2078" s="1" t="str">
        <f t="shared" si="64"/>
        <v>Lower</v>
      </c>
      <c r="O2078" s="1" t="str">
        <f t="shared" si="65"/>
        <v>Mid Career | Low Spender | Lower</v>
      </c>
    </row>
    <row r="2079" spans="1:15" x14ac:dyDescent="0.25">
      <c r="A2079" s="1" t="s">
        <v>2109</v>
      </c>
      <c r="B2079" s="1">
        <v>20</v>
      </c>
      <c r="C2079" s="1" t="str" cm="1">
        <f t="array" ref="C2079">_xlfn.IFS(OR(B2079=" ", B2079="NA",NOT(ISNUMBER(B2079))), "Unknown",B2079&lt;18,"Underage",B2079&lt;=24,"Young Adult",B2079&lt;=34,"Early Career",B2079&lt;=44,"Mid Career",B2079&lt;=54,"Mature",B2079&lt;=65,"Pre-Senior",B2079&gt;65,"Senior")</f>
        <v>Young Adult</v>
      </c>
      <c r="E2079" s="1" t="s">
        <v>19</v>
      </c>
      <c r="F2079" s="1">
        <v>750000</v>
      </c>
      <c r="G2079" s="1">
        <v>67</v>
      </c>
      <c r="H2079" s="1" t="str" cm="1">
        <f t="array" ref="H2079">_xlfn.IFS( OR(G2079=" ",NOT(ISNUMBER(G2079))),"Unknown",G2079&lt;=33,"Low Spender",G2079&lt;=66,"Medium Spender",TRUE, "High Spender")</f>
        <v>High Spender</v>
      </c>
      <c r="I2079" s="1">
        <v>30</v>
      </c>
      <c r="J2079" s="1">
        <v>6000</v>
      </c>
      <c r="K2079" s="1">
        <v>21</v>
      </c>
      <c r="L2079" s="1" t="s">
        <v>37</v>
      </c>
      <c r="M2079" s="1" t="s">
        <v>30</v>
      </c>
      <c r="N2079" s="1" t="str">
        <f t="shared" si="64"/>
        <v>Lower</v>
      </c>
      <c r="O2079" s="1" t="str">
        <f t="shared" si="65"/>
        <v>Young Adult | High Spender | Lower</v>
      </c>
    </row>
    <row r="2080" spans="1:15" x14ac:dyDescent="0.25">
      <c r="A2080" s="1" t="s">
        <v>2110</v>
      </c>
      <c r="B2080" s="1">
        <v>34</v>
      </c>
      <c r="C2080" s="1" t="str" cm="1">
        <f t="array" ref="C2080">_xlfn.IFS(OR(B2080=" ", B2080="NA",NOT(ISNUMBER(B2080))), "Unknown",B2080&lt;18,"Underage",B2080&lt;=24,"Young Adult",B2080&lt;=34,"Early Career",B2080&lt;=44,"Mid Career",B2080&lt;=54,"Mature",B2080&lt;=65,"Pre-Senior",B2080&gt;65,"Senior")</f>
        <v>Early Career</v>
      </c>
      <c r="F2080" s="1">
        <v>500000</v>
      </c>
      <c r="G2080" s="1">
        <v>85</v>
      </c>
      <c r="H2080" s="1" t="str" cm="1">
        <f t="array" ref="H2080">_xlfn.IFS( OR(G2080=" ",NOT(ISNUMBER(G2080))),"Unknown",G2080&lt;=33,"Low Spender",G2080&lt;=66,"Medium Spender",TRUE, "High Spender")</f>
        <v>High Spender</v>
      </c>
      <c r="I2080" s="1">
        <v>5</v>
      </c>
      <c r="J2080" s="1">
        <v>8100</v>
      </c>
      <c r="K2080" s="1">
        <v>127</v>
      </c>
      <c r="M2080" s="1" t="s">
        <v>32</v>
      </c>
      <c r="N2080" s="1" t="str">
        <f t="shared" si="64"/>
        <v>Lower</v>
      </c>
      <c r="O2080" s="1" t="str">
        <f t="shared" si="65"/>
        <v>Early Career | High Spender | Lower</v>
      </c>
    </row>
    <row r="2081" spans="1:15" x14ac:dyDescent="0.25">
      <c r="A2081" s="1" t="s">
        <v>2111</v>
      </c>
      <c r="B2081" s="1">
        <v>61</v>
      </c>
      <c r="C2081" s="1" t="str" cm="1">
        <f t="array" ref="C2081">_xlfn.IFS(OR(B2081=" ", B2081="NA",NOT(ISNUMBER(B2081))), "Unknown",B2081&lt;18,"Underage",B2081&lt;=24,"Young Adult",B2081&lt;=34,"Early Career",B2081&lt;=44,"Mid Career",B2081&lt;=54,"Mature",B2081&lt;=65,"Pre-Senior",B2081&gt;65,"Senior")</f>
        <v>Pre-Senior</v>
      </c>
      <c r="D2081" s="1" t="s">
        <v>29</v>
      </c>
      <c r="E2081" s="1" t="s">
        <v>49</v>
      </c>
      <c r="F2081" s="1">
        <v>1000000</v>
      </c>
      <c r="G2081" s="1">
        <v>53</v>
      </c>
      <c r="H2081" s="1" t="str" cm="1">
        <f t="array" ref="H2081">_xlfn.IFS( OR(G2081=" ",NOT(ISNUMBER(G2081))),"Unknown",G2081&lt;=33,"Low Spender",G2081&lt;=66,"Medium Spender",TRUE, "High Spender")</f>
        <v>Medium Spender</v>
      </c>
      <c r="J2081" s="1">
        <v>9200</v>
      </c>
      <c r="K2081" s="1">
        <v>285</v>
      </c>
      <c r="M2081" s="1" t="s">
        <v>21</v>
      </c>
      <c r="N2081" s="1" t="str">
        <f t="shared" si="64"/>
        <v>Higher</v>
      </c>
      <c r="O2081" s="1" t="str">
        <f t="shared" si="65"/>
        <v>Pre-Senior | Medium Spender | Higher</v>
      </c>
    </row>
    <row r="2082" spans="1:15" x14ac:dyDescent="0.25">
      <c r="A2082" s="1" t="s">
        <v>2112</v>
      </c>
      <c r="B2082" s="1">
        <v>45</v>
      </c>
      <c r="C2082" s="1" t="str" cm="1">
        <f t="array" ref="C2082">_xlfn.IFS(OR(B2082=" ", B2082="NA",NOT(ISNUMBER(B2082))), "Unknown",B2082&lt;18,"Underage",B2082&lt;=24,"Young Adult",B2082&lt;=34,"Early Career",B2082&lt;=44,"Mid Career",B2082&lt;=54,"Mature",B2082&lt;=65,"Pre-Senior",B2082&gt;65,"Senior")</f>
        <v>Mature</v>
      </c>
      <c r="E2082" s="1" t="s">
        <v>27</v>
      </c>
      <c r="F2082" s="1">
        <v>1350000</v>
      </c>
      <c r="G2082" s="1">
        <v>2</v>
      </c>
      <c r="H2082" s="1" t="str" cm="1">
        <f t="array" ref="H2082">_xlfn.IFS( OR(G2082=" ",NOT(ISNUMBER(G2082))),"Unknown",G2082&lt;=33,"Low Spender",G2082&lt;=66,"Medium Spender",TRUE, "High Spender")</f>
        <v>Low Spender</v>
      </c>
      <c r="I2082" s="1">
        <v>18</v>
      </c>
      <c r="J2082" s="1">
        <v>9900</v>
      </c>
      <c r="K2082" s="1">
        <v>121</v>
      </c>
      <c r="N2082" s="1" t="str">
        <f t="shared" si="64"/>
        <v>Lower</v>
      </c>
      <c r="O2082" s="1" t="str">
        <f t="shared" si="65"/>
        <v>Mature | Low Spender | Lower</v>
      </c>
    </row>
    <row r="2083" spans="1:15" x14ac:dyDescent="0.25">
      <c r="A2083" s="1" t="s">
        <v>2113</v>
      </c>
      <c r="B2083" s="1">
        <v>46</v>
      </c>
      <c r="C2083" s="1" t="str" cm="1">
        <f t="array" ref="C2083">_xlfn.IFS(OR(B2083=" ", B2083="NA",NOT(ISNUMBER(B2083))), "Unknown",B2083&lt;18,"Underage",B2083&lt;=24,"Young Adult",B2083&lt;=34,"Early Career",B2083&lt;=44,"Mid Career",B2083&lt;=54,"Mature",B2083&lt;=65,"Pre-Senior",B2083&gt;65,"Senior")</f>
        <v>Mature</v>
      </c>
      <c r="D2083" s="1" t="s">
        <v>29</v>
      </c>
      <c r="E2083" s="1" t="s">
        <v>13</v>
      </c>
      <c r="F2083" s="1">
        <v>1200000</v>
      </c>
      <c r="G2083" s="1">
        <v>68</v>
      </c>
      <c r="H2083" s="1" t="str" cm="1">
        <f t="array" ref="H2083">_xlfn.IFS( OR(G2083=" ",NOT(ISNUMBER(G2083))),"Unknown",G2083&lt;=33,"Low Spender",G2083&lt;=66,"Medium Spender",TRUE, "High Spender")</f>
        <v>High Spender</v>
      </c>
      <c r="I2083" s="1">
        <v>21</v>
      </c>
      <c r="J2083" s="1">
        <v>3200</v>
      </c>
      <c r="K2083" s="1">
        <v>124</v>
      </c>
      <c r="L2083" s="1" t="s">
        <v>16</v>
      </c>
      <c r="M2083" s="1" t="s">
        <v>30</v>
      </c>
      <c r="N2083" s="1" t="str">
        <f t="shared" si="64"/>
        <v>Higher</v>
      </c>
      <c r="O2083" s="1" t="str">
        <f t="shared" si="65"/>
        <v>Mature | High Spender | Higher</v>
      </c>
    </row>
    <row r="2084" spans="1:15" x14ac:dyDescent="0.25">
      <c r="A2084" s="1" t="s">
        <v>2114</v>
      </c>
      <c r="B2084" s="1">
        <v>38</v>
      </c>
      <c r="C2084" s="1" t="str" cm="1">
        <f t="array" ref="C2084">_xlfn.IFS(OR(B2084=" ", B2084="NA",NOT(ISNUMBER(B2084))), "Unknown",B2084&lt;18,"Underage",B2084&lt;=24,"Young Adult",B2084&lt;=34,"Early Career",B2084&lt;=44,"Mid Career",B2084&lt;=54,"Mature",B2084&lt;=65,"Pre-Senior",B2084&gt;65,"Senior")</f>
        <v>Mid Career</v>
      </c>
      <c r="E2084" s="1" t="s">
        <v>49</v>
      </c>
      <c r="F2084" s="1">
        <v>1150000</v>
      </c>
      <c r="G2084" s="1">
        <v>65</v>
      </c>
      <c r="H2084" s="1" t="str" cm="1">
        <f t="array" ref="H2084">_xlfn.IFS( OR(G2084=" ",NOT(ISNUMBER(G2084))),"Unknown",G2084&lt;=33,"Low Spender",G2084&lt;=66,"Medium Spender",TRUE, "High Spender")</f>
        <v>Medium Spender</v>
      </c>
      <c r="I2084" s="1">
        <v>50</v>
      </c>
      <c r="J2084" s="1">
        <v>2600</v>
      </c>
      <c r="K2084" s="1">
        <v>33</v>
      </c>
      <c r="M2084" s="1" t="s">
        <v>21</v>
      </c>
      <c r="N2084" s="1" t="str">
        <f t="shared" si="64"/>
        <v>Lower</v>
      </c>
      <c r="O2084" s="1" t="str">
        <f t="shared" si="65"/>
        <v>Mid Career | Medium Spender | Lower</v>
      </c>
    </row>
    <row r="2085" spans="1:15" x14ac:dyDescent="0.25">
      <c r="A2085" s="1" t="s">
        <v>2115</v>
      </c>
      <c r="B2085" s="1">
        <v>64</v>
      </c>
      <c r="C2085" s="1" t="str" cm="1">
        <f t="array" ref="C2085">_xlfn.IFS(OR(B2085=" ", B2085="NA",NOT(ISNUMBER(B2085))), "Unknown",B2085&lt;18,"Underage",B2085&lt;=24,"Young Adult",B2085&lt;=34,"Early Career",B2085&lt;=44,"Mid Career",B2085&lt;=54,"Mature",B2085&lt;=65,"Pre-Senior",B2085&gt;65,"Senior")</f>
        <v>Pre-Senior</v>
      </c>
      <c r="D2085" s="1" t="s">
        <v>29</v>
      </c>
      <c r="F2085" s="1">
        <v>1050000</v>
      </c>
      <c r="G2085" s="1">
        <v>79</v>
      </c>
      <c r="H2085" s="1" t="str" cm="1">
        <f t="array" ref="H2085">_xlfn.IFS( OR(G2085=" ",NOT(ISNUMBER(G2085))),"Unknown",G2085&lt;=33,"Low Spender",G2085&lt;=66,"Medium Spender",TRUE, "High Spender")</f>
        <v>High Spender</v>
      </c>
      <c r="I2085" s="1">
        <v>6</v>
      </c>
      <c r="J2085" s="1">
        <v>8900</v>
      </c>
      <c r="K2085" s="1">
        <v>170</v>
      </c>
      <c r="L2085" s="1" t="s">
        <v>20</v>
      </c>
      <c r="M2085" s="1" t="s">
        <v>41</v>
      </c>
      <c r="N2085" s="1" t="str">
        <f t="shared" si="64"/>
        <v>Higher</v>
      </c>
      <c r="O2085" s="1" t="str">
        <f t="shared" si="65"/>
        <v>Pre-Senior | High Spender | Higher</v>
      </c>
    </row>
    <row r="2086" spans="1:15" x14ac:dyDescent="0.25">
      <c r="A2086" s="1" t="s">
        <v>2116</v>
      </c>
      <c r="B2086" s="1">
        <v>33</v>
      </c>
      <c r="C2086" s="1" t="str" cm="1">
        <f t="array" ref="C2086">_xlfn.IFS(OR(B2086=" ", B2086="NA",NOT(ISNUMBER(B2086))), "Unknown",B2086&lt;18,"Underage",B2086&lt;=24,"Young Adult",B2086&lt;=34,"Early Career",B2086&lt;=44,"Mid Career",B2086&lt;=54,"Mature",B2086&lt;=65,"Pre-Senior",B2086&gt;65,"Senior")</f>
        <v>Early Career</v>
      </c>
      <c r="D2086" s="1" t="s">
        <v>18</v>
      </c>
      <c r="E2086" s="1" t="s">
        <v>34</v>
      </c>
      <c r="F2086" s="1">
        <v>1550000</v>
      </c>
      <c r="G2086" s="1">
        <v>57</v>
      </c>
      <c r="H2086" s="1" t="str" cm="1">
        <f t="array" ref="H2086">_xlfn.IFS( OR(G2086=" ",NOT(ISNUMBER(G2086))),"Unknown",G2086&lt;=33,"Low Spender",G2086&lt;=66,"Medium Spender",TRUE, "High Spender")</f>
        <v>Medium Spender</v>
      </c>
      <c r="I2086" s="1">
        <v>50</v>
      </c>
      <c r="J2086" s="1">
        <v>7500</v>
      </c>
      <c r="K2086" s="1">
        <v>77</v>
      </c>
      <c r="L2086" s="1" t="s">
        <v>37</v>
      </c>
      <c r="M2086" s="1" t="s">
        <v>30</v>
      </c>
      <c r="N2086" s="1" t="str">
        <f t="shared" si="64"/>
        <v>Higher</v>
      </c>
      <c r="O2086" s="1" t="str">
        <f t="shared" si="65"/>
        <v>Early Career | Medium Spender | Higher</v>
      </c>
    </row>
    <row r="2087" spans="1:15" x14ac:dyDescent="0.25">
      <c r="A2087" s="1" t="s">
        <v>2117</v>
      </c>
      <c r="B2087" s="1">
        <v>54</v>
      </c>
      <c r="C2087" s="1" t="str" cm="1">
        <f t="array" ref="C2087">_xlfn.IFS(OR(B2087=" ", B2087="NA",NOT(ISNUMBER(B2087))), "Unknown",B2087&lt;18,"Underage",B2087&lt;=24,"Young Adult",B2087&lt;=34,"Early Career",B2087&lt;=44,"Mid Career",B2087&lt;=54,"Mature",B2087&lt;=65,"Pre-Senior",B2087&gt;65,"Senior")</f>
        <v>Mature</v>
      </c>
      <c r="D2087" s="1" t="s">
        <v>29</v>
      </c>
      <c r="E2087" s="1" t="s">
        <v>34</v>
      </c>
      <c r="F2087" s="1">
        <v>1175000</v>
      </c>
      <c r="G2087" s="1">
        <v>97</v>
      </c>
      <c r="H2087" s="1" t="str" cm="1">
        <f t="array" ref="H2087">_xlfn.IFS( OR(G2087=" ",NOT(ISNUMBER(G2087))),"Unknown",G2087&lt;=33,"Low Spender",G2087&lt;=66,"Medium Spender",TRUE, "High Spender")</f>
        <v>High Spender</v>
      </c>
      <c r="J2087" s="1">
        <v>500</v>
      </c>
      <c r="K2087" s="1">
        <v>297</v>
      </c>
      <c r="L2087" s="1" t="s">
        <v>16</v>
      </c>
      <c r="N2087" s="1" t="str">
        <f t="shared" si="64"/>
        <v>Higher</v>
      </c>
      <c r="O2087" s="1" t="str">
        <f t="shared" si="65"/>
        <v>Mature | High Spender | Higher</v>
      </c>
    </row>
    <row r="2088" spans="1:15" x14ac:dyDescent="0.25">
      <c r="A2088" s="1" t="s">
        <v>2118</v>
      </c>
      <c r="B2088" s="1">
        <v>37</v>
      </c>
      <c r="C2088" s="1" t="str" cm="1">
        <f t="array" ref="C2088">_xlfn.IFS(OR(B2088=" ", B2088="NA",NOT(ISNUMBER(B2088))), "Unknown",B2088&lt;18,"Underage",B2088&lt;=24,"Young Adult",B2088&lt;=34,"Early Career",B2088&lt;=44,"Mid Career",B2088&lt;=54,"Mature",B2088&lt;=65,"Pre-Senior",B2088&gt;65,"Senior")</f>
        <v>Mid Career</v>
      </c>
      <c r="E2088" s="1" t="s">
        <v>23</v>
      </c>
      <c r="F2088" s="1">
        <v>1300000</v>
      </c>
      <c r="G2088" s="1">
        <v>70</v>
      </c>
      <c r="H2088" s="1" t="str" cm="1">
        <f t="array" ref="H2088">_xlfn.IFS( OR(G2088=" ",NOT(ISNUMBER(G2088))),"Unknown",G2088&lt;=33,"Low Spender",G2088&lt;=66,"Medium Spender",TRUE, "High Spender")</f>
        <v>High Spender</v>
      </c>
      <c r="I2088" s="1">
        <v>66</v>
      </c>
      <c r="J2088" s="1">
        <v>10200</v>
      </c>
      <c r="K2088" s="1">
        <v>330</v>
      </c>
      <c r="L2088" s="1" t="s">
        <v>35</v>
      </c>
      <c r="M2088" s="1" t="s">
        <v>32</v>
      </c>
      <c r="N2088" s="1" t="str">
        <f t="shared" si="64"/>
        <v>Lower</v>
      </c>
      <c r="O2088" s="1" t="str">
        <f t="shared" si="65"/>
        <v>Mid Career | High Spender | Lower</v>
      </c>
    </row>
    <row r="2089" spans="1:15" x14ac:dyDescent="0.25">
      <c r="A2089" s="1" t="s">
        <v>2119</v>
      </c>
      <c r="B2089" s="1">
        <v>23</v>
      </c>
      <c r="C2089" s="1" t="str" cm="1">
        <f t="array" ref="C2089">_xlfn.IFS(OR(B2089=" ", B2089="NA",NOT(ISNUMBER(B2089))), "Unknown",B2089&lt;18,"Underage",B2089&lt;=24,"Young Adult",B2089&lt;=34,"Early Career",B2089&lt;=44,"Mid Career",B2089&lt;=54,"Mature",B2089&lt;=65,"Pre-Senior",B2089&gt;65,"Senior")</f>
        <v>Young Adult</v>
      </c>
      <c r="D2089" s="1" t="s">
        <v>18</v>
      </c>
      <c r="F2089" s="1">
        <v>1650000</v>
      </c>
      <c r="G2089" s="1">
        <v>7</v>
      </c>
      <c r="H2089" s="1" t="str" cm="1">
        <f t="array" ref="H2089">_xlfn.IFS( OR(G2089=" ",NOT(ISNUMBER(G2089))),"Unknown",G2089&lt;=33,"Low Spender",G2089&lt;=66,"Medium Spender",TRUE, "High Spender")</f>
        <v>Low Spender</v>
      </c>
      <c r="I2089" s="1">
        <v>1</v>
      </c>
      <c r="J2089" s="1">
        <v>5000</v>
      </c>
      <c r="K2089" s="1">
        <v>63</v>
      </c>
      <c r="L2089" s="1" t="s">
        <v>16</v>
      </c>
      <c r="M2089" s="1" t="s">
        <v>21</v>
      </c>
      <c r="N2089" s="1" t="str">
        <f t="shared" si="64"/>
        <v>Higher</v>
      </c>
      <c r="O2089" s="1" t="str">
        <f t="shared" si="65"/>
        <v>Young Adult | Low Spender | Higher</v>
      </c>
    </row>
    <row r="2090" spans="1:15" x14ac:dyDescent="0.25">
      <c r="A2090" s="1" t="s">
        <v>2120</v>
      </c>
      <c r="B2090" s="1">
        <v>36</v>
      </c>
      <c r="C2090" s="1" t="str" cm="1">
        <f t="array" ref="C2090">_xlfn.IFS(OR(B2090=" ", B2090="NA",NOT(ISNUMBER(B2090))), "Unknown",B2090&lt;18,"Underage",B2090&lt;=24,"Young Adult",B2090&lt;=34,"Early Career",B2090&lt;=44,"Mid Career",B2090&lt;=54,"Mature",B2090&lt;=65,"Pre-Senior",B2090&gt;65,"Senior")</f>
        <v>Mid Career</v>
      </c>
      <c r="D2090" s="1" t="s">
        <v>18</v>
      </c>
      <c r="F2090" s="1">
        <v>475000</v>
      </c>
      <c r="G2090" s="1">
        <v>19</v>
      </c>
      <c r="H2090" s="1" t="str" cm="1">
        <f t="array" ref="H2090">_xlfn.IFS( OR(G2090=" ",NOT(ISNUMBER(G2090))),"Unknown",G2090&lt;=33,"Low Spender",G2090&lt;=66,"Medium Spender",TRUE, "High Spender")</f>
        <v>Low Spender</v>
      </c>
      <c r="I2090" s="1">
        <v>57</v>
      </c>
      <c r="J2090" s="1">
        <v>7300</v>
      </c>
      <c r="K2090" s="1">
        <v>270</v>
      </c>
      <c r="L2090" s="1" t="s">
        <v>35</v>
      </c>
      <c r="M2090" s="1" t="s">
        <v>21</v>
      </c>
      <c r="N2090" s="1" t="str">
        <f t="shared" si="64"/>
        <v>Higher</v>
      </c>
      <c r="O2090" s="1" t="str">
        <f t="shared" si="65"/>
        <v>Mid Career | Low Spender | Higher</v>
      </c>
    </row>
    <row r="2091" spans="1:15" x14ac:dyDescent="0.25">
      <c r="A2091" s="1" t="s">
        <v>2121</v>
      </c>
      <c r="B2091" s="1">
        <v>22</v>
      </c>
      <c r="C2091" s="1" t="str" cm="1">
        <f t="array" ref="C2091">_xlfn.IFS(OR(B2091=" ", B2091="NA",NOT(ISNUMBER(B2091))), "Unknown",B2091&lt;18,"Underage",B2091&lt;=24,"Young Adult",B2091&lt;=34,"Early Career",B2091&lt;=44,"Mid Career",B2091&lt;=54,"Mature",B2091&lt;=65,"Pre-Senior",B2091&gt;65,"Senior")</f>
        <v>Young Adult</v>
      </c>
      <c r="E2091" s="1" t="s">
        <v>34</v>
      </c>
      <c r="F2091" s="1">
        <v>1825000</v>
      </c>
      <c r="G2091" s="1">
        <v>44</v>
      </c>
      <c r="H2091" s="1" t="str" cm="1">
        <f t="array" ref="H2091">_xlfn.IFS( OR(G2091=" ",NOT(ISNUMBER(G2091))),"Unknown",G2091&lt;=33,"Low Spender",G2091&lt;=66,"Medium Spender",TRUE, "High Spender")</f>
        <v>Medium Spender</v>
      </c>
      <c r="I2091" s="1">
        <v>30</v>
      </c>
      <c r="J2091" s="1">
        <v>2400</v>
      </c>
      <c r="K2091" s="1">
        <v>216</v>
      </c>
      <c r="L2091" s="1" t="s">
        <v>35</v>
      </c>
      <c r="M2091" s="1" t="s">
        <v>32</v>
      </c>
      <c r="N2091" s="1" t="str">
        <f t="shared" si="64"/>
        <v>Lower</v>
      </c>
      <c r="O2091" s="1" t="str">
        <f t="shared" si="65"/>
        <v>Young Adult | Medium Spender | Lower</v>
      </c>
    </row>
    <row r="2092" spans="1:15" x14ac:dyDescent="0.25">
      <c r="A2092" s="1" t="s">
        <v>2122</v>
      </c>
      <c r="B2092" s="1">
        <v>20</v>
      </c>
      <c r="C2092" s="1" t="str" cm="1">
        <f t="array" ref="C2092">_xlfn.IFS(OR(B2092=" ", B2092="NA",NOT(ISNUMBER(B2092))), "Unknown",B2092&lt;18,"Underage",B2092&lt;=24,"Young Adult",B2092&lt;=34,"Early Career",B2092&lt;=44,"Mid Career",B2092&lt;=54,"Mature",B2092&lt;=65,"Pre-Senior",B2092&gt;65,"Senior")</f>
        <v>Young Adult</v>
      </c>
      <c r="D2092" s="1" t="s">
        <v>18</v>
      </c>
      <c r="E2092" s="1" t="s">
        <v>23</v>
      </c>
      <c r="F2092" s="1">
        <v>1450000</v>
      </c>
      <c r="G2092" s="1">
        <v>63</v>
      </c>
      <c r="H2092" s="1" t="str" cm="1">
        <f t="array" ref="H2092">_xlfn.IFS( OR(G2092=" ",NOT(ISNUMBER(G2092))),"Unknown",G2092&lt;=33,"Low Spender",G2092&lt;=66,"Medium Spender",TRUE, "High Spender")</f>
        <v>Medium Spender</v>
      </c>
      <c r="I2092" s="1">
        <v>58</v>
      </c>
      <c r="J2092" s="1">
        <v>1600</v>
      </c>
      <c r="K2092" s="1">
        <v>190</v>
      </c>
      <c r="N2092" s="1" t="str">
        <f t="shared" si="64"/>
        <v>Higher</v>
      </c>
      <c r="O2092" s="1" t="str">
        <f t="shared" si="65"/>
        <v>Young Adult | Medium Spender | Higher</v>
      </c>
    </row>
    <row r="2093" spans="1:15" x14ac:dyDescent="0.25">
      <c r="A2093" s="1" t="s">
        <v>2123</v>
      </c>
      <c r="B2093" s="1">
        <v>18</v>
      </c>
      <c r="C2093" s="1" t="str" cm="1">
        <f t="array" ref="C2093">_xlfn.IFS(OR(B2093=" ", B2093="NA",NOT(ISNUMBER(B2093))), "Unknown",B2093&lt;18,"Underage",B2093&lt;=24,"Young Adult",B2093&lt;=34,"Early Career",B2093&lt;=44,"Mid Career",B2093&lt;=54,"Mature",B2093&lt;=65,"Pre-Senior",B2093&gt;65,"Senior")</f>
        <v>Young Adult</v>
      </c>
      <c r="D2093" s="1" t="s">
        <v>29</v>
      </c>
      <c r="E2093" s="1" t="s">
        <v>23</v>
      </c>
      <c r="F2093" s="1">
        <v>975000</v>
      </c>
      <c r="G2093" s="1">
        <v>65</v>
      </c>
      <c r="H2093" s="1" t="str" cm="1">
        <f t="array" ref="H2093">_xlfn.IFS( OR(G2093=" ",NOT(ISNUMBER(G2093))),"Unknown",G2093&lt;=33,"Low Spender",G2093&lt;=66,"Medium Spender",TRUE, "High Spender")</f>
        <v>Medium Spender</v>
      </c>
      <c r="I2093" s="1">
        <v>52</v>
      </c>
      <c r="J2093" s="1">
        <v>5000</v>
      </c>
      <c r="K2093" s="1">
        <v>75</v>
      </c>
      <c r="L2093" s="1" t="s">
        <v>16</v>
      </c>
      <c r="N2093" s="1" t="str">
        <f t="shared" si="64"/>
        <v>Higher</v>
      </c>
      <c r="O2093" s="1" t="str">
        <f t="shared" si="65"/>
        <v>Young Adult | Medium Spender | Higher</v>
      </c>
    </row>
    <row r="2094" spans="1:15" x14ac:dyDescent="0.25">
      <c r="A2094" s="1" t="s">
        <v>2124</v>
      </c>
      <c r="B2094" s="1">
        <v>55</v>
      </c>
      <c r="C2094" s="1" t="str" cm="1">
        <f t="array" ref="C2094">_xlfn.IFS(OR(B2094=" ", B2094="NA",NOT(ISNUMBER(B2094))), "Unknown",B2094&lt;18,"Underage",B2094&lt;=24,"Young Adult",B2094&lt;=34,"Early Career",B2094&lt;=44,"Mid Career",B2094&lt;=54,"Mature",B2094&lt;=65,"Pre-Senior",B2094&gt;65,"Senior")</f>
        <v>Pre-Senior</v>
      </c>
      <c r="D2094" s="1" t="s">
        <v>18</v>
      </c>
      <c r="E2094" s="1" t="s">
        <v>23</v>
      </c>
      <c r="G2094" s="1">
        <v>39</v>
      </c>
      <c r="H2094" s="1" t="str" cm="1">
        <f t="array" ref="H2094">_xlfn.IFS( OR(G2094=" ",NOT(ISNUMBER(G2094))),"Unknown",G2094&lt;=33,"Low Spender",G2094&lt;=66,"Medium Spender",TRUE, "High Spender")</f>
        <v>Medium Spender</v>
      </c>
      <c r="I2094" s="1">
        <v>37</v>
      </c>
      <c r="J2094" s="1">
        <v>3100</v>
      </c>
      <c r="K2094" s="1">
        <v>174</v>
      </c>
      <c r="L2094" s="1" t="s">
        <v>20</v>
      </c>
      <c r="M2094" s="1" t="s">
        <v>41</v>
      </c>
      <c r="N2094" s="1" t="str">
        <f t="shared" si="64"/>
        <v>Higher</v>
      </c>
      <c r="O2094" s="1" t="str">
        <f t="shared" si="65"/>
        <v>Pre-Senior | Medium Spender | Higher</v>
      </c>
    </row>
    <row r="2095" spans="1:15" x14ac:dyDescent="0.25">
      <c r="A2095" s="1" t="s">
        <v>2125</v>
      </c>
      <c r="B2095" s="1">
        <v>32</v>
      </c>
      <c r="C2095" s="1" t="str" cm="1">
        <f t="array" ref="C2095">_xlfn.IFS(OR(B2095=" ", B2095="NA",NOT(ISNUMBER(B2095))), "Unknown",B2095&lt;18,"Underage",B2095&lt;=24,"Young Adult",B2095&lt;=34,"Early Career",B2095&lt;=44,"Mid Career",B2095&lt;=54,"Mature",B2095&lt;=65,"Pre-Senior",B2095&gt;65,"Senior")</f>
        <v>Early Career</v>
      </c>
      <c r="D2095" s="1" t="s">
        <v>18</v>
      </c>
      <c r="E2095" s="1" t="s">
        <v>49</v>
      </c>
      <c r="F2095" s="1">
        <v>725000</v>
      </c>
      <c r="G2095" s="1">
        <v>83</v>
      </c>
      <c r="H2095" s="1" t="str" cm="1">
        <f t="array" ref="H2095">_xlfn.IFS( OR(G2095=" ",NOT(ISNUMBER(G2095))),"Unknown",G2095&lt;=33,"Low Spender",G2095&lt;=66,"Medium Spender",TRUE, "High Spender")</f>
        <v>High Spender</v>
      </c>
      <c r="I2095" s="1">
        <v>48</v>
      </c>
      <c r="J2095" s="1">
        <v>5200</v>
      </c>
      <c r="K2095" s="1">
        <v>67</v>
      </c>
      <c r="L2095" s="1" t="s">
        <v>35</v>
      </c>
      <c r="N2095" s="1" t="str">
        <f t="shared" si="64"/>
        <v>Higher</v>
      </c>
      <c r="O2095" s="1" t="str">
        <f t="shared" si="65"/>
        <v>Early Career | High Spender | Higher</v>
      </c>
    </row>
    <row r="2096" spans="1:15" x14ac:dyDescent="0.25">
      <c r="A2096" s="1" t="s">
        <v>2126</v>
      </c>
      <c r="B2096" s="1">
        <v>51</v>
      </c>
      <c r="C2096" s="1" t="str" cm="1">
        <f t="array" ref="C2096">_xlfn.IFS(OR(B2096=" ", B2096="NA",NOT(ISNUMBER(B2096))), "Unknown",B2096&lt;18,"Underage",B2096&lt;=24,"Young Adult",B2096&lt;=34,"Early Career",B2096&lt;=44,"Mid Career",B2096&lt;=54,"Mature",B2096&lt;=65,"Pre-Senior",B2096&gt;65,"Senior")</f>
        <v>Mature</v>
      </c>
      <c r="D2096" s="1" t="s">
        <v>29</v>
      </c>
      <c r="E2096" s="1" t="s">
        <v>23</v>
      </c>
      <c r="F2096" s="1">
        <v>625000</v>
      </c>
      <c r="G2096" s="1">
        <v>26</v>
      </c>
      <c r="H2096" s="1" t="str" cm="1">
        <f t="array" ref="H2096">_xlfn.IFS( OR(G2096=" ",NOT(ISNUMBER(G2096))),"Unknown",G2096&lt;=33,"Low Spender",G2096&lt;=66,"Medium Spender",TRUE, "High Spender")</f>
        <v>Low Spender</v>
      </c>
      <c r="I2096" s="1">
        <v>1</v>
      </c>
      <c r="J2096" s="1">
        <v>8200</v>
      </c>
      <c r="K2096" s="1">
        <v>93</v>
      </c>
      <c r="M2096" s="1" t="s">
        <v>32</v>
      </c>
      <c r="N2096" s="1" t="str">
        <f t="shared" si="64"/>
        <v>Higher</v>
      </c>
      <c r="O2096" s="1" t="str">
        <f t="shared" si="65"/>
        <v>Mature | Low Spender | Higher</v>
      </c>
    </row>
    <row r="2097" spans="1:15" x14ac:dyDescent="0.25">
      <c r="A2097" s="1" t="s">
        <v>2127</v>
      </c>
      <c r="B2097" s="1">
        <v>52</v>
      </c>
      <c r="C2097" s="1" t="str" cm="1">
        <f t="array" ref="C2097">_xlfn.IFS(OR(B2097=" ", B2097="NA",NOT(ISNUMBER(B2097))), "Unknown",B2097&lt;18,"Underage",B2097&lt;=24,"Young Adult",B2097&lt;=34,"Early Career",B2097&lt;=44,"Mid Career",B2097&lt;=54,"Mature",B2097&lt;=65,"Pre-Senior",B2097&gt;65,"Senior")</f>
        <v>Mature</v>
      </c>
      <c r="D2097" s="1" t="s">
        <v>18</v>
      </c>
      <c r="E2097" s="1" t="s">
        <v>19</v>
      </c>
      <c r="F2097" s="1">
        <v>1850000</v>
      </c>
      <c r="G2097" s="1">
        <v>44</v>
      </c>
      <c r="H2097" s="1" t="str" cm="1">
        <f t="array" ref="H2097">_xlfn.IFS( OR(G2097=" ",NOT(ISNUMBER(G2097))),"Unknown",G2097&lt;=33,"Low Spender",G2097&lt;=66,"Medium Spender",TRUE, "High Spender")</f>
        <v>Medium Spender</v>
      </c>
      <c r="I2097" s="1">
        <v>19</v>
      </c>
      <c r="J2097" s="1">
        <v>11400</v>
      </c>
      <c r="K2097" s="1">
        <v>53</v>
      </c>
      <c r="L2097" s="1" t="s">
        <v>20</v>
      </c>
      <c r="M2097" s="1" t="s">
        <v>41</v>
      </c>
      <c r="N2097" s="1" t="str">
        <f t="shared" si="64"/>
        <v>Higher</v>
      </c>
      <c r="O2097" s="1" t="str">
        <f t="shared" si="65"/>
        <v>Mature | Medium Spender | Higher</v>
      </c>
    </row>
    <row r="2098" spans="1:15" x14ac:dyDescent="0.25">
      <c r="A2098" s="1" t="s">
        <v>2128</v>
      </c>
      <c r="B2098" s="1">
        <v>66</v>
      </c>
      <c r="C2098" s="1" t="str" cm="1">
        <f t="array" ref="C2098">_xlfn.IFS(OR(B2098=" ", B2098="NA",NOT(ISNUMBER(B2098))), "Unknown",B2098&lt;18,"Underage",B2098&lt;=24,"Young Adult",B2098&lt;=34,"Early Career",B2098&lt;=44,"Mid Career",B2098&lt;=54,"Mature",B2098&lt;=65,"Pre-Senior",B2098&gt;65,"Senior")</f>
        <v>Senior</v>
      </c>
      <c r="D2098" s="1" t="s">
        <v>18</v>
      </c>
      <c r="F2098" s="1">
        <v>875000</v>
      </c>
      <c r="G2098" s="1">
        <v>12</v>
      </c>
      <c r="H2098" s="1" t="str" cm="1">
        <f t="array" ref="H2098">_xlfn.IFS( OR(G2098=" ",NOT(ISNUMBER(G2098))),"Unknown",G2098&lt;=33,"Low Spender",G2098&lt;=66,"Medium Spender",TRUE, "High Spender")</f>
        <v>Low Spender</v>
      </c>
      <c r="I2098" s="1">
        <v>46</v>
      </c>
      <c r="J2098" s="1">
        <v>10000</v>
      </c>
      <c r="K2098" s="1">
        <v>94</v>
      </c>
      <c r="L2098" s="1" t="s">
        <v>16</v>
      </c>
      <c r="N2098" s="1" t="str">
        <f t="shared" si="64"/>
        <v>Higher</v>
      </c>
      <c r="O2098" s="1" t="str">
        <f t="shared" si="65"/>
        <v>Senior | Low Spender | Higher</v>
      </c>
    </row>
    <row r="2099" spans="1:15" x14ac:dyDescent="0.25">
      <c r="A2099" s="1" t="s">
        <v>2129</v>
      </c>
      <c r="B2099" s="1">
        <v>42</v>
      </c>
      <c r="C2099" s="1" t="str" cm="1">
        <f t="array" ref="C2099">_xlfn.IFS(OR(B2099=" ", B2099="NA",NOT(ISNUMBER(B2099))), "Unknown",B2099&lt;18,"Underage",B2099&lt;=24,"Young Adult",B2099&lt;=34,"Early Career",B2099&lt;=44,"Mid Career",B2099&lt;=54,"Mature",B2099&lt;=65,"Pre-Senior",B2099&gt;65,"Senior")</f>
        <v>Mid Career</v>
      </c>
      <c r="D2099" s="1" t="s">
        <v>29</v>
      </c>
      <c r="E2099" s="1" t="s">
        <v>19</v>
      </c>
      <c r="F2099" s="1">
        <v>300000</v>
      </c>
      <c r="G2099" s="1">
        <v>22</v>
      </c>
      <c r="H2099" s="1" t="str" cm="1">
        <f t="array" ref="H2099">_xlfn.IFS( OR(G2099=" ",NOT(ISNUMBER(G2099))),"Unknown",G2099&lt;=33,"Low Spender",G2099&lt;=66,"Medium Spender",TRUE, "High Spender")</f>
        <v>Low Spender</v>
      </c>
      <c r="I2099" s="1">
        <v>67</v>
      </c>
      <c r="J2099" s="1">
        <v>1200</v>
      </c>
      <c r="K2099" s="1">
        <v>113</v>
      </c>
      <c r="L2099" s="1" t="s">
        <v>20</v>
      </c>
      <c r="M2099" s="1" t="s">
        <v>30</v>
      </c>
      <c r="N2099" s="1" t="str">
        <f t="shared" si="64"/>
        <v>Higher</v>
      </c>
      <c r="O2099" s="1" t="str">
        <f t="shared" si="65"/>
        <v>Mid Career | Low Spender | Higher</v>
      </c>
    </row>
    <row r="2100" spans="1:15" x14ac:dyDescent="0.25">
      <c r="A2100" s="1" t="s">
        <v>2130</v>
      </c>
      <c r="B2100" s="1">
        <v>41</v>
      </c>
      <c r="C2100" s="1" t="str" cm="1">
        <f t="array" ref="C2100">_xlfn.IFS(OR(B2100=" ", B2100="NA",NOT(ISNUMBER(B2100))), "Unknown",B2100&lt;18,"Underage",B2100&lt;=24,"Young Adult",B2100&lt;=34,"Early Career",B2100&lt;=44,"Mid Career",B2100&lt;=54,"Mature",B2100&lt;=65,"Pre-Senior",B2100&gt;65,"Senior")</f>
        <v>Mid Career</v>
      </c>
      <c r="E2100" s="1" t="s">
        <v>13</v>
      </c>
      <c r="F2100" s="1">
        <v>1025000</v>
      </c>
      <c r="G2100" s="1">
        <v>77</v>
      </c>
      <c r="H2100" s="1" t="str" cm="1">
        <f t="array" ref="H2100">_xlfn.IFS( OR(G2100=" ",NOT(ISNUMBER(G2100))),"Unknown",G2100&lt;=33,"Low Spender",G2100&lt;=66,"Medium Spender",TRUE, "High Spender")</f>
        <v>High Spender</v>
      </c>
      <c r="I2100" s="1">
        <v>2</v>
      </c>
      <c r="J2100" s="1">
        <v>7300</v>
      </c>
      <c r="K2100" s="1">
        <v>229</v>
      </c>
      <c r="L2100" s="1" t="s">
        <v>16</v>
      </c>
      <c r="M2100" s="1" t="s">
        <v>30</v>
      </c>
      <c r="N2100" s="1" t="str">
        <f t="shared" si="64"/>
        <v>Lower</v>
      </c>
      <c r="O2100" s="1" t="str">
        <f t="shared" si="65"/>
        <v>Mid Career | High Spender | Lower</v>
      </c>
    </row>
    <row r="2101" spans="1:15" x14ac:dyDescent="0.25">
      <c r="A2101" s="1" t="s">
        <v>2131</v>
      </c>
      <c r="B2101" s="1">
        <v>29</v>
      </c>
      <c r="C2101" s="1" t="str" cm="1">
        <f t="array" ref="C2101">_xlfn.IFS(OR(B2101=" ", B2101="NA",NOT(ISNUMBER(B2101))), "Unknown",B2101&lt;18,"Underage",B2101&lt;=24,"Young Adult",B2101&lt;=34,"Early Career",B2101&lt;=44,"Mid Career",B2101&lt;=54,"Mature",B2101&lt;=65,"Pre-Senior",B2101&gt;65,"Senior")</f>
        <v>Early Career</v>
      </c>
      <c r="E2101" s="1" t="s">
        <v>34</v>
      </c>
      <c r="F2101" s="1">
        <v>1075000</v>
      </c>
      <c r="G2101" s="1">
        <v>92</v>
      </c>
      <c r="H2101" s="1" t="str" cm="1">
        <f t="array" ref="H2101">_xlfn.IFS( OR(G2101=" ",NOT(ISNUMBER(G2101))),"Unknown",G2101&lt;=33,"Low Spender",G2101&lt;=66,"Medium Spender",TRUE, "High Spender")</f>
        <v>High Spender</v>
      </c>
      <c r="I2101" s="1">
        <v>56</v>
      </c>
      <c r="J2101" s="1">
        <v>9100</v>
      </c>
      <c r="K2101" s="1">
        <v>250</v>
      </c>
      <c r="L2101" s="1" t="s">
        <v>35</v>
      </c>
      <c r="N2101" s="1" t="str">
        <f t="shared" si="64"/>
        <v>Lower</v>
      </c>
      <c r="O2101" s="1" t="str">
        <f t="shared" si="65"/>
        <v>Early Career | High Spender | Lower</v>
      </c>
    </row>
    <row r="2102" spans="1:15" x14ac:dyDescent="0.25">
      <c r="A2102" s="1" t="s">
        <v>2132</v>
      </c>
      <c r="B2102" s="1">
        <v>35</v>
      </c>
      <c r="C2102" s="1" t="str" cm="1">
        <f t="array" ref="C2102">_xlfn.IFS(OR(B2102=" ", B2102="NA",NOT(ISNUMBER(B2102))), "Unknown",B2102&lt;18,"Underage",B2102&lt;=24,"Young Adult",B2102&lt;=34,"Early Career",B2102&lt;=44,"Mid Career",B2102&lt;=54,"Mature",B2102&lt;=65,"Pre-Senior",B2102&gt;65,"Senior")</f>
        <v>Mid Career</v>
      </c>
      <c r="F2102" s="1">
        <v>1425000</v>
      </c>
      <c r="G2102" s="1">
        <v>14</v>
      </c>
      <c r="H2102" s="1" t="str" cm="1">
        <f t="array" ref="H2102">_xlfn.IFS( OR(G2102=" ",NOT(ISNUMBER(G2102))),"Unknown",G2102&lt;=33,"Low Spender",G2102&lt;=66,"Medium Spender",TRUE, "High Spender")</f>
        <v>Low Spender</v>
      </c>
      <c r="I2102" s="1">
        <v>17</v>
      </c>
      <c r="J2102" s="1">
        <v>2900</v>
      </c>
      <c r="K2102" s="1">
        <v>209</v>
      </c>
      <c r="L2102" s="1" t="s">
        <v>37</v>
      </c>
      <c r="N2102" s="1" t="str">
        <f t="shared" si="64"/>
        <v>Lower</v>
      </c>
      <c r="O2102" s="1" t="str">
        <f t="shared" si="65"/>
        <v>Mid Career | Low Spender | Lower</v>
      </c>
    </row>
    <row r="2103" spans="1:15" x14ac:dyDescent="0.25">
      <c r="A2103" s="1" t="s">
        <v>2133</v>
      </c>
      <c r="B2103" s="1">
        <v>32</v>
      </c>
      <c r="C2103" s="1" t="str" cm="1">
        <f t="array" ref="C2103">_xlfn.IFS(OR(B2103=" ", B2103="NA",NOT(ISNUMBER(B2103))), "Unknown",B2103&lt;18,"Underage",B2103&lt;=24,"Young Adult",B2103&lt;=34,"Early Career",B2103&lt;=44,"Mid Career",B2103&lt;=54,"Mature",B2103&lt;=65,"Pre-Senior",B2103&gt;65,"Senior")</f>
        <v>Early Career</v>
      </c>
      <c r="E2103" s="1" t="s">
        <v>23</v>
      </c>
      <c r="F2103" s="1">
        <v>500000</v>
      </c>
      <c r="G2103" s="1">
        <v>86</v>
      </c>
      <c r="H2103" s="1" t="str" cm="1">
        <f t="array" ref="H2103">_xlfn.IFS( OR(G2103=" ",NOT(ISNUMBER(G2103))),"Unknown",G2103&lt;=33,"Low Spender",G2103&lt;=66,"Medium Spender",TRUE, "High Spender")</f>
        <v>High Spender</v>
      </c>
      <c r="I2103" s="1">
        <v>79</v>
      </c>
      <c r="J2103" s="1">
        <v>8100</v>
      </c>
      <c r="K2103" s="1">
        <v>182</v>
      </c>
      <c r="L2103" s="1" t="s">
        <v>37</v>
      </c>
      <c r="M2103" s="1" t="s">
        <v>41</v>
      </c>
      <c r="N2103" s="1" t="str">
        <f t="shared" si="64"/>
        <v>Lower</v>
      </c>
      <c r="O2103" s="1" t="str">
        <f t="shared" si="65"/>
        <v>Early Career | High Spender | Lower</v>
      </c>
    </row>
    <row r="2104" spans="1:15" x14ac:dyDescent="0.25">
      <c r="A2104" s="1" t="s">
        <v>2134</v>
      </c>
      <c r="B2104" s="1">
        <v>61</v>
      </c>
      <c r="C2104" s="1" t="str" cm="1">
        <f t="array" ref="C2104">_xlfn.IFS(OR(B2104=" ", B2104="NA",NOT(ISNUMBER(B2104))), "Unknown",B2104&lt;18,"Underage",B2104&lt;=24,"Young Adult",B2104&lt;=34,"Early Career",B2104&lt;=44,"Mid Career",B2104&lt;=54,"Mature",B2104&lt;=65,"Pre-Senior",B2104&gt;65,"Senior")</f>
        <v>Pre-Senior</v>
      </c>
      <c r="E2104" s="1" t="s">
        <v>27</v>
      </c>
      <c r="F2104" s="1">
        <v>1275000</v>
      </c>
      <c r="G2104" s="1">
        <v>30</v>
      </c>
      <c r="H2104" s="1" t="str" cm="1">
        <f t="array" ref="H2104">_xlfn.IFS( OR(G2104=" ",NOT(ISNUMBER(G2104))),"Unknown",G2104&lt;=33,"Low Spender",G2104&lt;=66,"Medium Spender",TRUE, "High Spender")</f>
        <v>Low Spender</v>
      </c>
      <c r="I2104" s="1">
        <v>22</v>
      </c>
      <c r="J2104" s="1">
        <v>9800</v>
      </c>
      <c r="K2104" s="1">
        <v>267</v>
      </c>
      <c r="N2104" s="1" t="str">
        <f t="shared" si="64"/>
        <v>Lower</v>
      </c>
      <c r="O2104" s="1" t="str">
        <f t="shared" si="65"/>
        <v>Pre-Senior | Low Spender | Lower</v>
      </c>
    </row>
    <row r="2105" spans="1:15" x14ac:dyDescent="0.25">
      <c r="A2105" s="1" t="s">
        <v>2135</v>
      </c>
      <c r="B2105" s="1">
        <v>33</v>
      </c>
      <c r="C2105" s="1" t="str" cm="1">
        <f t="array" ref="C2105">_xlfn.IFS(OR(B2105=" ", B2105="NA",NOT(ISNUMBER(B2105))), "Unknown",B2105&lt;18,"Underage",B2105&lt;=24,"Young Adult",B2105&lt;=34,"Early Career",B2105&lt;=44,"Mid Career",B2105&lt;=54,"Mature",B2105&lt;=65,"Pre-Senior",B2105&gt;65,"Senior")</f>
        <v>Early Career</v>
      </c>
      <c r="E2105" s="1" t="s">
        <v>27</v>
      </c>
      <c r="F2105" s="1">
        <v>700000</v>
      </c>
      <c r="G2105" s="1">
        <v>44</v>
      </c>
      <c r="H2105" s="1" t="str" cm="1">
        <f t="array" ref="H2105">_xlfn.IFS( OR(G2105=" ",NOT(ISNUMBER(G2105))),"Unknown",G2105&lt;=33,"Low Spender",G2105&lt;=66,"Medium Spender",TRUE, "High Spender")</f>
        <v>Medium Spender</v>
      </c>
      <c r="I2105" s="1">
        <v>27</v>
      </c>
      <c r="J2105" s="1">
        <v>3000</v>
      </c>
      <c r="K2105" s="1">
        <v>281</v>
      </c>
      <c r="M2105" s="1" t="s">
        <v>32</v>
      </c>
      <c r="N2105" s="1" t="str">
        <f t="shared" si="64"/>
        <v>Lower</v>
      </c>
      <c r="O2105" s="1" t="str">
        <f t="shared" si="65"/>
        <v>Early Career | Medium Spender | Lower</v>
      </c>
    </row>
    <row r="2106" spans="1:15" x14ac:dyDescent="0.25">
      <c r="A2106" s="1" t="s">
        <v>2136</v>
      </c>
      <c r="B2106" s="1">
        <v>44</v>
      </c>
      <c r="C2106" s="1" t="str" cm="1">
        <f t="array" ref="C2106">_xlfn.IFS(OR(B2106=" ", B2106="NA",NOT(ISNUMBER(B2106))), "Unknown",B2106&lt;18,"Underage",B2106&lt;=24,"Young Adult",B2106&lt;=34,"Early Career",B2106&lt;=44,"Mid Career",B2106&lt;=54,"Mature",B2106&lt;=65,"Pre-Senior",B2106&gt;65,"Senior")</f>
        <v>Mid Career</v>
      </c>
      <c r="D2106" s="1" t="s">
        <v>29</v>
      </c>
      <c r="E2106" s="1" t="s">
        <v>34</v>
      </c>
      <c r="F2106" s="1">
        <v>425000</v>
      </c>
      <c r="G2106" s="1">
        <v>84</v>
      </c>
      <c r="H2106" s="1" t="str" cm="1">
        <f t="array" ref="H2106">_xlfn.IFS( OR(G2106=" ",NOT(ISNUMBER(G2106))),"Unknown",G2106&lt;=33,"Low Spender",G2106&lt;=66,"Medium Spender",TRUE, "High Spender")</f>
        <v>High Spender</v>
      </c>
      <c r="I2106" s="1">
        <v>55</v>
      </c>
      <c r="J2106" s="1">
        <v>1100</v>
      </c>
      <c r="K2106" s="1">
        <v>155</v>
      </c>
      <c r="L2106" s="1" t="s">
        <v>35</v>
      </c>
      <c r="N2106" s="1" t="str">
        <f t="shared" si="64"/>
        <v>Higher</v>
      </c>
      <c r="O2106" s="1" t="str">
        <f t="shared" si="65"/>
        <v>Mid Career | High Spender | Higher</v>
      </c>
    </row>
    <row r="2107" spans="1:15" x14ac:dyDescent="0.25">
      <c r="A2107" s="1" t="s">
        <v>2137</v>
      </c>
      <c r="B2107" s="1">
        <v>25</v>
      </c>
      <c r="C2107" s="1" t="str" cm="1">
        <f t="array" ref="C2107">_xlfn.IFS(OR(B2107=" ", B2107="NA",NOT(ISNUMBER(B2107))), "Unknown",B2107&lt;18,"Underage",B2107&lt;=24,"Young Adult",B2107&lt;=34,"Early Career",B2107&lt;=44,"Mid Career",B2107&lt;=54,"Mature",B2107&lt;=65,"Pre-Senior",B2107&gt;65,"Senior")</f>
        <v>Early Career</v>
      </c>
      <c r="E2107" s="1" t="s">
        <v>13</v>
      </c>
      <c r="F2107" s="1">
        <v>1225000</v>
      </c>
      <c r="G2107" s="1">
        <v>91</v>
      </c>
      <c r="H2107" s="1" t="str" cm="1">
        <f t="array" ref="H2107">_xlfn.IFS( OR(G2107=" ",NOT(ISNUMBER(G2107))),"Unknown",G2107&lt;=33,"Low Spender",G2107&lt;=66,"Medium Spender",TRUE, "High Spender")</f>
        <v>High Spender</v>
      </c>
      <c r="I2107" s="1">
        <v>32</v>
      </c>
      <c r="J2107" s="1">
        <v>7300</v>
      </c>
      <c r="K2107" s="1">
        <v>83</v>
      </c>
      <c r="L2107" s="1" t="s">
        <v>20</v>
      </c>
      <c r="N2107" s="1" t="str">
        <f t="shared" si="64"/>
        <v>Lower</v>
      </c>
      <c r="O2107" s="1" t="str">
        <f t="shared" si="65"/>
        <v>Early Career | High Spender | Lower</v>
      </c>
    </row>
    <row r="2108" spans="1:15" x14ac:dyDescent="0.25">
      <c r="A2108" s="1" t="s">
        <v>2138</v>
      </c>
      <c r="B2108" s="1">
        <v>63</v>
      </c>
      <c r="C2108" s="1" t="str" cm="1">
        <f t="array" ref="C2108">_xlfn.IFS(OR(B2108=" ", B2108="NA",NOT(ISNUMBER(B2108))), "Unknown",B2108&lt;18,"Underage",B2108&lt;=24,"Young Adult",B2108&lt;=34,"Early Career",B2108&lt;=44,"Mid Career",B2108&lt;=54,"Mature",B2108&lt;=65,"Pre-Senior",B2108&gt;65,"Senior")</f>
        <v>Pre-Senior</v>
      </c>
      <c r="E2108" s="1" t="s">
        <v>27</v>
      </c>
      <c r="F2108" s="1">
        <v>500000</v>
      </c>
      <c r="G2108" s="1">
        <v>38</v>
      </c>
      <c r="H2108" s="1" t="str" cm="1">
        <f t="array" ref="H2108">_xlfn.IFS( OR(G2108=" ",NOT(ISNUMBER(G2108))),"Unknown",G2108&lt;=33,"Low Spender",G2108&lt;=66,"Medium Spender",TRUE, "High Spender")</f>
        <v>Medium Spender</v>
      </c>
      <c r="I2108" s="1">
        <v>60</v>
      </c>
      <c r="J2108" s="1">
        <v>8200</v>
      </c>
      <c r="K2108" s="1">
        <v>186</v>
      </c>
      <c r="L2108" s="1" t="s">
        <v>16</v>
      </c>
      <c r="N2108" s="1" t="str">
        <f t="shared" si="64"/>
        <v>Lower</v>
      </c>
      <c r="O2108" s="1" t="str">
        <f t="shared" si="65"/>
        <v>Pre-Senior | Medium Spender | Lower</v>
      </c>
    </row>
    <row r="2109" spans="1:15" x14ac:dyDescent="0.25">
      <c r="A2109" s="1" t="s">
        <v>2139</v>
      </c>
      <c r="B2109" s="1">
        <v>42</v>
      </c>
      <c r="C2109" s="1" t="str" cm="1">
        <f t="array" ref="C2109">_xlfn.IFS(OR(B2109=" ", B2109="NA",NOT(ISNUMBER(B2109))), "Unknown",B2109&lt;18,"Underage",B2109&lt;=24,"Young Adult",B2109&lt;=34,"Early Career",B2109&lt;=44,"Mid Career",B2109&lt;=54,"Mature",B2109&lt;=65,"Pre-Senior",B2109&gt;65,"Senior")</f>
        <v>Mid Career</v>
      </c>
      <c r="E2109" s="1" t="s">
        <v>19</v>
      </c>
      <c r="F2109" s="1">
        <v>1350000</v>
      </c>
      <c r="G2109" s="1">
        <v>59</v>
      </c>
      <c r="H2109" s="1" t="str" cm="1">
        <f t="array" ref="H2109">_xlfn.IFS( OR(G2109=" ",NOT(ISNUMBER(G2109))),"Unknown",G2109&lt;=33,"Low Spender",G2109&lt;=66,"Medium Spender",TRUE, "High Spender")</f>
        <v>Medium Spender</v>
      </c>
      <c r="I2109" s="1">
        <v>28</v>
      </c>
      <c r="J2109" s="1">
        <v>2800</v>
      </c>
      <c r="K2109" s="1">
        <v>349</v>
      </c>
      <c r="L2109" s="1" t="s">
        <v>37</v>
      </c>
      <c r="M2109" s="1" t="s">
        <v>30</v>
      </c>
      <c r="N2109" s="1" t="str">
        <f t="shared" si="64"/>
        <v>Lower</v>
      </c>
      <c r="O2109" s="1" t="str">
        <f t="shared" si="65"/>
        <v>Mid Career | Medium Spender | Lower</v>
      </c>
    </row>
    <row r="2110" spans="1:15" x14ac:dyDescent="0.25">
      <c r="A2110" s="1" t="s">
        <v>2140</v>
      </c>
      <c r="B2110" s="1">
        <v>34</v>
      </c>
      <c r="C2110" s="1" t="str" cm="1">
        <f t="array" ref="C2110">_xlfn.IFS(OR(B2110=" ", B2110="NA",NOT(ISNUMBER(B2110))), "Unknown",B2110&lt;18,"Underage",B2110&lt;=24,"Young Adult",B2110&lt;=34,"Early Career",B2110&lt;=44,"Mid Career",B2110&lt;=54,"Mature",B2110&lt;=65,"Pre-Senior",B2110&gt;65,"Senior")</f>
        <v>Early Career</v>
      </c>
      <c r="D2110" s="1" t="s">
        <v>18</v>
      </c>
      <c r="E2110" s="1" t="s">
        <v>15</v>
      </c>
      <c r="F2110" s="1">
        <v>650000</v>
      </c>
      <c r="G2110" s="1">
        <v>42</v>
      </c>
      <c r="H2110" s="1" t="str" cm="1">
        <f t="array" ref="H2110">_xlfn.IFS( OR(G2110=" ",NOT(ISNUMBER(G2110))),"Unknown",G2110&lt;=33,"Low Spender",G2110&lt;=66,"Medium Spender",TRUE, "High Spender")</f>
        <v>Medium Spender</v>
      </c>
      <c r="I2110" s="1">
        <v>28</v>
      </c>
      <c r="J2110" s="1">
        <v>10100</v>
      </c>
      <c r="K2110" s="1">
        <v>139</v>
      </c>
      <c r="L2110" s="1" t="s">
        <v>16</v>
      </c>
      <c r="M2110" s="1" t="s">
        <v>32</v>
      </c>
      <c r="N2110" s="1" t="str">
        <f t="shared" si="64"/>
        <v>Higher</v>
      </c>
      <c r="O2110" s="1" t="str">
        <f t="shared" si="65"/>
        <v>Early Career | Medium Spender | Higher</v>
      </c>
    </row>
    <row r="2111" spans="1:15" x14ac:dyDescent="0.25">
      <c r="A2111" s="1" t="s">
        <v>2141</v>
      </c>
      <c r="B2111" s="1">
        <v>46</v>
      </c>
      <c r="C2111" s="1" t="str" cm="1">
        <f t="array" ref="C2111">_xlfn.IFS(OR(B2111=" ", B2111="NA",NOT(ISNUMBER(B2111))), "Unknown",B2111&lt;18,"Underage",B2111&lt;=24,"Young Adult",B2111&lt;=34,"Early Career",B2111&lt;=44,"Mid Career",B2111&lt;=54,"Mature",B2111&lt;=65,"Pre-Senior",B2111&gt;65,"Senior")</f>
        <v>Mature</v>
      </c>
      <c r="D2111" s="1" t="s">
        <v>29</v>
      </c>
      <c r="E2111" s="1" t="s">
        <v>49</v>
      </c>
      <c r="F2111" s="1">
        <v>500000</v>
      </c>
      <c r="G2111" s="1">
        <v>52</v>
      </c>
      <c r="H2111" s="1" t="str" cm="1">
        <f t="array" ref="H2111">_xlfn.IFS( OR(G2111=" ",NOT(ISNUMBER(G2111))),"Unknown",G2111&lt;=33,"Low Spender",G2111&lt;=66,"Medium Spender",TRUE, "High Spender")</f>
        <v>Medium Spender</v>
      </c>
      <c r="I2111" s="1">
        <v>74</v>
      </c>
      <c r="J2111" s="1">
        <v>8300</v>
      </c>
      <c r="K2111" s="1">
        <v>55</v>
      </c>
      <c r="L2111" s="1" t="s">
        <v>35</v>
      </c>
      <c r="M2111" s="1" t="s">
        <v>30</v>
      </c>
      <c r="N2111" s="1" t="str">
        <f t="shared" si="64"/>
        <v>Higher</v>
      </c>
      <c r="O2111" s="1" t="str">
        <f t="shared" si="65"/>
        <v>Mature | Medium Spender | Higher</v>
      </c>
    </row>
    <row r="2112" spans="1:15" x14ac:dyDescent="0.25">
      <c r="A2112" s="1" t="s">
        <v>2142</v>
      </c>
      <c r="C2112" s="1" t="str" cm="1">
        <f t="array" ref="C2112">_xlfn.IFS(OR(B2112=" ", B2112="NA",NOT(ISNUMBER(B2112))), "Unknown",B2112&lt;18,"Underage",B2112&lt;=24,"Young Adult",B2112&lt;=34,"Early Career",B2112&lt;=44,"Mid Career",B2112&lt;=54,"Mature",B2112&lt;=65,"Pre-Senior",B2112&gt;65,"Senior")</f>
        <v>Unknown</v>
      </c>
      <c r="D2112" s="1" t="s">
        <v>12</v>
      </c>
      <c r="E2112" s="1" t="s">
        <v>58</v>
      </c>
      <c r="F2112" s="1">
        <v>475000</v>
      </c>
      <c r="G2112" s="1">
        <v>63</v>
      </c>
      <c r="H2112" s="1" t="str" cm="1">
        <f t="array" ref="H2112">_xlfn.IFS( OR(G2112=" ",NOT(ISNUMBER(G2112))),"Unknown",G2112&lt;=33,"Low Spender",G2112&lt;=66,"Medium Spender",TRUE, "High Spender")</f>
        <v>Medium Spender</v>
      </c>
      <c r="I2112" s="1">
        <v>25</v>
      </c>
      <c r="J2112" s="1">
        <v>8900</v>
      </c>
      <c r="K2112" s="1">
        <v>19</v>
      </c>
      <c r="L2112" s="1" t="s">
        <v>20</v>
      </c>
      <c r="M2112" s="1" t="s">
        <v>41</v>
      </c>
      <c r="N2112" s="1" t="str">
        <f t="shared" si="64"/>
        <v>Lower</v>
      </c>
      <c r="O2112" s="1" t="str">
        <f t="shared" si="65"/>
        <v>Unknown | Medium Spender | Lower</v>
      </c>
    </row>
    <row r="2113" spans="1:15" x14ac:dyDescent="0.25">
      <c r="A2113" s="1" t="s">
        <v>2143</v>
      </c>
      <c r="B2113" s="1">
        <v>25</v>
      </c>
      <c r="C2113" s="1" t="str" cm="1">
        <f t="array" ref="C2113">_xlfn.IFS(OR(B2113=" ", B2113="NA",NOT(ISNUMBER(B2113))), "Unknown",B2113&lt;18,"Underage",B2113&lt;=24,"Young Adult",B2113&lt;=34,"Early Career",B2113&lt;=44,"Mid Career",B2113&lt;=54,"Mature",B2113&lt;=65,"Pre-Senior",B2113&gt;65,"Senior")</f>
        <v>Early Career</v>
      </c>
      <c r="D2113" s="1" t="s">
        <v>29</v>
      </c>
      <c r="E2113" s="1" t="s">
        <v>27</v>
      </c>
      <c r="F2113" s="1">
        <v>1175000</v>
      </c>
      <c r="G2113" s="1">
        <v>61</v>
      </c>
      <c r="H2113" s="1" t="str" cm="1">
        <f t="array" ref="H2113">_xlfn.IFS( OR(G2113=" ",NOT(ISNUMBER(G2113))),"Unknown",G2113&lt;=33,"Low Spender",G2113&lt;=66,"Medium Spender",TRUE, "High Spender")</f>
        <v>Medium Spender</v>
      </c>
      <c r="I2113" s="1">
        <v>78</v>
      </c>
      <c r="J2113" s="1">
        <v>1000</v>
      </c>
      <c r="K2113" s="1">
        <v>348</v>
      </c>
      <c r="L2113" s="1" t="s">
        <v>16</v>
      </c>
      <c r="M2113" s="1" t="s">
        <v>41</v>
      </c>
      <c r="N2113" s="1" t="str">
        <f t="shared" si="64"/>
        <v>Higher</v>
      </c>
      <c r="O2113" s="1" t="str">
        <f t="shared" si="65"/>
        <v>Early Career | Medium Spender | Higher</v>
      </c>
    </row>
    <row r="2114" spans="1:15" x14ac:dyDescent="0.25">
      <c r="A2114" s="1" t="s">
        <v>2144</v>
      </c>
      <c r="B2114" s="1">
        <v>32</v>
      </c>
      <c r="C2114" s="1" t="str" cm="1">
        <f t="array" ref="C2114">_xlfn.IFS(OR(B2114=" ", B2114="NA",NOT(ISNUMBER(B2114))), "Unknown",B2114&lt;18,"Underage",B2114&lt;=24,"Young Adult",B2114&lt;=34,"Early Career",B2114&lt;=44,"Mid Career",B2114&lt;=54,"Mature",B2114&lt;=65,"Pre-Senior",B2114&gt;65,"Senior")</f>
        <v>Early Career</v>
      </c>
      <c r="F2114" s="1">
        <v>500000</v>
      </c>
      <c r="G2114" s="1">
        <v>34</v>
      </c>
      <c r="H2114" s="1" t="str" cm="1">
        <f t="array" ref="H2114">_xlfn.IFS( OR(G2114=" ",NOT(ISNUMBER(G2114))),"Unknown",G2114&lt;=33,"Low Spender",G2114&lt;=66,"Medium Spender",TRUE, "High Spender")</f>
        <v>Medium Spender</v>
      </c>
      <c r="I2114" s="1">
        <v>26</v>
      </c>
      <c r="J2114" s="1">
        <v>400</v>
      </c>
      <c r="K2114" s="1">
        <v>346</v>
      </c>
      <c r="L2114" s="1" t="s">
        <v>20</v>
      </c>
      <c r="M2114" s="1" t="s">
        <v>21</v>
      </c>
      <c r="N2114" s="1" t="str">
        <f t="shared" ref="N2114:N2177" si="66">IF(OR(UPPER(TRIM(D2114))="Male",UPPER(TRIM(D2114))="Female"),"Higher","Lower")</f>
        <v>Lower</v>
      </c>
      <c r="O2114" s="1" t="str">
        <f t="shared" ref="O2114:O2177" si="67">_xlfn.TEXTJOIN(" | ", TRUE, C2114, H2114, N2114)</f>
        <v>Early Career | Medium Spender | Lower</v>
      </c>
    </row>
    <row r="2115" spans="1:15" x14ac:dyDescent="0.25">
      <c r="A2115" s="1" t="s">
        <v>2145</v>
      </c>
      <c r="B2115" s="1">
        <v>44</v>
      </c>
      <c r="C2115" s="1" t="str" cm="1">
        <f t="array" ref="C2115">_xlfn.IFS(OR(B2115=" ", B2115="NA",NOT(ISNUMBER(B2115))), "Unknown",B2115&lt;18,"Underage",B2115&lt;=24,"Young Adult",B2115&lt;=34,"Early Career",B2115&lt;=44,"Mid Career",B2115&lt;=54,"Mature",B2115&lt;=65,"Pre-Senior",B2115&gt;65,"Senior")</f>
        <v>Mid Career</v>
      </c>
      <c r="D2115" s="1" t="s">
        <v>29</v>
      </c>
      <c r="E2115" s="1" t="s">
        <v>23</v>
      </c>
      <c r="F2115" s="1">
        <v>1700000</v>
      </c>
      <c r="G2115" s="1">
        <v>39</v>
      </c>
      <c r="H2115" s="1" t="str" cm="1">
        <f t="array" ref="H2115">_xlfn.IFS( OR(G2115=" ",NOT(ISNUMBER(G2115))),"Unknown",G2115&lt;=33,"Low Spender",G2115&lt;=66,"Medium Spender",TRUE, "High Spender")</f>
        <v>Medium Spender</v>
      </c>
      <c r="I2115" s="1">
        <v>75</v>
      </c>
      <c r="J2115" s="1">
        <v>9700</v>
      </c>
      <c r="K2115" s="1">
        <v>267</v>
      </c>
      <c r="L2115" s="1" t="s">
        <v>37</v>
      </c>
      <c r="N2115" s="1" t="str">
        <f t="shared" si="66"/>
        <v>Higher</v>
      </c>
      <c r="O2115" s="1" t="str">
        <f t="shared" si="67"/>
        <v>Mid Career | Medium Spender | Higher</v>
      </c>
    </row>
    <row r="2116" spans="1:15" x14ac:dyDescent="0.25">
      <c r="A2116" s="1" t="s">
        <v>2146</v>
      </c>
      <c r="B2116" s="1">
        <v>63</v>
      </c>
      <c r="C2116" s="1" t="str" cm="1">
        <f t="array" ref="C2116">_xlfn.IFS(OR(B2116=" ", B2116="NA",NOT(ISNUMBER(B2116))), "Unknown",B2116&lt;18,"Underage",B2116&lt;=24,"Young Adult",B2116&lt;=34,"Early Career",B2116&lt;=44,"Mid Career",B2116&lt;=54,"Mature",B2116&lt;=65,"Pre-Senior",B2116&gt;65,"Senior")</f>
        <v>Pre-Senior</v>
      </c>
      <c r="F2116" s="1">
        <v>1825000</v>
      </c>
      <c r="G2116" s="1">
        <v>41</v>
      </c>
      <c r="H2116" s="1" t="str" cm="1">
        <f t="array" ref="H2116">_xlfn.IFS( OR(G2116=" ",NOT(ISNUMBER(G2116))),"Unknown",G2116&lt;=33,"Low Spender",G2116&lt;=66,"Medium Spender",TRUE, "High Spender")</f>
        <v>Medium Spender</v>
      </c>
      <c r="I2116" s="1">
        <v>71</v>
      </c>
      <c r="J2116" s="1">
        <v>5900</v>
      </c>
      <c r="K2116" s="1">
        <v>142</v>
      </c>
      <c r="L2116" s="1" t="s">
        <v>16</v>
      </c>
      <c r="M2116" s="1" t="s">
        <v>32</v>
      </c>
      <c r="N2116" s="1" t="str">
        <f t="shared" si="66"/>
        <v>Lower</v>
      </c>
      <c r="O2116" s="1" t="str">
        <f t="shared" si="67"/>
        <v>Pre-Senior | Medium Spender | Lower</v>
      </c>
    </row>
    <row r="2117" spans="1:15" x14ac:dyDescent="0.25">
      <c r="A2117" s="1" t="s">
        <v>2147</v>
      </c>
      <c r="B2117" s="1">
        <v>67</v>
      </c>
      <c r="C2117" s="1" t="str" cm="1">
        <f t="array" ref="C2117">_xlfn.IFS(OR(B2117=" ", B2117="NA",NOT(ISNUMBER(B2117))), "Unknown",B2117&lt;18,"Underage",B2117&lt;=24,"Young Adult",B2117&lt;=34,"Early Career",B2117&lt;=44,"Mid Career",B2117&lt;=54,"Mature",B2117&lt;=65,"Pre-Senior",B2117&gt;65,"Senior")</f>
        <v>Senior</v>
      </c>
      <c r="D2117" s="1" t="s">
        <v>29</v>
      </c>
      <c r="F2117" s="1">
        <v>800000</v>
      </c>
      <c r="G2117" s="1">
        <v>37</v>
      </c>
      <c r="H2117" s="1" t="str" cm="1">
        <f t="array" ref="H2117">_xlfn.IFS( OR(G2117=" ",NOT(ISNUMBER(G2117))),"Unknown",G2117&lt;=33,"Low Spender",G2117&lt;=66,"Medium Spender",TRUE, "High Spender")</f>
        <v>Medium Spender</v>
      </c>
      <c r="I2117" s="1">
        <v>17</v>
      </c>
      <c r="J2117" s="1">
        <v>5400</v>
      </c>
      <c r="K2117" s="1">
        <v>316</v>
      </c>
      <c r="M2117" s="1" t="s">
        <v>32</v>
      </c>
      <c r="N2117" s="1" t="str">
        <f t="shared" si="66"/>
        <v>Higher</v>
      </c>
      <c r="O2117" s="1" t="str">
        <f t="shared" si="67"/>
        <v>Senior | Medium Spender | Higher</v>
      </c>
    </row>
    <row r="2118" spans="1:15" x14ac:dyDescent="0.25">
      <c r="A2118" s="1" t="s">
        <v>2148</v>
      </c>
      <c r="B2118" s="1">
        <v>69</v>
      </c>
      <c r="C2118" s="1" t="str" cm="1">
        <f t="array" ref="C2118">_xlfn.IFS(OR(B2118=" ", B2118="NA",NOT(ISNUMBER(B2118))), "Unknown",B2118&lt;18,"Underage",B2118&lt;=24,"Young Adult",B2118&lt;=34,"Early Career",B2118&lt;=44,"Mid Career",B2118&lt;=54,"Mature",B2118&lt;=65,"Pre-Senior",B2118&gt;65,"Senior")</f>
        <v>Senior</v>
      </c>
      <c r="D2118" s="1" t="s">
        <v>29</v>
      </c>
      <c r="E2118" s="1" t="s">
        <v>49</v>
      </c>
      <c r="F2118" s="1">
        <v>1450000</v>
      </c>
      <c r="G2118" s="1">
        <v>65</v>
      </c>
      <c r="H2118" s="1" t="str" cm="1">
        <f t="array" ref="H2118">_xlfn.IFS( OR(G2118=" ",NOT(ISNUMBER(G2118))),"Unknown",G2118&lt;=33,"Low Spender",G2118&lt;=66,"Medium Spender",TRUE, "High Spender")</f>
        <v>Medium Spender</v>
      </c>
      <c r="I2118" s="1">
        <v>7</v>
      </c>
      <c r="J2118" s="1">
        <v>6000</v>
      </c>
      <c r="K2118" s="1">
        <v>164</v>
      </c>
      <c r="L2118" s="1" t="s">
        <v>37</v>
      </c>
      <c r="M2118" s="1" t="s">
        <v>30</v>
      </c>
      <c r="N2118" s="1" t="str">
        <f t="shared" si="66"/>
        <v>Higher</v>
      </c>
      <c r="O2118" s="1" t="str">
        <f t="shared" si="67"/>
        <v>Senior | Medium Spender | Higher</v>
      </c>
    </row>
    <row r="2119" spans="1:15" x14ac:dyDescent="0.25">
      <c r="A2119" s="1" t="s">
        <v>2149</v>
      </c>
      <c r="B2119" s="1">
        <v>24</v>
      </c>
      <c r="C2119" s="1" t="str" cm="1">
        <f t="array" ref="C2119">_xlfn.IFS(OR(B2119=" ", B2119="NA",NOT(ISNUMBER(B2119))), "Unknown",B2119&lt;18,"Underage",B2119&lt;=24,"Young Adult",B2119&lt;=34,"Early Career",B2119&lt;=44,"Mid Career",B2119&lt;=54,"Mature",B2119&lt;=65,"Pre-Senior",B2119&gt;65,"Senior")</f>
        <v>Young Adult</v>
      </c>
      <c r="D2119" s="1" t="s">
        <v>29</v>
      </c>
      <c r="E2119" s="1" t="s">
        <v>19</v>
      </c>
      <c r="F2119" s="1">
        <v>1425000</v>
      </c>
      <c r="G2119" s="1">
        <v>79</v>
      </c>
      <c r="H2119" s="1" t="str" cm="1">
        <f t="array" ref="H2119">_xlfn.IFS( OR(G2119=" ",NOT(ISNUMBER(G2119))),"Unknown",G2119&lt;=33,"Low Spender",G2119&lt;=66,"Medium Spender",TRUE, "High Spender")</f>
        <v>High Spender</v>
      </c>
      <c r="I2119" s="1">
        <v>56</v>
      </c>
      <c r="J2119" s="1">
        <v>9800</v>
      </c>
      <c r="K2119" s="1">
        <v>252</v>
      </c>
      <c r="L2119" s="1" t="s">
        <v>20</v>
      </c>
      <c r="N2119" s="1" t="str">
        <f t="shared" si="66"/>
        <v>Higher</v>
      </c>
      <c r="O2119" s="1" t="str">
        <f t="shared" si="67"/>
        <v>Young Adult | High Spender | Higher</v>
      </c>
    </row>
    <row r="2120" spans="1:15" x14ac:dyDescent="0.25">
      <c r="A2120" s="1" t="s">
        <v>2150</v>
      </c>
      <c r="B2120" s="1">
        <v>20</v>
      </c>
      <c r="C2120" s="1" t="str" cm="1">
        <f t="array" ref="C2120">_xlfn.IFS(OR(B2120=" ", B2120="NA",NOT(ISNUMBER(B2120))), "Unknown",B2120&lt;18,"Underage",B2120&lt;=24,"Young Adult",B2120&lt;=34,"Early Career",B2120&lt;=44,"Mid Career",B2120&lt;=54,"Mature",B2120&lt;=65,"Pre-Senior",B2120&gt;65,"Senior")</f>
        <v>Young Adult</v>
      </c>
      <c r="D2120" s="1" t="s">
        <v>18</v>
      </c>
      <c r="E2120" s="1" t="s">
        <v>13</v>
      </c>
      <c r="F2120" s="1">
        <v>1700000</v>
      </c>
      <c r="G2120" s="1">
        <v>32</v>
      </c>
      <c r="H2120" s="1" t="str" cm="1">
        <f t="array" ref="H2120">_xlfn.IFS( OR(G2120=" ",NOT(ISNUMBER(G2120))),"Unknown",G2120&lt;=33,"Low Spender",G2120&lt;=66,"Medium Spender",TRUE, "High Spender")</f>
        <v>Low Spender</v>
      </c>
      <c r="I2120" s="1">
        <v>64</v>
      </c>
      <c r="J2120" s="1">
        <v>9500</v>
      </c>
      <c r="K2120" s="1">
        <v>232</v>
      </c>
      <c r="L2120" s="1" t="s">
        <v>35</v>
      </c>
      <c r="N2120" s="1" t="str">
        <f t="shared" si="66"/>
        <v>Higher</v>
      </c>
      <c r="O2120" s="1" t="str">
        <f t="shared" si="67"/>
        <v>Young Adult | Low Spender | Higher</v>
      </c>
    </row>
    <row r="2121" spans="1:15" x14ac:dyDescent="0.25">
      <c r="A2121" s="1" t="s">
        <v>2151</v>
      </c>
      <c r="B2121" s="1">
        <v>46</v>
      </c>
      <c r="C2121" s="1" t="str" cm="1">
        <f t="array" ref="C2121">_xlfn.IFS(OR(B2121=" ", B2121="NA",NOT(ISNUMBER(B2121))), "Unknown",B2121&lt;18,"Underage",B2121&lt;=24,"Young Adult",B2121&lt;=34,"Early Career",B2121&lt;=44,"Mid Career",B2121&lt;=54,"Mature",B2121&lt;=65,"Pre-Senior",B2121&gt;65,"Senior")</f>
        <v>Mature</v>
      </c>
      <c r="E2121" s="1" t="s">
        <v>49</v>
      </c>
      <c r="F2121" s="1">
        <v>1950000</v>
      </c>
      <c r="G2121" s="1">
        <v>8</v>
      </c>
      <c r="H2121" s="1" t="str" cm="1">
        <f t="array" ref="H2121">_xlfn.IFS( OR(G2121=" ",NOT(ISNUMBER(G2121))),"Unknown",G2121&lt;=33,"Low Spender",G2121&lt;=66,"Medium Spender",TRUE, "High Spender")</f>
        <v>Low Spender</v>
      </c>
      <c r="I2121" s="1">
        <v>20</v>
      </c>
      <c r="J2121" s="1">
        <v>500</v>
      </c>
      <c r="K2121" s="1">
        <v>297</v>
      </c>
      <c r="M2121" s="1" t="s">
        <v>30</v>
      </c>
      <c r="N2121" s="1" t="str">
        <f t="shared" si="66"/>
        <v>Lower</v>
      </c>
      <c r="O2121" s="1" t="str">
        <f t="shared" si="67"/>
        <v>Mature | Low Spender | Lower</v>
      </c>
    </row>
    <row r="2122" spans="1:15" x14ac:dyDescent="0.25">
      <c r="A2122" s="1" t="s">
        <v>2152</v>
      </c>
      <c r="B2122" s="1">
        <v>61</v>
      </c>
      <c r="C2122" s="1" t="str" cm="1">
        <f t="array" ref="C2122">_xlfn.IFS(OR(B2122=" ", B2122="NA",NOT(ISNUMBER(B2122))), "Unknown",B2122&lt;18,"Underage",B2122&lt;=24,"Young Adult",B2122&lt;=34,"Early Career",B2122&lt;=44,"Mid Career",B2122&lt;=54,"Mature",B2122&lt;=65,"Pre-Senior",B2122&gt;65,"Senior")</f>
        <v>Pre-Senior</v>
      </c>
      <c r="D2122" s="1" t="s">
        <v>18</v>
      </c>
      <c r="E2122" s="1" t="s">
        <v>58</v>
      </c>
      <c r="F2122" s="1">
        <v>1450000</v>
      </c>
      <c r="G2122" s="1">
        <v>97</v>
      </c>
      <c r="H2122" s="1" t="str" cm="1">
        <f t="array" ref="H2122">_xlfn.IFS( OR(G2122=" ",NOT(ISNUMBER(G2122))),"Unknown",G2122&lt;=33,"Low Spender",G2122&lt;=66,"Medium Spender",TRUE, "High Spender")</f>
        <v>High Spender</v>
      </c>
      <c r="I2122" s="1">
        <v>38</v>
      </c>
      <c r="J2122" s="1">
        <v>1000</v>
      </c>
      <c r="K2122" s="1">
        <v>363</v>
      </c>
      <c r="N2122" s="1" t="str">
        <f t="shared" si="66"/>
        <v>Higher</v>
      </c>
      <c r="O2122" s="1" t="str">
        <f t="shared" si="67"/>
        <v>Pre-Senior | High Spender | Higher</v>
      </c>
    </row>
    <row r="2123" spans="1:15" x14ac:dyDescent="0.25">
      <c r="A2123" s="1" t="s">
        <v>2153</v>
      </c>
      <c r="C2123" s="1" t="str" cm="1">
        <f t="array" ref="C2123">_xlfn.IFS(OR(B2123=" ", B2123="NA",NOT(ISNUMBER(B2123))), "Unknown",B2123&lt;18,"Underage",B2123&lt;=24,"Young Adult",B2123&lt;=34,"Early Career",B2123&lt;=44,"Mid Career",B2123&lt;=54,"Mature",B2123&lt;=65,"Pre-Senior",B2123&gt;65,"Senior")</f>
        <v>Unknown</v>
      </c>
      <c r="D2123" s="1" t="s">
        <v>29</v>
      </c>
      <c r="E2123" s="1" t="s">
        <v>15</v>
      </c>
      <c r="F2123" s="1">
        <v>1550000</v>
      </c>
      <c r="G2123" s="1">
        <v>18</v>
      </c>
      <c r="H2123" s="1" t="str" cm="1">
        <f t="array" ref="H2123">_xlfn.IFS( OR(G2123=" ",NOT(ISNUMBER(G2123))),"Unknown",G2123&lt;=33,"Low Spender",G2123&lt;=66,"Medium Spender",TRUE, "High Spender")</f>
        <v>Low Spender</v>
      </c>
      <c r="I2123" s="1">
        <v>75</v>
      </c>
      <c r="J2123" s="1">
        <v>6100</v>
      </c>
      <c r="K2123" s="1">
        <v>60</v>
      </c>
      <c r="L2123" s="1" t="s">
        <v>16</v>
      </c>
      <c r="M2123" s="1" t="s">
        <v>32</v>
      </c>
      <c r="N2123" s="1" t="str">
        <f t="shared" si="66"/>
        <v>Higher</v>
      </c>
      <c r="O2123" s="1" t="str">
        <f t="shared" si="67"/>
        <v>Unknown | Low Spender | Higher</v>
      </c>
    </row>
    <row r="2124" spans="1:15" x14ac:dyDescent="0.25">
      <c r="A2124" s="1" t="s">
        <v>2154</v>
      </c>
      <c r="B2124" s="1">
        <v>41</v>
      </c>
      <c r="C2124" s="1" t="str" cm="1">
        <f t="array" ref="C2124">_xlfn.IFS(OR(B2124=" ", B2124="NA",NOT(ISNUMBER(B2124))), "Unknown",B2124&lt;18,"Underage",B2124&lt;=24,"Young Adult",B2124&lt;=34,"Early Career",B2124&lt;=44,"Mid Career",B2124&lt;=54,"Mature",B2124&lt;=65,"Pre-Senior",B2124&gt;65,"Senior")</f>
        <v>Mid Career</v>
      </c>
      <c r="D2124" s="1" t="s">
        <v>12</v>
      </c>
      <c r="E2124" s="1" t="s">
        <v>27</v>
      </c>
      <c r="F2124" s="1">
        <v>1425000</v>
      </c>
      <c r="G2124" s="1">
        <v>45</v>
      </c>
      <c r="H2124" s="1" t="str" cm="1">
        <f t="array" ref="H2124">_xlfn.IFS( OR(G2124=" ",NOT(ISNUMBER(G2124))),"Unknown",G2124&lt;=33,"Low Spender",G2124&lt;=66,"Medium Spender",TRUE, "High Spender")</f>
        <v>Medium Spender</v>
      </c>
      <c r="I2124" s="1">
        <v>58</v>
      </c>
      <c r="J2124" s="1">
        <v>400</v>
      </c>
      <c r="K2124" s="1">
        <v>22</v>
      </c>
      <c r="M2124" s="1" t="s">
        <v>30</v>
      </c>
      <c r="N2124" s="1" t="str">
        <f t="shared" si="66"/>
        <v>Lower</v>
      </c>
      <c r="O2124" s="1" t="str">
        <f t="shared" si="67"/>
        <v>Mid Career | Medium Spender | Lower</v>
      </c>
    </row>
    <row r="2125" spans="1:15" x14ac:dyDescent="0.25">
      <c r="A2125" s="1" t="s">
        <v>2155</v>
      </c>
      <c r="B2125" s="1">
        <v>20</v>
      </c>
      <c r="C2125" s="1" t="str" cm="1">
        <f t="array" ref="C2125">_xlfn.IFS(OR(B2125=" ", B2125="NA",NOT(ISNUMBER(B2125))), "Unknown",B2125&lt;18,"Underage",B2125&lt;=24,"Young Adult",B2125&lt;=34,"Early Career",B2125&lt;=44,"Mid Career",B2125&lt;=54,"Mature",B2125&lt;=65,"Pre-Senior",B2125&gt;65,"Senior")</f>
        <v>Young Adult</v>
      </c>
      <c r="D2125" s="1" t="s">
        <v>18</v>
      </c>
      <c r="E2125" s="1" t="s">
        <v>13</v>
      </c>
      <c r="F2125" s="1">
        <v>1200000</v>
      </c>
      <c r="G2125" s="1">
        <v>93</v>
      </c>
      <c r="H2125" s="1" t="str" cm="1">
        <f t="array" ref="H2125">_xlfn.IFS( OR(G2125=" ",NOT(ISNUMBER(G2125))),"Unknown",G2125&lt;=33,"Low Spender",G2125&lt;=66,"Medium Spender",TRUE, "High Spender")</f>
        <v>High Spender</v>
      </c>
      <c r="I2125" s="1">
        <v>16</v>
      </c>
      <c r="J2125" s="1">
        <v>9700</v>
      </c>
      <c r="K2125" s="1">
        <v>126</v>
      </c>
      <c r="L2125" s="1" t="s">
        <v>37</v>
      </c>
      <c r="N2125" s="1" t="str">
        <f t="shared" si="66"/>
        <v>Higher</v>
      </c>
      <c r="O2125" s="1" t="str">
        <f t="shared" si="67"/>
        <v>Young Adult | High Spender | Higher</v>
      </c>
    </row>
    <row r="2126" spans="1:15" x14ac:dyDescent="0.25">
      <c r="A2126" s="1" t="s">
        <v>2156</v>
      </c>
      <c r="B2126" s="1">
        <v>37</v>
      </c>
      <c r="C2126" s="1" t="str" cm="1">
        <f t="array" ref="C2126">_xlfn.IFS(OR(B2126=" ", B2126="NA",NOT(ISNUMBER(B2126))), "Unknown",B2126&lt;18,"Underage",B2126&lt;=24,"Young Adult",B2126&lt;=34,"Early Career",B2126&lt;=44,"Mid Career",B2126&lt;=54,"Mature",B2126&lt;=65,"Pre-Senior",B2126&gt;65,"Senior")</f>
        <v>Mid Career</v>
      </c>
      <c r="D2126" s="1" t="s">
        <v>18</v>
      </c>
      <c r="E2126" s="1" t="s">
        <v>13</v>
      </c>
      <c r="F2126" s="1">
        <v>300000</v>
      </c>
      <c r="G2126" s="1">
        <v>96</v>
      </c>
      <c r="H2126" s="1" t="str" cm="1">
        <f t="array" ref="H2126">_xlfn.IFS( OR(G2126=" ",NOT(ISNUMBER(G2126))),"Unknown",G2126&lt;=33,"Low Spender",G2126&lt;=66,"Medium Spender",TRUE, "High Spender")</f>
        <v>High Spender</v>
      </c>
      <c r="I2126" s="1">
        <v>51</v>
      </c>
      <c r="J2126" s="1">
        <v>6400</v>
      </c>
      <c r="K2126" s="1">
        <v>103</v>
      </c>
      <c r="L2126" s="1" t="s">
        <v>16</v>
      </c>
      <c r="M2126" s="1" t="s">
        <v>21</v>
      </c>
      <c r="N2126" s="1" t="str">
        <f t="shared" si="66"/>
        <v>Higher</v>
      </c>
      <c r="O2126" s="1" t="str">
        <f t="shared" si="67"/>
        <v>Mid Career | High Spender | Higher</v>
      </c>
    </row>
    <row r="2127" spans="1:15" x14ac:dyDescent="0.25">
      <c r="A2127" s="1" t="s">
        <v>2157</v>
      </c>
      <c r="B2127" s="1">
        <v>63</v>
      </c>
      <c r="C2127" s="1" t="str" cm="1">
        <f t="array" ref="C2127">_xlfn.IFS(OR(B2127=" ", B2127="NA",NOT(ISNUMBER(B2127))), "Unknown",B2127&lt;18,"Underage",B2127&lt;=24,"Young Adult",B2127&lt;=34,"Early Career",B2127&lt;=44,"Mid Career",B2127&lt;=54,"Mature",B2127&lt;=65,"Pre-Senior",B2127&gt;65,"Senior")</f>
        <v>Pre-Senior</v>
      </c>
      <c r="D2127" s="1" t="s">
        <v>29</v>
      </c>
      <c r="E2127" s="1" t="s">
        <v>27</v>
      </c>
      <c r="F2127" s="1">
        <v>1175000</v>
      </c>
      <c r="G2127" s="1">
        <v>33</v>
      </c>
      <c r="H2127" s="1" t="str" cm="1">
        <f t="array" ref="H2127">_xlfn.IFS( OR(G2127=" ",NOT(ISNUMBER(G2127))),"Unknown",G2127&lt;=33,"Low Spender",G2127&lt;=66,"Medium Spender",TRUE, "High Spender")</f>
        <v>Low Spender</v>
      </c>
      <c r="I2127" s="1">
        <v>27</v>
      </c>
      <c r="J2127" s="1">
        <v>11700</v>
      </c>
      <c r="K2127" s="1">
        <v>221</v>
      </c>
      <c r="L2127" s="1" t="s">
        <v>16</v>
      </c>
      <c r="N2127" s="1" t="str">
        <f t="shared" si="66"/>
        <v>Higher</v>
      </c>
      <c r="O2127" s="1" t="str">
        <f t="shared" si="67"/>
        <v>Pre-Senior | Low Spender | Higher</v>
      </c>
    </row>
    <row r="2128" spans="1:15" x14ac:dyDescent="0.25">
      <c r="A2128" s="1" t="s">
        <v>2158</v>
      </c>
      <c r="B2128" s="1">
        <v>32</v>
      </c>
      <c r="C2128" s="1" t="str" cm="1">
        <f t="array" ref="C2128">_xlfn.IFS(OR(B2128=" ", B2128="NA",NOT(ISNUMBER(B2128))), "Unknown",B2128&lt;18,"Underage",B2128&lt;=24,"Young Adult",B2128&lt;=34,"Early Career",B2128&lt;=44,"Mid Career",B2128&lt;=54,"Mature",B2128&lt;=65,"Pre-Senior",B2128&gt;65,"Senior")</f>
        <v>Early Career</v>
      </c>
      <c r="D2128" s="1" t="s">
        <v>12</v>
      </c>
      <c r="E2128" s="1" t="s">
        <v>27</v>
      </c>
      <c r="F2128" s="1">
        <v>225000</v>
      </c>
      <c r="G2128" s="1">
        <v>5</v>
      </c>
      <c r="H2128" s="1" t="str" cm="1">
        <f t="array" ref="H2128">_xlfn.IFS( OR(G2128=" ",NOT(ISNUMBER(G2128))),"Unknown",G2128&lt;=33,"Low Spender",G2128&lt;=66,"Medium Spender",TRUE, "High Spender")</f>
        <v>Low Spender</v>
      </c>
      <c r="I2128" s="1">
        <v>51</v>
      </c>
      <c r="J2128" s="1">
        <v>5100</v>
      </c>
      <c r="K2128" s="1">
        <v>110</v>
      </c>
      <c r="M2128" s="1" t="s">
        <v>21</v>
      </c>
      <c r="N2128" s="1" t="str">
        <f t="shared" si="66"/>
        <v>Lower</v>
      </c>
      <c r="O2128" s="1" t="str">
        <f t="shared" si="67"/>
        <v>Early Career | Low Spender | Lower</v>
      </c>
    </row>
    <row r="2129" spans="1:15" x14ac:dyDescent="0.25">
      <c r="A2129" s="1" t="s">
        <v>2159</v>
      </c>
      <c r="B2129" s="1">
        <v>42</v>
      </c>
      <c r="C2129" s="1" t="str" cm="1">
        <f t="array" ref="C2129">_xlfn.IFS(OR(B2129=" ", B2129="NA",NOT(ISNUMBER(B2129))), "Unknown",B2129&lt;18,"Underage",B2129&lt;=24,"Young Adult",B2129&lt;=34,"Early Career",B2129&lt;=44,"Mid Career",B2129&lt;=54,"Mature",B2129&lt;=65,"Pre-Senior",B2129&gt;65,"Senior")</f>
        <v>Mid Career</v>
      </c>
      <c r="E2129" s="1" t="s">
        <v>27</v>
      </c>
      <c r="F2129" s="1">
        <v>1850000</v>
      </c>
      <c r="G2129" s="1">
        <v>82</v>
      </c>
      <c r="H2129" s="1" t="str" cm="1">
        <f t="array" ref="H2129">_xlfn.IFS( OR(G2129=" ",NOT(ISNUMBER(G2129))),"Unknown",G2129&lt;=33,"Low Spender",G2129&lt;=66,"Medium Spender",TRUE, "High Spender")</f>
        <v>High Spender</v>
      </c>
      <c r="I2129" s="1">
        <v>75</v>
      </c>
      <c r="J2129" s="1">
        <v>10300</v>
      </c>
      <c r="K2129" s="1">
        <v>58</v>
      </c>
      <c r="N2129" s="1" t="str">
        <f t="shared" si="66"/>
        <v>Lower</v>
      </c>
      <c r="O2129" s="1" t="str">
        <f t="shared" si="67"/>
        <v>Mid Career | High Spender | Lower</v>
      </c>
    </row>
    <row r="2130" spans="1:15" x14ac:dyDescent="0.25">
      <c r="A2130" s="1" t="s">
        <v>2160</v>
      </c>
      <c r="B2130" s="1">
        <v>47</v>
      </c>
      <c r="C2130" s="1" t="str" cm="1">
        <f t="array" ref="C2130">_xlfn.IFS(OR(B2130=" ", B2130="NA",NOT(ISNUMBER(B2130))), "Unknown",B2130&lt;18,"Underage",B2130&lt;=24,"Young Adult",B2130&lt;=34,"Early Career",B2130&lt;=44,"Mid Career",B2130&lt;=54,"Mature",B2130&lt;=65,"Pre-Senior",B2130&gt;65,"Senior")</f>
        <v>Mature</v>
      </c>
      <c r="D2130" s="1" t="s">
        <v>29</v>
      </c>
      <c r="E2130" s="1" t="s">
        <v>27</v>
      </c>
      <c r="F2130" s="1">
        <v>250000</v>
      </c>
      <c r="G2130" s="1">
        <v>74</v>
      </c>
      <c r="H2130" s="1" t="str" cm="1">
        <f t="array" ref="H2130">_xlfn.IFS( OR(G2130=" ",NOT(ISNUMBER(G2130))),"Unknown",G2130&lt;=33,"Low Spender",G2130&lt;=66,"Medium Spender",TRUE, "High Spender")</f>
        <v>High Spender</v>
      </c>
      <c r="I2130" s="1">
        <v>16</v>
      </c>
      <c r="J2130" s="1">
        <v>2200</v>
      </c>
      <c r="K2130" s="1">
        <v>65</v>
      </c>
      <c r="M2130" s="1" t="s">
        <v>41</v>
      </c>
      <c r="N2130" s="1" t="str">
        <f t="shared" si="66"/>
        <v>Higher</v>
      </c>
      <c r="O2130" s="1" t="str">
        <f t="shared" si="67"/>
        <v>Mature | High Spender | Higher</v>
      </c>
    </row>
    <row r="2131" spans="1:15" x14ac:dyDescent="0.25">
      <c r="A2131" s="1" t="s">
        <v>2161</v>
      </c>
      <c r="B2131" s="1">
        <v>31</v>
      </c>
      <c r="C2131" s="1" t="str" cm="1">
        <f t="array" ref="C2131">_xlfn.IFS(OR(B2131=" ", B2131="NA",NOT(ISNUMBER(B2131))), "Unknown",B2131&lt;18,"Underage",B2131&lt;=24,"Young Adult",B2131&lt;=34,"Early Career",B2131&lt;=44,"Mid Career",B2131&lt;=54,"Mature",B2131&lt;=65,"Pre-Senior",B2131&gt;65,"Senior")</f>
        <v>Early Career</v>
      </c>
      <c r="D2131" s="1" t="s">
        <v>18</v>
      </c>
      <c r="E2131" s="1" t="s">
        <v>27</v>
      </c>
      <c r="G2131" s="1">
        <v>36</v>
      </c>
      <c r="H2131" s="1" t="str" cm="1">
        <f t="array" ref="H2131">_xlfn.IFS( OR(G2131=" ",NOT(ISNUMBER(G2131))),"Unknown",G2131&lt;=33,"Low Spender",G2131&lt;=66,"Medium Spender",TRUE, "High Spender")</f>
        <v>Medium Spender</v>
      </c>
      <c r="I2131" s="1">
        <v>60</v>
      </c>
      <c r="J2131" s="1">
        <v>3100</v>
      </c>
      <c r="K2131" s="1">
        <v>58</v>
      </c>
      <c r="M2131" s="1" t="s">
        <v>32</v>
      </c>
      <c r="N2131" s="1" t="str">
        <f t="shared" si="66"/>
        <v>Higher</v>
      </c>
      <c r="O2131" s="1" t="str">
        <f t="shared" si="67"/>
        <v>Early Career | Medium Spender | Higher</v>
      </c>
    </row>
    <row r="2132" spans="1:15" x14ac:dyDescent="0.25">
      <c r="A2132" s="1" t="s">
        <v>2162</v>
      </c>
      <c r="B2132" s="1">
        <v>24</v>
      </c>
      <c r="C2132" s="1" t="str" cm="1">
        <f t="array" ref="C2132">_xlfn.IFS(OR(B2132=" ", B2132="NA",NOT(ISNUMBER(B2132))), "Unknown",B2132&lt;18,"Underage",B2132&lt;=24,"Young Adult",B2132&lt;=34,"Early Career",B2132&lt;=44,"Mid Career",B2132&lt;=54,"Mature",B2132&lt;=65,"Pre-Senior",B2132&gt;65,"Senior")</f>
        <v>Young Adult</v>
      </c>
      <c r="D2132" s="1" t="s">
        <v>12</v>
      </c>
      <c r="E2132" s="1" t="s">
        <v>13</v>
      </c>
      <c r="F2132" s="1">
        <v>1150000</v>
      </c>
      <c r="G2132" s="1">
        <v>97</v>
      </c>
      <c r="H2132" s="1" t="str" cm="1">
        <f t="array" ref="H2132">_xlfn.IFS( OR(G2132=" ",NOT(ISNUMBER(G2132))),"Unknown",G2132&lt;=33,"Low Spender",G2132&lt;=66,"Medium Spender",TRUE, "High Spender")</f>
        <v>High Spender</v>
      </c>
      <c r="I2132" s="1">
        <v>76</v>
      </c>
      <c r="J2132" s="1">
        <v>1900</v>
      </c>
      <c r="K2132" s="1">
        <v>158</v>
      </c>
      <c r="L2132" s="1" t="s">
        <v>35</v>
      </c>
      <c r="M2132" s="1" t="s">
        <v>21</v>
      </c>
      <c r="N2132" s="1" t="str">
        <f t="shared" si="66"/>
        <v>Lower</v>
      </c>
      <c r="O2132" s="1" t="str">
        <f t="shared" si="67"/>
        <v>Young Adult | High Spender | Lower</v>
      </c>
    </row>
    <row r="2133" spans="1:15" x14ac:dyDescent="0.25">
      <c r="A2133" s="1" t="s">
        <v>2163</v>
      </c>
      <c r="B2133" s="1">
        <v>34</v>
      </c>
      <c r="C2133" s="1" t="str" cm="1">
        <f t="array" ref="C2133">_xlfn.IFS(OR(B2133=" ", B2133="NA",NOT(ISNUMBER(B2133))), "Unknown",B2133&lt;18,"Underage",B2133&lt;=24,"Young Adult",B2133&lt;=34,"Early Career",B2133&lt;=44,"Mid Career",B2133&lt;=54,"Mature",B2133&lt;=65,"Pre-Senior",B2133&gt;65,"Senior")</f>
        <v>Early Career</v>
      </c>
      <c r="E2133" s="1" t="s">
        <v>34</v>
      </c>
      <c r="F2133" s="1">
        <v>225000</v>
      </c>
      <c r="G2133" s="1">
        <v>23</v>
      </c>
      <c r="H2133" s="1" t="str" cm="1">
        <f t="array" ref="H2133">_xlfn.IFS( OR(G2133=" ",NOT(ISNUMBER(G2133))),"Unknown",G2133&lt;=33,"Low Spender",G2133&lt;=66,"Medium Spender",TRUE, "High Spender")</f>
        <v>Low Spender</v>
      </c>
      <c r="I2133" s="1">
        <v>40</v>
      </c>
      <c r="J2133" s="1">
        <v>7600</v>
      </c>
      <c r="K2133" s="1">
        <v>76</v>
      </c>
      <c r="L2133" s="1" t="s">
        <v>20</v>
      </c>
      <c r="M2133" s="1" t="s">
        <v>21</v>
      </c>
      <c r="N2133" s="1" t="str">
        <f t="shared" si="66"/>
        <v>Lower</v>
      </c>
      <c r="O2133" s="1" t="str">
        <f t="shared" si="67"/>
        <v>Early Career | Low Spender | Lower</v>
      </c>
    </row>
    <row r="2134" spans="1:15" x14ac:dyDescent="0.25">
      <c r="A2134" s="1" t="s">
        <v>2164</v>
      </c>
      <c r="B2134" s="1">
        <v>61</v>
      </c>
      <c r="C2134" s="1" t="str" cm="1">
        <f t="array" ref="C2134">_xlfn.IFS(OR(B2134=" ", B2134="NA",NOT(ISNUMBER(B2134))), "Unknown",B2134&lt;18,"Underage",B2134&lt;=24,"Young Adult",B2134&lt;=34,"Early Career",B2134&lt;=44,"Mid Career",B2134&lt;=54,"Mature",B2134&lt;=65,"Pre-Senior",B2134&gt;65,"Senior")</f>
        <v>Pre-Senior</v>
      </c>
      <c r="D2134" s="1" t="s">
        <v>12</v>
      </c>
      <c r="E2134" s="1" t="s">
        <v>34</v>
      </c>
      <c r="F2134" s="1">
        <v>175000</v>
      </c>
      <c r="G2134" s="1">
        <v>40</v>
      </c>
      <c r="H2134" s="1" t="str" cm="1">
        <f t="array" ref="H2134">_xlfn.IFS( OR(G2134=" ",NOT(ISNUMBER(G2134))),"Unknown",G2134&lt;=33,"Low Spender",G2134&lt;=66,"Medium Spender",TRUE, "High Spender")</f>
        <v>Medium Spender</v>
      </c>
      <c r="I2134" s="1">
        <v>67</v>
      </c>
      <c r="J2134" s="1">
        <v>10700</v>
      </c>
      <c r="K2134" s="1">
        <v>19</v>
      </c>
      <c r="M2134" s="1" t="s">
        <v>30</v>
      </c>
      <c r="N2134" s="1" t="str">
        <f t="shared" si="66"/>
        <v>Lower</v>
      </c>
      <c r="O2134" s="1" t="str">
        <f t="shared" si="67"/>
        <v>Pre-Senior | Medium Spender | Lower</v>
      </c>
    </row>
    <row r="2135" spans="1:15" x14ac:dyDescent="0.25">
      <c r="A2135" s="1" t="s">
        <v>2165</v>
      </c>
      <c r="B2135" s="1">
        <v>37</v>
      </c>
      <c r="C2135" s="1" t="str" cm="1">
        <f t="array" ref="C2135">_xlfn.IFS(OR(B2135=" ", B2135="NA",NOT(ISNUMBER(B2135))), "Unknown",B2135&lt;18,"Underage",B2135&lt;=24,"Young Adult",B2135&lt;=34,"Early Career",B2135&lt;=44,"Mid Career",B2135&lt;=54,"Mature",B2135&lt;=65,"Pre-Senior",B2135&gt;65,"Senior")</f>
        <v>Mid Career</v>
      </c>
      <c r="D2135" s="1" t="s">
        <v>29</v>
      </c>
      <c r="F2135" s="1">
        <v>1800000</v>
      </c>
      <c r="G2135" s="1">
        <v>5</v>
      </c>
      <c r="H2135" s="1" t="str" cm="1">
        <f t="array" ref="H2135">_xlfn.IFS( OR(G2135=" ",NOT(ISNUMBER(G2135))),"Unknown",G2135&lt;=33,"Low Spender",G2135&lt;=66,"Medium Spender",TRUE, "High Spender")</f>
        <v>Low Spender</v>
      </c>
      <c r="I2135" s="1">
        <v>2</v>
      </c>
      <c r="J2135" s="1">
        <v>2400</v>
      </c>
      <c r="K2135" s="1">
        <v>190</v>
      </c>
      <c r="L2135" s="1" t="s">
        <v>37</v>
      </c>
      <c r="M2135" s="1" t="s">
        <v>30</v>
      </c>
      <c r="N2135" s="1" t="str">
        <f t="shared" si="66"/>
        <v>Higher</v>
      </c>
      <c r="O2135" s="1" t="str">
        <f t="shared" si="67"/>
        <v>Mid Career | Low Spender | Higher</v>
      </c>
    </row>
    <row r="2136" spans="1:15" x14ac:dyDescent="0.25">
      <c r="A2136" s="1" t="s">
        <v>2166</v>
      </c>
      <c r="B2136" s="1">
        <v>53</v>
      </c>
      <c r="C2136" s="1" t="str" cm="1">
        <f t="array" ref="C2136">_xlfn.IFS(OR(B2136=" ", B2136="NA",NOT(ISNUMBER(B2136))), "Unknown",B2136&lt;18,"Underage",B2136&lt;=24,"Young Adult",B2136&lt;=34,"Early Career",B2136&lt;=44,"Mid Career",B2136&lt;=54,"Mature",B2136&lt;=65,"Pre-Senior",B2136&gt;65,"Senior")</f>
        <v>Mature</v>
      </c>
      <c r="D2136" s="1" t="s">
        <v>12</v>
      </c>
      <c r="E2136" s="1" t="s">
        <v>34</v>
      </c>
      <c r="F2136" s="1">
        <v>650000</v>
      </c>
      <c r="G2136" s="1">
        <v>34</v>
      </c>
      <c r="H2136" s="1" t="str" cm="1">
        <f t="array" ref="H2136">_xlfn.IFS( OR(G2136=" ",NOT(ISNUMBER(G2136))),"Unknown",G2136&lt;=33,"Low Spender",G2136&lt;=66,"Medium Spender",TRUE, "High Spender")</f>
        <v>Medium Spender</v>
      </c>
      <c r="I2136" s="1">
        <v>48</v>
      </c>
      <c r="J2136" s="1">
        <v>800</v>
      </c>
      <c r="K2136" s="1">
        <v>250</v>
      </c>
      <c r="L2136" s="1" t="s">
        <v>16</v>
      </c>
      <c r="M2136" s="1" t="s">
        <v>30</v>
      </c>
      <c r="N2136" s="1" t="str">
        <f t="shared" si="66"/>
        <v>Lower</v>
      </c>
      <c r="O2136" s="1" t="str">
        <f t="shared" si="67"/>
        <v>Mature | Medium Spender | Lower</v>
      </c>
    </row>
    <row r="2137" spans="1:15" x14ac:dyDescent="0.25">
      <c r="A2137" s="1" t="s">
        <v>2167</v>
      </c>
      <c r="B2137" s="1">
        <v>26</v>
      </c>
      <c r="C2137" s="1" t="str" cm="1">
        <f t="array" ref="C2137">_xlfn.IFS(OR(B2137=" ", B2137="NA",NOT(ISNUMBER(B2137))), "Unknown",B2137&lt;18,"Underage",B2137&lt;=24,"Young Adult",B2137&lt;=34,"Early Career",B2137&lt;=44,"Mid Career",B2137&lt;=54,"Mature",B2137&lt;=65,"Pre-Senior",B2137&gt;65,"Senior")</f>
        <v>Early Career</v>
      </c>
      <c r="D2137" s="1" t="s">
        <v>12</v>
      </c>
      <c r="E2137" s="1" t="s">
        <v>58</v>
      </c>
      <c r="F2137" s="1">
        <v>1875000</v>
      </c>
      <c r="G2137" s="1">
        <v>24</v>
      </c>
      <c r="H2137" s="1" t="str" cm="1">
        <f t="array" ref="H2137">_xlfn.IFS( OR(G2137=" ",NOT(ISNUMBER(G2137))),"Unknown",G2137&lt;=33,"Low Spender",G2137&lt;=66,"Medium Spender",TRUE, "High Spender")</f>
        <v>Low Spender</v>
      </c>
      <c r="I2137" s="1">
        <v>52</v>
      </c>
      <c r="J2137" s="1">
        <v>6400</v>
      </c>
      <c r="K2137" s="1">
        <v>360</v>
      </c>
      <c r="N2137" s="1" t="str">
        <f t="shared" si="66"/>
        <v>Lower</v>
      </c>
      <c r="O2137" s="1" t="str">
        <f t="shared" si="67"/>
        <v>Early Career | Low Spender | Lower</v>
      </c>
    </row>
    <row r="2138" spans="1:15" x14ac:dyDescent="0.25">
      <c r="A2138" s="1" t="s">
        <v>2168</v>
      </c>
      <c r="B2138" s="1">
        <v>55</v>
      </c>
      <c r="C2138" s="1" t="str" cm="1">
        <f t="array" ref="C2138">_xlfn.IFS(OR(B2138=" ", B2138="NA",NOT(ISNUMBER(B2138))), "Unknown",B2138&lt;18,"Underage",B2138&lt;=24,"Young Adult",B2138&lt;=34,"Early Career",B2138&lt;=44,"Mid Career",B2138&lt;=54,"Mature",B2138&lt;=65,"Pre-Senior",B2138&gt;65,"Senior")</f>
        <v>Pre-Senior</v>
      </c>
      <c r="D2138" s="1" t="s">
        <v>12</v>
      </c>
      <c r="E2138" s="1" t="s">
        <v>34</v>
      </c>
      <c r="F2138" s="1">
        <v>1200000</v>
      </c>
      <c r="G2138" s="1">
        <v>17</v>
      </c>
      <c r="H2138" s="1" t="str" cm="1">
        <f t="array" ref="H2138">_xlfn.IFS( OR(G2138=" ",NOT(ISNUMBER(G2138))),"Unknown",G2138&lt;=33,"Low Spender",G2138&lt;=66,"Medium Spender",TRUE, "High Spender")</f>
        <v>Low Spender</v>
      </c>
      <c r="I2138" s="1">
        <v>24</v>
      </c>
      <c r="J2138" s="1">
        <v>10900</v>
      </c>
      <c r="K2138" s="1">
        <v>363</v>
      </c>
      <c r="M2138" s="1" t="s">
        <v>41</v>
      </c>
      <c r="N2138" s="1" t="str">
        <f t="shared" si="66"/>
        <v>Lower</v>
      </c>
      <c r="O2138" s="1" t="str">
        <f t="shared" si="67"/>
        <v>Pre-Senior | Low Spender | Lower</v>
      </c>
    </row>
    <row r="2139" spans="1:15" x14ac:dyDescent="0.25">
      <c r="A2139" s="1" t="s">
        <v>2169</v>
      </c>
      <c r="B2139" s="1">
        <v>65</v>
      </c>
      <c r="C2139" s="1" t="str" cm="1">
        <f t="array" ref="C2139">_xlfn.IFS(OR(B2139=" ", B2139="NA",NOT(ISNUMBER(B2139))), "Unknown",B2139&lt;18,"Underage",B2139&lt;=24,"Young Adult",B2139&lt;=34,"Early Career",B2139&lt;=44,"Mid Career",B2139&lt;=54,"Mature",B2139&lt;=65,"Pre-Senior",B2139&gt;65,"Senior")</f>
        <v>Pre-Senior</v>
      </c>
      <c r="E2139" s="1" t="s">
        <v>13</v>
      </c>
      <c r="F2139" s="1">
        <v>1850000</v>
      </c>
      <c r="G2139" s="1">
        <v>95</v>
      </c>
      <c r="H2139" s="1" t="str" cm="1">
        <f t="array" ref="H2139">_xlfn.IFS( OR(G2139=" ",NOT(ISNUMBER(G2139))),"Unknown",G2139&lt;=33,"Low Spender",G2139&lt;=66,"Medium Spender",TRUE, "High Spender")</f>
        <v>High Spender</v>
      </c>
      <c r="I2139" s="1">
        <v>78</v>
      </c>
      <c r="J2139" s="1">
        <v>10000</v>
      </c>
      <c r="K2139" s="1">
        <v>79</v>
      </c>
      <c r="L2139" s="1" t="s">
        <v>37</v>
      </c>
      <c r="M2139" s="1" t="s">
        <v>21</v>
      </c>
      <c r="N2139" s="1" t="str">
        <f t="shared" si="66"/>
        <v>Lower</v>
      </c>
      <c r="O2139" s="1" t="str">
        <f t="shared" si="67"/>
        <v>Pre-Senior | High Spender | Lower</v>
      </c>
    </row>
    <row r="2140" spans="1:15" x14ac:dyDescent="0.25">
      <c r="A2140" s="1" t="s">
        <v>2170</v>
      </c>
      <c r="B2140" s="1">
        <v>39</v>
      </c>
      <c r="C2140" s="1" t="str" cm="1">
        <f t="array" ref="C2140">_xlfn.IFS(OR(B2140=" ", B2140="NA",NOT(ISNUMBER(B2140))), "Unknown",B2140&lt;18,"Underage",B2140&lt;=24,"Young Adult",B2140&lt;=34,"Early Career",B2140&lt;=44,"Mid Career",B2140&lt;=54,"Mature",B2140&lt;=65,"Pre-Senior",B2140&gt;65,"Senior")</f>
        <v>Mid Career</v>
      </c>
      <c r="D2140" s="1" t="s">
        <v>18</v>
      </c>
      <c r="E2140" s="1" t="s">
        <v>27</v>
      </c>
      <c r="F2140" s="1">
        <v>350000</v>
      </c>
      <c r="G2140" s="1">
        <v>71</v>
      </c>
      <c r="H2140" s="1" t="str" cm="1">
        <f t="array" ref="H2140">_xlfn.IFS( OR(G2140=" ",NOT(ISNUMBER(G2140))),"Unknown",G2140&lt;=33,"Low Spender",G2140&lt;=66,"Medium Spender",TRUE, "High Spender")</f>
        <v>High Spender</v>
      </c>
      <c r="I2140" s="1">
        <v>2</v>
      </c>
      <c r="J2140" s="1">
        <v>3300</v>
      </c>
      <c r="K2140" s="1">
        <v>84</v>
      </c>
      <c r="L2140" s="1" t="s">
        <v>35</v>
      </c>
      <c r="N2140" s="1" t="str">
        <f t="shared" si="66"/>
        <v>Higher</v>
      </c>
      <c r="O2140" s="1" t="str">
        <f t="shared" si="67"/>
        <v>Mid Career | High Spender | Higher</v>
      </c>
    </row>
    <row r="2141" spans="1:15" x14ac:dyDescent="0.25">
      <c r="A2141" s="1" t="s">
        <v>2171</v>
      </c>
      <c r="C2141" s="1" t="str" cm="1">
        <f t="array" ref="C2141">_xlfn.IFS(OR(B2141=" ", B2141="NA",NOT(ISNUMBER(B2141))), "Unknown",B2141&lt;18,"Underage",B2141&lt;=24,"Young Adult",B2141&lt;=34,"Early Career",B2141&lt;=44,"Mid Career",B2141&lt;=54,"Mature",B2141&lt;=65,"Pre-Senior",B2141&gt;65,"Senior")</f>
        <v>Unknown</v>
      </c>
      <c r="D2141" s="1" t="s">
        <v>29</v>
      </c>
      <c r="E2141" s="1" t="s">
        <v>23</v>
      </c>
      <c r="F2141" s="1">
        <v>825000</v>
      </c>
      <c r="G2141" s="1">
        <v>81</v>
      </c>
      <c r="H2141" s="1" t="str" cm="1">
        <f t="array" ref="H2141">_xlfn.IFS( OR(G2141=" ",NOT(ISNUMBER(G2141))),"Unknown",G2141&lt;=33,"Low Spender",G2141&lt;=66,"Medium Spender",TRUE, "High Spender")</f>
        <v>High Spender</v>
      </c>
      <c r="I2141" s="1">
        <v>65</v>
      </c>
      <c r="J2141" s="1">
        <v>6400</v>
      </c>
      <c r="K2141" s="1">
        <v>172</v>
      </c>
      <c r="L2141" s="1" t="s">
        <v>37</v>
      </c>
      <c r="M2141" s="1" t="s">
        <v>30</v>
      </c>
      <c r="N2141" s="1" t="str">
        <f t="shared" si="66"/>
        <v>Higher</v>
      </c>
      <c r="O2141" s="1" t="str">
        <f t="shared" si="67"/>
        <v>Unknown | High Spender | Higher</v>
      </c>
    </row>
    <row r="2142" spans="1:15" x14ac:dyDescent="0.25">
      <c r="A2142" s="1" t="s">
        <v>2172</v>
      </c>
      <c r="C2142" s="1" t="str" cm="1">
        <f t="array" ref="C2142">_xlfn.IFS(OR(B2142=" ", B2142="NA",NOT(ISNUMBER(B2142))), "Unknown",B2142&lt;18,"Underage",B2142&lt;=24,"Young Adult",B2142&lt;=34,"Early Career",B2142&lt;=44,"Mid Career",B2142&lt;=54,"Mature",B2142&lt;=65,"Pre-Senior",B2142&gt;65,"Senior")</f>
        <v>Unknown</v>
      </c>
      <c r="E2142" s="1" t="s">
        <v>23</v>
      </c>
      <c r="F2142" s="1">
        <v>775000</v>
      </c>
      <c r="G2142" s="1">
        <v>92</v>
      </c>
      <c r="H2142" s="1" t="str" cm="1">
        <f t="array" ref="H2142">_xlfn.IFS( OR(G2142=" ",NOT(ISNUMBER(G2142))),"Unknown",G2142&lt;=33,"Low Spender",G2142&lt;=66,"Medium Spender",TRUE, "High Spender")</f>
        <v>High Spender</v>
      </c>
      <c r="I2142" s="1">
        <v>20</v>
      </c>
      <c r="K2142" s="1">
        <v>212</v>
      </c>
      <c r="M2142" s="1" t="s">
        <v>41</v>
      </c>
      <c r="N2142" s="1" t="str">
        <f t="shared" si="66"/>
        <v>Lower</v>
      </c>
      <c r="O2142" s="1" t="str">
        <f t="shared" si="67"/>
        <v>Unknown | High Spender | Lower</v>
      </c>
    </row>
    <row r="2143" spans="1:15" x14ac:dyDescent="0.25">
      <c r="A2143" s="1" t="s">
        <v>2173</v>
      </c>
      <c r="C2143" s="1" t="str" cm="1">
        <f t="array" ref="C2143">_xlfn.IFS(OR(B2143=" ", B2143="NA",NOT(ISNUMBER(B2143))), "Unknown",B2143&lt;18,"Underage",B2143&lt;=24,"Young Adult",B2143&lt;=34,"Early Career",B2143&lt;=44,"Mid Career",B2143&lt;=54,"Mature",B2143&lt;=65,"Pre-Senior",B2143&gt;65,"Senior")</f>
        <v>Unknown</v>
      </c>
      <c r="D2143" s="1" t="s">
        <v>12</v>
      </c>
      <c r="E2143" s="1" t="s">
        <v>58</v>
      </c>
      <c r="F2143" s="1">
        <v>200000</v>
      </c>
      <c r="H2143" s="1" t="str" cm="1">
        <f t="array" ref="H2143">_xlfn.IFS( OR(G2143=" ",NOT(ISNUMBER(G2143))),"Unknown",G2143&lt;=33,"Low Spender",G2143&lt;=66,"Medium Spender",TRUE, "High Spender")</f>
        <v>Unknown</v>
      </c>
      <c r="I2143" s="1">
        <v>34</v>
      </c>
      <c r="J2143" s="1">
        <v>1400</v>
      </c>
      <c r="K2143" s="1">
        <v>149</v>
      </c>
      <c r="N2143" s="1" t="str">
        <f t="shared" si="66"/>
        <v>Lower</v>
      </c>
      <c r="O2143" s="1" t="str">
        <f t="shared" si="67"/>
        <v>Unknown | Unknown | Lower</v>
      </c>
    </row>
    <row r="2144" spans="1:15" x14ac:dyDescent="0.25">
      <c r="A2144" s="1" t="s">
        <v>2174</v>
      </c>
      <c r="B2144" s="1">
        <v>19</v>
      </c>
      <c r="C2144" s="1" t="str" cm="1">
        <f t="array" ref="C2144">_xlfn.IFS(OR(B2144=" ", B2144="NA",NOT(ISNUMBER(B2144))), "Unknown",B2144&lt;18,"Underage",B2144&lt;=24,"Young Adult",B2144&lt;=34,"Early Career",B2144&lt;=44,"Mid Career",B2144&lt;=54,"Mature",B2144&lt;=65,"Pre-Senior",B2144&gt;65,"Senior")</f>
        <v>Young Adult</v>
      </c>
      <c r="D2144" s="1" t="s">
        <v>12</v>
      </c>
      <c r="F2144" s="1">
        <v>1950000</v>
      </c>
      <c r="G2144" s="1">
        <v>22</v>
      </c>
      <c r="H2144" s="1" t="str" cm="1">
        <f t="array" ref="H2144">_xlfn.IFS( OR(G2144=" ",NOT(ISNUMBER(G2144))),"Unknown",G2144&lt;=33,"Low Spender",G2144&lt;=66,"Medium Spender",TRUE, "High Spender")</f>
        <v>Low Spender</v>
      </c>
      <c r="I2144" s="1">
        <v>41</v>
      </c>
      <c r="J2144" s="1">
        <v>1400</v>
      </c>
      <c r="K2144" s="1">
        <v>10</v>
      </c>
      <c r="L2144" s="1" t="s">
        <v>37</v>
      </c>
      <c r="M2144" s="1" t="s">
        <v>41</v>
      </c>
      <c r="N2144" s="1" t="str">
        <f t="shared" si="66"/>
        <v>Lower</v>
      </c>
      <c r="O2144" s="1" t="str">
        <f t="shared" si="67"/>
        <v>Young Adult | Low Spender | Lower</v>
      </c>
    </row>
    <row r="2145" spans="1:15" x14ac:dyDescent="0.25">
      <c r="A2145" s="1" t="s">
        <v>2175</v>
      </c>
      <c r="B2145" s="1">
        <v>41</v>
      </c>
      <c r="C2145" s="1" t="str" cm="1">
        <f t="array" ref="C2145">_xlfn.IFS(OR(B2145=" ", B2145="NA",NOT(ISNUMBER(B2145))), "Unknown",B2145&lt;18,"Underage",B2145&lt;=24,"Young Adult",B2145&lt;=34,"Early Career",B2145&lt;=44,"Mid Career",B2145&lt;=54,"Mature",B2145&lt;=65,"Pre-Senior",B2145&gt;65,"Senior")</f>
        <v>Mid Career</v>
      </c>
      <c r="D2145" s="1" t="s">
        <v>18</v>
      </c>
      <c r="E2145" s="1" t="s">
        <v>13</v>
      </c>
      <c r="F2145" s="1">
        <v>1350000</v>
      </c>
      <c r="G2145" s="1">
        <v>15</v>
      </c>
      <c r="H2145" s="1" t="str" cm="1">
        <f t="array" ref="H2145">_xlfn.IFS( OR(G2145=" ",NOT(ISNUMBER(G2145))),"Unknown",G2145&lt;=33,"Low Spender",G2145&lt;=66,"Medium Spender",TRUE, "High Spender")</f>
        <v>Low Spender</v>
      </c>
      <c r="I2145" s="1">
        <v>41</v>
      </c>
      <c r="J2145" s="1">
        <v>6500</v>
      </c>
      <c r="K2145" s="1">
        <v>30</v>
      </c>
      <c r="L2145" s="1" t="s">
        <v>35</v>
      </c>
      <c r="M2145" s="1" t="s">
        <v>30</v>
      </c>
      <c r="N2145" s="1" t="str">
        <f t="shared" si="66"/>
        <v>Higher</v>
      </c>
      <c r="O2145" s="1" t="str">
        <f t="shared" si="67"/>
        <v>Mid Career | Low Spender | Higher</v>
      </c>
    </row>
    <row r="2146" spans="1:15" x14ac:dyDescent="0.25">
      <c r="A2146" s="1" t="s">
        <v>2176</v>
      </c>
      <c r="B2146" s="1">
        <v>25</v>
      </c>
      <c r="C2146" s="1" t="str" cm="1">
        <f t="array" ref="C2146">_xlfn.IFS(OR(B2146=" ", B2146="NA",NOT(ISNUMBER(B2146))), "Unknown",B2146&lt;18,"Underage",B2146&lt;=24,"Young Adult",B2146&lt;=34,"Early Career",B2146&lt;=44,"Mid Career",B2146&lt;=54,"Mature",B2146&lt;=65,"Pre-Senior",B2146&gt;65,"Senior")</f>
        <v>Early Career</v>
      </c>
      <c r="D2146" s="1" t="s">
        <v>29</v>
      </c>
      <c r="E2146" s="1" t="s">
        <v>19</v>
      </c>
      <c r="F2146" s="1">
        <v>550000</v>
      </c>
      <c r="H2146" s="1" t="str" cm="1">
        <f t="array" ref="H2146">_xlfn.IFS( OR(G2146=" ",NOT(ISNUMBER(G2146))),"Unknown",G2146&lt;=33,"Low Spender",G2146&lt;=66,"Medium Spender",TRUE, "High Spender")</f>
        <v>Unknown</v>
      </c>
      <c r="I2146" s="1">
        <v>75</v>
      </c>
      <c r="J2146" s="1">
        <v>1800</v>
      </c>
      <c r="K2146" s="1">
        <v>280</v>
      </c>
      <c r="M2146" s="1" t="s">
        <v>32</v>
      </c>
      <c r="N2146" s="1" t="str">
        <f t="shared" si="66"/>
        <v>Higher</v>
      </c>
      <c r="O2146" s="1" t="str">
        <f t="shared" si="67"/>
        <v>Early Career | Unknown | Higher</v>
      </c>
    </row>
    <row r="2147" spans="1:15" x14ac:dyDescent="0.25">
      <c r="A2147" s="1" t="s">
        <v>2177</v>
      </c>
      <c r="B2147" s="1">
        <v>28</v>
      </c>
      <c r="C2147" s="1" t="str" cm="1">
        <f t="array" ref="C2147">_xlfn.IFS(OR(B2147=" ", B2147="NA",NOT(ISNUMBER(B2147))), "Unknown",B2147&lt;18,"Underage",B2147&lt;=24,"Young Adult",B2147&lt;=34,"Early Career",B2147&lt;=44,"Mid Career",B2147&lt;=54,"Mature",B2147&lt;=65,"Pre-Senior",B2147&gt;65,"Senior")</f>
        <v>Early Career</v>
      </c>
      <c r="D2147" s="1" t="s">
        <v>29</v>
      </c>
      <c r="E2147" s="1" t="s">
        <v>49</v>
      </c>
      <c r="F2147" s="1">
        <v>1700000</v>
      </c>
      <c r="G2147" s="1">
        <v>15</v>
      </c>
      <c r="H2147" s="1" t="str" cm="1">
        <f t="array" ref="H2147">_xlfn.IFS( OR(G2147=" ",NOT(ISNUMBER(G2147))),"Unknown",G2147&lt;=33,"Low Spender",G2147&lt;=66,"Medium Spender",TRUE, "High Spender")</f>
        <v>Low Spender</v>
      </c>
      <c r="I2147" s="1">
        <v>23</v>
      </c>
      <c r="J2147" s="1">
        <v>2700</v>
      </c>
      <c r="K2147" s="1">
        <v>55</v>
      </c>
      <c r="L2147" s="1" t="s">
        <v>35</v>
      </c>
      <c r="M2147" s="1" t="s">
        <v>21</v>
      </c>
      <c r="N2147" s="1" t="str">
        <f t="shared" si="66"/>
        <v>Higher</v>
      </c>
      <c r="O2147" s="1" t="str">
        <f t="shared" si="67"/>
        <v>Early Career | Low Spender | Higher</v>
      </c>
    </row>
    <row r="2148" spans="1:15" x14ac:dyDescent="0.25">
      <c r="A2148" s="1" t="s">
        <v>2178</v>
      </c>
      <c r="B2148" s="1">
        <v>30</v>
      </c>
      <c r="C2148" s="1" t="str" cm="1">
        <f t="array" ref="C2148">_xlfn.IFS(OR(B2148=" ", B2148="NA",NOT(ISNUMBER(B2148))), "Unknown",B2148&lt;18,"Underage",B2148&lt;=24,"Young Adult",B2148&lt;=34,"Early Career",B2148&lt;=44,"Mid Career",B2148&lt;=54,"Mature",B2148&lt;=65,"Pre-Senior",B2148&gt;65,"Senior")</f>
        <v>Early Career</v>
      </c>
      <c r="F2148" s="1">
        <v>1500000</v>
      </c>
      <c r="G2148" s="1">
        <v>25</v>
      </c>
      <c r="H2148" s="1" t="str" cm="1">
        <f t="array" ref="H2148">_xlfn.IFS( OR(G2148=" ",NOT(ISNUMBER(G2148))),"Unknown",G2148&lt;=33,"Low Spender",G2148&lt;=66,"Medium Spender",TRUE, "High Spender")</f>
        <v>Low Spender</v>
      </c>
      <c r="I2148" s="1">
        <v>38</v>
      </c>
      <c r="J2148" s="1">
        <v>2400</v>
      </c>
      <c r="K2148" s="1">
        <v>360</v>
      </c>
      <c r="L2148" s="1" t="s">
        <v>16</v>
      </c>
      <c r="M2148" s="1" t="s">
        <v>30</v>
      </c>
      <c r="N2148" s="1" t="str">
        <f t="shared" si="66"/>
        <v>Lower</v>
      </c>
      <c r="O2148" s="1" t="str">
        <f t="shared" si="67"/>
        <v>Early Career | Low Spender | Lower</v>
      </c>
    </row>
    <row r="2149" spans="1:15" x14ac:dyDescent="0.25">
      <c r="A2149" s="1" t="s">
        <v>2179</v>
      </c>
      <c r="B2149" s="1">
        <v>34</v>
      </c>
      <c r="C2149" s="1" t="str" cm="1">
        <f t="array" ref="C2149">_xlfn.IFS(OR(B2149=" ", B2149="NA",NOT(ISNUMBER(B2149))), "Unknown",B2149&lt;18,"Underage",B2149&lt;=24,"Young Adult",B2149&lt;=34,"Early Career",B2149&lt;=44,"Mid Career",B2149&lt;=54,"Mature",B2149&lt;=65,"Pre-Senior",B2149&gt;65,"Senior")</f>
        <v>Early Career</v>
      </c>
      <c r="D2149" s="1" t="s">
        <v>18</v>
      </c>
      <c r="E2149" s="1" t="s">
        <v>19</v>
      </c>
      <c r="F2149" s="1">
        <v>700000</v>
      </c>
      <c r="G2149" s="1">
        <v>53</v>
      </c>
      <c r="H2149" s="1" t="str" cm="1">
        <f t="array" ref="H2149">_xlfn.IFS( OR(G2149=" ",NOT(ISNUMBER(G2149))),"Unknown",G2149&lt;=33,"Low Spender",G2149&lt;=66,"Medium Spender",TRUE, "High Spender")</f>
        <v>Medium Spender</v>
      </c>
      <c r="I2149" s="1">
        <v>44</v>
      </c>
      <c r="J2149" s="1">
        <v>9300</v>
      </c>
      <c r="K2149" s="1">
        <v>127</v>
      </c>
      <c r="N2149" s="1" t="str">
        <f t="shared" si="66"/>
        <v>Higher</v>
      </c>
      <c r="O2149" s="1" t="str">
        <f t="shared" si="67"/>
        <v>Early Career | Medium Spender | Higher</v>
      </c>
    </row>
    <row r="2150" spans="1:15" x14ac:dyDescent="0.25">
      <c r="A2150" s="1" t="s">
        <v>2180</v>
      </c>
      <c r="B2150" s="1">
        <v>25</v>
      </c>
      <c r="C2150" s="1" t="str" cm="1">
        <f t="array" ref="C2150">_xlfn.IFS(OR(B2150=" ", B2150="NA",NOT(ISNUMBER(B2150))), "Unknown",B2150&lt;18,"Underage",B2150&lt;=24,"Young Adult",B2150&lt;=34,"Early Career",B2150&lt;=44,"Mid Career",B2150&lt;=54,"Mature",B2150&lt;=65,"Pre-Senior",B2150&gt;65,"Senior")</f>
        <v>Early Career</v>
      </c>
      <c r="D2150" s="1" t="s">
        <v>29</v>
      </c>
      <c r="E2150" s="1" t="s">
        <v>13</v>
      </c>
      <c r="F2150" s="1">
        <v>975000</v>
      </c>
      <c r="G2150" s="1">
        <v>21</v>
      </c>
      <c r="H2150" s="1" t="str" cm="1">
        <f t="array" ref="H2150">_xlfn.IFS( OR(G2150=" ",NOT(ISNUMBER(G2150))),"Unknown",G2150&lt;=33,"Low Spender",G2150&lt;=66,"Medium Spender",TRUE, "High Spender")</f>
        <v>Low Spender</v>
      </c>
      <c r="I2150" s="1">
        <v>67</v>
      </c>
      <c r="J2150" s="1">
        <v>9000</v>
      </c>
      <c r="K2150" s="1">
        <v>180</v>
      </c>
      <c r="M2150" s="1" t="s">
        <v>21</v>
      </c>
      <c r="N2150" s="1" t="str">
        <f t="shared" si="66"/>
        <v>Higher</v>
      </c>
      <c r="O2150" s="1" t="str">
        <f t="shared" si="67"/>
        <v>Early Career | Low Spender | Higher</v>
      </c>
    </row>
    <row r="2151" spans="1:15" x14ac:dyDescent="0.25">
      <c r="A2151" s="1" t="s">
        <v>2181</v>
      </c>
      <c r="B2151" s="1">
        <v>38</v>
      </c>
      <c r="C2151" s="1" t="str" cm="1">
        <f t="array" ref="C2151">_xlfn.IFS(OR(B2151=" ", B2151="NA",NOT(ISNUMBER(B2151))), "Unknown",B2151&lt;18,"Underage",B2151&lt;=24,"Young Adult",B2151&lt;=34,"Early Career",B2151&lt;=44,"Mid Career",B2151&lt;=54,"Mature",B2151&lt;=65,"Pre-Senior",B2151&gt;65,"Senior")</f>
        <v>Mid Career</v>
      </c>
      <c r="E2151" s="1" t="s">
        <v>34</v>
      </c>
      <c r="F2151" s="1">
        <v>1850000</v>
      </c>
      <c r="H2151" s="1" t="str" cm="1">
        <f t="array" ref="H2151">_xlfn.IFS( OR(G2151=" ",NOT(ISNUMBER(G2151))),"Unknown",G2151&lt;=33,"Low Spender",G2151&lt;=66,"Medium Spender",TRUE, "High Spender")</f>
        <v>Unknown</v>
      </c>
      <c r="I2151" s="1">
        <v>62</v>
      </c>
      <c r="J2151" s="1">
        <v>7800</v>
      </c>
      <c r="K2151" s="1">
        <v>232</v>
      </c>
      <c r="L2151" s="1" t="s">
        <v>37</v>
      </c>
      <c r="M2151" s="1" t="s">
        <v>41</v>
      </c>
      <c r="N2151" s="1" t="str">
        <f t="shared" si="66"/>
        <v>Lower</v>
      </c>
      <c r="O2151" s="1" t="str">
        <f t="shared" si="67"/>
        <v>Mid Career | Unknown | Lower</v>
      </c>
    </row>
    <row r="2152" spans="1:15" x14ac:dyDescent="0.25">
      <c r="A2152" s="1" t="s">
        <v>2182</v>
      </c>
      <c r="B2152" s="1">
        <v>35</v>
      </c>
      <c r="C2152" s="1" t="str" cm="1">
        <f t="array" ref="C2152">_xlfn.IFS(OR(B2152=" ", B2152="NA",NOT(ISNUMBER(B2152))), "Unknown",B2152&lt;18,"Underage",B2152&lt;=24,"Young Adult",B2152&lt;=34,"Early Career",B2152&lt;=44,"Mid Career",B2152&lt;=54,"Mature",B2152&lt;=65,"Pre-Senior",B2152&gt;65,"Senior")</f>
        <v>Mid Career</v>
      </c>
      <c r="D2152" s="1" t="s">
        <v>12</v>
      </c>
      <c r="E2152" s="1" t="s">
        <v>27</v>
      </c>
      <c r="F2152" s="1">
        <v>500000</v>
      </c>
      <c r="G2152" s="1">
        <v>66</v>
      </c>
      <c r="H2152" s="1" t="str" cm="1">
        <f t="array" ref="H2152">_xlfn.IFS( OR(G2152=" ",NOT(ISNUMBER(G2152))),"Unknown",G2152&lt;=33,"Low Spender",G2152&lt;=66,"Medium Spender",TRUE, "High Spender")</f>
        <v>Medium Spender</v>
      </c>
      <c r="I2152" s="1">
        <v>12</v>
      </c>
      <c r="J2152" s="1">
        <v>11900</v>
      </c>
      <c r="K2152" s="1">
        <v>93</v>
      </c>
      <c r="L2152" s="1" t="s">
        <v>20</v>
      </c>
      <c r="N2152" s="1" t="str">
        <f t="shared" si="66"/>
        <v>Lower</v>
      </c>
      <c r="O2152" s="1" t="str">
        <f t="shared" si="67"/>
        <v>Mid Career | Medium Spender | Lower</v>
      </c>
    </row>
    <row r="2153" spans="1:15" x14ac:dyDescent="0.25">
      <c r="A2153" s="1" t="s">
        <v>2183</v>
      </c>
      <c r="B2153" s="1">
        <v>47</v>
      </c>
      <c r="C2153" s="1" t="str" cm="1">
        <f t="array" ref="C2153">_xlfn.IFS(OR(B2153=" ", B2153="NA",NOT(ISNUMBER(B2153))), "Unknown",B2153&lt;18,"Underage",B2153&lt;=24,"Young Adult",B2153&lt;=34,"Early Career",B2153&lt;=44,"Mid Career",B2153&lt;=54,"Mature",B2153&lt;=65,"Pre-Senior",B2153&gt;65,"Senior")</f>
        <v>Mature</v>
      </c>
      <c r="D2153" s="1" t="s">
        <v>29</v>
      </c>
      <c r="E2153" s="1" t="s">
        <v>19</v>
      </c>
      <c r="F2153" s="1">
        <v>1300000</v>
      </c>
      <c r="G2153" s="1">
        <v>91</v>
      </c>
      <c r="H2153" s="1" t="str" cm="1">
        <f t="array" ref="H2153">_xlfn.IFS( OR(G2153=" ",NOT(ISNUMBER(G2153))),"Unknown",G2153&lt;=33,"Low Spender",G2153&lt;=66,"Medium Spender",TRUE, "High Spender")</f>
        <v>High Spender</v>
      </c>
      <c r="I2153" s="1">
        <v>30</v>
      </c>
      <c r="J2153" s="1">
        <v>2000</v>
      </c>
      <c r="K2153" s="1">
        <v>8</v>
      </c>
      <c r="L2153" s="1" t="s">
        <v>20</v>
      </c>
      <c r="M2153" s="1" t="s">
        <v>21</v>
      </c>
      <c r="N2153" s="1" t="str">
        <f t="shared" si="66"/>
        <v>Higher</v>
      </c>
      <c r="O2153" s="1" t="str">
        <f t="shared" si="67"/>
        <v>Mature | High Spender | Higher</v>
      </c>
    </row>
    <row r="2154" spans="1:15" x14ac:dyDescent="0.25">
      <c r="A2154" s="1" t="s">
        <v>2184</v>
      </c>
      <c r="B2154" s="1">
        <v>35</v>
      </c>
      <c r="C2154" s="1" t="str" cm="1">
        <f t="array" ref="C2154">_xlfn.IFS(OR(B2154=" ", B2154="NA",NOT(ISNUMBER(B2154))), "Unknown",B2154&lt;18,"Underage",B2154&lt;=24,"Young Adult",B2154&lt;=34,"Early Career",B2154&lt;=44,"Mid Career",B2154&lt;=54,"Mature",B2154&lt;=65,"Pre-Senior",B2154&gt;65,"Senior")</f>
        <v>Mid Career</v>
      </c>
      <c r="D2154" s="1" t="s">
        <v>29</v>
      </c>
      <c r="E2154" s="1" t="s">
        <v>49</v>
      </c>
      <c r="F2154" s="1">
        <v>200000</v>
      </c>
      <c r="G2154" s="1">
        <v>32</v>
      </c>
      <c r="H2154" s="1" t="str" cm="1">
        <f t="array" ref="H2154">_xlfn.IFS( OR(G2154=" ",NOT(ISNUMBER(G2154))),"Unknown",G2154&lt;=33,"Low Spender",G2154&lt;=66,"Medium Spender",TRUE, "High Spender")</f>
        <v>Low Spender</v>
      </c>
      <c r="I2154" s="1">
        <v>65</v>
      </c>
      <c r="J2154" s="1">
        <v>4700</v>
      </c>
      <c r="K2154" s="1">
        <v>247</v>
      </c>
      <c r="L2154" s="1" t="s">
        <v>16</v>
      </c>
      <c r="N2154" s="1" t="str">
        <f t="shared" si="66"/>
        <v>Higher</v>
      </c>
      <c r="O2154" s="1" t="str">
        <f t="shared" si="67"/>
        <v>Mid Career | Low Spender | Higher</v>
      </c>
    </row>
    <row r="2155" spans="1:15" x14ac:dyDescent="0.25">
      <c r="A2155" s="1" t="s">
        <v>2185</v>
      </c>
      <c r="B2155" s="1">
        <v>63</v>
      </c>
      <c r="C2155" s="1" t="str" cm="1">
        <f t="array" ref="C2155">_xlfn.IFS(OR(B2155=" ", B2155="NA",NOT(ISNUMBER(B2155))), "Unknown",B2155&lt;18,"Underage",B2155&lt;=24,"Young Adult",B2155&lt;=34,"Early Career",B2155&lt;=44,"Mid Career",B2155&lt;=54,"Mature",B2155&lt;=65,"Pre-Senior",B2155&gt;65,"Senior")</f>
        <v>Pre-Senior</v>
      </c>
      <c r="F2155" s="1">
        <v>825000</v>
      </c>
      <c r="G2155" s="1">
        <v>21</v>
      </c>
      <c r="H2155" s="1" t="str" cm="1">
        <f t="array" ref="H2155">_xlfn.IFS( OR(G2155=" ",NOT(ISNUMBER(G2155))),"Unknown",G2155&lt;=33,"Low Spender",G2155&lt;=66,"Medium Spender",TRUE, "High Spender")</f>
        <v>Low Spender</v>
      </c>
      <c r="I2155" s="1">
        <v>41</v>
      </c>
      <c r="J2155" s="1">
        <v>11300</v>
      </c>
      <c r="K2155" s="1">
        <v>331</v>
      </c>
      <c r="L2155" s="1" t="s">
        <v>20</v>
      </c>
      <c r="M2155" s="1" t="s">
        <v>41</v>
      </c>
      <c r="N2155" s="1" t="str">
        <f t="shared" si="66"/>
        <v>Lower</v>
      </c>
      <c r="O2155" s="1" t="str">
        <f t="shared" si="67"/>
        <v>Pre-Senior | Low Spender | Lower</v>
      </c>
    </row>
    <row r="2156" spans="1:15" x14ac:dyDescent="0.25">
      <c r="A2156" s="1" t="s">
        <v>2186</v>
      </c>
      <c r="B2156" s="1">
        <v>64</v>
      </c>
      <c r="C2156" s="1" t="str" cm="1">
        <f t="array" ref="C2156">_xlfn.IFS(OR(B2156=" ", B2156="NA",NOT(ISNUMBER(B2156))), "Unknown",B2156&lt;18,"Underage",B2156&lt;=24,"Young Adult",B2156&lt;=34,"Early Career",B2156&lt;=44,"Mid Career",B2156&lt;=54,"Mature",B2156&lt;=65,"Pre-Senior",B2156&gt;65,"Senior")</f>
        <v>Pre-Senior</v>
      </c>
      <c r="D2156" s="1" t="s">
        <v>29</v>
      </c>
      <c r="E2156" s="1" t="s">
        <v>23</v>
      </c>
      <c r="F2156" s="1">
        <v>200000</v>
      </c>
      <c r="G2156" s="1">
        <v>68</v>
      </c>
      <c r="H2156" s="1" t="str" cm="1">
        <f t="array" ref="H2156">_xlfn.IFS( OR(G2156=" ",NOT(ISNUMBER(G2156))),"Unknown",G2156&lt;=33,"Low Spender",G2156&lt;=66,"Medium Spender",TRUE, "High Spender")</f>
        <v>High Spender</v>
      </c>
      <c r="I2156" s="1">
        <v>20</v>
      </c>
      <c r="J2156" s="1">
        <v>8200</v>
      </c>
      <c r="K2156" s="1">
        <v>196</v>
      </c>
      <c r="L2156" s="1" t="s">
        <v>16</v>
      </c>
      <c r="M2156" s="1" t="s">
        <v>30</v>
      </c>
      <c r="N2156" s="1" t="str">
        <f t="shared" si="66"/>
        <v>Higher</v>
      </c>
      <c r="O2156" s="1" t="str">
        <f t="shared" si="67"/>
        <v>Pre-Senior | High Spender | Higher</v>
      </c>
    </row>
    <row r="2157" spans="1:15" x14ac:dyDescent="0.25">
      <c r="A2157" s="1" t="s">
        <v>2187</v>
      </c>
      <c r="B2157" s="1">
        <v>48</v>
      </c>
      <c r="C2157" s="1" t="str" cm="1">
        <f t="array" ref="C2157">_xlfn.IFS(OR(B2157=" ", B2157="NA",NOT(ISNUMBER(B2157))), "Unknown",B2157&lt;18,"Underage",B2157&lt;=24,"Young Adult",B2157&lt;=34,"Early Career",B2157&lt;=44,"Mid Career",B2157&lt;=54,"Mature",B2157&lt;=65,"Pre-Senior",B2157&gt;65,"Senior")</f>
        <v>Mature</v>
      </c>
      <c r="D2157" s="1" t="s">
        <v>29</v>
      </c>
      <c r="F2157" s="1">
        <v>225000</v>
      </c>
      <c r="G2157" s="1">
        <v>44</v>
      </c>
      <c r="H2157" s="1" t="str" cm="1">
        <f t="array" ref="H2157">_xlfn.IFS( OR(G2157=" ",NOT(ISNUMBER(G2157))),"Unknown",G2157&lt;=33,"Low Spender",G2157&lt;=66,"Medium Spender",TRUE, "High Spender")</f>
        <v>Medium Spender</v>
      </c>
      <c r="I2157" s="1">
        <v>6</v>
      </c>
      <c r="J2157" s="1">
        <v>7000</v>
      </c>
      <c r="K2157" s="1">
        <v>163</v>
      </c>
      <c r="N2157" s="1" t="str">
        <f t="shared" si="66"/>
        <v>Higher</v>
      </c>
      <c r="O2157" s="1" t="str">
        <f t="shared" si="67"/>
        <v>Mature | Medium Spender | Higher</v>
      </c>
    </row>
    <row r="2158" spans="1:15" x14ac:dyDescent="0.25">
      <c r="A2158" s="1" t="s">
        <v>2188</v>
      </c>
      <c r="B2158" s="1">
        <v>55</v>
      </c>
      <c r="C2158" s="1" t="str" cm="1">
        <f t="array" ref="C2158">_xlfn.IFS(OR(B2158=" ", B2158="NA",NOT(ISNUMBER(B2158))), "Unknown",B2158&lt;18,"Underage",B2158&lt;=24,"Young Adult",B2158&lt;=34,"Early Career",B2158&lt;=44,"Mid Career",B2158&lt;=54,"Mature",B2158&lt;=65,"Pre-Senior",B2158&gt;65,"Senior")</f>
        <v>Pre-Senior</v>
      </c>
      <c r="D2158" s="1" t="s">
        <v>29</v>
      </c>
      <c r="E2158" s="1" t="s">
        <v>49</v>
      </c>
      <c r="F2158" s="1">
        <v>900000</v>
      </c>
      <c r="G2158" s="1">
        <v>83</v>
      </c>
      <c r="H2158" s="1" t="str" cm="1">
        <f t="array" ref="H2158">_xlfn.IFS( OR(G2158=" ",NOT(ISNUMBER(G2158))),"Unknown",G2158&lt;=33,"Low Spender",G2158&lt;=66,"Medium Spender",TRUE, "High Spender")</f>
        <v>High Spender</v>
      </c>
      <c r="I2158" s="1">
        <v>75</v>
      </c>
      <c r="J2158" s="1">
        <v>1400</v>
      </c>
      <c r="K2158" s="1">
        <v>40</v>
      </c>
      <c r="L2158" s="1" t="s">
        <v>16</v>
      </c>
      <c r="M2158" s="1" t="s">
        <v>30</v>
      </c>
      <c r="N2158" s="1" t="str">
        <f t="shared" si="66"/>
        <v>Higher</v>
      </c>
      <c r="O2158" s="1" t="str">
        <f t="shared" si="67"/>
        <v>Pre-Senior | High Spender | Higher</v>
      </c>
    </row>
    <row r="2159" spans="1:15" x14ac:dyDescent="0.25">
      <c r="A2159" s="1" t="s">
        <v>2189</v>
      </c>
      <c r="B2159" s="1">
        <v>49</v>
      </c>
      <c r="C2159" s="1" t="str" cm="1">
        <f t="array" ref="C2159">_xlfn.IFS(OR(B2159=" ", B2159="NA",NOT(ISNUMBER(B2159))), "Unknown",B2159&lt;18,"Underage",B2159&lt;=24,"Young Adult",B2159&lt;=34,"Early Career",B2159&lt;=44,"Mid Career",B2159&lt;=54,"Mature",B2159&lt;=65,"Pre-Senior",B2159&gt;65,"Senior")</f>
        <v>Mature</v>
      </c>
      <c r="D2159" s="1" t="s">
        <v>29</v>
      </c>
      <c r="E2159" s="1" t="s">
        <v>27</v>
      </c>
      <c r="F2159" s="1">
        <v>1250000</v>
      </c>
      <c r="G2159" s="1">
        <v>66</v>
      </c>
      <c r="H2159" s="1" t="str" cm="1">
        <f t="array" ref="H2159">_xlfn.IFS( OR(G2159=" ",NOT(ISNUMBER(G2159))),"Unknown",G2159&lt;=33,"Low Spender",G2159&lt;=66,"Medium Spender",TRUE, "High Spender")</f>
        <v>Medium Spender</v>
      </c>
      <c r="I2159" s="1">
        <v>4</v>
      </c>
      <c r="J2159" s="1">
        <v>5100</v>
      </c>
      <c r="K2159" s="1">
        <v>254</v>
      </c>
      <c r="L2159" s="1" t="s">
        <v>35</v>
      </c>
      <c r="M2159" s="1" t="s">
        <v>41</v>
      </c>
      <c r="N2159" s="1" t="str">
        <f t="shared" si="66"/>
        <v>Higher</v>
      </c>
      <c r="O2159" s="1" t="str">
        <f t="shared" si="67"/>
        <v>Mature | Medium Spender | Higher</v>
      </c>
    </row>
    <row r="2160" spans="1:15" x14ac:dyDescent="0.25">
      <c r="A2160" s="1" t="s">
        <v>2190</v>
      </c>
      <c r="B2160" s="1">
        <v>28</v>
      </c>
      <c r="C2160" s="1" t="str" cm="1">
        <f t="array" ref="C2160">_xlfn.IFS(OR(B2160=" ", B2160="NA",NOT(ISNUMBER(B2160))), "Unknown",B2160&lt;18,"Underage",B2160&lt;=24,"Young Adult",B2160&lt;=34,"Early Career",B2160&lt;=44,"Mid Career",B2160&lt;=54,"Mature",B2160&lt;=65,"Pre-Senior",B2160&gt;65,"Senior")</f>
        <v>Early Career</v>
      </c>
      <c r="D2160" s="1" t="s">
        <v>12</v>
      </c>
      <c r="E2160" s="1" t="s">
        <v>34</v>
      </c>
      <c r="F2160" s="1">
        <v>1600000</v>
      </c>
      <c r="G2160" s="1">
        <v>90</v>
      </c>
      <c r="H2160" s="1" t="str" cm="1">
        <f t="array" ref="H2160">_xlfn.IFS( OR(G2160=" ",NOT(ISNUMBER(G2160))),"Unknown",G2160&lt;=33,"Low Spender",G2160&lt;=66,"Medium Spender",TRUE, "High Spender")</f>
        <v>High Spender</v>
      </c>
      <c r="I2160" s="1">
        <v>10</v>
      </c>
      <c r="J2160" s="1">
        <v>3500</v>
      </c>
      <c r="K2160" s="1">
        <v>85</v>
      </c>
      <c r="L2160" s="1" t="s">
        <v>35</v>
      </c>
      <c r="M2160" s="1" t="s">
        <v>41</v>
      </c>
      <c r="N2160" s="1" t="str">
        <f t="shared" si="66"/>
        <v>Lower</v>
      </c>
      <c r="O2160" s="1" t="str">
        <f t="shared" si="67"/>
        <v>Early Career | High Spender | Lower</v>
      </c>
    </row>
    <row r="2161" spans="1:15" x14ac:dyDescent="0.25">
      <c r="A2161" s="1" t="s">
        <v>2191</v>
      </c>
      <c r="B2161" s="1">
        <v>62</v>
      </c>
      <c r="C2161" s="1" t="str" cm="1">
        <f t="array" ref="C2161">_xlfn.IFS(OR(B2161=" ", B2161="NA",NOT(ISNUMBER(B2161))), "Unknown",B2161&lt;18,"Underage",B2161&lt;=24,"Young Adult",B2161&lt;=34,"Early Career",B2161&lt;=44,"Mid Career",B2161&lt;=54,"Mature",B2161&lt;=65,"Pre-Senior",B2161&gt;65,"Senior")</f>
        <v>Pre-Senior</v>
      </c>
      <c r="D2161" s="1" t="s">
        <v>29</v>
      </c>
      <c r="E2161" s="1" t="s">
        <v>49</v>
      </c>
      <c r="F2161" s="1">
        <v>1250000</v>
      </c>
      <c r="G2161" s="1">
        <v>98</v>
      </c>
      <c r="H2161" s="1" t="str" cm="1">
        <f t="array" ref="H2161">_xlfn.IFS( OR(G2161=" ",NOT(ISNUMBER(G2161))),"Unknown",G2161&lt;=33,"Low Spender",G2161&lt;=66,"Medium Spender",TRUE, "High Spender")</f>
        <v>High Spender</v>
      </c>
      <c r="I2161" s="1">
        <v>51</v>
      </c>
      <c r="J2161" s="1">
        <v>8800</v>
      </c>
      <c r="K2161" s="1">
        <v>272</v>
      </c>
      <c r="L2161" s="1" t="s">
        <v>35</v>
      </c>
      <c r="N2161" s="1" t="str">
        <f t="shared" si="66"/>
        <v>Higher</v>
      </c>
      <c r="O2161" s="1" t="str">
        <f t="shared" si="67"/>
        <v>Pre-Senior | High Spender | Higher</v>
      </c>
    </row>
    <row r="2162" spans="1:15" x14ac:dyDescent="0.25">
      <c r="A2162" s="1" t="s">
        <v>2192</v>
      </c>
      <c r="B2162" s="1">
        <v>42</v>
      </c>
      <c r="C2162" s="1" t="str" cm="1">
        <f t="array" ref="C2162">_xlfn.IFS(OR(B2162=" ", B2162="NA",NOT(ISNUMBER(B2162))), "Unknown",B2162&lt;18,"Underage",B2162&lt;=24,"Young Adult",B2162&lt;=34,"Early Career",B2162&lt;=44,"Mid Career",B2162&lt;=54,"Mature",B2162&lt;=65,"Pre-Senior",B2162&gt;65,"Senior")</f>
        <v>Mid Career</v>
      </c>
      <c r="G2162" s="1">
        <v>14</v>
      </c>
      <c r="H2162" s="1" t="str" cm="1">
        <f t="array" ref="H2162">_xlfn.IFS( OR(G2162=" ",NOT(ISNUMBER(G2162))),"Unknown",G2162&lt;=33,"Low Spender",G2162&lt;=66,"Medium Spender",TRUE, "High Spender")</f>
        <v>Low Spender</v>
      </c>
      <c r="I2162" s="1">
        <v>38</v>
      </c>
      <c r="J2162" s="1">
        <v>6500</v>
      </c>
      <c r="K2162" s="1">
        <v>78</v>
      </c>
      <c r="N2162" s="1" t="str">
        <f t="shared" si="66"/>
        <v>Lower</v>
      </c>
      <c r="O2162" s="1" t="str">
        <f t="shared" si="67"/>
        <v>Mid Career | Low Spender | Lower</v>
      </c>
    </row>
    <row r="2163" spans="1:15" x14ac:dyDescent="0.25">
      <c r="A2163" s="1" t="s">
        <v>2193</v>
      </c>
      <c r="B2163" s="1">
        <v>50</v>
      </c>
      <c r="C2163" s="1" t="str" cm="1">
        <f t="array" ref="C2163">_xlfn.IFS(OR(B2163=" ", B2163="NA",NOT(ISNUMBER(B2163))), "Unknown",B2163&lt;18,"Underage",B2163&lt;=24,"Young Adult",B2163&lt;=34,"Early Career",B2163&lt;=44,"Mid Career",B2163&lt;=54,"Mature",B2163&lt;=65,"Pre-Senior",B2163&gt;65,"Senior")</f>
        <v>Mature</v>
      </c>
      <c r="D2163" s="1" t="s">
        <v>12</v>
      </c>
      <c r="E2163" s="1" t="s">
        <v>49</v>
      </c>
      <c r="F2163" s="1">
        <v>1050000</v>
      </c>
      <c r="G2163" s="1">
        <v>15</v>
      </c>
      <c r="H2163" s="1" t="str" cm="1">
        <f t="array" ref="H2163">_xlfn.IFS( OR(G2163=" ",NOT(ISNUMBER(G2163))),"Unknown",G2163&lt;=33,"Low Spender",G2163&lt;=66,"Medium Spender",TRUE, "High Spender")</f>
        <v>Low Spender</v>
      </c>
      <c r="I2163" s="1">
        <v>1</v>
      </c>
      <c r="J2163" s="1">
        <v>2000</v>
      </c>
      <c r="K2163" s="1">
        <v>213</v>
      </c>
      <c r="L2163" s="1" t="s">
        <v>35</v>
      </c>
      <c r="M2163" s="1" t="s">
        <v>41</v>
      </c>
      <c r="N2163" s="1" t="str">
        <f t="shared" si="66"/>
        <v>Lower</v>
      </c>
      <c r="O2163" s="1" t="str">
        <f t="shared" si="67"/>
        <v>Mature | Low Spender | Lower</v>
      </c>
    </row>
    <row r="2164" spans="1:15" x14ac:dyDescent="0.25">
      <c r="A2164" s="1" t="s">
        <v>2194</v>
      </c>
      <c r="B2164" s="1">
        <v>55</v>
      </c>
      <c r="C2164" s="1" t="str" cm="1">
        <f t="array" ref="C2164">_xlfn.IFS(OR(B2164=" ", B2164="NA",NOT(ISNUMBER(B2164))), "Unknown",B2164&lt;18,"Underage",B2164&lt;=24,"Young Adult",B2164&lt;=34,"Early Career",B2164&lt;=44,"Mid Career",B2164&lt;=54,"Mature",B2164&lt;=65,"Pre-Senior",B2164&gt;65,"Senior")</f>
        <v>Pre-Senior</v>
      </c>
      <c r="D2164" s="1" t="s">
        <v>12</v>
      </c>
      <c r="E2164" s="1" t="s">
        <v>13</v>
      </c>
      <c r="F2164" s="1">
        <v>1750000</v>
      </c>
      <c r="G2164" s="1">
        <v>20</v>
      </c>
      <c r="H2164" s="1" t="str" cm="1">
        <f t="array" ref="H2164">_xlfn.IFS( OR(G2164=" ",NOT(ISNUMBER(G2164))),"Unknown",G2164&lt;=33,"Low Spender",G2164&lt;=66,"Medium Spender",TRUE, "High Spender")</f>
        <v>Low Spender</v>
      </c>
      <c r="I2164" s="1">
        <v>8</v>
      </c>
      <c r="J2164" s="1">
        <v>5600</v>
      </c>
      <c r="K2164" s="1">
        <v>304</v>
      </c>
      <c r="L2164" s="1" t="s">
        <v>35</v>
      </c>
      <c r="N2164" s="1" t="str">
        <f t="shared" si="66"/>
        <v>Lower</v>
      </c>
      <c r="O2164" s="1" t="str">
        <f t="shared" si="67"/>
        <v>Pre-Senior | Low Spender | Lower</v>
      </c>
    </row>
    <row r="2165" spans="1:15" x14ac:dyDescent="0.25">
      <c r="A2165" s="1" t="s">
        <v>2195</v>
      </c>
      <c r="B2165" s="1">
        <v>58</v>
      </c>
      <c r="C2165" s="1" t="str" cm="1">
        <f t="array" ref="C2165">_xlfn.IFS(OR(B2165=" ", B2165="NA",NOT(ISNUMBER(B2165))), "Unknown",B2165&lt;18,"Underage",B2165&lt;=24,"Young Adult",B2165&lt;=34,"Early Career",B2165&lt;=44,"Mid Career",B2165&lt;=54,"Mature",B2165&lt;=65,"Pre-Senior",B2165&gt;65,"Senior")</f>
        <v>Pre-Senior</v>
      </c>
      <c r="D2165" s="1" t="s">
        <v>29</v>
      </c>
      <c r="E2165" s="1" t="s">
        <v>34</v>
      </c>
      <c r="F2165" s="1">
        <v>350000</v>
      </c>
      <c r="G2165" s="1">
        <v>34</v>
      </c>
      <c r="H2165" s="1" t="str" cm="1">
        <f t="array" ref="H2165">_xlfn.IFS( OR(G2165=" ",NOT(ISNUMBER(G2165))),"Unknown",G2165&lt;=33,"Low Spender",G2165&lt;=66,"Medium Spender",TRUE, "High Spender")</f>
        <v>Medium Spender</v>
      </c>
      <c r="J2165" s="1">
        <v>11400</v>
      </c>
      <c r="K2165" s="1">
        <v>255</v>
      </c>
      <c r="L2165" s="1" t="s">
        <v>35</v>
      </c>
      <c r="N2165" s="1" t="str">
        <f t="shared" si="66"/>
        <v>Higher</v>
      </c>
      <c r="O2165" s="1" t="str">
        <f t="shared" si="67"/>
        <v>Pre-Senior | Medium Spender | Higher</v>
      </c>
    </row>
    <row r="2166" spans="1:15" x14ac:dyDescent="0.25">
      <c r="A2166" s="1" t="s">
        <v>2196</v>
      </c>
      <c r="B2166" s="1">
        <v>25</v>
      </c>
      <c r="C2166" s="1" t="str" cm="1">
        <f t="array" ref="C2166">_xlfn.IFS(OR(B2166=" ", B2166="NA",NOT(ISNUMBER(B2166))), "Unknown",B2166&lt;18,"Underage",B2166&lt;=24,"Young Adult",B2166&lt;=34,"Early Career",B2166&lt;=44,"Mid Career",B2166&lt;=54,"Mature",B2166&lt;=65,"Pre-Senior",B2166&gt;65,"Senior")</f>
        <v>Early Career</v>
      </c>
      <c r="D2166" s="1" t="s">
        <v>18</v>
      </c>
      <c r="E2166" s="1" t="s">
        <v>27</v>
      </c>
      <c r="F2166" s="1">
        <v>550000</v>
      </c>
      <c r="G2166" s="1">
        <v>36</v>
      </c>
      <c r="H2166" s="1" t="str" cm="1">
        <f t="array" ref="H2166">_xlfn.IFS( OR(G2166=" ",NOT(ISNUMBER(G2166))),"Unknown",G2166&lt;=33,"Low Spender",G2166&lt;=66,"Medium Spender",TRUE, "High Spender")</f>
        <v>Medium Spender</v>
      </c>
      <c r="I2166" s="1">
        <v>63</v>
      </c>
      <c r="J2166" s="1">
        <v>9900</v>
      </c>
      <c r="K2166" s="1">
        <v>91</v>
      </c>
      <c r="L2166" s="1" t="s">
        <v>35</v>
      </c>
      <c r="N2166" s="1" t="str">
        <f t="shared" si="66"/>
        <v>Higher</v>
      </c>
      <c r="O2166" s="1" t="str">
        <f t="shared" si="67"/>
        <v>Early Career | Medium Spender | Higher</v>
      </c>
    </row>
    <row r="2167" spans="1:15" x14ac:dyDescent="0.25">
      <c r="A2167" s="1" t="s">
        <v>2197</v>
      </c>
      <c r="B2167" s="1">
        <v>28</v>
      </c>
      <c r="C2167" s="1" t="str" cm="1">
        <f t="array" ref="C2167">_xlfn.IFS(OR(B2167=" ", B2167="NA",NOT(ISNUMBER(B2167))), "Unknown",B2167&lt;18,"Underage",B2167&lt;=24,"Young Adult",B2167&lt;=34,"Early Career",B2167&lt;=44,"Mid Career",B2167&lt;=54,"Mature",B2167&lt;=65,"Pre-Senior",B2167&gt;65,"Senior")</f>
        <v>Early Career</v>
      </c>
      <c r="D2167" s="1" t="s">
        <v>18</v>
      </c>
      <c r="E2167" s="1" t="s">
        <v>23</v>
      </c>
      <c r="F2167" s="1">
        <v>1750000</v>
      </c>
      <c r="G2167" s="1">
        <v>83</v>
      </c>
      <c r="H2167" s="1" t="str" cm="1">
        <f t="array" ref="H2167">_xlfn.IFS( OR(G2167=" ",NOT(ISNUMBER(G2167))),"Unknown",G2167&lt;=33,"Low Spender",G2167&lt;=66,"Medium Spender",TRUE, "High Spender")</f>
        <v>High Spender</v>
      </c>
      <c r="I2167" s="1">
        <v>33</v>
      </c>
      <c r="J2167" s="1">
        <v>2900</v>
      </c>
      <c r="K2167" s="1">
        <v>193</v>
      </c>
      <c r="N2167" s="1" t="str">
        <f t="shared" si="66"/>
        <v>Higher</v>
      </c>
      <c r="O2167" s="1" t="str">
        <f t="shared" si="67"/>
        <v>Early Career | High Spender | Higher</v>
      </c>
    </row>
    <row r="2168" spans="1:15" x14ac:dyDescent="0.25">
      <c r="A2168" s="1" t="s">
        <v>2198</v>
      </c>
      <c r="B2168" s="1">
        <v>39</v>
      </c>
      <c r="C2168" s="1" t="str" cm="1">
        <f t="array" ref="C2168">_xlfn.IFS(OR(B2168=" ", B2168="NA",NOT(ISNUMBER(B2168))), "Unknown",B2168&lt;18,"Underage",B2168&lt;=24,"Young Adult",B2168&lt;=34,"Early Career",B2168&lt;=44,"Mid Career",B2168&lt;=54,"Mature",B2168&lt;=65,"Pre-Senior",B2168&gt;65,"Senior")</f>
        <v>Mid Career</v>
      </c>
      <c r="D2168" s="1" t="s">
        <v>29</v>
      </c>
      <c r="E2168" s="1" t="s">
        <v>23</v>
      </c>
      <c r="F2168" s="1">
        <v>200000</v>
      </c>
      <c r="G2168" s="1">
        <v>9</v>
      </c>
      <c r="H2168" s="1" t="str" cm="1">
        <f t="array" ref="H2168">_xlfn.IFS( OR(G2168=" ",NOT(ISNUMBER(G2168))),"Unknown",G2168&lt;=33,"Low Spender",G2168&lt;=66,"Medium Spender",TRUE, "High Spender")</f>
        <v>Low Spender</v>
      </c>
      <c r="I2168" s="1">
        <v>15</v>
      </c>
      <c r="J2168" s="1">
        <v>10800</v>
      </c>
      <c r="K2168" s="1">
        <v>253</v>
      </c>
      <c r="L2168" s="1" t="s">
        <v>35</v>
      </c>
      <c r="N2168" s="1" t="str">
        <f t="shared" si="66"/>
        <v>Higher</v>
      </c>
      <c r="O2168" s="1" t="str">
        <f t="shared" si="67"/>
        <v>Mid Career | Low Spender | Higher</v>
      </c>
    </row>
    <row r="2169" spans="1:15" x14ac:dyDescent="0.25">
      <c r="A2169" s="1" t="s">
        <v>2199</v>
      </c>
      <c r="B2169" s="1">
        <v>68</v>
      </c>
      <c r="C2169" s="1" t="str" cm="1">
        <f t="array" ref="C2169">_xlfn.IFS(OR(B2169=" ", B2169="NA",NOT(ISNUMBER(B2169))), "Unknown",B2169&lt;18,"Underage",B2169&lt;=24,"Young Adult",B2169&lt;=34,"Early Career",B2169&lt;=44,"Mid Career",B2169&lt;=54,"Mature",B2169&lt;=65,"Pre-Senior",B2169&gt;65,"Senior")</f>
        <v>Senior</v>
      </c>
      <c r="E2169" s="1" t="s">
        <v>49</v>
      </c>
      <c r="F2169" s="1">
        <v>775000</v>
      </c>
      <c r="G2169" s="1">
        <v>71</v>
      </c>
      <c r="H2169" s="1" t="str" cm="1">
        <f t="array" ref="H2169">_xlfn.IFS( OR(G2169=" ",NOT(ISNUMBER(G2169))),"Unknown",G2169&lt;=33,"Low Spender",G2169&lt;=66,"Medium Spender",TRUE, "High Spender")</f>
        <v>High Spender</v>
      </c>
      <c r="I2169" s="1">
        <v>31</v>
      </c>
      <c r="J2169" s="1">
        <v>8500</v>
      </c>
      <c r="K2169" s="1">
        <v>278</v>
      </c>
      <c r="L2169" s="1" t="s">
        <v>35</v>
      </c>
      <c r="M2169" s="1" t="s">
        <v>21</v>
      </c>
      <c r="N2169" s="1" t="str">
        <f t="shared" si="66"/>
        <v>Lower</v>
      </c>
      <c r="O2169" s="1" t="str">
        <f t="shared" si="67"/>
        <v>Senior | High Spender | Lower</v>
      </c>
    </row>
    <row r="2170" spans="1:15" x14ac:dyDescent="0.25">
      <c r="A2170" s="1" t="s">
        <v>2200</v>
      </c>
      <c r="B2170" s="1">
        <v>41</v>
      </c>
      <c r="C2170" s="1" t="str" cm="1">
        <f t="array" ref="C2170">_xlfn.IFS(OR(B2170=" ", B2170="NA",NOT(ISNUMBER(B2170))), "Unknown",B2170&lt;18,"Underage",B2170&lt;=24,"Young Adult",B2170&lt;=34,"Early Career",B2170&lt;=44,"Mid Career",B2170&lt;=54,"Mature",B2170&lt;=65,"Pre-Senior",B2170&gt;65,"Senior")</f>
        <v>Mid Career</v>
      </c>
      <c r="D2170" s="1" t="s">
        <v>18</v>
      </c>
      <c r="E2170" s="1" t="s">
        <v>13</v>
      </c>
      <c r="F2170" s="1">
        <v>1450000</v>
      </c>
      <c r="G2170" s="1">
        <v>30</v>
      </c>
      <c r="H2170" s="1" t="str" cm="1">
        <f t="array" ref="H2170">_xlfn.IFS( OR(G2170=" ",NOT(ISNUMBER(G2170))),"Unknown",G2170&lt;=33,"Low Spender",G2170&lt;=66,"Medium Spender",TRUE, "High Spender")</f>
        <v>Low Spender</v>
      </c>
      <c r="I2170" s="1">
        <v>21</v>
      </c>
      <c r="J2170" s="1">
        <v>11400</v>
      </c>
      <c r="K2170" s="1">
        <v>143</v>
      </c>
      <c r="M2170" s="1" t="s">
        <v>41</v>
      </c>
      <c r="N2170" s="1" t="str">
        <f t="shared" si="66"/>
        <v>Higher</v>
      </c>
      <c r="O2170" s="1" t="str">
        <f t="shared" si="67"/>
        <v>Mid Career | Low Spender | Higher</v>
      </c>
    </row>
    <row r="2171" spans="1:15" x14ac:dyDescent="0.25">
      <c r="A2171" s="1" t="s">
        <v>2201</v>
      </c>
      <c r="B2171" s="1">
        <v>58</v>
      </c>
      <c r="C2171" s="1" t="str" cm="1">
        <f t="array" ref="C2171">_xlfn.IFS(OR(B2171=" ", B2171="NA",NOT(ISNUMBER(B2171))), "Unknown",B2171&lt;18,"Underage",B2171&lt;=24,"Young Adult",B2171&lt;=34,"Early Career",B2171&lt;=44,"Mid Career",B2171&lt;=54,"Mature",B2171&lt;=65,"Pre-Senior",B2171&gt;65,"Senior")</f>
        <v>Pre-Senior</v>
      </c>
      <c r="D2171" s="1" t="s">
        <v>29</v>
      </c>
      <c r="E2171" s="1" t="s">
        <v>19</v>
      </c>
      <c r="F2171" s="1">
        <v>900000</v>
      </c>
      <c r="G2171" s="1">
        <v>77</v>
      </c>
      <c r="H2171" s="1" t="str" cm="1">
        <f t="array" ref="H2171">_xlfn.IFS( OR(G2171=" ",NOT(ISNUMBER(G2171))),"Unknown",G2171&lt;=33,"Low Spender",G2171&lt;=66,"Medium Spender",TRUE, "High Spender")</f>
        <v>High Spender</v>
      </c>
      <c r="I2171" s="1">
        <v>3</v>
      </c>
      <c r="J2171" s="1">
        <v>8000</v>
      </c>
      <c r="K2171" s="1">
        <v>244</v>
      </c>
      <c r="M2171" s="1" t="s">
        <v>41</v>
      </c>
      <c r="N2171" s="1" t="str">
        <f t="shared" si="66"/>
        <v>Higher</v>
      </c>
      <c r="O2171" s="1" t="str">
        <f t="shared" si="67"/>
        <v>Pre-Senior | High Spender | Higher</v>
      </c>
    </row>
    <row r="2172" spans="1:15" x14ac:dyDescent="0.25">
      <c r="A2172" s="1" t="s">
        <v>2202</v>
      </c>
      <c r="B2172" s="1">
        <v>34</v>
      </c>
      <c r="C2172" s="1" t="str" cm="1">
        <f t="array" ref="C2172">_xlfn.IFS(OR(B2172=" ", B2172="NA",NOT(ISNUMBER(B2172))), "Unknown",B2172&lt;18,"Underage",B2172&lt;=24,"Young Adult",B2172&lt;=34,"Early Career",B2172&lt;=44,"Mid Career",B2172&lt;=54,"Mature",B2172&lt;=65,"Pre-Senior",B2172&gt;65,"Senior")</f>
        <v>Early Career</v>
      </c>
      <c r="D2172" s="1" t="s">
        <v>29</v>
      </c>
      <c r="F2172" s="1">
        <v>775000</v>
      </c>
      <c r="G2172" s="1">
        <v>91</v>
      </c>
      <c r="H2172" s="1" t="str" cm="1">
        <f t="array" ref="H2172">_xlfn.IFS( OR(G2172=" ",NOT(ISNUMBER(G2172))),"Unknown",G2172&lt;=33,"Low Spender",G2172&lt;=66,"Medium Spender",TRUE, "High Spender")</f>
        <v>High Spender</v>
      </c>
      <c r="I2172" s="1">
        <v>66</v>
      </c>
      <c r="J2172" s="1">
        <v>2700</v>
      </c>
      <c r="K2172" s="1">
        <v>212</v>
      </c>
      <c r="L2172" s="1" t="s">
        <v>35</v>
      </c>
      <c r="M2172" s="1" t="s">
        <v>32</v>
      </c>
      <c r="N2172" s="1" t="str">
        <f t="shared" si="66"/>
        <v>Higher</v>
      </c>
      <c r="O2172" s="1" t="str">
        <f t="shared" si="67"/>
        <v>Early Career | High Spender | Higher</v>
      </c>
    </row>
    <row r="2173" spans="1:15" x14ac:dyDescent="0.25">
      <c r="A2173" s="1" t="s">
        <v>2203</v>
      </c>
      <c r="B2173" s="1">
        <v>29</v>
      </c>
      <c r="C2173" s="1" t="str" cm="1">
        <f t="array" ref="C2173">_xlfn.IFS(OR(B2173=" ", B2173="NA",NOT(ISNUMBER(B2173))), "Unknown",B2173&lt;18,"Underage",B2173&lt;=24,"Young Adult",B2173&lt;=34,"Early Career",B2173&lt;=44,"Mid Career",B2173&lt;=54,"Mature",B2173&lt;=65,"Pre-Senior",B2173&gt;65,"Senior")</f>
        <v>Early Career</v>
      </c>
      <c r="D2173" s="1" t="s">
        <v>12</v>
      </c>
      <c r="F2173" s="1">
        <v>700000</v>
      </c>
      <c r="G2173" s="1">
        <v>63</v>
      </c>
      <c r="H2173" s="1" t="str" cm="1">
        <f t="array" ref="H2173">_xlfn.IFS( OR(G2173=" ",NOT(ISNUMBER(G2173))),"Unknown",G2173&lt;=33,"Low Spender",G2173&lt;=66,"Medium Spender",TRUE, "High Spender")</f>
        <v>Medium Spender</v>
      </c>
      <c r="I2173" s="1">
        <v>35</v>
      </c>
      <c r="J2173" s="1">
        <v>3600</v>
      </c>
      <c r="K2173" s="1">
        <v>195</v>
      </c>
      <c r="L2173" s="1" t="s">
        <v>16</v>
      </c>
      <c r="M2173" s="1" t="s">
        <v>30</v>
      </c>
      <c r="N2173" s="1" t="str">
        <f t="shared" si="66"/>
        <v>Lower</v>
      </c>
      <c r="O2173" s="1" t="str">
        <f t="shared" si="67"/>
        <v>Early Career | Medium Spender | Lower</v>
      </c>
    </row>
    <row r="2174" spans="1:15" x14ac:dyDescent="0.25">
      <c r="A2174" s="1" t="s">
        <v>2204</v>
      </c>
      <c r="B2174" s="1">
        <v>63</v>
      </c>
      <c r="C2174" s="1" t="str" cm="1">
        <f t="array" ref="C2174">_xlfn.IFS(OR(B2174=" ", B2174="NA",NOT(ISNUMBER(B2174))), "Unknown",B2174&lt;18,"Underage",B2174&lt;=24,"Young Adult",B2174&lt;=34,"Early Career",B2174&lt;=44,"Mid Career",B2174&lt;=54,"Mature",B2174&lt;=65,"Pre-Senior",B2174&gt;65,"Senior")</f>
        <v>Pre-Senior</v>
      </c>
      <c r="D2174" s="1" t="s">
        <v>29</v>
      </c>
      <c r="F2174" s="1">
        <v>875000</v>
      </c>
      <c r="G2174" s="1">
        <v>35</v>
      </c>
      <c r="H2174" s="1" t="str" cm="1">
        <f t="array" ref="H2174">_xlfn.IFS( OR(G2174=" ",NOT(ISNUMBER(G2174))),"Unknown",G2174&lt;=33,"Low Spender",G2174&lt;=66,"Medium Spender",TRUE, "High Spender")</f>
        <v>Medium Spender</v>
      </c>
      <c r="I2174" s="1">
        <v>41</v>
      </c>
      <c r="J2174" s="1">
        <v>9000</v>
      </c>
      <c r="K2174" s="1">
        <v>270</v>
      </c>
      <c r="M2174" s="1" t="s">
        <v>32</v>
      </c>
      <c r="N2174" s="1" t="str">
        <f t="shared" si="66"/>
        <v>Higher</v>
      </c>
      <c r="O2174" s="1" t="str">
        <f t="shared" si="67"/>
        <v>Pre-Senior | Medium Spender | Higher</v>
      </c>
    </row>
    <row r="2175" spans="1:15" x14ac:dyDescent="0.25">
      <c r="A2175" s="1" t="s">
        <v>2205</v>
      </c>
      <c r="B2175" s="1">
        <v>49</v>
      </c>
      <c r="C2175" s="1" t="str" cm="1">
        <f t="array" ref="C2175">_xlfn.IFS(OR(B2175=" ", B2175="NA",NOT(ISNUMBER(B2175))), "Unknown",B2175&lt;18,"Underage",B2175&lt;=24,"Young Adult",B2175&lt;=34,"Early Career",B2175&lt;=44,"Mid Career",B2175&lt;=54,"Mature",B2175&lt;=65,"Pre-Senior",B2175&gt;65,"Senior")</f>
        <v>Mature</v>
      </c>
      <c r="E2175" s="1" t="s">
        <v>19</v>
      </c>
      <c r="F2175" s="1">
        <v>375000</v>
      </c>
      <c r="G2175" s="1">
        <v>13</v>
      </c>
      <c r="H2175" s="1" t="str" cm="1">
        <f t="array" ref="H2175">_xlfn.IFS( OR(G2175=" ",NOT(ISNUMBER(G2175))),"Unknown",G2175&lt;=33,"Low Spender",G2175&lt;=66,"Medium Spender",TRUE, "High Spender")</f>
        <v>Low Spender</v>
      </c>
      <c r="I2175" s="1">
        <v>59</v>
      </c>
      <c r="J2175" s="1">
        <v>10400</v>
      </c>
      <c r="K2175" s="1">
        <v>329</v>
      </c>
      <c r="N2175" s="1" t="str">
        <f t="shared" si="66"/>
        <v>Lower</v>
      </c>
      <c r="O2175" s="1" t="str">
        <f t="shared" si="67"/>
        <v>Mature | Low Spender | Lower</v>
      </c>
    </row>
    <row r="2176" spans="1:15" x14ac:dyDescent="0.25">
      <c r="A2176" s="1" t="s">
        <v>2206</v>
      </c>
      <c r="B2176" s="1">
        <v>32</v>
      </c>
      <c r="C2176" s="1" t="str" cm="1">
        <f t="array" ref="C2176">_xlfn.IFS(OR(B2176=" ", B2176="NA",NOT(ISNUMBER(B2176))), "Unknown",B2176&lt;18,"Underage",B2176&lt;=24,"Young Adult",B2176&lt;=34,"Early Career",B2176&lt;=44,"Mid Career",B2176&lt;=54,"Mature",B2176&lt;=65,"Pre-Senior",B2176&gt;65,"Senior")</f>
        <v>Early Career</v>
      </c>
      <c r="D2176" s="1" t="s">
        <v>29</v>
      </c>
      <c r="E2176" s="1" t="s">
        <v>13</v>
      </c>
      <c r="F2176" s="1">
        <v>1925000</v>
      </c>
      <c r="G2176" s="1">
        <v>79</v>
      </c>
      <c r="H2176" s="1" t="str" cm="1">
        <f t="array" ref="H2176">_xlfn.IFS( OR(G2176=" ",NOT(ISNUMBER(G2176))),"Unknown",G2176&lt;=33,"Low Spender",G2176&lt;=66,"Medium Spender",TRUE, "High Spender")</f>
        <v>High Spender</v>
      </c>
      <c r="I2176" s="1">
        <v>16</v>
      </c>
      <c r="J2176" s="1">
        <v>6200</v>
      </c>
      <c r="K2176" s="1">
        <v>19</v>
      </c>
      <c r="L2176" s="1" t="s">
        <v>20</v>
      </c>
      <c r="N2176" s="1" t="str">
        <f t="shared" si="66"/>
        <v>Higher</v>
      </c>
      <c r="O2176" s="1" t="str">
        <f t="shared" si="67"/>
        <v>Early Career | High Spender | Higher</v>
      </c>
    </row>
    <row r="2177" spans="1:15" x14ac:dyDescent="0.25">
      <c r="A2177" s="1" t="s">
        <v>2207</v>
      </c>
      <c r="B2177" s="1">
        <v>33</v>
      </c>
      <c r="C2177" s="1" t="str" cm="1">
        <f t="array" ref="C2177">_xlfn.IFS(OR(B2177=" ", B2177="NA",NOT(ISNUMBER(B2177))), "Unknown",B2177&lt;18,"Underage",B2177&lt;=24,"Young Adult",B2177&lt;=34,"Early Career",B2177&lt;=44,"Mid Career",B2177&lt;=54,"Mature",B2177&lt;=65,"Pre-Senior",B2177&gt;65,"Senior")</f>
        <v>Early Career</v>
      </c>
      <c r="D2177" s="1" t="s">
        <v>29</v>
      </c>
      <c r="F2177" s="1">
        <v>1725000</v>
      </c>
      <c r="G2177" s="1">
        <v>46</v>
      </c>
      <c r="H2177" s="1" t="str" cm="1">
        <f t="array" ref="H2177">_xlfn.IFS( OR(G2177=" ",NOT(ISNUMBER(G2177))),"Unknown",G2177&lt;=33,"Low Spender",G2177&lt;=66,"Medium Spender",TRUE, "High Spender")</f>
        <v>Medium Spender</v>
      </c>
      <c r="I2177" s="1">
        <v>56</v>
      </c>
      <c r="J2177" s="1">
        <v>5600</v>
      </c>
      <c r="K2177" s="1">
        <v>40</v>
      </c>
      <c r="L2177" s="1" t="s">
        <v>37</v>
      </c>
      <c r="M2177" s="1" t="s">
        <v>21</v>
      </c>
      <c r="N2177" s="1" t="str">
        <f t="shared" si="66"/>
        <v>Higher</v>
      </c>
      <c r="O2177" s="1" t="str">
        <f t="shared" si="67"/>
        <v>Early Career | Medium Spender | Higher</v>
      </c>
    </row>
    <row r="2178" spans="1:15" x14ac:dyDescent="0.25">
      <c r="A2178" s="1" t="s">
        <v>2208</v>
      </c>
      <c r="C2178" s="1" t="str" cm="1">
        <f t="array" ref="C2178">_xlfn.IFS(OR(B2178=" ", B2178="NA",NOT(ISNUMBER(B2178))), "Unknown",B2178&lt;18,"Underage",B2178&lt;=24,"Young Adult",B2178&lt;=34,"Early Career",B2178&lt;=44,"Mid Career",B2178&lt;=54,"Mature",B2178&lt;=65,"Pre-Senior",B2178&gt;65,"Senior")</f>
        <v>Unknown</v>
      </c>
      <c r="D2178" s="1" t="s">
        <v>18</v>
      </c>
      <c r="F2178" s="1">
        <v>675000</v>
      </c>
      <c r="G2178" s="1">
        <v>56</v>
      </c>
      <c r="H2178" s="1" t="str" cm="1">
        <f t="array" ref="H2178">_xlfn.IFS( OR(G2178=" ",NOT(ISNUMBER(G2178))),"Unknown",G2178&lt;=33,"Low Spender",G2178&lt;=66,"Medium Spender",TRUE, "High Spender")</f>
        <v>Medium Spender</v>
      </c>
      <c r="I2178" s="1">
        <v>45</v>
      </c>
      <c r="J2178" s="1">
        <v>8900</v>
      </c>
      <c r="K2178" s="1">
        <v>98</v>
      </c>
      <c r="M2178" s="1" t="s">
        <v>21</v>
      </c>
      <c r="N2178" s="1" t="str">
        <f t="shared" ref="N2178:N2241" si="68">IF(OR(UPPER(TRIM(D2178))="Male",UPPER(TRIM(D2178))="Female"),"Higher","Lower")</f>
        <v>Higher</v>
      </c>
      <c r="O2178" s="1" t="str">
        <f t="shared" ref="O2178:O2241" si="69">_xlfn.TEXTJOIN(" | ", TRUE, C2178, H2178, N2178)</f>
        <v>Unknown | Medium Spender | Higher</v>
      </c>
    </row>
    <row r="2179" spans="1:15" x14ac:dyDescent="0.25">
      <c r="A2179" s="1" t="s">
        <v>2209</v>
      </c>
      <c r="B2179" s="1">
        <v>39</v>
      </c>
      <c r="C2179" s="1" t="str" cm="1">
        <f t="array" ref="C2179">_xlfn.IFS(OR(B2179=" ", B2179="NA",NOT(ISNUMBER(B2179))), "Unknown",B2179&lt;18,"Underage",B2179&lt;=24,"Young Adult",B2179&lt;=34,"Early Career",B2179&lt;=44,"Mid Career",B2179&lt;=54,"Mature",B2179&lt;=65,"Pre-Senior",B2179&gt;65,"Senior")</f>
        <v>Mid Career</v>
      </c>
      <c r="D2179" s="1" t="s">
        <v>29</v>
      </c>
      <c r="E2179" s="1" t="s">
        <v>19</v>
      </c>
      <c r="F2179" s="1">
        <v>500000</v>
      </c>
      <c r="G2179" s="1">
        <v>9</v>
      </c>
      <c r="H2179" s="1" t="str" cm="1">
        <f t="array" ref="H2179">_xlfn.IFS( OR(G2179=" ",NOT(ISNUMBER(G2179))),"Unknown",G2179&lt;=33,"Low Spender",G2179&lt;=66,"Medium Spender",TRUE, "High Spender")</f>
        <v>Low Spender</v>
      </c>
      <c r="I2179" s="1">
        <v>59</v>
      </c>
      <c r="J2179" s="1">
        <v>700</v>
      </c>
      <c r="K2179" s="1">
        <v>4</v>
      </c>
      <c r="M2179" s="1" t="s">
        <v>21</v>
      </c>
      <c r="N2179" s="1" t="str">
        <f t="shared" si="68"/>
        <v>Higher</v>
      </c>
      <c r="O2179" s="1" t="str">
        <f t="shared" si="69"/>
        <v>Mid Career | Low Spender | Higher</v>
      </c>
    </row>
    <row r="2180" spans="1:15" x14ac:dyDescent="0.25">
      <c r="A2180" s="1" t="s">
        <v>2210</v>
      </c>
      <c r="B2180" s="1">
        <v>45</v>
      </c>
      <c r="C2180" s="1" t="str" cm="1">
        <f t="array" ref="C2180">_xlfn.IFS(OR(B2180=" ", B2180="NA",NOT(ISNUMBER(B2180))), "Unknown",B2180&lt;18,"Underage",B2180&lt;=24,"Young Adult",B2180&lt;=34,"Early Career",B2180&lt;=44,"Mid Career",B2180&lt;=54,"Mature",B2180&lt;=65,"Pre-Senior",B2180&gt;65,"Senior")</f>
        <v>Mature</v>
      </c>
      <c r="E2180" s="1" t="s">
        <v>19</v>
      </c>
      <c r="F2180" s="1">
        <v>1525000</v>
      </c>
      <c r="G2180" s="1">
        <v>87</v>
      </c>
      <c r="H2180" s="1" t="str" cm="1">
        <f t="array" ref="H2180">_xlfn.IFS( OR(G2180=" ",NOT(ISNUMBER(G2180))),"Unknown",G2180&lt;=33,"Low Spender",G2180&lt;=66,"Medium Spender",TRUE, "High Spender")</f>
        <v>High Spender</v>
      </c>
      <c r="I2180" s="1">
        <v>50</v>
      </c>
      <c r="J2180" s="1">
        <v>11000</v>
      </c>
      <c r="K2180" s="1">
        <v>33</v>
      </c>
      <c r="L2180" s="1" t="s">
        <v>35</v>
      </c>
      <c r="M2180" s="1" t="s">
        <v>21</v>
      </c>
      <c r="N2180" s="1" t="str">
        <f t="shared" si="68"/>
        <v>Lower</v>
      </c>
      <c r="O2180" s="1" t="str">
        <f t="shared" si="69"/>
        <v>Mature | High Spender | Lower</v>
      </c>
    </row>
    <row r="2181" spans="1:15" x14ac:dyDescent="0.25">
      <c r="A2181" s="1" t="s">
        <v>2211</v>
      </c>
      <c r="B2181" s="1">
        <v>37</v>
      </c>
      <c r="C2181" s="1" t="str" cm="1">
        <f t="array" ref="C2181">_xlfn.IFS(OR(B2181=" ", B2181="NA",NOT(ISNUMBER(B2181))), "Unknown",B2181&lt;18,"Underage",B2181&lt;=24,"Young Adult",B2181&lt;=34,"Early Career",B2181&lt;=44,"Mid Career",B2181&lt;=54,"Mature",B2181&lt;=65,"Pre-Senior",B2181&gt;65,"Senior")</f>
        <v>Mid Career</v>
      </c>
      <c r="D2181" s="1" t="s">
        <v>29</v>
      </c>
      <c r="E2181" s="1" t="s">
        <v>27</v>
      </c>
      <c r="F2181" s="1">
        <v>1975000</v>
      </c>
      <c r="G2181" s="1">
        <v>36</v>
      </c>
      <c r="H2181" s="1" t="str" cm="1">
        <f t="array" ref="H2181">_xlfn.IFS( OR(G2181=" ",NOT(ISNUMBER(G2181))),"Unknown",G2181&lt;=33,"Low Spender",G2181&lt;=66,"Medium Spender",TRUE, "High Spender")</f>
        <v>Medium Spender</v>
      </c>
      <c r="I2181" s="1">
        <v>12</v>
      </c>
      <c r="J2181" s="1">
        <v>3800</v>
      </c>
      <c r="K2181" s="1">
        <v>299</v>
      </c>
      <c r="M2181" s="1" t="s">
        <v>21</v>
      </c>
      <c r="N2181" s="1" t="str">
        <f t="shared" si="68"/>
        <v>Higher</v>
      </c>
      <c r="O2181" s="1" t="str">
        <f t="shared" si="69"/>
        <v>Mid Career | Medium Spender | Higher</v>
      </c>
    </row>
    <row r="2182" spans="1:15" x14ac:dyDescent="0.25">
      <c r="A2182" s="1" t="s">
        <v>2212</v>
      </c>
      <c r="B2182" s="1">
        <v>50</v>
      </c>
      <c r="C2182" s="1" t="str" cm="1">
        <f t="array" ref="C2182">_xlfn.IFS(OR(B2182=" ", B2182="NA",NOT(ISNUMBER(B2182))), "Unknown",B2182&lt;18,"Underage",B2182&lt;=24,"Young Adult",B2182&lt;=34,"Early Career",B2182&lt;=44,"Mid Career",B2182&lt;=54,"Mature",B2182&lt;=65,"Pre-Senior",B2182&gt;65,"Senior")</f>
        <v>Mature</v>
      </c>
      <c r="E2182" s="1" t="s">
        <v>27</v>
      </c>
      <c r="F2182" s="1">
        <v>625000</v>
      </c>
      <c r="G2182" s="1">
        <v>3</v>
      </c>
      <c r="H2182" s="1" t="str" cm="1">
        <f t="array" ref="H2182">_xlfn.IFS( OR(G2182=" ",NOT(ISNUMBER(G2182))),"Unknown",G2182&lt;=33,"Low Spender",G2182&lt;=66,"Medium Spender",TRUE, "High Spender")</f>
        <v>Low Spender</v>
      </c>
      <c r="I2182" s="1">
        <v>12</v>
      </c>
      <c r="J2182" s="1">
        <v>5600</v>
      </c>
      <c r="K2182" s="1">
        <v>165</v>
      </c>
      <c r="L2182" s="1" t="s">
        <v>37</v>
      </c>
      <c r="M2182" s="1" t="s">
        <v>21</v>
      </c>
      <c r="N2182" s="1" t="str">
        <f t="shared" si="68"/>
        <v>Lower</v>
      </c>
      <c r="O2182" s="1" t="str">
        <f t="shared" si="69"/>
        <v>Mature | Low Spender | Lower</v>
      </c>
    </row>
    <row r="2183" spans="1:15" x14ac:dyDescent="0.25">
      <c r="A2183" s="1" t="s">
        <v>2213</v>
      </c>
      <c r="B2183" s="1">
        <v>27</v>
      </c>
      <c r="C2183" s="1" t="str" cm="1">
        <f t="array" ref="C2183">_xlfn.IFS(OR(B2183=" ", B2183="NA",NOT(ISNUMBER(B2183))), "Unknown",B2183&lt;18,"Underage",B2183&lt;=24,"Young Adult",B2183&lt;=34,"Early Career",B2183&lt;=44,"Mid Career",B2183&lt;=54,"Mature",B2183&lt;=65,"Pre-Senior",B2183&gt;65,"Senior")</f>
        <v>Early Career</v>
      </c>
      <c r="E2183" s="1" t="s">
        <v>34</v>
      </c>
      <c r="F2183" s="1">
        <v>1300000</v>
      </c>
      <c r="G2183" s="1">
        <v>98</v>
      </c>
      <c r="H2183" s="1" t="str" cm="1">
        <f t="array" ref="H2183">_xlfn.IFS( OR(G2183=" ",NOT(ISNUMBER(G2183))),"Unknown",G2183&lt;=33,"Low Spender",G2183&lt;=66,"Medium Spender",TRUE, "High Spender")</f>
        <v>High Spender</v>
      </c>
      <c r="I2183" s="1">
        <v>33</v>
      </c>
      <c r="J2183" s="1">
        <v>9000</v>
      </c>
      <c r="K2183" s="1">
        <v>27</v>
      </c>
      <c r="L2183" s="1" t="s">
        <v>37</v>
      </c>
      <c r="M2183" s="1" t="s">
        <v>21</v>
      </c>
      <c r="N2183" s="1" t="str">
        <f t="shared" si="68"/>
        <v>Lower</v>
      </c>
      <c r="O2183" s="1" t="str">
        <f t="shared" si="69"/>
        <v>Early Career | High Spender | Lower</v>
      </c>
    </row>
    <row r="2184" spans="1:15" x14ac:dyDescent="0.25">
      <c r="A2184" s="1" t="s">
        <v>2214</v>
      </c>
      <c r="B2184" s="1">
        <v>57</v>
      </c>
      <c r="C2184" s="1" t="str" cm="1">
        <f t="array" ref="C2184">_xlfn.IFS(OR(B2184=" ", B2184="NA",NOT(ISNUMBER(B2184))), "Unknown",B2184&lt;18,"Underage",B2184&lt;=24,"Young Adult",B2184&lt;=34,"Early Career",B2184&lt;=44,"Mid Career",B2184&lt;=54,"Mature",B2184&lt;=65,"Pre-Senior",B2184&gt;65,"Senior")</f>
        <v>Pre-Senior</v>
      </c>
      <c r="D2184" s="1" t="s">
        <v>12</v>
      </c>
      <c r="F2184" s="1">
        <v>1450000</v>
      </c>
      <c r="G2184" s="1">
        <v>19</v>
      </c>
      <c r="H2184" s="1" t="str" cm="1">
        <f t="array" ref="H2184">_xlfn.IFS( OR(G2184=" ",NOT(ISNUMBER(G2184))),"Unknown",G2184&lt;=33,"Low Spender",G2184&lt;=66,"Medium Spender",TRUE, "High Spender")</f>
        <v>Low Spender</v>
      </c>
      <c r="I2184" s="1">
        <v>49</v>
      </c>
      <c r="J2184" s="1">
        <v>3800</v>
      </c>
      <c r="K2184" s="1">
        <v>173</v>
      </c>
      <c r="M2184" s="1" t="s">
        <v>21</v>
      </c>
      <c r="N2184" s="1" t="str">
        <f t="shared" si="68"/>
        <v>Lower</v>
      </c>
      <c r="O2184" s="1" t="str">
        <f t="shared" si="69"/>
        <v>Pre-Senior | Low Spender | Lower</v>
      </c>
    </row>
    <row r="2185" spans="1:15" x14ac:dyDescent="0.25">
      <c r="A2185" s="1" t="s">
        <v>2215</v>
      </c>
      <c r="B2185" s="1">
        <v>49</v>
      </c>
      <c r="C2185" s="1" t="str" cm="1">
        <f t="array" ref="C2185">_xlfn.IFS(OR(B2185=" ", B2185="NA",NOT(ISNUMBER(B2185))), "Unknown",B2185&lt;18,"Underage",B2185&lt;=24,"Young Adult",B2185&lt;=34,"Early Career",B2185&lt;=44,"Mid Career",B2185&lt;=54,"Mature",B2185&lt;=65,"Pre-Senior",B2185&gt;65,"Senior")</f>
        <v>Mature</v>
      </c>
      <c r="D2185" s="1" t="s">
        <v>29</v>
      </c>
      <c r="F2185" s="1">
        <v>1450000</v>
      </c>
      <c r="G2185" s="1">
        <v>28</v>
      </c>
      <c r="H2185" s="1" t="str" cm="1">
        <f t="array" ref="H2185">_xlfn.IFS( OR(G2185=" ",NOT(ISNUMBER(G2185))),"Unknown",G2185&lt;=33,"Low Spender",G2185&lt;=66,"Medium Spender",TRUE, "High Spender")</f>
        <v>Low Spender</v>
      </c>
      <c r="I2185" s="1">
        <v>21</v>
      </c>
      <c r="J2185" s="1">
        <v>7100</v>
      </c>
      <c r="K2185" s="1">
        <v>337</v>
      </c>
      <c r="L2185" s="1" t="s">
        <v>35</v>
      </c>
      <c r="N2185" s="1" t="str">
        <f t="shared" si="68"/>
        <v>Higher</v>
      </c>
      <c r="O2185" s="1" t="str">
        <f t="shared" si="69"/>
        <v>Mature | Low Spender | Higher</v>
      </c>
    </row>
    <row r="2186" spans="1:15" x14ac:dyDescent="0.25">
      <c r="A2186" s="1" t="s">
        <v>2216</v>
      </c>
      <c r="B2186" s="1">
        <v>67</v>
      </c>
      <c r="C2186" s="1" t="str" cm="1">
        <f t="array" ref="C2186">_xlfn.IFS(OR(B2186=" ", B2186="NA",NOT(ISNUMBER(B2186))), "Unknown",B2186&lt;18,"Underage",B2186&lt;=24,"Young Adult",B2186&lt;=34,"Early Career",B2186&lt;=44,"Mid Career",B2186&lt;=54,"Mature",B2186&lt;=65,"Pre-Senior",B2186&gt;65,"Senior")</f>
        <v>Senior</v>
      </c>
      <c r="D2186" s="1" t="s">
        <v>29</v>
      </c>
      <c r="E2186" s="1" t="s">
        <v>34</v>
      </c>
      <c r="F2186" s="1">
        <v>150000</v>
      </c>
      <c r="G2186" s="1">
        <v>23</v>
      </c>
      <c r="H2186" s="1" t="str" cm="1">
        <f t="array" ref="H2186">_xlfn.IFS( OR(G2186=" ",NOT(ISNUMBER(G2186))),"Unknown",G2186&lt;=33,"Low Spender",G2186&lt;=66,"Medium Spender",TRUE, "High Spender")</f>
        <v>Low Spender</v>
      </c>
      <c r="I2186" s="1">
        <v>60</v>
      </c>
      <c r="J2186" s="1">
        <v>4100</v>
      </c>
      <c r="K2186" s="1">
        <v>113</v>
      </c>
      <c r="L2186" s="1" t="s">
        <v>35</v>
      </c>
      <c r="M2186" s="1" t="s">
        <v>21</v>
      </c>
      <c r="N2186" s="1" t="str">
        <f t="shared" si="68"/>
        <v>Higher</v>
      </c>
      <c r="O2186" s="1" t="str">
        <f t="shared" si="69"/>
        <v>Senior | Low Spender | Higher</v>
      </c>
    </row>
    <row r="2187" spans="1:15" x14ac:dyDescent="0.25">
      <c r="A2187" s="1" t="s">
        <v>2217</v>
      </c>
      <c r="B2187" s="1">
        <v>50</v>
      </c>
      <c r="C2187" s="1" t="str" cm="1">
        <f t="array" ref="C2187">_xlfn.IFS(OR(B2187=" ", B2187="NA",NOT(ISNUMBER(B2187))), "Unknown",B2187&lt;18,"Underage",B2187&lt;=24,"Young Adult",B2187&lt;=34,"Early Career",B2187&lt;=44,"Mid Career",B2187&lt;=54,"Mature",B2187&lt;=65,"Pre-Senior",B2187&gt;65,"Senior")</f>
        <v>Mature</v>
      </c>
      <c r="D2187" s="1" t="s">
        <v>18</v>
      </c>
      <c r="F2187" s="1">
        <v>175000</v>
      </c>
      <c r="G2187" s="1">
        <v>7</v>
      </c>
      <c r="H2187" s="1" t="str" cm="1">
        <f t="array" ref="H2187">_xlfn.IFS( OR(G2187=" ",NOT(ISNUMBER(G2187))),"Unknown",G2187&lt;=33,"Low Spender",G2187&lt;=66,"Medium Spender",TRUE, "High Spender")</f>
        <v>Low Spender</v>
      </c>
      <c r="I2187" s="1">
        <v>52</v>
      </c>
      <c r="J2187" s="1">
        <v>7200</v>
      </c>
      <c r="K2187" s="1">
        <v>95</v>
      </c>
      <c r="L2187" s="1" t="s">
        <v>16</v>
      </c>
      <c r="M2187" s="1" t="s">
        <v>41</v>
      </c>
      <c r="N2187" s="1" t="str">
        <f t="shared" si="68"/>
        <v>Higher</v>
      </c>
      <c r="O2187" s="1" t="str">
        <f t="shared" si="69"/>
        <v>Mature | Low Spender | Higher</v>
      </c>
    </row>
    <row r="2188" spans="1:15" x14ac:dyDescent="0.25">
      <c r="A2188" s="1" t="s">
        <v>2218</v>
      </c>
      <c r="B2188" s="1">
        <v>19</v>
      </c>
      <c r="C2188" s="1" t="str" cm="1">
        <f t="array" ref="C2188">_xlfn.IFS(OR(B2188=" ", B2188="NA",NOT(ISNUMBER(B2188))), "Unknown",B2188&lt;18,"Underage",B2188&lt;=24,"Young Adult",B2188&lt;=34,"Early Career",B2188&lt;=44,"Mid Career",B2188&lt;=54,"Mature",B2188&lt;=65,"Pre-Senior",B2188&gt;65,"Senior")</f>
        <v>Young Adult</v>
      </c>
      <c r="D2188" s="1" t="s">
        <v>29</v>
      </c>
      <c r="E2188" s="1" t="s">
        <v>58</v>
      </c>
      <c r="F2188" s="1">
        <v>1575000</v>
      </c>
      <c r="G2188" s="1">
        <v>76</v>
      </c>
      <c r="H2188" s="1" t="str" cm="1">
        <f t="array" ref="H2188">_xlfn.IFS( OR(G2188=" ",NOT(ISNUMBER(G2188))),"Unknown",G2188&lt;=33,"Low Spender",G2188&lt;=66,"Medium Spender",TRUE, "High Spender")</f>
        <v>High Spender</v>
      </c>
      <c r="I2188" s="1">
        <v>54</v>
      </c>
      <c r="J2188" s="1">
        <v>11100</v>
      </c>
      <c r="K2188" s="1">
        <v>319</v>
      </c>
      <c r="L2188" s="1" t="s">
        <v>37</v>
      </c>
      <c r="M2188" s="1" t="s">
        <v>21</v>
      </c>
      <c r="N2188" s="1" t="str">
        <f t="shared" si="68"/>
        <v>Higher</v>
      </c>
      <c r="O2188" s="1" t="str">
        <f t="shared" si="69"/>
        <v>Young Adult | High Spender | Higher</v>
      </c>
    </row>
    <row r="2189" spans="1:15" x14ac:dyDescent="0.25">
      <c r="A2189" s="1" t="s">
        <v>2219</v>
      </c>
      <c r="B2189" s="1">
        <v>50</v>
      </c>
      <c r="C2189" s="1" t="str" cm="1">
        <f t="array" ref="C2189">_xlfn.IFS(OR(B2189=" ", B2189="NA",NOT(ISNUMBER(B2189))), "Unknown",B2189&lt;18,"Underage",B2189&lt;=24,"Young Adult",B2189&lt;=34,"Early Career",B2189&lt;=44,"Mid Career",B2189&lt;=54,"Mature",B2189&lt;=65,"Pre-Senior",B2189&gt;65,"Senior")</f>
        <v>Mature</v>
      </c>
      <c r="D2189" s="1" t="s">
        <v>12</v>
      </c>
      <c r="E2189" s="1" t="s">
        <v>15</v>
      </c>
      <c r="F2189" s="1">
        <v>600000</v>
      </c>
      <c r="G2189" s="1">
        <v>14</v>
      </c>
      <c r="H2189" s="1" t="str" cm="1">
        <f t="array" ref="H2189">_xlfn.IFS( OR(G2189=" ",NOT(ISNUMBER(G2189))),"Unknown",G2189&lt;=33,"Low Spender",G2189&lt;=66,"Medium Spender",TRUE, "High Spender")</f>
        <v>Low Spender</v>
      </c>
      <c r="I2189" s="1">
        <v>39</v>
      </c>
      <c r="J2189" s="1">
        <v>10200</v>
      </c>
      <c r="K2189" s="1">
        <v>233</v>
      </c>
      <c r="L2189" s="1" t="s">
        <v>35</v>
      </c>
      <c r="M2189" s="1" t="s">
        <v>30</v>
      </c>
      <c r="N2189" s="1" t="str">
        <f t="shared" si="68"/>
        <v>Lower</v>
      </c>
      <c r="O2189" s="1" t="str">
        <f t="shared" si="69"/>
        <v>Mature | Low Spender | Lower</v>
      </c>
    </row>
    <row r="2190" spans="1:15" x14ac:dyDescent="0.25">
      <c r="A2190" s="1" t="s">
        <v>2220</v>
      </c>
      <c r="B2190" s="1">
        <v>50</v>
      </c>
      <c r="C2190" s="1" t="str" cm="1">
        <f t="array" ref="C2190">_xlfn.IFS(OR(B2190=" ", B2190="NA",NOT(ISNUMBER(B2190))), "Unknown",B2190&lt;18,"Underage",B2190&lt;=24,"Young Adult",B2190&lt;=34,"Early Career",B2190&lt;=44,"Mid Career",B2190&lt;=54,"Mature",B2190&lt;=65,"Pre-Senior",B2190&gt;65,"Senior")</f>
        <v>Mature</v>
      </c>
      <c r="F2190" s="1">
        <v>1675000</v>
      </c>
      <c r="G2190" s="1">
        <v>46</v>
      </c>
      <c r="H2190" s="1" t="str" cm="1">
        <f t="array" ref="H2190">_xlfn.IFS( OR(G2190=" ",NOT(ISNUMBER(G2190))),"Unknown",G2190&lt;=33,"Low Spender",G2190&lt;=66,"Medium Spender",TRUE, "High Spender")</f>
        <v>Medium Spender</v>
      </c>
      <c r="I2190" s="1">
        <v>49</v>
      </c>
      <c r="J2190" s="1">
        <v>11100</v>
      </c>
      <c r="K2190" s="1">
        <v>134</v>
      </c>
      <c r="L2190" s="1" t="s">
        <v>37</v>
      </c>
      <c r="M2190" s="1" t="s">
        <v>21</v>
      </c>
      <c r="N2190" s="1" t="str">
        <f t="shared" si="68"/>
        <v>Lower</v>
      </c>
      <c r="O2190" s="1" t="str">
        <f t="shared" si="69"/>
        <v>Mature | Medium Spender | Lower</v>
      </c>
    </row>
    <row r="2191" spans="1:15" x14ac:dyDescent="0.25">
      <c r="A2191" s="1" t="s">
        <v>2221</v>
      </c>
      <c r="B2191" s="1">
        <v>58</v>
      </c>
      <c r="C2191" s="1" t="str" cm="1">
        <f t="array" ref="C2191">_xlfn.IFS(OR(B2191=" ", B2191="NA",NOT(ISNUMBER(B2191))), "Unknown",B2191&lt;18,"Underage",B2191&lt;=24,"Young Adult",B2191&lt;=34,"Early Career",B2191&lt;=44,"Mid Career",B2191&lt;=54,"Mature",B2191&lt;=65,"Pre-Senior",B2191&gt;65,"Senior")</f>
        <v>Pre-Senior</v>
      </c>
      <c r="D2191" s="1" t="s">
        <v>29</v>
      </c>
      <c r="E2191" s="1" t="s">
        <v>27</v>
      </c>
      <c r="F2191" s="1">
        <v>1925000</v>
      </c>
      <c r="G2191" s="1">
        <v>15</v>
      </c>
      <c r="H2191" s="1" t="str" cm="1">
        <f t="array" ref="H2191">_xlfn.IFS( OR(G2191=" ",NOT(ISNUMBER(G2191))),"Unknown",G2191&lt;=33,"Low Spender",G2191&lt;=66,"Medium Spender",TRUE, "High Spender")</f>
        <v>Low Spender</v>
      </c>
      <c r="I2191" s="1">
        <v>64</v>
      </c>
      <c r="J2191" s="1">
        <v>600</v>
      </c>
      <c r="K2191" s="1">
        <v>124</v>
      </c>
      <c r="L2191" s="1" t="s">
        <v>16</v>
      </c>
      <c r="N2191" s="1" t="str">
        <f t="shared" si="68"/>
        <v>Higher</v>
      </c>
      <c r="O2191" s="1" t="str">
        <f t="shared" si="69"/>
        <v>Pre-Senior | Low Spender | Higher</v>
      </c>
    </row>
    <row r="2192" spans="1:15" x14ac:dyDescent="0.25">
      <c r="A2192" s="1" t="s">
        <v>2222</v>
      </c>
      <c r="B2192" s="1">
        <v>30</v>
      </c>
      <c r="C2192" s="1" t="str" cm="1">
        <f t="array" ref="C2192">_xlfn.IFS(OR(B2192=" ", B2192="NA",NOT(ISNUMBER(B2192))), "Unknown",B2192&lt;18,"Underage",B2192&lt;=24,"Young Adult",B2192&lt;=34,"Early Career",B2192&lt;=44,"Mid Career",B2192&lt;=54,"Mature",B2192&lt;=65,"Pre-Senior",B2192&gt;65,"Senior")</f>
        <v>Early Career</v>
      </c>
      <c r="D2192" s="1" t="s">
        <v>29</v>
      </c>
      <c r="E2192" s="1" t="s">
        <v>34</v>
      </c>
      <c r="F2192" s="1">
        <v>425000</v>
      </c>
      <c r="G2192" s="1">
        <v>67</v>
      </c>
      <c r="H2192" s="1" t="str" cm="1">
        <f t="array" ref="H2192">_xlfn.IFS( OR(G2192=" ",NOT(ISNUMBER(G2192))),"Unknown",G2192&lt;=33,"Low Spender",G2192&lt;=66,"Medium Spender",TRUE, "High Spender")</f>
        <v>High Spender</v>
      </c>
      <c r="I2192" s="1">
        <v>26</v>
      </c>
      <c r="J2192" s="1">
        <v>7600</v>
      </c>
      <c r="K2192" s="1">
        <v>351</v>
      </c>
      <c r="L2192" s="1" t="s">
        <v>20</v>
      </c>
      <c r="N2192" s="1" t="str">
        <f t="shared" si="68"/>
        <v>Higher</v>
      </c>
      <c r="O2192" s="1" t="str">
        <f t="shared" si="69"/>
        <v>Early Career | High Spender | Higher</v>
      </c>
    </row>
    <row r="2193" spans="1:15" x14ac:dyDescent="0.25">
      <c r="A2193" s="1" t="s">
        <v>2223</v>
      </c>
      <c r="B2193" s="1">
        <v>47</v>
      </c>
      <c r="C2193" s="1" t="str" cm="1">
        <f t="array" ref="C2193">_xlfn.IFS(OR(B2193=" ", B2193="NA",NOT(ISNUMBER(B2193))), "Unknown",B2193&lt;18,"Underage",B2193&lt;=24,"Young Adult",B2193&lt;=34,"Early Career",B2193&lt;=44,"Mid Career",B2193&lt;=54,"Mature",B2193&lt;=65,"Pre-Senior",B2193&gt;65,"Senior")</f>
        <v>Mature</v>
      </c>
      <c r="D2193" s="1" t="s">
        <v>12</v>
      </c>
      <c r="E2193" s="1" t="s">
        <v>34</v>
      </c>
      <c r="F2193" s="1">
        <v>775000</v>
      </c>
      <c r="G2193" s="1">
        <v>15</v>
      </c>
      <c r="H2193" s="1" t="str" cm="1">
        <f t="array" ref="H2193">_xlfn.IFS( OR(G2193=" ",NOT(ISNUMBER(G2193))),"Unknown",G2193&lt;=33,"Low Spender",G2193&lt;=66,"Medium Spender",TRUE, "High Spender")</f>
        <v>Low Spender</v>
      </c>
      <c r="I2193" s="1">
        <v>71</v>
      </c>
      <c r="J2193" s="1">
        <v>11800</v>
      </c>
      <c r="K2193" s="1">
        <v>323</v>
      </c>
      <c r="L2193" s="1" t="s">
        <v>37</v>
      </c>
      <c r="N2193" s="1" t="str">
        <f t="shared" si="68"/>
        <v>Lower</v>
      </c>
      <c r="O2193" s="1" t="str">
        <f t="shared" si="69"/>
        <v>Mature | Low Spender | Lower</v>
      </c>
    </row>
    <row r="2194" spans="1:15" x14ac:dyDescent="0.25">
      <c r="A2194" s="1" t="s">
        <v>2224</v>
      </c>
      <c r="B2194" s="1">
        <v>50</v>
      </c>
      <c r="C2194" s="1" t="str" cm="1">
        <f t="array" ref="C2194">_xlfn.IFS(OR(B2194=" ", B2194="NA",NOT(ISNUMBER(B2194))), "Unknown",B2194&lt;18,"Underage",B2194&lt;=24,"Young Adult",B2194&lt;=34,"Early Career",B2194&lt;=44,"Mid Career",B2194&lt;=54,"Mature",B2194&lt;=65,"Pre-Senior",B2194&gt;65,"Senior")</f>
        <v>Mature</v>
      </c>
      <c r="F2194" s="1">
        <v>800000</v>
      </c>
      <c r="G2194" s="1">
        <v>51</v>
      </c>
      <c r="H2194" s="1" t="str" cm="1">
        <f t="array" ref="H2194">_xlfn.IFS( OR(G2194=" ",NOT(ISNUMBER(G2194))),"Unknown",G2194&lt;=33,"Low Spender",G2194&lt;=66,"Medium Spender",TRUE, "High Spender")</f>
        <v>Medium Spender</v>
      </c>
      <c r="I2194" s="1">
        <v>7</v>
      </c>
      <c r="J2194" s="1">
        <v>6700</v>
      </c>
      <c r="K2194" s="1">
        <v>353</v>
      </c>
      <c r="L2194" s="1" t="s">
        <v>16</v>
      </c>
      <c r="N2194" s="1" t="str">
        <f t="shared" si="68"/>
        <v>Lower</v>
      </c>
      <c r="O2194" s="1" t="str">
        <f t="shared" si="69"/>
        <v>Mature | Medium Spender | Lower</v>
      </c>
    </row>
    <row r="2195" spans="1:15" x14ac:dyDescent="0.25">
      <c r="A2195" s="1" t="s">
        <v>2225</v>
      </c>
      <c r="B2195" s="1">
        <v>30</v>
      </c>
      <c r="C2195" s="1" t="str" cm="1">
        <f t="array" ref="C2195">_xlfn.IFS(OR(B2195=" ", B2195="NA",NOT(ISNUMBER(B2195))), "Unknown",B2195&lt;18,"Underage",B2195&lt;=24,"Young Adult",B2195&lt;=34,"Early Career",B2195&lt;=44,"Mid Career",B2195&lt;=54,"Mature",B2195&lt;=65,"Pre-Senior",B2195&gt;65,"Senior")</f>
        <v>Early Career</v>
      </c>
      <c r="E2195" s="1" t="s">
        <v>19</v>
      </c>
      <c r="F2195" s="1">
        <v>850000</v>
      </c>
      <c r="G2195" s="1">
        <v>88</v>
      </c>
      <c r="H2195" s="1" t="str" cm="1">
        <f t="array" ref="H2195">_xlfn.IFS( OR(G2195=" ",NOT(ISNUMBER(G2195))),"Unknown",G2195&lt;=33,"Low Spender",G2195&lt;=66,"Medium Spender",TRUE, "High Spender")</f>
        <v>High Spender</v>
      </c>
      <c r="I2195" s="1">
        <v>72</v>
      </c>
      <c r="J2195" s="1">
        <v>8700</v>
      </c>
      <c r="K2195" s="1">
        <v>116</v>
      </c>
      <c r="L2195" s="1" t="s">
        <v>16</v>
      </c>
      <c r="N2195" s="1" t="str">
        <f t="shared" si="68"/>
        <v>Lower</v>
      </c>
      <c r="O2195" s="1" t="str">
        <f t="shared" si="69"/>
        <v>Early Career | High Spender | Lower</v>
      </c>
    </row>
    <row r="2196" spans="1:15" x14ac:dyDescent="0.25">
      <c r="A2196" s="1" t="s">
        <v>2226</v>
      </c>
      <c r="B2196" s="1">
        <v>69</v>
      </c>
      <c r="C2196" s="1" t="str" cm="1">
        <f t="array" ref="C2196">_xlfn.IFS(OR(B2196=" ", B2196="NA",NOT(ISNUMBER(B2196))), "Unknown",B2196&lt;18,"Underage",B2196&lt;=24,"Young Adult",B2196&lt;=34,"Early Career",B2196&lt;=44,"Mid Career",B2196&lt;=54,"Mature",B2196&lt;=65,"Pre-Senior",B2196&gt;65,"Senior")</f>
        <v>Senior</v>
      </c>
      <c r="D2196" s="1" t="s">
        <v>29</v>
      </c>
      <c r="E2196" s="1" t="s">
        <v>23</v>
      </c>
      <c r="F2196" s="1">
        <v>500000</v>
      </c>
      <c r="G2196" s="1">
        <v>8</v>
      </c>
      <c r="H2196" s="1" t="str" cm="1">
        <f t="array" ref="H2196">_xlfn.IFS( OR(G2196=" ",NOT(ISNUMBER(G2196))),"Unknown",G2196&lt;=33,"Low Spender",G2196&lt;=66,"Medium Spender",TRUE, "High Spender")</f>
        <v>Low Spender</v>
      </c>
      <c r="I2196" s="1">
        <v>62</v>
      </c>
      <c r="J2196" s="1">
        <v>4200</v>
      </c>
      <c r="K2196" s="1">
        <v>13</v>
      </c>
      <c r="L2196" s="1" t="s">
        <v>16</v>
      </c>
      <c r="M2196" s="1" t="s">
        <v>21</v>
      </c>
      <c r="N2196" s="1" t="str">
        <f t="shared" si="68"/>
        <v>Higher</v>
      </c>
      <c r="O2196" s="1" t="str">
        <f t="shared" si="69"/>
        <v>Senior | Low Spender | Higher</v>
      </c>
    </row>
    <row r="2197" spans="1:15" x14ac:dyDescent="0.25">
      <c r="A2197" s="1" t="s">
        <v>2227</v>
      </c>
      <c r="B2197" s="1">
        <v>43</v>
      </c>
      <c r="C2197" s="1" t="str" cm="1">
        <f t="array" ref="C2197">_xlfn.IFS(OR(B2197=" ", B2197="NA",NOT(ISNUMBER(B2197))), "Unknown",B2197&lt;18,"Underage",B2197&lt;=24,"Young Adult",B2197&lt;=34,"Early Career",B2197&lt;=44,"Mid Career",B2197&lt;=54,"Mature",B2197&lt;=65,"Pre-Senior",B2197&gt;65,"Senior")</f>
        <v>Mid Career</v>
      </c>
      <c r="D2197" s="1" t="s">
        <v>18</v>
      </c>
      <c r="E2197" s="1" t="s">
        <v>49</v>
      </c>
      <c r="F2197" s="1">
        <v>1275000</v>
      </c>
      <c r="G2197" s="1">
        <v>69</v>
      </c>
      <c r="H2197" s="1" t="str" cm="1">
        <f t="array" ref="H2197">_xlfn.IFS( OR(G2197=" ",NOT(ISNUMBER(G2197))),"Unknown",G2197&lt;=33,"Low Spender",G2197&lt;=66,"Medium Spender",TRUE, "High Spender")</f>
        <v>High Spender</v>
      </c>
      <c r="I2197" s="1">
        <v>24</v>
      </c>
      <c r="J2197" s="1">
        <v>10500</v>
      </c>
      <c r="K2197" s="1">
        <v>320</v>
      </c>
      <c r="M2197" s="1" t="s">
        <v>21</v>
      </c>
      <c r="N2197" s="1" t="str">
        <f t="shared" si="68"/>
        <v>Higher</v>
      </c>
      <c r="O2197" s="1" t="str">
        <f t="shared" si="69"/>
        <v>Mid Career | High Spender | Higher</v>
      </c>
    </row>
    <row r="2198" spans="1:15" x14ac:dyDescent="0.25">
      <c r="A2198" s="1" t="s">
        <v>2228</v>
      </c>
      <c r="B2198" s="1">
        <v>39</v>
      </c>
      <c r="C2198" s="1" t="str" cm="1">
        <f t="array" ref="C2198">_xlfn.IFS(OR(B2198=" ", B2198="NA",NOT(ISNUMBER(B2198))), "Unknown",B2198&lt;18,"Underage",B2198&lt;=24,"Young Adult",B2198&lt;=34,"Early Career",B2198&lt;=44,"Mid Career",B2198&lt;=54,"Mature",B2198&lt;=65,"Pre-Senior",B2198&gt;65,"Senior")</f>
        <v>Mid Career</v>
      </c>
      <c r="D2198" s="1" t="s">
        <v>29</v>
      </c>
      <c r="E2198" s="1" t="s">
        <v>49</v>
      </c>
      <c r="F2198" s="1">
        <v>150000</v>
      </c>
      <c r="G2198" s="1">
        <v>62</v>
      </c>
      <c r="H2198" s="1" t="str" cm="1">
        <f t="array" ref="H2198">_xlfn.IFS( OR(G2198=" ",NOT(ISNUMBER(G2198))),"Unknown",G2198&lt;=33,"Low Spender",G2198&lt;=66,"Medium Spender",TRUE, "High Spender")</f>
        <v>Medium Spender</v>
      </c>
      <c r="I2198" s="1">
        <v>40</v>
      </c>
      <c r="J2198" s="1">
        <v>3900</v>
      </c>
      <c r="K2198" s="1">
        <v>165</v>
      </c>
      <c r="N2198" s="1" t="str">
        <f t="shared" si="68"/>
        <v>Higher</v>
      </c>
      <c r="O2198" s="1" t="str">
        <f t="shared" si="69"/>
        <v>Mid Career | Medium Spender | Higher</v>
      </c>
    </row>
    <row r="2199" spans="1:15" x14ac:dyDescent="0.25">
      <c r="A2199" s="1" t="s">
        <v>2229</v>
      </c>
      <c r="B2199" s="1">
        <v>56</v>
      </c>
      <c r="C2199" s="1" t="str" cm="1">
        <f t="array" ref="C2199">_xlfn.IFS(OR(B2199=" ", B2199="NA",NOT(ISNUMBER(B2199))), "Unknown",B2199&lt;18,"Underage",B2199&lt;=24,"Young Adult",B2199&lt;=34,"Early Career",B2199&lt;=44,"Mid Career",B2199&lt;=54,"Mature",B2199&lt;=65,"Pre-Senior",B2199&gt;65,"Senior")</f>
        <v>Pre-Senior</v>
      </c>
      <c r="D2199" s="1" t="s">
        <v>18</v>
      </c>
      <c r="E2199" s="1" t="s">
        <v>34</v>
      </c>
      <c r="F2199" s="1">
        <v>1625000</v>
      </c>
      <c r="G2199" s="1">
        <v>51</v>
      </c>
      <c r="H2199" s="1" t="str" cm="1">
        <f t="array" ref="H2199">_xlfn.IFS( OR(G2199=" ",NOT(ISNUMBER(G2199))),"Unknown",G2199&lt;=33,"Low Spender",G2199&lt;=66,"Medium Spender",TRUE, "High Spender")</f>
        <v>Medium Spender</v>
      </c>
      <c r="I2199" s="1">
        <v>76</v>
      </c>
      <c r="J2199" s="1">
        <v>6900</v>
      </c>
      <c r="K2199" s="1">
        <v>208</v>
      </c>
      <c r="L2199" s="1" t="s">
        <v>35</v>
      </c>
      <c r="M2199" s="1" t="s">
        <v>30</v>
      </c>
      <c r="N2199" s="1" t="str">
        <f t="shared" si="68"/>
        <v>Higher</v>
      </c>
      <c r="O2199" s="1" t="str">
        <f t="shared" si="69"/>
        <v>Pre-Senior | Medium Spender | Higher</v>
      </c>
    </row>
    <row r="2200" spans="1:15" x14ac:dyDescent="0.25">
      <c r="A2200" s="1" t="s">
        <v>2230</v>
      </c>
      <c r="B2200" s="1">
        <v>19</v>
      </c>
      <c r="C2200" s="1" t="str" cm="1">
        <f t="array" ref="C2200">_xlfn.IFS(OR(B2200=" ", B2200="NA",NOT(ISNUMBER(B2200))), "Unknown",B2200&lt;18,"Underage",B2200&lt;=24,"Young Adult",B2200&lt;=34,"Early Career",B2200&lt;=44,"Mid Career",B2200&lt;=54,"Mature",B2200&lt;=65,"Pre-Senior",B2200&gt;65,"Senior")</f>
        <v>Young Adult</v>
      </c>
      <c r="F2200" s="1">
        <v>1550000</v>
      </c>
      <c r="G2200" s="1">
        <v>63</v>
      </c>
      <c r="H2200" s="1" t="str" cm="1">
        <f t="array" ref="H2200">_xlfn.IFS( OR(G2200=" ",NOT(ISNUMBER(G2200))),"Unknown",G2200&lt;=33,"Low Spender",G2200&lt;=66,"Medium Spender",TRUE, "High Spender")</f>
        <v>Medium Spender</v>
      </c>
      <c r="I2200" s="1">
        <v>47</v>
      </c>
      <c r="J2200" s="1">
        <v>11300</v>
      </c>
      <c r="K2200" s="1">
        <v>85</v>
      </c>
      <c r="L2200" s="1" t="s">
        <v>37</v>
      </c>
      <c r="M2200" s="1" t="s">
        <v>32</v>
      </c>
      <c r="N2200" s="1" t="str">
        <f t="shared" si="68"/>
        <v>Lower</v>
      </c>
      <c r="O2200" s="1" t="str">
        <f t="shared" si="69"/>
        <v>Young Adult | Medium Spender | Lower</v>
      </c>
    </row>
    <row r="2201" spans="1:15" x14ac:dyDescent="0.25">
      <c r="A2201" s="1" t="s">
        <v>2231</v>
      </c>
      <c r="B2201" s="1">
        <v>55</v>
      </c>
      <c r="C2201" s="1" t="str" cm="1">
        <f t="array" ref="C2201">_xlfn.IFS(OR(B2201=" ", B2201="NA",NOT(ISNUMBER(B2201))), "Unknown",B2201&lt;18,"Underage",B2201&lt;=24,"Young Adult",B2201&lt;=34,"Early Career",B2201&lt;=44,"Mid Career",B2201&lt;=54,"Mature",B2201&lt;=65,"Pre-Senior",B2201&gt;65,"Senior")</f>
        <v>Pre-Senior</v>
      </c>
      <c r="E2201" s="1" t="s">
        <v>58</v>
      </c>
      <c r="F2201" s="1">
        <v>200000</v>
      </c>
      <c r="G2201" s="1">
        <v>68</v>
      </c>
      <c r="H2201" s="1" t="str" cm="1">
        <f t="array" ref="H2201">_xlfn.IFS( OR(G2201=" ",NOT(ISNUMBER(G2201))),"Unknown",G2201&lt;=33,"Low Spender",G2201&lt;=66,"Medium Spender",TRUE, "High Spender")</f>
        <v>High Spender</v>
      </c>
      <c r="I2201" s="1">
        <v>8</v>
      </c>
      <c r="J2201" s="1">
        <v>3300</v>
      </c>
      <c r="K2201" s="1">
        <v>248</v>
      </c>
      <c r="M2201" s="1" t="s">
        <v>41</v>
      </c>
      <c r="N2201" s="1" t="str">
        <f t="shared" si="68"/>
        <v>Lower</v>
      </c>
      <c r="O2201" s="1" t="str">
        <f t="shared" si="69"/>
        <v>Pre-Senior | High Spender | Lower</v>
      </c>
    </row>
    <row r="2202" spans="1:15" x14ac:dyDescent="0.25">
      <c r="A2202" s="1" t="s">
        <v>2232</v>
      </c>
      <c r="B2202" s="1">
        <v>56</v>
      </c>
      <c r="C2202" s="1" t="str" cm="1">
        <f t="array" ref="C2202">_xlfn.IFS(OR(B2202=" ", B2202="NA",NOT(ISNUMBER(B2202))), "Unknown",B2202&lt;18,"Underage",B2202&lt;=24,"Young Adult",B2202&lt;=34,"Early Career",B2202&lt;=44,"Mid Career",B2202&lt;=54,"Mature",B2202&lt;=65,"Pre-Senior",B2202&gt;65,"Senior")</f>
        <v>Pre-Senior</v>
      </c>
      <c r="D2202" s="1" t="s">
        <v>18</v>
      </c>
      <c r="F2202" s="1">
        <v>575000</v>
      </c>
      <c r="G2202" s="1">
        <v>78</v>
      </c>
      <c r="H2202" s="1" t="str" cm="1">
        <f t="array" ref="H2202">_xlfn.IFS( OR(G2202=" ",NOT(ISNUMBER(G2202))),"Unknown",G2202&lt;=33,"Low Spender",G2202&lt;=66,"Medium Spender",TRUE, "High Spender")</f>
        <v>High Spender</v>
      </c>
      <c r="I2202" s="1">
        <v>54</v>
      </c>
      <c r="J2202" s="1">
        <v>9300</v>
      </c>
      <c r="K2202" s="1">
        <v>56</v>
      </c>
      <c r="N2202" s="1" t="str">
        <f t="shared" si="68"/>
        <v>Higher</v>
      </c>
      <c r="O2202" s="1" t="str">
        <f t="shared" si="69"/>
        <v>Pre-Senior | High Spender | Higher</v>
      </c>
    </row>
    <row r="2203" spans="1:15" x14ac:dyDescent="0.25">
      <c r="A2203" s="1" t="s">
        <v>2233</v>
      </c>
      <c r="B2203" s="1">
        <v>43</v>
      </c>
      <c r="C2203" s="1" t="str" cm="1">
        <f t="array" ref="C2203">_xlfn.IFS(OR(B2203=" ", B2203="NA",NOT(ISNUMBER(B2203))), "Unknown",B2203&lt;18,"Underage",B2203&lt;=24,"Young Adult",B2203&lt;=34,"Early Career",B2203&lt;=44,"Mid Career",B2203&lt;=54,"Mature",B2203&lt;=65,"Pre-Senior",B2203&gt;65,"Senior")</f>
        <v>Mid Career</v>
      </c>
      <c r="E2203" s="1" t="s">
        <v>34</v>
      </c>
      <c r="F2203" s="1">
        <v>1425000</v>
      </c>
      <c r="G2203" s="1">
        <v>16</v>
      </c>
      <c r="H2203" s="1" t="str" cm="1">
        <f t="array" ref="H2203">_xlfn.IFS( OR(G2203=" ",NOT(ISNUMBER(G2203))),"Unknown",G2203&lt;=33,"Low Spender",G2203&lt;=66,"Medium Spender",TRUE, "High Spender")</f>
        <v>Low Spender</v>
      </c>
      <c r="I2203" s="1">
        <v>9</v>
      </c>
      <c r="J2203" s="1">
        <v>8300</v>
      </c>
      <c r="K2203" s="1">
        <v>172</v>
      </c>
      <c r="L2203" s="1" t="s">
        <v>37</v>
      </c>
      <c r="M2203" s="1" t="s">
        <v>21</v>
      </c>
      <c r="N2203" s="1" t="str">
        <f t="shared" si="68"/>
        <v>Lower</v>
      </c>
      <c r="O2203" s="1" t="str">
        <f t="shared" si="69"/>
        <v>Mid Career | Low Spender | Lower</v>
      </c>
    </row>
    <row r="2204" spans="1:15" x14ac:dyDescent="0.25">
      <c r="A2204" s="1" t="s">
        <v>2234</v>
      </c>
      <c r="B2204" s="1">
        <v>63</v>
      </c>
      <c r="C2204" s="1" t="str" cm="1">
        <f t="array" ref="C2204">_xlfn.IFS(OR(B2204=" ", B2204="NA",NOT(ISNUMBER(B2204))), "Unknown",B2204&lt;18,"Underage",B2204&lt;=24,"Young Adult",B2204&lt;=34,"Early Career",B2204&lt;=44,"Mid Career",B2204&lt;=54,"Mature",B2204&lt;=65,"Pre-Senior",B2204&gt;65,"Senior")</f>
        <v>Pre-Senior</v>
      </c>
      <c r="D2204" s="1" t="s">
        <v>29</v>
      </c>
      <c r="F2204" s="1">
        <v>1625000</v>
      </c>
      <c r="G2204" s="1">
        <v>84</v>
      </c>
      <c r="H2204" s="1" t="str" cm="1">
        <f t="array" ref="H2204">_xlfn.IFS( OR(G2204=" ",NOT(ISNUMBER(G2204))),"Unknown",G2204&lt;=33,"Low Spender",G2204&lt;=66,"Medium Spender",TRUE, "High Spender")</f>
        <v>High Spender</v>
      </c>
      <c r="I2204" s="1">
        <v>3</v>
      </c>
      <c r="J2204" s="1">
        <v>8900</v>
      </c>
      <c r="K2204" s="1">
        <v>141</v>
      </c>
      <c r="M2204" s="1" t="s">
        <v>41</v>
      </c>
      <c r="N2204" s="1" t="str">
        <f t="shared" si="68"/>
        <v>Higher</v>
      </c>
      <c r="O2204" s="1" t="str">
        <f t="shared" si="69"/>
        <v>Pre-Senior | High Spender | Higher</v>
      </c>
    </row>
    <row r="2205" spans="1:15" x14ac:dyDescent="0.25">
      <c r="A2205" s="1" t="s">
        <v>2235</v>
      </c>
      <c r="B2205" s="1">
        <v>67</v>
      </c>
      <c r="C2205" s="1" t="str" cm="1">
        <f t="array" ref="C2205">_xlfn.IFS(OR(B2205=" ", B2205="NA",NOT(ISNUMBER(B2205))), "Unknown",B2205&lt;18,"Underage",B2205&lt;=24,"Young Adult",B2205&lt;=34,"Early Career",B2205&lt;=44,"Mid Career",B2205&lt;=54,"Mature",B2205&lt;=65,"Pre-Senior",B2205&gt;65,"Senior")</f>
        <v>Senior</v>
      </c>
      <c r="D2205" s="1" t="s">
        <v>18</v>
      </c>
      <c r="E2205" s="1" t="s">
        <v>27</v>
      </c>
      <c r="F2205" s="1">
        <v>975000</v>
      </c>
      <c r="G2205" s="1">
        <v>24</v>
      </c>
      <c r="H2205" s="1" t="str" cm="1">
        <f t="array" ref="H2205">_xlfn.IFS( OR(G2205=" ",NOT(ISNUMBER(G2205))),"Unknown",G2205&lt;=33,"Low Spender",G2205&lt;=66,"Medium Spender",TRUE, "High Spender")</f>
        <v>Low Spender</v>
      </c>
      <c r="I2205" s="1">
        <v>54</v>
      </c>
      <c r="J2205" s="1">
        <v>7900</v>
      </c>
      <c r="K2205" s="1">
        <v>132</v>
      </c>
      <c r="M2205" s="1" t="s">
        <v>21</v>
      </c>
      <c r="N2205" s="1" t="str">
        <f t="shared" si="68"/>
        <v>Higher</v>
      </c>
      <c r="O2205" s="1" t="str">
        <f t="shared" si="69"/>
        <v>Senior | Low Spender | Higher</v>
      </c>
    </row>
    <row r="2206" spans="1:15" x14ac:dyDescent="0.25">
      <c r="A2206" s="1" t="s">
        <v>2236</v>
      </c>
      <c r="B2206" s="1">
        <v>32</v>
      </c>
      <c r="C2206" s="1" t="str" cm="1">
        <f t="array" ref="C2206">_xlfn.IFS(OR(B2206=" ", B2206="NA",NOT(ISNUMBER(B2206))), "Unknown",B2206&lt;18,"Underage",B2206&lt;=24,"Young Adult",B2206&lt;=34,"Early Career",B2206&lt;=44,"Mid Career",B2206&lt;=54,"Mature",B2206&lt;=65,"Pre-Senior",B2206&gt;65,"Senior")</f>
        <v>Early Career</v>
      </c>
      <c r="F2206" s="1">
        <v>1625000</v>
      </c>
      <c r="G2206" s="1">
        <v>6</v>
      </c>
      <c r="H2206" s="1" t="str" cm="1">
        <f t="array" ref="H2206">_xlfn.IFS( OR(G2206=" ",NOT(ISNUMBER(G2206))),"Unknown",G2206&lt;=33,"Low Spender",G2206&lt;=66,"Medium Spender",TRUE, "High Spender")</f>
        <v>Low Spender</v>
      </c>
      <c r="I2206" s="1">
        <v>21</v>
      </c>
      <c r="J2206" s="1">
        <v>4900</v>
      </c>
      <c r="K2206" s="1">
        <v>201</v>
      </c>
      <c r="L2206" s="1" t="s">
        <v>35</v>
      </c>
      <c r="M2206" s="1" t="s">
        <v>32</v>
      </c>
      <c r="N2206" s="1" t="str">
        <f t="shared" si="68"/>
        <v>Lower</v>
      </c>
      <c r="O2206" s="1" t="str">
        <f t="shared" si="69"/>
        <v>Early Career | Low Spender | Lower</v>
      </c>
    </row>
    <row r="2207" spans="1:15" x14ac:dyDescent="0.25">
      <c r="A2207" s="1" t="s">
        <v>2237</v>
      </c>
      <c r="B2207" s="1">
        <v>51</v>
      </c>
      <c r="C2207" s="1" t="str" cm="1">
        <f t="array" ref="C2207">_xlfn.IFS(OR(B2207=" ", B2207="NA",NOT(ISNUMBER(B2207))), "Unknown",B2207&lt;18,"Underage",B2207&lt;=24,"Young Adult",B2207&lt;=34,"Early Career",B2207&lt;=44,"Mid Career",B2207&lt;=54,"Mature",B2207&lt;=65,"Pre-Senior",B2207&gt;65,"Senior")</f>
        <v>Mature</v>
      </c>
      <c r="D2207" s="1" t="s">
        <v>18</v>
      </c>
      <c r="F2207" s="1">
        <v>775000</v>
      </c>
      <c r="G2207" s="1">
        <v>57</v>
      </c>
      <c r="H2207" s="1" t="str" cm="1">
        <f t="array" ref="H2207">_xlfn.IFS( OR(G2207=" ",NOT(ISNUMBER(G2207))),"Unknown",G2207&lt;=33,"Low Spender",G2207&lt;=66,"Medium Spender",TRUE, "High Spender")</f>
        <v>Medium Spender</v>
      </c>
      <c r="I2207" s="1">
        <v>48</v>
      </c>
      <c r="J2207" s="1">
        <v>2900</v>
      </c>
      <c r="K2207" s="1">
        <v>289</v>
      </c>
      <c r="L2207" s="1" t="s">
        <v>16</v>
      </c>
      <c r="M2207" s="1" t="s">
        <v>32</v>
      </c>
      <c r="N2207" s="1" t="str">
        <f t="shared" si="68"/>
        <v>Higher</v>
      </c>
      <c r="O2207" s="1" t="str">
        <f t="shared" si="69"/>
        <v>Mature | Medium Spender | Higher</v>
      </c>
    </row>
    <row r="2208" spans="1:15" x14ac:dyDescent="0.25">
      <c r="A2208" s="1" t="s">
        <v>2238</v>
      </c>
      <c r="B2208" s="1">
        <v>59</v>
      </c>
      <c r="C2208" s="1" t="str" cm="1">
        <f t="array" ref="C2208">_xlfn.IFS(OR(B2208=" ", B2208="NA",NOT(ISNUMBER(B2208))), "Unknown",B2208&lt;18,"Underage",B2208&lt;=24,"Young Adult",B2208&lt;=34,"Early Career",B2208&lt;=44,"Mid Career",B2208&lt;=54,"Mature",B2208&lt;=65,"Pre-Senior",B2208&gt;65,"Senior")</f>
        <v>Pre-Senior</v>
      </c>
      <c r="D2208" s="1" t="s">
        <v>18</v>
      </c>
      <c r="F2208" s="1">
        <v>1925000</v>
      </c>
      <c r="G2208" s="1">
        <v>31</v>
      </c>
      <c r="H2208" s="1" t="str" cm="1">
        <f t="array" ref="H2208">_xlfn.IFS( OR(G2208=" ",NOT(ISNUMBER(G2208))),"Unknown",G2208&lt;=33,"Low Spender",G2208&lt;=66,"Medium Spender",TRUE, "High Spender")</f>
        <v>Low Spender</v>
      </c>
      <c r="I2208" s="1">
        <v>47</v>
      </c>
      <c r="J2208" s="1">
        <v>5300</v>
      </c>
      <c r="K2208" s="1">
        <v>309</v>
      </c>
      <c r="N2208" s="1" t="str">
        <f t="shared" si="68"/>
        <v>Higher</v>
      </c>
      <c r="O2208" s="1" t="str">
        <f t="shared" si="69"/>
        <v>Pre-Senior | Low Spender | Higher</v>
      </c>
    </row>
    <row r="2209" spans="1:15" x14ac:dyDescent="0.25">
      <c r="A2209" s="1" t="s">
        <v>2239</v>
      </c>
      <c r="B2209" s="1" t="s">
        <v>73</v>
      </c>
      <c r="C2209" s="1" t="str" cm="1">
        <f t="array" ref="C2209">_xlfn.IFS(OR(B2209=" ", B2209="NA",NOT(ISNUMBER(B2209))), "Unknown",B2209&lt;18,"Underage",B2209&lt;=24,"Young Adult",B2209&lt;=34,"Early Career",B2209&lt;=44,"Mid Career",B2209&lt;=54,"Mature",B2209&lt;=65,"Pre-Senior",B2209&gt;65,"Senior")</f>
        <v>Unknown</v>
      </c>
      <c r="D2209" s="1" t="s">
        <v>29</v>
      </c>
      <c r="E2209" s="1" t="s">
        <v>58</v>
      </c>
      <c r="F2209" s="1">
        <v>600000</v>
      </c>
      <c r="G2209" s="1">
        <v>6</v>
      </c>
      <c r="H2209" s="1" t="str" cm="1">
        <f t="array" ref="H2209">_xlfn.IFS( OR(G2209=" ",NOT(ISNUMBER(G2209))),"Unknown",G2209&lt;=33,"Low Spender",G2209&lt;=66,"Medium Spender",TRUE, "High Spender")</f>
        <v>Low Spender</v>
      </c>
      <c r="I2209" s="1">
        <v>68</v>
      </c>
      <c r="J2209" s="1">
        <v>2200</v>
      </c>
      <c r="K2209" s="1">
        <v>357</v>
      </c>
      <c r="M2209" s="1" t="s">
        <v>41</v>
      </c>
      <c r="N2209" s="1" t="str">
        <f t="shared" si="68"/>
        <v>Higher</v>
      </c>
      <c r="O2209" s="1" t="str">
        <f t="shared" si="69"/>
        <v>Unknown | Low Spender | Higher</v>
      </c>
    </row>
    <row r="2210" spans="1:15" x14ac:dyDescent="0.25">
      <c r="A2210" s="1" t="s">
        <v>2240</v>
      </c>
      <c r="B2210" s="1">
        <v>61</v>
      </c>
      <c r="C2210" s="1" t="str" cm="1">
        <f t="array" ref="C2210">_xlfn.IFS(OR(B2210=" ", B2210="NA",NOT(ISNUMBER(B2210))), "Unknown",B2210&lt;18,"Underage",B2210&lt;=24,"Young Adult",B2210&lt;=34,"Early Career",B2210&lt;=44,"Mid Career",B2210&lt;=54,"Mature",B2210&lt;=65,"Pre-Senior",B2210&gt;65,"Senior")</f>
        <v>Pre-Senior</v>
      </c>
      <c r="D2210" s="1" t="s">
        <v>29</v>
      </c>
      <c r="E2210" s="1" t="s">
        <v>27</v>
      </c>
      <c r="F2210" s="1">
        <v>675000</v>
      </c>
      <c r="G2210" s="1">
        <v>99</v>
      </c>
      <c r="H2210" s="1" t="str" cm="1">
        <f t="array" ref="H2210">_xlfn.IFS( OR(G2210=" ",NOT(ISNUMBER(G2210))),"Unknown",G2210&lt;=33,"Low Spender",G2210&lt;=66,"Medium Spender",TRUE, "High Spender")</f>
        <v>High Spender</v>
      </c>
      <c r="I2210" s="1">
        <v>63</v>
      </c>
      <c r="J2210" s="1">
        <v>11200</v>
      </c>
      <c r="K2210" s="1">
        <v>345</v>
      </c>
      <c r="L2210" s="1" t="s">
        <v>37</v>
      </c>
      <c r="N2210" s="1" t="str">
        <f t="shared" si="68"/>
        <v>Higher</v>
      </c>
      <c r="O2210" s="1" t="str">
        <f t="shared" si="69"/>
        <v>Pre-Senior | High Spender | Higher</v>
      </c>
    </row>
    <row r="2211" spans="1:15" x14ac:dyDescent="0.25">
      <c r="A2211" s="1" t="s">
        <v>2241</v>
      </c>
      <c r="B2211" s="1">
        <v>66</v>
      </c>
      <c r="C2211" s="1" t="str" cm="1">
        <f t="array" ref="C2211">_xlfn.IFS(OR(B2211=" ", B2211="NA",NOT(ISNUMBER(B2211))), "Unknown",B2211&lt;18,"Underage",B2211&lt;=24,"Young Adult",B2211&lt;=34,"Early Career",B2211&lt;=44,"Mid Career",B2211&lt;=54,"Mature",B2211&lt;=65,"Pre-Senior",B2211&gt;65,"Senior")</f>
        <v>Senior</v>
      </c>
      <c r="D2211" s="1" t="s">
        <v>12</v>
      </c>
      <c r="E2211" s="1" t="s">
        <v>23</v>
      </c>
      <c r="F2211" s="1">
        <v>950000</v>
      </c>
      <c r="G2211" s="1">
        <v>79</v>
      </c>
      <c r="H2211" s="1" t="str" cm="1">
        <f t="array" ref="H2211">_xlfn.IFS( OR(G2211=" ",NOT(ISNUMBER(G2211))),"Unknown",G2211&lt;=33,"Low Spender",G2211&lt;=66,"Medium Spender",TRUE, "High Spender")</f>
        <v>High Spender</v>
      </c>
      <c r="I2211" s="1">
        <v>16</v>
      </c>
      <c r="J2211" s="1">
        <v>11900</v>
      </c>
      <c r="K2211" s="1">
        <v>179</v>
      </c>
      <c r="L2211" s="1" t="s">
        <v>16</v>
      </c>
      <c r="M2211" s="1" t="s">
        <v>41</v>
      </c>
      <c r="N2211" s="1" t="str">
        <f t="shared" si="68"/>
        <v>Lower</v>
      </c>
      <c r="O2211" s="1" t="str">
        <f t="shared" si="69"/>
        <v>Senior | High Spender | Lower</v>
      </c>
    </row>
    <row r="2212" spans="1:15" x14ac:dyDescent="0.25">
      <c r="A2212" s="1" t="s">
        <v>2242</v>
      </c>
      <c r="B2212" s="1">
        <v>57</v>
      </c>
      <c r="C2212" s="1" t="str" cm="1">
        <f t="array" ref="C2212">_xlfn.IFS(OR(B2212=" ", B2212="NA",NOT(ISNUMBER(B2212))), "Unknown",B2212&lt;18,"Underage",B2212&lt;=24,"Young Adult",B2212&lt;=34,"Early Career",B2212&lt;=44,"Mid Career",B2212&lt;=54,"Mature",B2212&lt;=65,"Pre-Senior",B2212&gt;65,"Senior")</f>
        <v>Pre-Senior</v>
      </c>
      <c r="D2212" s="1" t="s">
        <v>18</v>
      </c>
      <c r="E2212" s="1" t="s">
        <v>19</v>
      </c>
      <c r="F2212" s="1">
        <v>1075000</v>
      </c>
      <c r="G2212" s="1">
        <v>29</v>
      </c>
      <c r="H2212" s="1" t="str" cm="1">
        <f t="array" ref="H2212">_xlfn.IFS( OR(G2212=" ",NOT(ISNUMBER(G2212))),"Unknown",G2212&lt;=33,"Low Spender",G2212&lt;=66,"Medium Spender",TRUE, "High Spender")</f>
        <v>Low Spender</v>
      </c>
      <c r="I2212" s="1">
        <v>74</v>
      </c>
      <c r="J2212" s="1">
        <v>1500</v>
      </c>
      <c r="K2212" s="1">
        <v>29</v>
      </c>
      <c r="L2212" s="1" t="s">
        <v>35</v>
      </c>
      <c r="N2212" s="1" t="str">
        <f t="shared" si="68"/>
        <v>Higher</v>
      </c>
      <c r="O2212" s="1" t="str">
        <f t="shared" si="69"/>
        <v>Pre-Senior | Low Spender | Higher</v>
      </c>
    </row>
    <row r="2213" spans="1:15" x14ac:dyDescent="0.25">
      <c r="A2213" s="1" t="s">
        <v>2243</v>
      </c>
      <c r="B2213" s="1">
        <v>28</v>
      </c>
      <c r="C2213" s="1" t="str" cm="1">
        <f t="array" ref="C2213">_xlfn.IFS(OR(B2213=" ", B2213="NA",NOT(ISNUMBER(B2213))), "Unknown",B2213&lt;18,"Underage",B2213&lt;=24,"Young Adult",B2213&lt;=34,"Early Career",B2213&lt;=44,"Mid Career",B2213&lt;=54,"Mature",B2213&lt;=65,"Pre-Senior",B2213&gt;65,"Senior")</f>
        <v>Early Career</v>
      </c>
      <c r="D2213" s="1" t="s">
        <v>18</v>
      </c>
      <c r="E2213" s="1" t="s">
        <v>27</v>
      </c>
      <c r="F2213" s="1">
        <v>1000000</v>
      </c>
      <c r="G2213" s="1">
        <v>67</v>
      </c>
      <c r="H2213" s="1" t="str" cm="1">
        <f t="array" ref="H2213">_xlfn.IFS( OR(G2213=" ",NOT(ISNUMBER(G2213))),"Unknown",G2213&lt;=33,"Low Spender",G2213&lt;=66,"Medium Spender",TRUE, "High Spender")</f>
        <v>High Spender</v>
      </c>
      <c r="I2213" s="1">
        <v>5</v>
      </c>
      <c r="J2213" s="1">
        <v>6500</v>
      </c>
      <c r="K2213" s="1">
        <v>307</v>
      </c>
      <c r="L2213" s="1" t="s">
        <v>37</v>
      </c>
      <c r="M2213" s="1" t="s">
        <v>32</v>
      </c>
      <c r="N2213" s="1" t="str">
        <f t="shared" si="68"/>
        <v>Higher</v>
      </c>
      <c r="O2213" s="1" t="str">
        <f t="shared" si="69"/>
        <v>Early Career | High Spender | Higher</v>
      </c>
    </row>
    <row r="2214" spans="1:15" x14ac:dyDescent="0.25">
      <c r="A2214" s="1" t="s">
        <v>2244</v>
      </c>
      <c r="B2214" s="1">
        <v>20</v>
      </c>
      <c r="C2214" s="1" t="str" cm="1">
        <f t="array" ref="C2214">_xlfn.IFS(OR(B2214=" ", B2214="NA",NOT(ISNUMBER(B2214))), "Unknown",B2214&lt;18,"Underage",B2214&lt;=24,"Young Adult",B2214&lt;=34,"Early Career",B2214&lt;=44,"Mid Career",B2214&lt;=54,"Mature",B2214&lt;=65,"Pre-Senior",B2214&gt;65,"Senior")</f>
        <v>Young Adult</v>
      </c>
      <c r="D2214" s="1" t="s">
        <v>12</v>
      </c>
      <c r="E2214" s="1" t="s">
        <v>13</v>
      </c>
      <c r="F2214" s="1">
        <v>1800000</v>
      </c>
      <c r="G2214" s="1">
        <v>75</v>
      </c>
      <c r="H2214" s="1" t="str" cm="1">
        <f t="array" ref="H2214">_xlfn.IFS( OR(G2214=" ",NOT(ISNUMBER(G2214))),"Unknown",G2214&lt;=33,"Low Spender",G2214&lt;=66,"Medium Spender",TRUE, "High Spender")</f>
        <v>High Spender</v>
      </c>
      <c r="I2214" s="1">
        <v>11</v>
      </c>
      <c r="J2214" s="1">
        <v>4600</v>
      </c>
      <c r="K2214" s="1">
        <v>306</v>
      </c>
      <c r="L2214" s="1" t="s">
        <v>20</v>
      </c>
      <c r="M2214" s="1" t="s">
        <v>21</v>
      </c>
      <c r="N2214" s="1" t="str">
        <f t="shared" si="68"/>
        <v>Lower</v>
      </c>
      <c r="O2214" s="1" t="str">
        <f t="shared" si="69"/>
        <v>Young Adult | High Spender | Lower</v>
      </c>
    </row>
    <row r="2215" spans="1:15" x14ac:dyDescent="0.25">
      <c r="A2215" s="1" t="s">
        <v>2245</v>
      </c>
      <c r="B2215" s="1">
        <v>23</v>
      </c>
      <c r="C2215" s="1" t="str" cm="1">
        <f t="array" ref="C2215">_xlfn.IFS(OR(B2215=" ", B2215="NA",NOT(ISNUMBER(B2215))), "Unknown",B2215&lt;18,"Underage",B2215&lt;=24,"Young Adult",B2215&lt;=34,"Early Career",B2215&lt;=44,"Mid Career",B2215&lt;=54,"Mature",B2215&lt;=65,"Pre-Senior",B2215&gt;65,"Senior")</f>
        <v>Young Adult</v>
      </c>
      <c r="D2215" s="1" t="s">
        <v>12</v>
      </c>
      <c r="E2215" s="1" t="s">
        <v>15</v>
      </c>
      <c r="F2215" s="1">
        <v>375000</v>
      </c>
      <c r="G2215" s="1">
        <v>3</v>
      </c>
      <c r="H2215" s="1" t="str" cm="1">
        <f t="array" ref="H2215">_xlfn.IFS( OR(G2215=" ",NOT(ISNUMBER(G2215))),"Unknown",G2215&lt;=33,"Low Spender",G2215&lt;=66,"Medium Spender",TRUE, "High Spender")</f>
        <v>Low Spender</v>
      </c>
      <c r="I2215" s="1">
        <v>29</v>
      </c>
      <c r="J2215" s="1">
        <v>2600</v>
      </c>
      <c r="K2215" s="1">
        <v>36</v>
      </c>
      <c r="L2215" s="1" t="s">
        <v>20</v>
      </c>
      <c r="N2215" s="1" t="str">
        <f t="shared" si="68"/>
        <v>Lower</v>
      </c>
      <c r="O2215" s="1" t="str">
        <f t="shared" si="69"/>
        <v>Young Adult | Low Spender | Lower</v>
      </c>
    </row>
    <row r="2216" spans="1:15" x14ac:dyDescent="0.25">
      <c r="A2216" s="1" t="s">
        <v>2246</v>
      </c>
      <c r="B2216" s="1">
        <v>26</v>
      </c>
      <c r="C2216" s="1" t="str" cm="1">
        <f t="array" ref="C2216">_xlfn.IFS(OR(B2216=" ", B2216="NA",NOT(ISNUMBER(B2216))), "Unknown",B2216&lt;18,"Underage",B2216&lt;=24,"Young Adult",B2216&lt;=34,"Early Career",B2216&lt;=44,"Mid Career",B2216&lt;=54,"Mature",B2216&lt;=65,"Pre-Senior",B2216&gt;65,"Senior")</f>
        <v>Early Career</v>
      </c>
      <c r="E2216" s="1" t="s">
        <v>34</v>
      </c>
      <c r="F2216" s="1">
        <v>500000</v>
      </c>
      <c r="G2216" s="1">
        <v>28</v>
      </c>
      <c r="H2216" s="1" t="str" cm="1">
        <f t="array" ref="H2216">_xlfn.IFS( OR(G2216=" ",NOT(ISNUMBER(G2216))),"Unknown",G2216&lt;=33,"Low Spender",G2216&lt;=66,"Medium Spender",TRUE, "High Spender")</f>
        <v>Low Spender</v>
      </c>
      <c r="I2216" s="1">
        <v>79</v>
      </c>
      <c r="K2216" s="1">
        <v>109</v>
      </c>
      <c r="L2216" s="1" t="s">
        <v>20</v>
      </c>
      <c r="N2216" s="1" t="str">
        <f t="shared" si="68"/>
        <v>Lower</v>
      </c>
      <c r="O2216" s="1" t="str">
        <f t="shared" si="69"/>
        <v>Early Career | Low Spender | Lower</v>
      </c>
    </row>
    <row r="2217" spans="1:15" x14ac:dyDescent="0.25">
      <c r="A2217" s="1" t="s">
        <v>2247</v>
      </c>
      <c r="B2217" s="1">
        <v>23</v>
      </c>
      <c r="C2217" s="1" t="str" cm="1">
        <f t="array" ref="C2217">_xlfn.IFS(OR(B2217=" ", B2217="NA",NOT(ISNUMBER(B2217))), "Unknown",B2217&lt;18,"Underage",B2217&lt;=24,"Young Adult",B2217&lt;=34,"Early Career",B2217&lt;=44,"Mid Career",B2217&lt;=54,"Mature",B2217&lt;=65,"Pre-Senior",B2217&gt;65,"Senior")</f>
        <v>Young Adult</v>
      </c>
      <c r="E2217" s="1" t="s">
        <v>13</v>
      </c>
      <c r="F2217" s="1">
        <v>400000</v>
      </c>
      <c r="G2217" s="1">
        <v>74</v>
      </c>
      <c r="H2217" s="1" t="str" cm="1">
        <f t="array" ref="H2217">_xlfn.IFS( OR(G2217=" ",NOT(ISNUMBER(G2217))),"Unknown",G2217&lt;=33,"Low Spender",G2217&lt;=66,"Medium Spender",TRUE, "High Spender")</f>
        <v>High Spender</v>
      </c>
      <c r="I2217" s="1">
        <v>70</v>
      </c>
      <c r="J2217" s="1">
        <v>10700</v>
      </c>
      <c r="K2217" s="1">
        <v>316</v>
      </c>
      <c r="L2217" s="1" t="s">
        <v>35</v>
      </c>
      <c r="N2217" s="1" t="str">
        <f t="shared" si="68"/>
        <v>Lower</v>
      </c>
      <c r="O2217" s="1" t="str">
        <f t="shared" si="69"/>
        <v>Young Adult | High Spender | Lower</v>
      </c>
    </row>
    <row r="2218" spans="1:15" x14ac:dyDescent="0.25">
      <c r="A2218" s="1" t="s">
        <v>2248</v>
      </c>
      <c r="B2218" s="1">
        <v>26</v>
      </c>
      <c r="C2218" s="1" t="str" cm="1">
        <f t="array" ref="C2218">_xlfn.IFS(OR(B2218=" ", B2218="NA",NOT(ISNUMBER(B2218))), "Unknown",B2218&lt;18,"Underage",B2218&lt;=24,"Young Adult",B2218&lt;=34,"Early Career",B2218&lt;=44,"Mid Career",B2218&lt;=54,"Mature",B2218&lt;=65,"Pre-Senior",B2218&gt;65,"Senior")</f>
        <v>Early Career</v>
      </c>
      <c r="D2218" s="1" t="s">
        <v>18</v>
      </c>
      <c r="E2218" s="1" t="s">
        <v>58</v>
      </c>
      <c r="F2218" s="1">
        <v>725000</v>
      </c>
      <c r="G2218" s="1">
        <v>97</v>
      </c>
      <c r="H2218" s="1" t="str" cm="1">
        <f t="array" ref="H2218">_xlfn.IFS( OR(G2218=" ",NOT(ISNUMBER(G2218))),"Unknown",G2218&lt;=33,"Low Spender",G2218&lt;=66,"Medium Spender",TRUE, "High Spender")</f>
        <v>High Spender</v>
      </c>
      <c r="I2218" s="1">
        <v>48</v>
      </c>
      <c r="J2218" s="1">
        <v>500</v>
      </c>
      <c r="K2218" s="1">
        <v>146</v>
      </c>
      <c r="L2218" s="1" t="s">
        <v>20</v>
      </c>
      <c r="M2218" s="1" t="s">
        <v>30</v>
      </c>
      <c r="N2218" s="1" t="str">
        <f t="shared" si="68"/>
        <v>Higher</v>
      </c>
      <c r="O2218" s="1" t="str">
        <f t="shared" si="69"/>
        <v>Early Career | High Spender | Higher</v>
      </c>
    </row>
    <row r="2219" spans="1:15" x14ac:dyDescent="0.25">
      <c r="A2219" s="1" t="s">
        <v>2249</v>
      </c>
      <c r="B2219" s="1">
        <v>56</v>
      </c>
      <c r="C2219" s="1" t="str" cm="1">
        <f t="array" ref="C2219">_xlfn.IFS(OR(B2219=" ", B2219="NA",NOT(ISNUMBER(B2219))), "Unknown",B2219&lt;18,"Underage",B2219&lt;=24,"Young Adult",B2219&lt;=34,"Early Career",B2219&lt;=44,"Mid Career",B2219&lt;=54,"Mature",B2219&lt;=65,"Pre-Senior",B2219&gt;65,"Senior")</f>
        <v>Pre-Senior</v>
      </c>
      <c r="D2219" s="1" t="s">
        <v>12</v>
      </c>
      <c r="E2219" s="1" t="s">
        <v>13</v>
      </c>
      <c r="F2219" s="1" t="s">
        <v>25</v>
      </c>
      <c r="G2219" s="1">
        <v>48</v>
      </c>
      <c r="H2219" s="1" t="str" cm="1">
        <f t="array" ref="H2219">_xlfn.IFS( OR(G2219=" ",NOT(ISNUMBER(G2219))),"Unknown",G2219&lt;=33,"Low Spender",G2219&lt;=66,"Medium Spender",TRUE, "High Spender")</f>
        <v>Medium Spender</v>
      </c>
      <c r="I2219" s="1">
        <v>15</v>
      </c>
      <c r="J2219" s="1">
        <v>10900</v>
      </c>
      <c r="K2219" s="1">
        <v>276</v>
      </c>
      <c r="M2219" s="1" t="s">
        <v>32</v>
      </c>
      <c r="N2219" s="1" t="str">
        <f t="shared" si="68"/>
        <v>Lower</v>
      </c>
      <c r="O2219" s="1" t="str">
        <f t="shared" si="69"/>
        <v>Pre-Senior | Medium Spender | Lower</v>
      </c>
    </row>
    <row r="2220" spans="1:15" x14ac:dyDescent="0.25">
      <c r="A2220" s="1" t="s">
        <v>2250</v>
      </c>
      <c r="B2220" s="1">
        <v>48</v>
      </c>
      <c r="C2220" s="1" t="str" cm="1">
        <f t="array" ref="C2220">_xlfn.IFS(OR(B2220=" ", B2220="NA",NOT(ISNUMBER(B2220))), "Unknown",B2220&lt;18,"Underage",B2220&lt;=24,"Young Adult",B2220&lt;=34,"Early Career",B2220&lt;=44,"Mid Career",B2220&lt;=54,"Mature",B2220&lt;=65,"Pre-Senior",B2220&gt;65,"Senior")</f>
        <v>Mature</v>
      </c>
      <c r="D2220" s="1" t="s">
        <v>29</v>
      </c>
      <c r="F2220" s="1">
        <v>225000</v>
      </c>
      <c r="G2220" s="1">
        <v>80</v>
      </c>
      <c r="H2220" s="1" t="str" cm="1">
        <f t="array" ref="H2220">_xlfn.IFS( OR(G2220=" ",NOT(ISNUMBER(G2220))),"Unknown",G2220&lt;=33,"Low Spender",G2220&lt;=66,"Medium Spender",TRUE, "High Spender")</f>
        <v>High Spender</v>
      </c>
      <c r="I2220" s="1">
        <v>34</v>
      </c>
      <c r="J2220" s="1">
        <v>1200</v>
      </c>
      <c r="K2220" s="1">
        <v>146</v>
      </c>
      <c r="L2220" s="1" t="s">
        <v>37</v>
      </c>
      <c r="N2220" s="1" t="str">
        <f t="shared" si="68"/>
        <v>Higher</v>
      </c>
      <c r="O2220" s="1" t="str">
        <f t="shared" si="69"/>
        <v>Mature | High Spender | Higher</v>
      </c>
    </row>
    <row r="2221" spans="1:15" x14ac:dyDescent="0.25">
      <c r="A2221" s="1" t="s">
        <v>2251</v>
      </c>
      <c r="B2221" s="1">
        <v>49</v>
      </c>
      <c r="C2221" s="1" t="str" cm="1">
        <f t="array" ref="C2221">_xlfn.IFS(OR(B2221=" ", B2221="NA",NOT(ISNUMBER(B2221))), "Unknown",B2221&lt;18,"Underage",B2221&lt;=24,"Young Adult",B2221&lt;=34,"Early Career",B2221&lt;=44,"Mid Career",B2221&lt;=54,"Mature",B2221&lt;=65,"Pre-Senior",B2221&gt;65,"Senior")</f>
        <v>Mature</v>
      </c>
      <c r="D2221" s="1" t="s">
        <v>18</v>
      </c>
      <c r="F2221" s="1">
        <v>450000</v>
      </c>
      <c r="G2221" s="1">
        <v>10</v>
      </c>
      <c r="H2221" s="1" t="str" cm="1">
        <f t="array" ref="H2221">_xlfn.IFS( OR(G2221=" ",NOT(ISNUMBER(G2221))),"Unknown",G2221&lt;=33,"Low Spender",G2221&lt;=66,"Medium Spender",TRUE, "High Spender")</f>
        <v>Low Spender</v>
      </c>
      <c r="I2221" s="1">
        <v>60</v>
      </c>
      <c r="J2221" s="1">
        <v>6700</v>
      </c>
      <c r="K2221" s="1">
        <v>168</v>
      </c>
      <c r="M2221" s="1" t="s">
        <v>32</v>
      </c>
      <c r="N2221" s="1" t="str">
        <f t="shared" si="68"/>
        <v>Higher</v>
      </c>
      <c r="O2221" s="1" t="str">
        <f t="shared" si="69"/>
        <v>Mature | Low Spender | Higher</v>
      </c>
    </row>
    <row r="2222" spans="1:15" x14ac:dyDescent="0.25">
      <c r="A2222" s="1" t="s">
        <v>2252</v>
      </c>
      <c r="B2222" s="1">
        <v>58</v>
      </c>
      <c r="C2222" s="1" t="str" cm="1">
        <f t="array" ref="C2222">_xlfn.IFS(OR(B2222=" ", B2222="NA",NOT(ISNUMBER(B2222))), "Unknown",B2222&lt;18,"Underage",B2222&lt;=24,"Young Adult",B2222&lt;=34,"Early Career",B2222&lt;=44,"Mid Career",B2222&lt;=54,"Mature",B2222&lt;=65,"Pre-Senior",B2222&gt;65,"Senior")</f>
        <v>Pre-Senior</v>
      </c>
      <c r="D2222" s="1" t="s">
        <v>12</v>
      </c>
      <c r="E2222" s="1" t="s">
        <v>19</v>
      </c>
      <c r="F2222" s="1">
        <v>1950000</v>
      </c>
      <c r="G2222" s="1">
        <v>33</v>
      </c>
      <c r="H2222" s="1" t="str" cm="1">
        <f t="array" ref="H2222">_xlfn.IFS( OR(G2222=" ",NOT(ISNUMBER(G2222))),"Unknown",G2222&lt;=33,"Low Spender",G2222&lt;=66,"Medium Spender",TRUE, "High Spender")</f>
        <v>Low Spender</v>
      </c>
      <c r="I2222" s="1">
        <v>62</v>
      </c>
      <c r="J2222" s="1">
        <v>5100</v>
      </c>
      <c r="K2222" s="1">
        <v>257</v>
      </c>
      <c r="L2222" s="1" t="s">
        <v>20</v>
      </c>
      <c r="N2222" s="1" t="str">
        <f t="shared" si="68"/>
        <v>Lower</v>
      </c>
      <c r="O2222" s="1" t="str">
        <f t="shared" si="69"/>
        <v>Pre-Senior | Low Spender | Lower</v>
      </c>
    </row>
    <row r="2223" spans="1:15" x14ac:dyDescent="0.25">
      <c r="A2223" s="1" t="s">
        <v>2253</v>
      </c>
      <c r="B2223" s="1">
        <v>67</v>
      </c>
      <c r="C2223" s="1" t="str" cm="1">
        <f t="array" ref="C2223">_xlfn.IFS(OR(B2223=" ", B2223="NA",NOT(ISNUMBER(B2223))), "Unknown",B2223&lt;18,"Underage",B2223&lt;=24,"Young Adult",B2223&lt;=34,"Early Career",B2223&lt;=44,"Mid Career",B2223&lt;=54,"Mature",B2223&lt;=65,"Pre-Senior",B2223&gt;65,"Senior")</f>
        <v>Senior</v>
      </c>
      <c r="D2223" s="1" t="s">
        <v>29</v>
      </c>
      <c r="E2223" s="1" t="s">
        <v>49</v>
      </c>
      <c r="F2223" s="1">
        <v>1550000</v>
      </c>
      <c r="G2223" s="1">
        <v>100</v>
      </c>
      <c r="H2223" s="1" t="str" cm="1">
        <f t="array" ref="H2223">_xlfn.IFS( OR(G2223=" ",NOT(ISNUMBER(G2223))),"Unknown",G2223&lt;=33,"Low Spender",G2223&lt;=66,"Medium Spender",TRUE, "High Spender")</f>
        <v>High Spender</v>
      </c>
      <c r="I2223" s="1">
        <v>2</v>
      </c>
      <c r="J2223" s="1">
        <v>6000</v>
      </c>
      <c r="K2223" s="1">
        <v>275</v>
      </c>
      <c r="L2223" s="1" t="s">
        <v>37</v>
      </c>
      <c r="M2223" s="1" t="s">
        <v>21</v>
      </c>
      <c r="N2223" s="1" t="str">
        <f t="shared" si="68"/>
        <v>Higher</v>
      </c>
      <c r="O2223" s="1" t="str">
        <f t="shared" si="69"/>
        <v>Senior | High Spender | Higher</v>
      </c>
    </row>
    <row r="2224" spans="1:15" x14ac:dyDescent="0.25">
      <c r="A2224" s="1" t="s">
        <v>2254</v>
      </c>
      <c r="B2224" s="1">
        <v>29</v>
      </c>
      <c r="C2224" s="1" t="str" cm="1">
        <f t="array" ref="C2224">_xlfn.IFS(OR(B2224=" ", B2224="NA",NOT(ISNUMBER(B2224))), "Unknown",B2224&lt;18,"Underage",B2224&lt;=24,"Young Adult",B2224&lt;=34,"Early Career",B2224&lt;=44,"Mid Career",B2224&lt;=54,"Mature",B2224&lt;=65,"Pre-Senior",B2224&gt;65,"Senior")</f>
        <v>Early Career</v>
      </c>
      <c r="D2224" s="1" t="s">
        <v>29</v>
      </c>
      <c r="E2224" s="1" t="s">
        <v>34</v>
      </c>
      <c r="F2224" s="1">
        <v>1050000</v>
      </c>
      <c r="G2224" s="1">
        <v>67</v>
      </c>
      <c r="H2224" s="1" t="str" cm="1">
        <f t="array" ref="H2224">_xlfn.IFS( OR(G2224=" ",NOT(ISNUMBER(G2224))),"Unknown",G2224&lt;=33,"Low Spender",G2224&lt;=66,"Medium Spender",TRUE, "High Spender")</f>
        <v>High Spender</v>
      </c>
      <c r="J2224" s="1">
        <v>7900</v>
      </c>
      <c r="K2224" s="1">
        <v>87</v>
      </c>
      <c r="M2224" s="1" t="s">
        <v>41</v>
      </c>
      <c r="N2224" s="1" t="str">
        <f t="shared" si="68"/>
        <v>Higher</v>
      </c>
      <c r="O2224" s="1" t="str">
        <f t="shared" si="69"/>
        <v>Early Career | High Spender | Higher</v>
      </c>
    </row>
    <row r="2225" spans="1:15" x14ac:dyDescent="0.25">
      <c r="A2225" s="1" t="s">
        <v>2255</v>
      </c>
      <c r="B2225" s="1">
        <v>25</v>
      </c>
      <c r="C2225" s="1" t="str" cm="1">
        <f t="array" ref="C2225">_xlfn.IFS(OR(B2225=" ", B2225="NA",NOT(ISNUMBER(B2225))), "Unknown",B2225&lt;18,"Underage",B2225&lt;=24,"Young Adult",B2225&lt;=34,"Early Career",B2225&lt;=44,"Mid Career",B2225&lt;=54,"Mature",B2225&lt;=65,"Pre-Senior",B2225&gt;65,"Senior")</f>
        <v>Early Career</v>
      </c>
      <c r="D2225" s="1" t="s">
        <v>29</v>
      </c>
      <c r="E2225" s="1" t="s">
        <v>49</v>
      </c>
      <c r="F2225" s="1">
        <v>1325000</v>
      </c>
      <c r="G2225" s="1">
        <v>69</v>
      </c>
      <c r="H2225" s="1" t="str" cm="1">
        <f t="array" ref="H2225">_xlfn.IFS( OR(G2225=" ",NOT(ISNUMBER(G2225))),"Unknown",G2225&lt;=33,"Low Spender",G2225&lt;=66,"Medium Spender",TRUE, "High Spender")</f>
        <v>High Spender</v>
      </c>
      <c r="I2225" s="1">
        <v>19</v>
      </c>
      <c r="J2225" s="1">
        <v>8000</v>
      </c>
      <c r="K2225" s="1">
        <v>154</v>
      </c>
      <c r="L2225" s="1" t="s">
        <v>35</v>
      </c>
      <c r="M2225" s="1" t="s">
        <v>32</v>
      </c>
      <c r="N2225" s="1" t="str">
        <f t="shared" si="68"/>
        <v>Higher</v>
      </c>
      <c r="O2225" s="1" t="str">
        <f t="shared" si="69"/>
        <v>Early Career | High Spender | Higher</v>
      </c>
    </row>
    <row r="2226" spans="1:15" x14ac:dyDescent="0.25">
      <c r="A2226" s="1" t="s">
        <v>2256</v>
      </c>
      <c r="B2226" s="1">
        <v>25</v>
      </c>
      <c r="C2226" s="1" t="str" cm="1">
        <f t="array" ref="C2226">_xlfn.IFS(OR(B2226=" ", B2226="NA",NOT(ISNUMBER(B2226))), "Unknown",B2226&lt;18,"Underage",B2226&lt;=24,"Young Adult",B2226&lt;=34,"Early Career",B2226&lt;=44,"Mid Career",B2226&lt;=54,"Mature",B2226&lt;=65,"Pre-Senior",B2226&gt;65,"Senior")</f>
        <v>Early Career</v>
      </c>
      <c r="F2226" s="1">
        <v>1900000</v>
      </c>
      <c r="G2226" s="1">
        <v>12</v>
      </c>
      <c r="H2226" s="1" t="str" cm="1">
        <f t="array" ref="H2226">_xlfn.IFS( OR(G2226=" ",NOT(ISNUMBER(G2226))),"Unknown",G2226&lt;=33,"Low Spender",G2226&lt;=66,"Medium Spender",TRUE, "High Spender")</f>
        <v>Low Spender</v>
      </c>
      <c r="I2226" s="1">
        <v>49</v>
      </c>
      <c r="J2226" s="1">
        <v>9900</v>
      </c>
      <c r="K2226" s="1">
        <v>285</v>
      </c>
      <c r="L2226" s="1" t="s">
        <v>16</v>
      </c>
      <c r="N2226" s="1" t="str">
        <f t="shared" si="68"/>
        <v>Lower</v>
      </c>
      <c r="O2226" s="1" t="str">
        <f t="shared" si="69"/>
        <v>Early Career | Low Spender | Lower</v>
      </c>
    </row>
    <row r="2227" spans="1:15" x14ac:dyDescent="0.25">
      <c r="A2227" s="1" t="s">
        <v>2257</v>
      </c>
      <c r="B2227" s="1">
        <v>67</v>
      </c>
      <c r="C2227" s="1" t="str" cm="1">
        <f t="array" ref="C2227">_xlfn.IFS(OR(B2227=" ", B2227="NA",NOT(ISNUMBER(B2227))), "Unknown",B2227&lt;18,"Underage",B2227&lt;=24,"Young Adult",B2227&lt;=34,"Early Career",B2227&lt;=44,"Mid Career",B2227&lt;=54,"Mature",B2227&lt;=65,"Pre-Senior",B2227&gt;65,"Senior")</f>
        <v>Senior</v>
      </c>
      <c r="F2227" s="1">
        <v>150000</v>
      </c>
      <c r="G2227" s="1">
        <v>57</v>
      </c>
      <c r="H2227" s="1" t="str" cm="1">
        <f t="array" ref="H2227">_xlfn.IFS( OR(G2227=" ",NOT(ISNUMBER(G2227))),"Unknown",G2227&lt;=33,"Low Spender",G2227&lt;=66,"Medium Spender",TRUE, "High Spender")</f>
        <v>Medium Spender</v>
      </c>
      <c r="I2227" s="1">
        <v>78</v>
      </c>
      <c r="J2227" s="1">
        <v>400</v>
      </c>
      <c r="K2227" s="1">
        <v>315</v>
      </c>
      <c r="N2227" s="1" t="str">
        <f t="shared" si="68"/>
        <v>Lower</v>
      </c>
      <c r="O2227" s="1" t="str">
        <f t="shared" si="69"/>
        <v>Senior | Medium Spender | Lower</v>
      </c>
    </row>
    <row r="2228" spans="1:15" x14ac:dyDescent="0.25">
      <c r="A2228" s="1" t="s">
        <v>2258</v>
      </c>
      <c r="B2228" s="1">
        <v>45</v>
      </c>
      <c r="C2228" s="1" t="str" cm="1">
        <f t="array" ref="C2228">_xlfn.IFS(OR(B2228=" ", B2228="NA",NOT(ISNUMBER(B2228))), "Unknown",B2228&lt;18,"Underage",B2228&lt;=24,"Young Adult",B2228&lt;=34,"Early Career",B2228&lt;=44,"Mid Career",B2228&lt;=54,"Mature",B2228&lt;=65,"Pre-Senior",B2228&gt;65,"Senior")</f>
        <v>Mature</v>
      </c>
      <c r="D2228" s="1" t="s">
        <v>29</v>
      </c>
      <c r="F2228" s="1">
        <v>1625000</v>
      </c>
      <c r="G2228" s="1">
        <v>44</v>
      </c>
      <c r="H2228" s="1" t="str" cm="1">
        <f t="array" ref="H2228">_xlfn.IFS( OR(G2228=" ",NOT(ISNUMBER(G2228))),"Unknown",G2228&lt;=33,"Low Spender",G2228&lt;=66,"Medium Spender",TRUE, "High Spender")</f>
        <v>Medium Spender</v>
      </c>
      <c r="I2228" s="1">
        <v>28</v>
      </c>
      <c r="J2228" s="1">
        <v>6800</v>
      </c>
      <c r="K2228" s="1">
        <v>319</v>
      </c>
      <c r="N2228" s="1" t="str">
        <f t="shared" si="68"/>
        <v>Higher</v>
      </c>
      <c r="O2228" s="1" t="str">
        <f t="shared" si="69"/>
        <v>Mature | Medium Spender | Higher</v>
      </c>
    </row>
    <row r="2229" spans="1:15" x14ac:dyDescent="0.25">
      <c r="A2229" s="1" t="s">
        <v>2259</v>
      </c>
      <c r="B2229" s="1">
        <v>37</v>
      </c>
      <c r="C2229" s="1" t="str" cm="1">
        <f t="array" ref="C2229">_xlfn.IFS(OR(B2229=" ", B2229="NA",NOT(ISNUMBER(B2229))), "Unknown",B2229&lt;18,"Underage",B2229&lt;=24,"Young Adult",B2229&lt;=34,"Early Career",B2229&lt;=44,"Mid Career",B2229&lt;=54,"Mature",B2229&lt;=65,"Pre-Senior",B2229&gt;65,"Senior")</f>
        <v>Mid Career</v>
      </c>
      <c r="F2229" s="1">
        <v>425000</v>
      </c>
      <c r="G2229" s="1">
        <v>13</v>
      </c>
      <c r="H2229" s="1" t="str" cm="1">
        <f t="array" ref="H2229">_xlfn.IFS( OR(G2229=" ",NOT(ISNUMBER(G2229))),"Unknown",G2229&lt;=33,"Low Spender",G2229&lt;=66,"Medium Spender",TRUE, "High Spender")</f>
        <v>Low Spender</v>
      </c>
      <c r="I2229" s="1">
        <v>48</v>
      </c>
      <c r="J2229" s="1">
        <v>10500</v>
      </c>
      <c r="K2229" s="1">
        <v>98</v>
      </c>
      <c r="L2229" s="1" t="s">
        <v>20</v>
      </c>
      <c r="M2229" s="1" t="s">
        <v>41</v>
      </c>
      <c r="N2229" s="1" t="str">
        <f t="shared" si="68"/>
        <v>Lower</v>
      </c>
      <c r="O2229" s="1" t="str">
        <f t="shared" si="69"/>
        <v>Mid Career | Low Spender | Lower</v>
      </c>
    </row>
    <row r="2230" spans="1:15" x14ac:dyDescent="0.25">
      <c r="A2230" s="1" t="s">
        <v>2260</v>
      </c>
      <c r="B2230" s="1">
        <v>64</v>
      </c>
      <c r="C2230" s="1" t="str" cm="1">
        <f t="array" ref="C2230">_xlfn.IFS(OR(B2230=" ", B2230="NA",NOT(ISNUMBER(B2230))), "Unknown",B2230&lt;18,"Underage",B2230&lt;=24,"Young Adult",B2230&lt;=34,"Early Career",B2230&lt;=44,"Mid Career",B2230&lt;=54,"Mature",B2230&lt;=65,"Pre-Senior",B2230&gt;65,"Senior")</f>
        <v>Pre-Senior</v>
      </c>
      <c r="E2230" s="1" t="s">
        <v>34</v>
      </c>
      <c r="F2230" s="1">
        <v>650000</v>
      </c>
      <c r="G2230" s="1">
        <v>24</v>
      </c>
      <c r="H2230" s="1" t="str" cm="1">
        <f t="array" ref="H2230">_xlfn.IFS( OR(G2230=" ",NOT(ISNUMBER(G2230))),"Unknown",G2230&lt;=33,"Low Spender",G2230&lt;=66,"Medium Spender",TRUE, "High Spender")</f>
        <v>Low Spender</v>
      </c>
      <c r="I2230" s="1">
        <v>37</v>
      </c>
      <c r="J2230" s="1">
        <v>10700</v>
      </c>
      <c r="K2230" s="1">
        <v>211</v>
      </c>
      <c r="M2230" s="1" t="s">
        <v>32</v>
      </c>
      <c r="N2230" s="1" t="str">
        <f t="shared" si="68"/>
        <v>Lower</v>
      </c>
      <c r="O2230" s="1" t="str">
        <f t="shared" si="69"/>
        <v>Pre-Senior | Low Spender | Lower</v>
      </c>
    </row>
    <row r="2231" spans="1:15" x14ac:dyDescent="0.25">
      <c r="A2231" s="1" t="s">
        <v>2261</v>
      </c>
      <c r="B2231" s="1">
        <v>24</v>
      </c>
      <c r="C2231" s="1" t="str" cm="1">
        <f t="array" ref="C2231">_xlfn.IFS(OR(B2231=" ", B2231="NA",NOT(ISNUMBER(B2231))), "Unknown",B2231&lt;18,"Underage",B2231&lt;=24,"Young Adult",B2231&lt;=34,"Early Career",B2231&lt;=44,"Mid Career",B2231&lt;=54,"Mature",B2231&lt;=65,"Pre-Senior",B2231&gt;65,"Senior")</f>
        <v>Young Adult</v>
      </c>
      <c r="D2231" s="1" t="s">
        <v>18</v>
      </c>
      <c r="E2231" s="1" t="s">
        <v>49</v>
      </c>
      <c r="F2231" s="1">
        <v>400000</v>
      </c>
      <c r="G2231" s="1">
        <v>44</v>
      </c>
      <c r="H2231" s="1" t="str" cm="1">
        <f t="array" ref="H2231">_xlfn.IFS( OR(G2231=" ",NOT(ISNUMBER(G2231))),"Unknown",G2231&lt;=33,"Low Spender",G2231&lt;=66,"Medium Spender",TRUE, "High Spender")</f>
        <v>Medium Spender</v>
      </c>
      <c r="I2231" s="1">
        <v>74</v>
      </c>
      <c r="J2231" s="1">
        <v>3300</v>
      </c>
      <c r="K2231" s="1">
        <v>48</v>
      </c>
      <c r="L2231" s="1" t="s">
        <v>16</v>
      </c>
      <c r="N2231" s="1" t="str">
        <f t="shared" si="68"/>
        <v>Higher</v>
      </c>
      <c r="O2231" s="1" t="str">
        <f t="shared" si="69"/>
        <v>Young Adult | Medium Spender | Higher</v>
      </c>
    </row>
    <row r="2232" spans="1:15" x14ac:dyDescent="0.25">
      <c r="A2232" s="1" t="s">
        <v>2262</v>
      </c>
      <c r="B2232" s="1">
        <v>28</v>
      </c>
      <c r="C2232" s="1" t="str" cm="1">
        <f t="array" ref="C2232">_xlfn.IFS(OR(B2232=" ", B2232="NA",NOT(ISNUMBER(B2232))), "Unknown",B2232&lt;18,"Underage",B2232&lt;=24,"Young Adult",B2232&lt;=34,"Early Career",B2232&lt;=44,"Mid Career",B2232&lt;=54,"Mature",B2232&lt;=65,"Pre-Senior",B2232&gt;65,"Senior")</f>
        <v>Early Career</v>
      </c>
      <c r="D2232" s="1" t="s">
        <v>29</v>
      </c>
      <c r="E2232" s="1" t="s">
        <v>27</v>
      </c>
      <c r="F2232" s="1">
        <v>1225000</v>
      </c>
      <c r="G2232" s="1">
        <v>57</v>
      </c>
      <c r="H2232" s="1" t="str" cm="1">
        <f t="array" ref="H2232">_xlfn.IFS( OR(G2232=" ",NOT(ISNUMBER(G2232))),"Unknown",G2232&lt;=33,"Low Spender",G2232&lt;=66,"Medium Spender",TRUE, "High Spender")</f>
        <v>Medium Spender</v>
      </c>
      <c r="I2232" s="1">
        <v>49</v>
      </c>
      <c r="J2232" s="1">
        <v>7000</v>
      </c>
      <c r="K2232" s="1">
        <v>318</v>
      </c>
      <c r="L2232" s="1" t="s">
        <v>35</v>
      </c>
      <c r="N2232" s="1" t="str">
        <f t="shared" si="68"/>
        <v>Higher</v>
      </c>
      <c r="O2232" s="1" t="str">
        <f t="shared" si="69"/>
        <v>Early Career | Medium Spender | Higher</v>
      </c>
    </row>
    <row r="2233" spans="1:15" x14ac:dyDescent="0.25">
      <c r="A2233" s="1" t="s">
        <v>2263</v>
      </c>
      <c r="B2233" s="1">
        <v>37</v>
      </c>
      <c r="C2233" s="1" t="str" cm="1">
        <f t="array" ref="C2233">_xlfn.IFS(OR(B2233=" ", B2233="NA",NOT(ISNUMBER(B2233))), "Unknown",B2233&lt;18,"Underage",B2233&lt;=24,"Young Adult",B2233&lt;=34,"Early Career",B2233&lt;=44,"Mid Career",B2233&lt;=54,"Mature",B2233&lt;=65,"Pre-Senior",B2233&gt;65,"Senior")</f>
        <v>Mid Career</v>
      </c>
      <c r="D2233" s="1" t="s">
        <v>18</v>
      </c>
      <c r="F2233" s="1">
        <v>1575000</v>
      </c>
      <c r="G2233" s="1">
        <v>96</v>
      </c>
      <c r="H2233" s="1" t="str" cm="1">
        <f t="array" ref="H2233">_xlfn.IFS( OR(G2233=" ",NOT(ISNUMBER(G2233))),"Unknown",G2233&lt;=33,"Low Spender",G2233&lt;=66,"Medium Spender",TRUE, "High Spender")</f>
        <v>High Spender</v>
      </c>
      <c r="I2233" s="1">
        <v>48</v>
      </c>
      <c r="J2233" s="1">
        <v>10000</v>
      </c>
      <c r="K2233" s="1">
        <v>274</v>
      </c>
      <c r="M2233" s="1" t="s">
        <v>41</v>
      </c>
      <c r="N2233" s="1" t="str">
        <f t="shared" si="68"/>
        <v>Higher</v>
      </c>
      <c r="O2233" s="1" t="str">
        <f t="shared" si="69"/>
        <v>Mid Career | High Spender | Higher</v>
      </c>
    </row>
    <row r="2234" spans="1:15" x14ac:dyDescent="0.25">
      <c r="A2234" s="1" t="s">
        <v>2264</v>
      </c>
      <c r="B2234" s="1">
        <v>33</v>
      </c>
      <c r="C2234" s="1" t="str" cm="1">
        <f t="array" ref="C2234">_xlfn.IFS(OR(B2234=" ", B2234="NA",NOT(ISNUMBER(B2234))), "Unknown",B2234&lt;18,"Underage",B2234&lt;=24,"Young Adult",B2234&lt;=34,"Early Career",B2234&lt;=44,"Mid Career",B2234&lt;=54,"Mature",B2234&lt;=65,"Pre-Senior",B2234&gt;65,"Senior")</f>
        <v>Early Career</v>
      </c>
      <c r="D2234" s="1" t="s">
        <v>18</v>
      </c>
      <c r="E2234" s="1" t="s">
        <v>49</v>
      </c>
      <c r="F2234" s="1">
        <v>1225000</v>
      </c>
      <c r="G2234" s="1">
        <v>16</v>
      </c>
      <c r="H2234" s="1" t="str" cm="1">
        <f t="array" ref="H2234">_xlfn.IFS( OR(G2234=" ",NOT(ISNUMBER(G2234))),"Unknown",G2234&lt;=33,"Low Spender",G2234&lt;=66,"Medium Spender",TRUE, "High Spender")</f>
        <v>Low Spender</v>
      </c>
      <c r="I2234" s="1">
        <v>73</v>
      </c>
      <c r="J2234" s="1">
        <v>8500</v>
      </c>
      <c r="K2234" s="1">
        <v>194</v>
      </c>
      <c r="L2234" s="1" t="s">
        <v>35</v>
      </c>
      <c r="M2234" s="1" t="s">
        <v>21</v>
      </c>
      <c r="N2234" s="1" t="str">
        <f t="shared" si="68"/>
        <v>Higher</v>
      </c>
      <c r="O2234" s="1" t="str">
        <f t="shared" si="69"/>
        <v>Early Career | Low Spender | Higher</v>
      </c>
    </row>
    <row r="2235" spans="1:15" x14ac:dyDescent="0.25">
      <c r="A2235" s="1" t="s">
        <v>2265</v>
      </c>
      <c r="B2235" s="1">
        <v>21</v>
      </c>
      <c r="C2235" s="1" t="str" cm="1">
        <f t="array" ref="C2235">_xlfn.IFS(OR(B2235=" ", B2235="NA",NOT(ISNUMBER(B2235))), "Unknown",B2235&lt;18,"Underage",B2235&lt;=24,"Young Adult",B2235&lt;=34,"Early Career",B2235&lt;=44,"Mid Career",B2235&lt;=54,"Mature",B2235&lt;=65,"Pre-Senior",B2235&gt;65,"Senior")</f>
        <v>Young Adult</v>
      </c>
      <c r="D2235" s="1" t="s">
        <v>29</v>
      </c>
      <c r="E2235" s="1" t="s">
        <v>23</v>
      </c>
      <c r="F2235" s="1">
        <v>975000</v>
      </c>
      <c r="G2235" s="1">
        <v>96</v>
      </c>
      <c r="H2235" s="1" t="str" cm="1">
        <f t="array" ref="H2235">_xlfn.IFS( OR(G2235=" ",NOT(ISNUMBER(G2235))),"Unknown",G2235&lt;=33,"Low Spender",G2235&lt;=66,"Medium Spender",TRUE, "High Spender")</f>
        <v>High Spender</v>
      </c>
      <c r="I2235" s="1">
        <v>29</v>
      </c>
      <c r="J2235" s="1">
        <v>3900</v>
      </c>
      <c r="K2235" s="1">
        <v>252</v>
      </c>
      <c r="L2235" s="1" t="s">
        <v>16</v>
      </c>
      <c r="M2235" s="1" t="s">
        <v>30</v>
      </c>
      <c r="N2235" s="1" t="str">
        <f t="shared" si="68"/>
        <v>Higher</v>
      </c>
      <c r="O2235" s="1" t="str">
        <f t="shared" si="69"/>
        <v>Young Adult | High Spender | Higher</v>
      </c>
    </row>
    <row r="2236" spans="1:15" x14ac:dyDescent="0.25">
      <c r="A2236" s="1" t="s">
        <v>2266</v>
      </c>
      <c r="B2236" s="1">
        <v>23</v>
      </c>
      <c r="C2236" s="1" t="str" cm="1">
        <f t="array" ref="C2236">_xlfn.IFS(OR(B2236=" ", B2236="NA",NOT(ISNUMBER(B2236))), "Unknown",B2236&lt;18,"Underage",B2236&lt;=24,"Young Adult",B2236&lt;=34,"Early Career",B2236&lt;=44,"Mid Career",B2236&lt;=54,"Mature",B2236&lt;=65,"Pre-Senior",B2236&gt;65,"Senior")</f>
        <v>Young Adult</v>
      </c>
      <c r="D2236" s="1" t="s">
        <v>18</v>
      </c>
      <c r="E2236" s="1" t="s">
        <v>49</v>
      </c>
      <c r="F2236" s="1">
        <v>750000</v>
      </c>
      <c r="H2236" s="1" t="str" cm="1">
        <f t="array" ref="H2236">_xlfn.IFS( OR(G2236=" ",NOT(ISNUMBER(G2236))),"Unknown",G2236&lt;=33,"Low Spender",G2236&lt;=66,"Medium Spender",TRUE, "High Spender")</f>
        <v>Unknown</v>
      </c>
      <c r="I2236" s="1">
        <v>60</v>
      </c>
      <c r="J2236" s="1">
        <v>7500</v>
      </c>
      <c r="K2236" s="1">
        <v>283</v>
      </c>
      <c r="M2236" s="1" t="s">
        <v>32</v>
      </c>
      <c r="N2236" s="1" t="str">
        <f t="shared" si="68"/>
        <v>Higher</v>
      </c>
      <c r="O2236" s="1" t="str">
        <f t="shared" si="69"/>
        <v>Young Adult | Unknown | Higher</v>
      </c>
    </row>
    <row r="2237" spans="1:15" x14ac:dyDescent="0.25">
      <c r="A2237" s="1" t="s">
        <v>2267</v>
      </c>
      <c r="B2237" s="1">
        <v>39</v>
      </c>
      <c r="C2237" s="1" t="str" cm="1">
        <f t="array" ref="C2237">_xlfn.IFS(OR(B2237=" ", B2237="NA",NOT(ISNUMBER(B2237))), "Unknown",B2237&lt;18,"Underage",B2237&lt;=24,"Young Adult",B2237&lt;=34,"Early Career",B2237&lt;=44,"Mid Career",B2237&lt;=54,"Mature",B2237&lt;=65,"Pre-Senior",B2237&gt;65,"Senior")</f>
        <v>Mid Career</v>
      </c>
      <c r="E2237" s="1" t="s">
        <v>23</v>
      </c>
      <c r="F2237" s="1">
        <v>225000</v>
      </c>
      <c r="G2237" s="1">
        <v>100</v>
      </c>
      <c r="H2237" s="1" t="str" cm="1">
        <f t="array" ref="H2237">_xlfn.IFS( OR(G2237=" ",NOT(ISNUMBER(G2237))),"Unknown",G2237&lt;=33,"Low Spender",G2237&lt;=66,"Medium Spender",TRUE, "High Spender")</f>
        <v>High Spender</v>
      </c>
      <c r="I2237" s="1">
        <v>29</v>
      </c>
      <c r="J2237" s="1">
        <v>2600</v>
      </c>
      <c r="K2237" s="1">
        <v>262</v>
      </c>
      <c r="M2237" s="1" t="s">
        <v>41</v>
      </c>
      <c r="N2237" s="1" t="str">
        <f t="shared" si="68"/>
        <v>Lower</v>
      </c>
      <c r="O2237" s="1" t="str">
        <f t="shared" si="69"/>
        <v>Mid Career | High Spender | Lower</v>
      </c>
    </row>
    <row r="2238" spans="1:15" x14ac:dyDescent="0.25">
      <c r="A2238" s="1" t="s">
        <v>2268</v>
      </c>
      <c r="B2238" s="1">
        <v>43</v>
      </c>
      <c r="C2238" s="1" t="str" cm="1">
        <f t="array" ref="C2238">_xlfn.IFS(OR(B2238=" ", B2238="NA",NOT(ISNUMBER(B2238))), "Unknown",B2238&lt;18,"Underage",B2238&lt;=24,"Young Adult",B2238&lt;=34,"Early Career",B2238&lt;=44,"Mid Career",B2238&lt;=54,"Mature",B2238&lt;=65,"Pre-Senior",B2238&gt;65,"Senior")</f>
        <v>Mid Career</v>
      </c>
      <c r="D2238" s="1" t="s">
        <v>29</v>
      </c>
      <c r="E2238" s="1" t="s">
        <v>23</v>
      </c>
      <c r="F2238" s="1">
        <v>1725000</v>
      </c>
      <c r="G2238" s="1">
        <v>21</v>
      </c>
      <c r="H2238" s="1" t="str" cm="1">
        <f t="array" ref="H2238">_xlfn.IFS( OR(G2238=" ",NOT(ISNUMBER(G2238))),"Unknown",G2238&lt;=33,"Low Spender",G2238&lt;=66,"Medium Spender",TRUE, "High Spender")</f>
        <v>Low Spender</v>
      </c>
      <c r="I2238" s="1">
        <v>58</v>
      </c>
      <c r="J2238" s="1">
        <v>7900</v>
      </c>
      <c r="K2238" s="1">
        <v>262</v>
      </c>
      <c r="L2238" s="1" t="s">
        <v>20</v>
      </c>
      <c r="M2238" s="1" t="s">
        <v>30</v>
      </c>
      <c r="N2238" s="1" t="str">
        <f t="shared" si="68"/>
        <v>Higher</v>
      </c>
      <c r="O2238" s="1" t="str">
        <f t="shared" si="69"/>
        <v>Mid Career | Low Spender | Higher</v>
      </c>
    </row>
    <row r="2239" spans="1:15" x14ac:dyDescent="0.25">
      <c r="A2239" s="1" t="s">
        <v>2269</v>
      </c>
      <c r="B2239" s="1">
        <v>20</v>
      </c>
      <c r="C2239" s="1" t="str" cm="1">
        <f t="array" ref="C2239">_xlfn.IFS(OR(B2239=" ", B2239="NA",NOT(ISNUMBER(B2239))), "Unknown",B2239&lt;18,"Underage",B2239&lt;=24,"Young Adult",B2239&lt;=34,"Early Career",B2239&lt;=44,"Mid Career",B2239&lt;=54,"Mature",B2239&lt;=65,"Pre-Senior",B2239&gt;65,"Senior")</f>
        <v>Young Adult</v>
      </c>
      <c r="D2239" s="1" t="s">
        <v>29</v>
      </c>
      <c r="F2239" s="1">
        <v>525000</v>
      </c>
      <c r="G2239" s="1">
        <v>76</v>
      </c>
      <c r="H2239" s="1" t="str" cm="1">
        <f t="array" ref="H2239">_xlfn.IFS( OR(G2239=" ",NOT(ISNUMBER(G2239))),"Unknown",G2239&lt;=33,"Low Spender",G2239&lt;=66,"Medium Spender",TRUE, "High Spender")</f>
        <v>High Spender</v>
      </c>
      <c r="I2239" s="1">
        <v>48</v>
      </c>
      <c r="J2239" s="1">
        <v>4600</v>
      </c>
      <c r="K2239" s="1">
        <v>31</v>
      </c>
      <c r="L2239" s="1" t="s">
        <v>37</v>
      </c>
      <c r="M2239" s="1" t="s">
        <v>30</v>
      </c>
      <c r="N2239" s="1" t="str">
        <f t="shared" si="68"/>
        <v>Higher</v>
      </c>
      <c r="O2239" s="1" t="str">
        <f t="shared" si="69"/>
        <v>Young Adult | High Spender | Higher</v>
      </c>
    </row>
    <row r="2240" spans="1:15" x14ac:dyDescent="0.25">
      <c r="A2240" s="1" t="s">
        <v>2270</v>
      </c>
      <c r="B2240" s="1">
        <v>58</v>
      </c>
      <c r="C2240" s="1" t="str" cm="1">
        <f t="array" ref="C2240">_xlfn.IFS(OR(B2240=" ", B2240="NA",NOT(ISNUMBER(B2240))), "Unknown",B2240&lt;18,"Underage",B2240&lt;=24,"Young Adult",B2240&lt;=34,"Early Career",B2240&lt;=44,"Mid Career",B2240&lt;=54,"Mature",B2240&lt;=65,"Pre-Senior",B2240&gt;65,"Senior")</f>
        <v>Pre-Senior</v>
      </c>
      <c r="E2240" s="1" t="s">
        <v>34</v>
      </c>
      <c r="F2240" s="1">
        <v>375000</v>
      </c>
      <c r="G2240" s="1">
        <v>51</v>
      </c>
      <c r="H2240" s="1" t="str" cm="1">
        <f t="array" ref="H2240">_xlfn.IFS( OR(G2240=" ",NOT(ISNUMBER(G2240))),"Unknown",G2240&lt;=33,"Low Spender",G2240&lt;=66,"Medium Spender",TRUE, "High Spender")</f>
        <v>Medium Spender</v>
      </c>
      <c r="I2240" s="1">
        <v>23</v>
      </c>
      <c r="J2240" s="1">
        <v>9600</v>
      </c>
      <c r="K2240" s="1">
        <v>105</v>
      </c>
      <c r="L2240" s="1" t="s">
        <v>35</v>
      </c>
      <c r="M2240" s="1" t="s">
        <v>41</v>
      </c>
      <c r="N2240" s="1" t="str">
        <f t="shared" si="68"/>
        <v>Lower</v>
      </c>
      <c r="O2240" s="1" t="str">
        <f t="shared" si="69"/>
        <v>Pre-Senior | Medium Spender | Lower</v>
      </c>
    </row>
    <row r="2241" spans="1:15" x14ac:dyDescent="0.25">
      <c r="A2241" s="1" t="s">
        <v>2271</v>
      </c>
      <c r="B2241" s="1">
        <v>59</v>
      </c>
      <c r="C2241" s="1" t="str" cm="1">
        <f t="array" ref="C2241">_xlfn.IFS(OR(B2241=" ", B2241="NA",NOT(ISNUMBER(B2241))), "Unknown",B2241&lt;18,"Underage",B2241&lt;=24,"Young Adult",B2241&lt;=34,"Early Career",B2241&lt;=44,"Mid Career",B2241&lt;=54,"Mature",B2241&lt;=65,"Pre-Senior",B2241&gt;65,"Senior")</f>
        <v>Pre-Senior</v>
      </c>
      <c r="D2241" s="1" t="s">
        <v>29</v>
      </c>
      <c r="E2241" s="1" t="s">
        <v>58</v>
      </c>
      <c r="F2241" s="1">
        <v>1775000</v>
      </c>
      <c r="G2241" s="1">
        <v>21</v>
      </c>
      <c r="H2241" s="1" t="str" cm="1">
        <f t="array" ref="H2241">_xlfn.IFS( OR(G2241=" ",NOT(ISNUMBER(G2241))),"Unknown",G2241&lt;=33,"Low Spender",G2241&lt;=66,"Medium Spender",TRUE, "High Spender")</f>
        <v>Low Spender</v>
      </c>
      <c r="I2241" s="1">
        <v>27</v>
      </c>
      <c r="J2241" s="1">
        <v>8500</v>
      </c>
      <c r="K2241" s="1">
        <v>350</v>
      </c>
      <c r="L2241" s="1" t="s">
        <v>16</v>
      </c>
      <c r="N2241" s="1" t="str">
        <f t="shared" si="68"/>
        <v>Higher</v>
      </c>
      <c r="O2241" s="1" t="str">
        <f t="shared" si="69"/>
        <v>Pre-Senior | Low Spender | Higher</v>
      </c>
    </row>
    <row r="2242" spans="1:15" x14ac:dyDescent="0.25">
      <c r="A2242" s="1" t="s">
        <v>2272</v>
      </c>
      <c r="B2242" s="1">
        <v>31</v>
      </c>
      <c r="C2242" s="1" t="str" cm="1">
        <f t="array" ref="C2242">_xlfn.IFS(OR(B2242=" ", B2242="NA",NOT(ISNUMBER(B2242))), "Unknown",B2242&lt;18,"Underage",B2242&lt;=24,"Young Adult",B2242&lt;=34,"Early Career",B2242&lt;=44,"Mid Career",B2242&lt;=54,"Mature",B2242&lt;=65,"Pre-Senior",B2242&gt;65,"Senior")</f>
        <v>Early Career</v>
      </c>
      <c r="D2242" s="1" t="s">
        <v>18</v>
      </c>
      <c r="F2242" s="1">
        <v>1000000</v>
      </c>
      <c r="G2242" s="1">
        <v>60</v>
      </c>
      <c r="H2242" s="1" t="str" cm="1">
        <f t="array" ref="H2242">_xlfn.IFS( OR(G2242=" ",NOT(ISNUMBER(G2242))),"Unknown",G2242&lt;=33,"Low Spender",G2242&lt;=66,"Medium Spender",TRUE, "High Spender")</f>
        <v>Medium Spender</v>
      </c>
      <c r="I2242" s="1">
        <v>7</v>
      </c>
      <c r="J2242" s="1">
        <v>4300</v>
      </c>
      <c r="K2242" s="1">
        <v>312</v>
      </c>
      <c r="N2242" s="1" t="str">
        <f t="shared" ref="N2242:N2305" si="70">IF(OR(UPPER(TRIM(D2242))="Male",UPPER(TRIM(D2242))="Female"),"Higher","Lower")</f>
        <v>Higher</v>
      </c>
      <c r="O2242" s="1" t="str">
        <f t="shared" ref="O2242:O2305" si="71">_xlfn.TEXTJOIN(" | ", TRUE, C2242, H2242, N2242)</f>
        <v>Early Career | Medium Spender | Higher</v>
      </c>
    </row>
    <row r="2243" spans="1:15" x14ac:dyDescent="0.25">
      <c r="A2243" s="1" t="s">
        <v>2273</v>
      </c>
      <c r="B2243" s="1">
        <v>28</v>
      </c>
      <c r="C2243" s="1" t="str" cm="1">
        <f t="array" ref="C2243">_xlfn.IFS(OR(B2243=" ", B2243="NA",NOT(ISNUMBER(B2243))), "Unknown",B2243&lt;18,"Underage",B2243&lt;=24,"Young Adult",B2243&lt;=34,"Early Career",B2243&lt;=44,"Mid Career",B2243&lt;=54,"Mature",B2243&lt;=65,"Pre-Senior",B2243&gt;65,"Senior")</f>
        <v>Early Career</v>
      </c>
      <c r="E2243" s="1" t="s">
        <v>34</v>
      </c>
      <c r="F2243" s="1">
        <v>275000</v>
      </c>
      <c r="G2243" s="1">
        <v>51</v>
      </c>
      <c r="H2243" s="1" t="str" cm="1">
        <f t="array" ref="H2243">_xlfn.IFS( OR(G2243=" ",NOT(ISNUMBER(G2243))),"Unknown",G2243&lt;=33,"Low Spender",G2243&lt;=66,"Medium Spender",TRUE, "High Spender")</f>
        <v>Medium Spender</v>
      </c>
      <c r="I2243" s="1">
        <v>49</v>
      </c>
      <c r="J2243" s="1">
        <v>7600</v>
      </c>
      <c r="K2243" s="1">
        <v>169</v>
      </c>
      <c r="M2243" s="1" t="s">
        <v>41</v>
      </c>
      <c r="N2243" s="1" t="str">
        <f t="shared" si="70"/>
        <v>Lower</v>
      </c>
      <c r="O2243" s="1" t="str">
        <f t="shared" si="71"/>
        <v>Early Career | Medium Spender | Lower</v>
      </c>
    </row>
    <row r="2244" spans="1:15" x14ac:dyDescent="0.25">
      <c r="A2244" s="1" t="s">
        <v>2274</v>
      </c>
      <c r="B2244" s="1">
        <v>35</v>
      </c>
      <c r="C2244" s="1" t="str" cm="1">
        <f t="array" ref="C2244">_xlfn.IFS(OR(B2244=" ", B2244="NA",NOT(ISNUMBER(B2244))), "Unknown",B2244&lt;18,"Underage",B2244&lt;=24,"Young Adult",B2244&lt;=34,"Early Career",B2244&lt;=44,"Mid Career",B2244&lt;=54,"Mature",B2244&lt;=65,"Pre-Senior",B2244&gt;65,"Senior")</f>
        <v>Mid Career</v>
      </c>
      <c r="D2244" s="1" t="s">
        <v>29</v>
      </c>
      <c r="E2244" s="1" t="s">
        <v>34</v>
      </c>
      <c r="F2244" s="1">
        <v>600000</v>
      </c>
      <c r="G2244" s="1">
        <v>21</v>
      </c>
      <c r="H2244" s="1" t="str" cm="1">
        <f t="array" ref="H2244">_xlfn.IFS( OR(G2244=" ",NOT(ISNUMBER(G2244))),"Unknown",G2244&lt;=33,"Low Spender",G2244&lt;=66,"Medium Spender",TRUE, "High Spender")</f>
        <v>Low Spender</v>
      </c>
      <c r="I2244" s="1">
        <v>54</v>
      </c>
      <c r="J2244" s="1">
        <v>5300</v>
      </c>
      <c r="K2244" s="1">
        <v>236</v>
      </c>
      <c r="L2244" s="1" t="s">
        <v>20</v>
      </c>
      <c r="M2244" s="1" t="s">
        <v>41</v>
      </c>
      <c r="N2244" s="1" t="str">
        <f t="shared" si="70"/>
        <v>Higher</v>
      </c>
      <c r="O2244" s="1" t="str">
        <f t="shared" si="71"/>
        <v>Mid Career | Low Spender | Higher</v>
      </c>
    </row>
    <row r="2245" spans="1:15" x14ac:dyDescent="0.25">
      <c r="A2245" s="1" t="s">
        <v>2275</v>
      </c>
      <c r="C2245" s="1" t="str" cm="1">
        <f t="array" ref="C2245">_xlfn.IFS(OR(B2245=" ", B2245="NA",NOT(ISNUMBER(B2245))), "Unknown",B2245&lt;18,"Underage",B2245&lt;=24,"Young Adult",B2245&lt;=34,"Early Career",B2245&lt;=44,"Mid Career",B2245&lt;=54,"Mature",B2245&lt;=65,"Pre-Senior",B2245&gt;65,"Senior")</f>
        <v>Unknown</v>
      </c>
      <c r="D2245" s="1" t="s">
        <v>29</v>
      </c>
      <c r="E2245" s="1" t="s">
        <v>13</v>
      </c>
      <c r="F2245" s="1">
        <v>1600000</v>
      </c>
      <c r="G2245" s="1">
        <v>6</v>
      </c>
      <c r="H2245" s="1" t="str" cm="1">
        <f t="array" ref="H2245">_xlfn.IFS( OR(G2245=" ",NOT(ISNUMBER(G2245))),"Unknown",G2245&lt;=33,"Low Spender",G2245&lt;=66,"Medium Spender",TRUE, "High Spender")</f>
        <v>Low Spender</v>
      </c>
      <c r="I2245" s="1">
        <v>68</v>
      </c>
      <c r="J2245" s="1">
        <v>4400</v>
      </c>
      <c r="K2245" s="1">
        <v>274</v>
      </c>
      <c r="N2245" s="1" t="str">
        <f t="shared" si="70"/>
        <v>Higher</v>
      </c>
      <c r="O2245" s="1" t="str">
        <f t="shared" si="71"/>
        <v>Unknown | Low Spender | Higher</v>
      </c>
    </row>
    <row r="2246" spans="1:15" x14ac:dyDescent="0.25">
      <c r="A2246" s="1" t="s">
        <v>2276</v>
      </c>
      <c r="B2246" s="1">
        <v>29</v>
      </c>
      <c r="C2246" s="1" t="str" cm="1">
        <f t="array" ref="C2246">_xlfn.IFS(OR(B2246=" ", B2246="NA",NOT(ISNUMBER(B2246))), "Unknown",B2246&lt;18,"Underage",B2246&lt;=24,"Young Adult",B2246&lt;=34,"Early Career",B2246&lt;=44,"Mid Career",B2246&lt;=54,"Mature",B2246&lt;=65,"Pre-Senior",B2246&gt;65,"Senior")</f>
        <v>Early Career</v>
      </c>
      <c r="D2246" s="1" t="s">
        <v>18</v>
      </c>
      <c r="F2246" s="1">
        <v>1450000</v>
      </c>
      <c r="G2246" s="1">
        <v>73</v>
      </c>
      <c r="H2246" s="1" t="str" cm="1">
        <f t="array" ref="H2246">_xlfn.IFS( OR(G2246=" ",NOT(ISNUMBER(G2246))),"Unknown",G2246&lt;=33,"Low Spender",G2246&lt;=66,"Medium Spender",TRUE, "High Spender")</f>
        <v>High Spender</v>
      </c>
      <c r="I2246" s="1">
        <v>78</v>
      </c>
      <c r="J2246" s="1">
        <v>11000</v>
      </c>
      <c r="K2246" s="1">
        <v>343</v>
      </c>
      <c r="L2246" s="1" t="s">
        <v>20</v>
      </c>
      <c r="M2246" s="1" t="s">
        <v>21</v>
      </c>
      <c r="N2246" s="1" t="str">
        <f t="shared" si="70"/>
        <v>Higher</v>
      </c>
      <c r="O2246" s="1" t="str">
        <f t="shared" si="71"/>
        <v>Early Career | High Spender | Higher</v>
      </c>
    </row>
    <row r="2247" spans="1:15" x14ac:dyDescent="0.25">
      <c r="A2247" s="1" t="s">
        <v>2277</v>
      </c>
      <c r="B2247" s="1">
        <v>40</v>
      </c>
      <c r="C2247" s="1" t="str" cm="1">
        <f t="array" ref="C2247">_xlfn.IFS(OR(B2247=" ", B2247="NA",NOT(ISNUMBER(B2247))), "Unknown",B2247&lt;18,"Underage",B2247&lt;=24,"Young Adult",B2247&lt;=34,"Early Career",B2247&lt;=44,"Mid Career",B2247&lt;=54,"Mature",B2247&lt;=65,"Pre-Senior",B2247&gt;65,"Senior")</f>
        <v>Mid Career</v>
      </c>
      <c r="F2247" s="1">
        <v>325000</v>
      </c>
      <c r="G2247" s="1">
        <v>65</v>
      </c>
      <c r="H2247" s="1" t="str" cm="1">
        <f t="array" ref="H2247">_xlfn.IFS( OR(G2247=" ",NOT(ISNUMBER(G2247))),"Unknown",G2247&lt;=33,"Low Spender",G2247&lt;=66,"Medium Spender",TRUE, "High Spender")</f>
        <v>Medium Spender</v>
      </c>
      <c r="I2247" s="1">
        <v>42</v>
      </c>
      <c r="J2247" s="1">
        <v>8000</v>
      </c>
      <c r="K2247" s="1">
        <v>230</v>
      </c>
      <c r="N2247" s="1" t="str">
        <f t="shared" si="70"/>
        <v>Lower</v>
      </c>
      <c r="O2247" s="1" t="str">
        <f t="shared" si="71"/>
        <v>Mid Career | Medium Spender | Lower</v>
      </c>
    </row>
    <row r="2248" spans="1:15" x14ac:dyDescent="0.25">
      <c r="A2248" s="1" t="s">
        <v>2278</v>
      </c>
      <c r="B2248" s="1">
        <v>29</v>
      </c>
      <c r="C2248" s="1" t="str" cm="1">
        <f t="array" ref="C2248">_xlfn.IFS(OR(B2248=" ", B2248="NA",NOT(ISNUMBER(B2248))), "Unknown",B2248&lt;18,"Underage",B2248&lt;=24,"Young Adult",B2248&lt;=34,"Early Career",B2248&lt;=44,"Mid Career",B2248&lt;=54,"Mature",B2248&lt;=65,"Pre-Senior",B2248&gt;65,"Senior")</f>
        <v>Early Career</v>
      </c>
      <c r="D2248" s="1" t="s">
        <v>18</v>
      </c>
      <c r="F2248" s="1">
        <v>375000</v>
      </c>
      <c r="G2248" s="1">
        <v>76</v>
      </c>
      <c r="H2248" s="1" t="str" cm="1">
        <f t="array" ref="H2248">_xlfn.IFS( OR(G2248=" ",NOT(ISNUMBER(G2248))),"Unknown",G2248&lt;=33,"Low Spender",G2248&lt;=66,"Medium Spender",TRUE, "High Spender")</f>
        <v>High Spender</v>
      </c>
      <c r="I2248" s="1">
        <v>74</v>
      </c>
      <c r="J2248" s="1">
        <v>4200</v>
      </c>
      <c r="K2248" s="1">
        <v>23</v>
      </c>
      <c r="L2248" s="1" t="s">
        <v>37</v>
      </c>
      <c r="N2248" s="1" t="str">
        <f t="shared" si="70"/>
        <v>Higher</v>
      </c>
      <c r="O2248" s="1" t="str">
        <f t="shared" si="71"/>
        <v>Early Career | High Spender | Higher</v>
      </c>
    </row>
    <row r="2249" spans="1:15" x14ac:dyDescent="0.25">
      <c r="A2249" s="1" t="s">
        <v>2279</v>
      </c>
      <c r="B2249" s="1">
        <v>30</v>
      </c>
      <c r="C2249" s="1" t="str" cm="1">
        <f t="array" ref="C2249">_xlfn.IFS(OR(B2249=" ", B2249="NA",NOT(ISNUMBER(B2249))), "Unknown",B2249&lt;18,"Underage",B2249&lt;=24,"Young Adult",B2249&lt;=34,"Early Career",B2249&lt;=44,"Mid Career",B2249&lt;=54,"Mature",B2249&lt;=65,"Pre-Senior",B2249&gt;65,"Senior")</f>
        <v>Early Career</v>
      </c>
      <c r="D2249" s="1" t="s">
        <v>18</v>
      </c>
      <c r="E2249" s="1" t="s">
        <v>15</v>
      </c>
      <c r="F2249" s="1">
        <v>1800000</v>
      </c>
      <c r="G2249" s="1">
        <v>58</v>
      </c>
      <c r="H2249" s="1" t="str" cm="1">
        <f t="array" ref="H2249">_xlfn.IFS( OR(G2249=" ",NOT(ISNUMBER(G2249))),"Unknown",G2249&lt;=33,"Low Spender",G2249&lt;=66,"Medium Spender",TRUE, "High Spender")</f>
        <v>Medium Spender</v>
      </c>
      <c r="I2249" s="1">
        <v>59</v>
      </c>
      <c r="J2249" s="1">
        <v>5000</v>
      </c>
      <c r="K2249" s="1">
        <v>164</v>
      </c>
      <c r="L2249" s="1" t="s">
        <v>37</v>
      </c>
      <c r="M2249" s="1" t="s">
        <v>30</v>
      </c>
      <c r="N2249" s="1" t="str">
        <f t="shared" si="70"/>
        <v>Higher</v>
      </c>
      <c r="O2249" s="1" t="str">
        <f t="shared" si="71"/>
        <v>Early Career | Medium Spender | Higher</v>
      </c>
    </row>
    <row r="2250" spans="1:15" x14ac:dyDescent="0.25">
      <c r="A2250" s="1" t="s">
        <v>2280</v>
      </c>
      <c r="B2250" s="1">
        <v>42</v>
      </c>
      <c r="C2250" s="1" t="str" cm="1">
        <f t="array" ref="C2250">_xlfn.IFS(OR(B2250=" ", B2250="NA",NOT(ISNUMBER(B2250))), "Unknown",B2250&lt;18,"Underage",B2250&lt;=24,"Young Adult",B2250&lt;=34,"Early Career",B2250&lt;=44,"Mid Career",B2250&lt;=54,"Mature",B2250&lt;=65,"Pre-Senior",B2250&gt;65,"Senior")</f>
        <v>Mid Career</v>
      </c>
      <c r="D2250" s="1" t="s">
        <v>12</v>
      </c>
      <c r="F2250" s="1">
        <v>1075000</v>
      </c>
      <c r="G2250" s="1">
        <v>78</v>
      </c>
      <c r="H2250" s="1" t="str" cm="1">
        <f t="array" ref="H2250">_xlfn.IFS( OR(G2250=" ",NOT(ISNUMBER(G2250))),"Unknown",G2250&lt;=33,"Low Spender",G2250&lt;=66,"Medium Spender",TRUE, "High Spender")</f>
        <v>High Spender</v>
      </c>
      <c r="I2250" s="1">
        <v>44</v>
      </c>
      <c r="J2250" s="1">
        <v>11500</v>
      </c>
      <c r="K2250" s="1">
        <v>281</v>
      </c>
      <c r="L2250" s="1" t="s">
        <v>16</v>
      </c>
      <c r="M2250" s="1" t="s">
        <v>30</v>
      </c>
      <c r="N2250" s="1" t="str">
        <f t="shared" si="70"/>
        <v>Lower</v>
      </c>
      <c r="O2250" s="1" t="str">
        <f t="shared" si="71"/>
        <v>Mid Career | High Spender | Lower</v>
      </c>
    </row>
    <row r="2251" spans="1:15" x14ac:dyDescent="0.25">
      <c r="A2251" s="1" t="s">
        <v>2281</v>
      </c>
      <c r="B2251" s="1">
        <v>62</v>
      </c>
      <c r="C2251" s="1" t="str" cm="1">
        <f t="array" ref="C2251">_xlfn.IFS(OR(B2251=" ", B2251="NA",NOT(ISNUMBER(B2251))), "Unknown",B2251&lt;18,"Underage",B2251&lt;=24,"Young Adult",B2251&lt;=34,"Early Career",B2251&lt;=44,"Mid Career",B2251&lt;=54,"Mature",B2251&lt;=65,"Pre-Senior",B2251&gt;65,"Senior")</f>
        <v>Pre-Senior</v>
      </c>
      <c r="E2251" s="1" t="s">
        <v>34</v>
      </c>
      <c r="F2251" s="1">
        <v>850000</v>
      </c>
      <c r="G2251" s="1">
        <v>6</v>
      </c>
      <c r="H2251" s="1" t="str" cm="1">
        <f t="array" ref="H2251">_xlfn.IFS( OR(G2251=" ",NOT(ISNUMBER(G2251))),"Unknown",G2251&lt;=33,"Low Spender",G2251&lt;=66,"Medium Spender",TRUE, "High Spender")</f>
        <v>Low Spender</v>
      </c>
      <c r="I2251" s="1">
        <v>26</v>
      </c>
      <c r="J2251" s="1">
        <v>8600</v>
      </c>
      <c r="K2251" s="1">
        <v>7</v>
      </c>
      <c r="L2251" s="1" t="s">
        <v>16</v>
      </c>
      <c r="M2251" s="1" t="s">
        <v>30</v>
      </c>
      <c r="N2251" s="1" t="str">
        <f t="shared" si="70"/>
        <v>Lower</v>
      </c>
      <c r="O2251" s="1" t="str">
        <f t="shared" si="71"/>
        <v>Pre-Senior | Low Spender | Lower</v>
      </c>
    </row>
    <row r="2252" spans="1:15" x14ac:dyDescent="0.25">
      <c r="A2252" s="1" t="s">
        <v>2282</v>
      </c>
      <c r="B2252" s="1">
        <v>68</v>
      </c>
      <c r="C2252" s="1" t="str" cm="1">
        <f t="array" ref="C2252">_xlfn.IFS(OR(B2252=" ", B2252="NA",NOT(ISNUMBER(B2252))), "Unknown",B2252&lt;18,"Underage",B2252&lt;=24,"Young Adult",B2252&lt;=34,"Early Career",B2252&lt;=44,"Mid Career",B2252&lt;=54,"Mature",B2252&lt;=65,"Pre-Senior",B2252&gt;65,"Senior")</f>
        <v>Senior</v>
      </c>
      <c r="D2252" s="1" t="s">
        <v>29</v>
      </c>
      <c r="E2252" s="1" t="s">
        <v>13</v>
      </c>
      <c r="F2252" s="1">
        <v>500000</v>
      </c>
      <c r="G2252" s="1">
        <v>65</v>
      </c>
      <c r="H2252" s="1" t="str" cm="1">
        <f t="array" ref="H2252">_xlfn.IFS( OR(G2252=" ",NOT(ISNUMBER(G2252))),"Unknown",G2252&lt;=33,"Low Spender",G2252&lt;=66,"Medium Spender",TRUE, "High Spender")</f>
        <v>Medium Spender</v>
      </c>
      <c r="I2252" s="1">
        <v>23</v>
      </c>
      <c r="J2252" s="1">
        <v>600</v>
      </c>
      <c r="K2252" s="1">
        <v>210</v>
      </c>
      <c r="L2252" s="1" t="s">
        <v>20</v>
      </c>
      <c r="M2252" s="1" t="s">
        <v>41</v>
      </c>
      <c r="N2252" s="1" t="str">
        <f t="shared" si="70"/>
        <v>Higher</v>
      </c>
      <c r="O2252" s="1" t="str">
        <f t="shared" si="71"/>
        <v>Senior | Medium Spender | Higher</v>
      </c>
    </row>
    <row r="2253" spans="1:15" x14ac:dyDescent="0.25">
      <c r="A2253" s="1" t="s">
        <v>2283</v>
      </c>
      <c r="B2253" s="1">
        <v>36</v>
      </c>
      <c r="C2253" s="1" t="str" cm="1">
        <f t="array" ref="C2253">_xlfn.IFS(OR(B2253=" ", B2253="NA",NOT(ISNUMBER(B2253))), "Unknown",B2253&lt;18,"Underage",B2253&lt;=24,"Young Adult",B2253&lt;=34,"Early Career",B2253&lt;=44,"Mid Career",B2253&lt;=54,"Mature",B2253&lt;=65,"Pre-Senior",B2253&gt;65,"Senior")</f>
        <v>Mid Career</v>
      </c>
      <c r="D2253" s="1" t="s">
        <v>18</v>
      </c>
      <c r="E2253" s="1" t="s">
        <v>23</v>
      </c>
      <c r="F2253" s="1">
        <v>700000</v>
      </c>
      <c r="G2253" s="1">
        <v>86</v>
      </c>
      <c r="H2253" s="1" t="str" cm="1">
        <f t="array" ref="H2253">_xlfn.IFS( OR(G2253=" ",NOT(ISNUMBER(G2253))),"Unknown",G2253&lt;=33,"Low Spender",G2253&lt;=66,"Medium Spender",TRUE, "High Spender")</f>
        <v>High Spender</v>
      </c>
      <c r="I2253" s="1">
        <v>73</v>
      </c>
      <c r="J2253" s="1">
        <v>10400</v>
      </c>
      <c r="K2253" s="1">
        <v>253</v>
      </c>
      <c r="L2253" s="1" t="s">
        <v>20</v>
      </c>
      <c r="M2253" s="1" t="s">
        <v>32</v>
      </c>
      <c r="N2253" s="1" t="str">
        <f t="shared" si="70"/>
        <v>Higher</v>
      </c>
      <c r="O2253" s="1" t="str">
        <f t="shared" si="71"/>
        <v>Mid Career | High Spender | Higher</v>
      </c>
    </row>
    <row r="2254" spans="1:15" x14ac:dyDescent="0.25">
      <c r="A2254" s="1" t="s">
        <v>2284</v>
      </c>
      <c r="B2254" s="1" t="s">
        <v>73</v>
      </c>
      <c r="C2254" s="1" t="str" cm="1">
        <f t="array" ref="C2254">_xlfn.IFS(OR(B2254=" ", B2254="NA",NOT(ISNUMBER(B2254))), "Unknown",B2254&lt;18,"Underage",B2254&lt;=24,"Young Adult",B2254&lt;=34,"Early Career",B2254&lt;=44,"Mid Career",B2254&lt;=54,"Mature",B2254&lt;=65,"Pre-Senior",B2254&gt;65,"Senior")</f>
        <v>Unknown</v>
      </c>
      <c r="D2254" s="1" t="s">
        <v>29</v>
      </c>
      <c r="E2254" s="1" t="s">
        <v>58</v>
      </c>
      <c r="F2254" s="1">
        <v>1275000</v>
      </c>
      <c r="G2254" s="1">
        <v>34</v>
      </c>
      <c r="H2254" s="1" t="str" cm="1">
        <f t="array" ref="H2254">_xlfn.IFS( OR(G2254=" ",NOT(ISNUMBER(G2254))),"Unknown",G2254&lt;=33,"Low Spender",G2254&lt;=66,"Medium Spender",TRUE, "High Spender")</f>
        <v>Medium Spender</v>
      </c>
      <c r="I2254" s="1">
        <v>8</v>
      </c>
      <c r="J2254" s="1">
        <v>11000</v>
      </c>
      <c r="K2254" s="1">
        <v>133</v>
      </c>
      <c r="L2254" s="1" t="s">
        <v>20</v>
      </c>
      <c r="N2254" s="1" t="str">
        <f t="shared" si="70"/>
        <v>Higher</v>
      </c>
      <c r="O2254" s="1" t="str">
        <f t="shared" si="71"/>
        <v>Unknown | Medium Spender | Higher</v>
      </c>
    </row>
    <row r="2255" spans="1:15" x14ac:dyDescent="0.25">
      <c r="A2255" s="1" t="s">
        <v>2285</v>
      </c>
      <c r="B2255" s="1">
        <v>63</v>
      </c>
      <c r="C2255" s="1" t="str" cm="1">
        <f t="array" ref="C2255">_xlfn.IFS(OR(B2255=" ", B2255="NA",NOT(ISNUMBER(B2255))), "Unknown",B2255&lt;18,"Underage",B2255&lt;=24,"Young Adult",B2255&lt;=34,"Early Career",B2255&lt;=44,"Mid Career",B2255&lt;=54,"Mature",B2255&lt;=65,"Pre-Senior",B2255&gt;65,"Senior")</f>
        <v>Pre-Senior</v>
      </c>
      <c r="D2255" s="1" t="s">
        <v>18</v>
      </c>
      <c r="E2255" s="1" t="s">
        <v>58</v>
      </c>
      <c r="F2255" s="1">
        <v>825000</v>
      </c>
      <c r="G2255" s="1">
        <v>56</v>
      </c>
      <c r="H2255" s="1" t="str" cm="1">
        <f t="array" ref="H2255">_xlfn.IFS( OR(G2255=" ",NOT(ISNUMBER(G2255))),"Unknown",G2255&lt;=33,"Low Spender",G2255&lt;=66,"Medium Spender",TRUE, "High Spender")</f>
        <v>Medium Spender</v>
      </c>
      <c r="I2255" s="1">
        <v>53</v>
      </c>
      <c r="J2255" s="1">
        <v>6200</v>
      </c>
      <c r="K2255" s="1">
        <v>274</v>
      </c>
      <c r="L2255" s="1" t="s">
        <v>20</v>
      </c>
      <c r="M2255" s="1" t="s">
        <v>32</v>
      </c>
      <c r="N2255" s="1" t="str">
        <f t="shared" si="70"/>
        <v>Higher</v>
      </c>
      <c r="O2255" s="1" t="str">
        <f t="shared" si="71"/>
        <v>Pre-Senior | Medium Spender | Higher</v>
      </c>
    </row>
    <row r="2256" spans="1:15" x14ac:dyDescent="0.25">
      <c r="A2256" s="1" t="s">
        <v>2286</v>
      </c>
      <c r="B2256" s="1">
        <v>53</v>
      </c>
      <c r="C2256" s="1" t="str" cm="1">
        <f t="array" ref="C2256">_xlfn.IFS(OR(B2256=" ", B2256="NA",NOT(ISNUMBER(B2256))), "Unknown",B2256&lt;18,"Underage",B2256&lt;=24,"Young Adult",B2256&lt;=34,"Early Career",B2256&lt;=44,"Mid Career",B2256&lt;=54,"Mature",B2256&lt;=65,"Pre-Senior",B2256&gt;65,"Senior")</f>
        <v>Mature</v>
      </c>
      <c r="D2256" s="1" t="s">
        <v>18</v>
      </c>
      <c r="E2256" s="1" t="s">
        <v>23</v>
      </c>
      <c r="F2256" s="1">
        <v>775000</v>
      </c>
      <c r="G2256" s="1">
        <v>75</v>
      </c>
      <c r="H2256" s="1" t="str" cm="1">
        <f t="array" ref="H2256">_xlfn.IFS( OR(G2256=" ",NOT(ISNUMBER(G2256))),"Unknown",G2256&lt;=33,"Low Spender",G2256&lt;=66,"Medium Spender",TRUE, "High Spender")</f>
        <v>High Spender</v>
      </c>
      <c r="I2256" s="1">
        <v>14</v>
      </c>
      <c r="J2256" s="1">
        <v>11600</v>
      </c>
      <c r="K2256" s="1">
        <v>106</v>
      </c>
      <c r="M2256" s="1" t="s">
        <v>21</v>
      </c>
      <c r="N2256" s="1" t="str">
        <f t="shared" si="70"/>
        <v>Higher</v>
      </c>
      <c r="O2256" s="1" t="str">
        <f t="shared" si="71"/>
        <v>Mature | High Spender | Higher</v>
      </c>
    </row>
    <row r="2257" spans="1:15" x14ac:dyDescent="0.25">
      <c r="A2257" s="1" t="s">
        <v>2287</v>
      </c>
      <c r="B2257" s="1">
        <v>62</v>
      </c>
      <c r="C2257" s="1" t="str" cm="1">
        <f t="array" ref="C2257">_xlfn.IFS(OR(B2257=" ", B2257="NA",NOT(ISNUMBER(B2257))), "Unknown",B2257&lt;18,"Underage",B2257&lt;=24,"Young Adult",B2257&lt;=34,"Early Career",B2257&lt;=44,"Mid Career",B2257&lt;=54,"Mature",B2257&lt;=65,"Pre-Senior",B2257&gt;65,"Senior")</f>
        <v>Pre-Senior</v>
      </c>
      <c r="D2257" s="1" t="s">
        <v>12</v>
      </c>
      <c r="E2257" s="1" t="s">
        <v>49</v>
      </c>
      <c r="F2257" s="1">
        <v>375000</v>
      </c>
      <c r="G2257" s="1">
        <v>3</v>
      </c>
      <c r="H2257" s="1" t="str" cm="1">
        <f t="array" ref="H2257">_xlfn.IFS( OR(G2257=" ",NOT(ISNUMBER(G2257))),"Unknown",G2257&lt;=33,"Low Spender",G2257&lt;=66,"Medium Spender",TRUE, "High Spender")</f>
        <v>Low Spender</v>
      </c>
      <c r="I2257" s="1">
        <v>71</v>
      </c>
      <c r="J2257" s="1">
        <v>4100</v>
      </c>
      <c r="K2257" s="1">
        <v>232</v>
      </c>
      <c r="M2257" s="1" t="s">
        <v>21</v>
      </c>
      <c r="N2257" s="1" t="str">
        <f t="shared" si="70"/>
        <v>Lower</v>
      </c>
      <c r="O2257" s="1" t="str">
        <f t="shared" si="71"/>
        <v>Pre-Senior | Low Spender | Lower</v>
      </c>
    </row>
    <row r="2258" spans="1:15" x14ac:dyDescent="0.25">
      <c r="A2258" s="1" t="s">
        <v>2288</v>
      </c>
      <c r="B2258" s="1">
        <v>25</v>
      </c>
      <c r="C2258" s="1" t="str" cm="1">
        <f t="array" ref="C2258">_xlfn.IFS(OR(B2258=" ", B2258="NA",NOT(ISNUMBER(B2258))), "Unknown",B2258&lt;18,"Underage",B2258&lt;=24,"Young Adult",B2258&lt;=34,"Early Career",B2258&lt;=44,"Mid Career",B2258&lt;=54,"Mature",B2258&lt;=65,"Pre-Senior",B2258&gt;65,"Senior")</f>
        <v>Early Career</v>
      </c>
      <c r="D2258" s="1" t="s">
        <v>12</v>
      </c>
      <c r="E2258" s="1" t="s">
        <v>49</v>
      </c>
      <c r="F2258" s="1">
        <v>1300000</v>
      </c>
      <c r="G2258" s="1">
        <v>42</v>
      </c>
      <c r="H2258" s="1" t="str" cm="1">
        <f t="array" ref="H2258">_xlfn.IFS( OR(G2258=" ",NOT(ISNUMBER(G2258))),"Unknown",G2258&lt;=33,"Low Spender",G2258&lt;=66,"Medium Spender",TRUE, "High Spender")</f>
        <v>Medium Spender</v>
      </c>
      <c r="I2258" s="1">
        <v>7</v>
      </c>
      <c r="J2258" s="1">
        <v>700</v>
      </c>
      <c r="K2258" s="1">
        <v>33</v>
      </c>
      <c r="L2258" s="1" t="s">
        <v>37</v>
      </c>
      <c r="N2258" s="1" t="str">
        <f t="shared" si="70"/>
        <v>Lower</v>
      </c>
      <c r="O2258" s="1" t="str">
        <f t="shared" si="71"/>
        <v>Early Career | Medium Spender | Lower</v>
      </c>
    </row>
    <row r="2259" spans="1:15" x14ac:dyDescent="0.25">
      <c r="A2259" s="1" t="s">
        <v>2289</v>
      </c>
      <c r="B2259" s="1">
        <v>46</v>
      </c>
      <c r="C2259" s="1" t="str" cm="1">
        <f t="array" ref="C2259">_xlfn.IFS(OR(B2259=" ", B2259="NA",NOT(ISNUMBER(B2259))), "Unknown",B2259&lt;18,"Underage",B2259&lt;=24,"Young Adult",B2259&lt;=34,"Early Career",B2259&lt;=44,"Mid Career",B2259&lt;=54,"Mature",B2259&lt;=65,"Pre-Senior",B2259&gt;65,"Senior")</f>
        <v>Mature</v>
      </c>
      <c r="F2259" s="1">
        <v>225000</v>
      </c>
      <c r="G2259" s="1">
        <v>62</v>
      </c>
      <c r="H2259" s="1" t="str" cm="1">
        <f t="array" ref="H2259">_xlfn.IFS( OR(G2259=" ",NOT(ISNUMBER(G2259))),"Unknown",G2259&lt;=33,"Low Spender",G2259&lt;=66,"Medium Spender",TRUE, "High Spender")</f>
        <v>Medium Spender</v>
      </c>
      <c r="I2259" s="1">
        <v>9</v>
      </c>
      <c r="J2259" s="1">
        <v>10800</v>
      </c>
      <c r="K2259" s="1">
        <v>79</v>
      </c>
      <c r="L2259" s="1" t="s">
        <v>16</v>
      </c>
      <c r="M2259" s="1" t="s">
        <v>30</v>
      </c>
      <c r="N2259" s="1" t="str">
        <f t="shared" si="70"/>
        <v>Lower</v>
      </c>
      <c r="O2259" s="1" t="str">
        <f t="shared" si="71"/>
        <v>Mature | Medium Spender | Lower</v>
      </c>
    </row>
    <row r="2260" spans="1:15" x14ac:dyDescent="0.25">
      <c r="A2260" s="1" t="s">
        <v>2290</v>
      </c>
      <c r="B2260" s="1" t="s">
        <v>73</v>
      </c>
      <c r="C2260" s="1" t="str" cm="1">
        <f t="array" ref="C2260">_xlfn.IFS(OR(B2260=" ", B2260="NA",NOT(ISNUMBER(B2260))), "Unknown",B2260&lt;18,"Underage",B2260&lt;=24,"Young Adult",B2260&lt;=34,"Early Career",B2260&lt;=44,"Mid Career",B2260&lt;=54,"Mature",B2260&lt;=65,"Pre-Senior",B2260&gt;65,"Senior")</f>
        <v>Unknown</v>
      </c>
      <c r="F2260" s="1">
        <v>1500000</v>
      </c>
      <c r="G2260" s="1">
        <v>6</v>
      </c>
      <c r="H2260" s="1" t="str" cm="1">
        <f t="array" ref="H2260">_xlfn.IFS( OR(G2260=" ",NOT(ISNUMBER(G2260))),"Unknown",G2260&lt;=33,"Low Spender",G2260&lt;=66,"Medium Spender",TRUE, "High Spender")</f>
        <v>Low Spender</v>
      </c>
      <c r="I2260" s="1">
        <v>3</v>
      </c>
      <c r="J2260" s="1">
        <v>9800</v>
      </c>
      <c r="K2260" s="1">
        <v>35</v>
      </c>
      <c r="L2260" s="1" t="s">
        <v>16</v>
      </c>
      <c r="N2260" s="1" t="str">
        <f t="shared" si="70"/>
        <v>Lower</v>
      </c>
      <c r="O2260" s="1" t="str">
        <f t="shared" si="71"/>
        <v>Unknown | Low Spender | Lower</v>
      </c>
    </row>
    <row r="2261" spans="1:15" x14ac:dyDescent="0.25">
      <c r="A2261" s="1" t="s">
        <v>2291</v>
      </c>
      <c r="C2261" s="1" t="str" cm="1">
        <f t="array" ref="C2261">_xlfn.IFS(OR(B2261=" ", B2261="NA",NOT(ISNUMBER(B2261))), "Unknown",B2261&lt;18,"Underage",B2261&lt;=24,"Young Adult",B2261&lt;=34,"Early Career",B2261&lt;=44,"Mid Career",B2261&lt;=54,"Mature",B2261&lt;=65,"Pre-Senior",B2261&gt;65,"Senior")</f>
        <v>Unknown</v>
      </c>
      <c r="D2261" s="1" t="s">
        <v>18</v>
      </c>
      <c r="E2261" s="1" t="s">
        <v>15</v>
      </c>
      <c r="F2261" s="1">
        <v>1775000</v>
      </c>
      <c r="G2261" s="1">
        <v>6</v>
      </c>
      <c r="H2261" s="1" t="str" cm="1">
        <f t="array" ref="H2261">_xlfn.IFS( OR(G2261=" ",NOT(ISNUMBER(G2261))),"Unknown",G2261&lt;=33,"Low Spender",G2261&lt;=66,"Medium Spender",TRUE, "High Spender")</f>
        <v>Low Spender</v>
      </c>
      <c r="I2261" s="1">
        <v>78</v>
      </c>
      <c r="J2261" s="1">
        <v>800</v>
      </c>
      <c r="K2261" s="1">
        <v>110</v>
      </c>
      <c r="L2261" s="1" t="s">
        <v>35</v>
      </c>
      <c r="M2261" s="1" t="s">
        <v>21</v>
      </c>
      <c r="N2261" s="1" t="str">
        <f t="shared" si="70"/>
        <v>Higher</v>
      </c>
      <c r="O2261" s="1" t="str">
        <f t="shared" si="71"/>
        <v>Unknown | Low Spender | Higher</v>
      </c>
    </row>
    <row r="2262" spans="1:15" x14ac:dyDescent="0.25">
      <c r="A2262" s="1" t="s">
        <v>2292</v>
      </c>
      <c r="B2262" s="1" t="s">
        <v>73</v>
      </c>
      <c r="C2262" s="1" t="str" cm="1">
        <f t="array" ref="C2262">_xlfn.IFS(OR(B2262=" ", B2262="NA",NOT(ISNUMBER(B2262))), "Unknown",B2262&lt;18,"Underage",B2262&lt;=24,"Young Adult",B2262&lt;=34,"Early Career",B2262&lt;=44,"Mid Career",B2262&lt;=54,"Mature",B2262&lt;=65,"Pre-Senior",B2262&gt;65,"Senior")</f>
        <v>Unknown</v>
      </c>
      <c r="D2262" s="1" t="s">
        <v>18</v>
      </c>
      <c r="E2262" s="1" t="s">
        <v>13</v>
      </c>
      <c r="F2262" s="1">
        <v>1800000</v>
      </c>
      <c r="G2262" s="1">
        <v>63</v>
      </c>
      <c r="H2262" s="1" t="str" cm="1">
        <f t="array" ref="H2262">_xlfn.IFS( OR(G2262=" ",NOT(ISNUMBER(G2262))),"Unknown",G2262&lt;=33,"Low Spender",G2262&lt;=66,"Medium Spender",TRUE, "High Spender")</f>
        <v>Medium Spender</v>
      </c>
      <c r="I2262" s="1">
        <v>17</v>
      </c>
      <c r="J2262" s="1">
        <v>1600</v>
      </c>
      <c r="K2262" s="1">
        <v>321</v>
      </c>
      <c r="L2262" s="1" t="s">
        <v>16</v>
      </c>
      <c r="M2262" s="1" t="s">
        <v>32</v>
      </c>
      <c r="N2262" s="1" t="str">
        <f t="shared" si="70"/>
        <v>Higher</v>
      </c>
      <c r="O2262" s="1" t="str">
        <f t="shared" si="71"/>
        <v>Unknown | Medium Spender | Higher</v>
      </c>
    </row>
    <row r="2263" spans="1:15" x14ac:dyDescent="0.25">
      <c r="A2263" s="1" t="s">
        <v>2293</v>
      </c>
      <c r="B2263" s="1">
        <v>49</v>
      </c>
      <c r="C2263" s="1" t="str" cm="1">
        <f t="array" ref="C2263">_xlfn.IFS(OR(B2263=" ", B2263="NA",NOT(ISNUMBER(B2263))), "Unknown",B2263&lt;18,"Underage",B2263&lt;=24,"Young Adult",B2263&lt;=34,"Early Career",B2263&lt;=44,"Mid Career",B2263&lt;=54,"Mature",B2263&lt;=65,"Pre-Senior",B2263&gt;65,"Senior")</f>
        <v>Mature</v>
      </c>
      <c r="D2263" s="1" t="s">
        <v>29</v>
      </c>
      <c r="E2263" s="1" t="s">
        <v>58</v>
      </c>
      <c r="F2263" s="1">
        <v>300000</v>
      </c>
      <c r="G2263" s="1">
        <v>20</v>
      </c>
      <c r="H2263" s="1" t="str" cm="1">
        <f t="array" ref="H2263">_xlfn.IFS( OR(G2263=" ",NOT(ISNUMBER(G2263))),"Unknown",G2263&lt;=33,"Low Spender",G2263&lt;=66,"Medium Spender",TRUE, "High Spender")</f>
        <v>Low Spender</v>
      </c>
      <c r="I2263" s="1">
        <v>44</v>
      </c>
      <c r="J2263" s="1">
        <v>7200</v>
      </c>
      <c r="K2263" s="1">
        <v>63</v>
      </c>
      <c r="L2263" s="1" t="s">
        <v>16</v>
      </c>
      <c r="M2263" s="1" t="s">
        <v>32</v>
      </c>
      <c r="N2263" s="1" t="str">
        <f t="shared" si="70"/>
        <v>Higher</v>
      </c>
      <c r="O2263" s="1" t="str">
        <f t="shared" si="71"/>
        <v>Mature | Low Spender | Higher</v>
      </c>
    </row>
    <row r="2264" spans="1:15" x14ac:dyDescent="0.25">
      <c r="A2264" s="1" t="s">
        <v>2294</v>
      </c>
      <c r="B2264" s="1">
        <v>68</v>
      </c>
      <c r="C2264" s="1" t="str" cm="1">
        <f t="array" ref="C2264">_xlfn.IFS(OR(B2264=" ", B2264="NA",NOT(ISNUMBER(B2264))), "Unknown",B2264&lt;18,"Underage",B2264&lt;=24,"Young Adult",B2264&lt;=34,"Early Career",B2264&lt;=44,"Mid Career",B2264&lt;=54,"Mature",B2264&lt;=65,"Pre-Senior",B2264&gt;65,"Senior")</f>
        <v>Senior</v>
      </c>
      <c r="D2264" s="1" t="s">
        <v>29</v>
      </c>
      <c r="F2264" s="1">
        <v>1500000</v>
      </c>
      <c r="G2264" s="1">
        <v>21</v>
      </c>
      <c r="H2264" s="1" t="str" cm="1">
        <f t="array" ref="H2264">_xlfn.IFS( OR(G2264=" ",NOT(ISNUMBER(G2264))),"Unknown",G2264&lt;=33,"Low Spender",G2264&lt;=66,"Medium Spender",TRUE, "High Spender")</f>
        <v>Low Spender</v>
      </c>
      <c r="I2264" s="1">
        <v>46</v>
      </c>
      <c r="J2264" s="1">
        <v>8000</v>
      </c>
      <c r="K2264" s="1">
        <v>328</v>
      </c>
      <c r="N2264" s="1" t="str">
        <f t="shared" si="70"/>
        <v>Higher</v>
      </c>
      <c r="O2264" s="1" t="str">
        <f t="shared" si="71"/>
        <v>Senior | Low Spender | Higher</v>
      </c>
    </row>
    <row r="2265" spans="1:15" x14ac:dyDescent="0.25">
      <c r="A2265" s="1" t="s">
        <v>2295</v>
      </c>
      <c r="B2265" s="1">
        <v>61</v>
      </c>
      <c r="C2265" s="1" t="str" cm="1">
        <f t="array" ref="C2265">_xlfn.IFS(OR(B2265=" ", B2265="NA",NOT(ISNUMBER(B2265))), "Unknown",B2265&lt;18,"Underage",B2265&lt;=24,"Young Adult",B2265&lt;=34,"Early Career",B2265&lt;=44,"Mid Career",B2265&lt;=54,"Mature",B2265&lt;=65,"Pre-Senior",B2265&gt;65,"Senior")</f>
        <v>Pre-Senior</v>
      </c>
      <c r="D2265" s="1" t="s">
        <v>12</v>
      </c>
      <c r="E2265" s="1" t="s">
        <v>19</v>
      </c>
      <c r="F2265" s="1">
        <v>900000</v>
      </c>
      <c r="G2265" s="1">
        <v>2</v>
      </c>
      <c r="H2265" s="1" t="str" cm="1">
        <f t="array" ref="H2265">_xlfn.IFS( OR(G2265=" ",NOT(ISNUMBER(G2265))),"Unknown",G2265&lt;=33,"Low Spender",G2265&lt;=66,"Medium Spender",TRUE, "High Spender")</f>
        <v>Low Spender</v>
      </c>
      <c r="I2265" s="1">
        <v>58</v>
      </c>
      <c r="J2265" s="1">
        <v>1400</v>
      </c>
      <c r="K2265" s="1">
        <v>297</v>
      </c>
      <c r="M2265" s="1" t="s">
        <v>41</v>
      </c>
      <c r="N2265" s="1" t="str">
        <f t="shared" si="70"/>
        <v>Lower</v>
      </c>
      <c r="O2265" s="1" t="str">
        <f t="shared" si="71"/>
        <v>Pre-Senior | Low Spender | Lower</v>
      </c>
    </row>
    <row r="2266" spans="1:15" x14ac:dyDescent="0.25">
      <c r="A2266" s="1" t="s">
        <v>2296</v>
      </c>
      <c r="B2266" s="1">
        <v>35</v>
      </c>
      <c r="C2266" s="1" t="str" cm="1">
        <f t="array" ref="C2266">_xlfn.IFS(OR(B2266=" ", B2266="NA",NOT(ISNUMBER(B2266))), "Unknown",B2266&lt;18,"Underage",B2266&lt;=24,"Young Adult",B2266&lt;=34,"Early Career",B2266&lt;=44,"Mid Career",B2266&lt;=54,"Mature",B2266&lt;=65,"Pre-Senior",B2266&gt;65,"Senior")</f>
        <v>Mid Career</v>
      </c>
      <c r="D2266" s="1" t="s">
        <v>29</v>
      </c>
      <c r="F2266" s="1">
        <v>1975000</v>
      </c>
      <c r="G2266" s="1">
        <v>90</v>
      </c>
      <c r="H2266" s="1" t="str" cm="1">
        <f t="array" ref="H2266">_xlfn.IFS( OR(G2266=" ",NOT(ISNUMBER(G2266))),"Unknown",G2266&lt;=33,"Low Spender",G2266&lt;=66,"Medium Spender",TRUE, "High Spender")</f>
        <v>High Spender</v>
      </c>
      <c r="I2266" s="1">
        <v>28</v>
      </c>
      <c r="J2266" s="1">
        <v>6400</v>
      </c>
      <c r="K2266" s="1">
        <v>178</v>
      </c>
      <c r="L2266" s="1" t="s">
        <v>35</v>
      </c>
      <c r="M2266" s="1" t="s">
        <v>30</v>
      </c>
      <c r="N2266" s="1" t="str">
        <f t="shared" si="70"/>
        <v>Higher</v>
      </c>
      <c r="O2266" s="1" t="str">
        <f t="shared" si="71"/>
        <v>Mid Career | High Spender | Higher</v>
      </c>
    </row>
    <row r="2267" spans="1:15" x14ac:dyDescent="0.25">
      <c r="A2267" s="1" t="s">
        <v>2297</v>
      </c>
      <c r="B2267" s="1">
        <v>23</v>
      </c>
      <c r="C2267" s="1" t="str" cm="1">
        <f t="array" ref="C2267">_xlfn.IFS(OR(B2267=" ", B2267="NA",NOT(ISNUMBER(B2267))), "Unknown",B2267&lt;18,"Underage",B2267&lt;=24,"Young Adult",B2267&lt;=34,"Early Career",B2267&lt;=44,"Mid Career",B2267&lt;=54,"Mature",B2267&lt;=65,"Pre-Senior",B2267&gt;65,"Senior")</f>
        <v>Young Adult</v>
      </c>
      <c r="D2267" s="1" t="s">
        <v>18</v>
      </c>
      <c r="E2267" s="1" t="s">
        <v>19</v>
      </c>
      <c r="F2267" s="1">
        <v>600000</v>
      </c>
      <c r="G2267" s="1">
        <v>95</v>
      </c>
      <c r="H2267" s="1" t="str" cm="1">
        <f t="array" ref="H2267">_xlfn.IFS( OR(G2267=" ",NOT(ISNUMBER(G2267))),"Unknown",G2267&lt;=33,"Low Spender",G2267&lt;=66,"Medium Spender",TRUE, "High Spender")</f>
        <v>High Spender</v>
      </c>
      <c r="I2267" s="1">
        <v>14</v>
      </c>
      <c r="J2267" s="1">
        <v>2900</v>
      </c>
      <c r="K2267" s="1">
        <v>364</v>
      </c>
      <c r="L2267" s="1" t="s">
        <v>20</v>
      </c>
      <c r="M2267" s="1" t="s">
        <v>41</v>
      </c>
      <c r="N2267" s="1" t="str">
        <f t="shared" si="70"/>
        <v>Higher</v>
      </c>
      <c r="O2267" s="1" t="str">
        <f t="shared" si="71"/>
        <v>Young Adult | High Spender | Higher</v>
      </c>
    </row>
    <row r="2268" spans="1:15" x14ac:dyDescent="0.25">
      <c r="A2268" s="1" t="s">
        <v>2298</v>
      </c>
      <c r="B2268" s="1">
        <v>35</v>
      </c>
      <c r="C2268" s="1" t="str" cm="1">
        <f t="array" ref="C2268">_xlfn.IFS(OR(B2268=" ", B2268="NA",NOT(ISNUMBER(B2268))), "Unknown",B2268&lt;18,"Underage",B2268&lt;=24,"Young Adult",B2268&lt;=34,"Early Career",B2268&lt;=44,"Mid Career",B2268&lt;=54,"Mature",B2268&lt;=65,"Pre-Senior",B2268&gt;65,"Senior")</f>
        <v>Mid Career</v>
      </c>
      <c r="D2268" s="1" t="s">
        <v>12</v>
      </c>
      <c r="E2268" s="1" t="s">
        <v>27</v>
      </c>
      <c r="F2268" s="1">
        <v>825000</v>
      </c>
      <c r="G2268" s="1">
        <v>90</v>
      </c>
      <c r="H2268" s="1" t="str" cm="1">
        <f t="array" ref="H2268">_xlfn.IFS( OR(G2268=" ",NOT(ISNUMBER(G2268))),"Unknown",G2268&lt;=33,"Low Spender",G2268&lt;=66,"Medium Spender",TRUE, "High Spender")</f>
        <v>High Spender</v>
      </c>
      <c r="I2268" s="1">
        <v>9</v>
      </c>
      <c r="J2268" s="1">
        <v>5600</v>
      </c>
      <c r="K2268" s="1">
        <v>232</v>
      </c>
      <c r="L2268" s="1" t="s">
        <v>35</v>
      </c>
      <c r="N2268" s="1" t="str">
        <f t="shared" si="70"/>
        <v>Lower</v>
      </c>
      <c r="O2268" s="1" t="str">
        <f t="shared" si="71"/>
        <v>Mid Career | High Spender | Lower</v>
      </c>
    </row>
    <row r="2269" spans="1:15" x14ac:dyDescent="0.25">
      <c r="A2269" s="1" t="s">
        <v>2299</v>
      </c>
      <c r="B2269" s="1">
        <v>36</v>
      </c>
      <c r="C2269" s="1" t="str" cm="1">
        <f t="array" ref="C2269">_xlfn.IFS(OR(B2269=" ", B2269="NA",NOT(ISNUMBER(B2269))), "Unknown",B2269&lt;18,"Underage",B2269&lt;=24,"Young Adult",B2269&lt;=34,"Early Career",B2269&lt;=44,"Mid Career",B2269&lt;=54,"Mature",B2269&lt;=65,"Pre-Senior",B2269&gt;65,"Senior")</f>
        <v>Mid Career</v>
      </c>
      <c r="D2269" s="1" t="s">
        <v>29</v>
      </c>
      <c r="E2269" s="1" t="s">
        <v>34</v>
      </c>
      <c r="F2269" s="1">
        <v>825000</v>
      </c>
      <c r="G2269" s="1">
        <v>56</v>
      </c>
      <c r="H2269" s="1" t="str" cm="1">
        <f t="array" ref="H2269">_xlfn.IFS( OR(G2269=" ",NOT(ISNUMBER(G2269))),"Unknown",G2269&lt;=33,"Low Spender",G2269&lt;=66,"Medium Spender",TRUE, "High Spender")</f>
        <v>Medium Spender</v>
      </c>
      <c r="I2269" s="1">
        <v>26</v>
      </c>
      <c r="J2269" s="1">
        <v>9200</v>
      </c>
      <c r="K2269" s="1">
        <v>104</v>
      </c>
      <c r="L2269" s="1" t="s">
        <v>35</v>
      </c>
      <c r="M2269" s="1" t="s">
        <v>21</v>
      </c>
      <c r="N2269" s="1" t="str">
        <f t="shared" si="70"/>
        <v>Higher</v>
      </c>
      <c r="O2269" s="1" t="str">
        <f t="shared" si="71"/>
        <v>Mid Career | Medium Spender | Higher</v>
      </c>
    </row>
    <row r="2270" spans="1:15" x14ac:dyDescent="0.25">
      <c r="A2270" s="1" t="s">
        <v>2300</v>
      </c>
      <c r="B2270" s="1">
        <v>39</v>
      </c>
      <c r="C2270" s="1" t="str" cm="1">
        <f t="array" ref="C2270">_xlfn.IFS(OR(B2270=" ", B2270="NA",NOT(ISNUMBER(B2270))), "Unknown",B2270&lt;18,"Underage",B2270&lt;=24,"Young Adult",B2270&lt;=34,"Early Career",B2270&lt;=44,"Mid Career",B2270&lt;=54,"Mature",B2270&lt;=65,"Pre-Senior",B2270&gt;65,"Senior")</f>
        <v>Mid Career</v>
      </c>
      <c r="E2270" s="1" t="s">
        <v>23</v>
      </c>
      <c r="F2270" s="1">
        <v>600000</v>
      </c>
      <c r="G2270" s="1">
        <v>96</v>
      </c>
      <c r="H2270" s="1" t="str" cm="1">
        <f t="array" ref="H2270">_xlfn.IFS( OR(G2270=" ",NOT(ISNUMBER(G2270))),"Unknown",G2270&lt;=33,"Low Spender",G2270&lt;=66,"Medium Spender",TRUE, "High Spender")</f>
        <v>High Spender</v>
      </c>
      <c r="I2270" s="1">
        <v>2</v>
      </c>
      <c r="J2270" s="1">
        <v>1400</v>
      </c>
      <c r="K2270" s="1">
        <v>294</v>
      </c>
      <c r="L2270" s="1" t="s">
        <v>37</v>
      </c>
      <c r="N2270" s="1" t="str">
        <f t="shared" si="70"/>
        <v>Lower</v>
      </c>
      <c r="O2270" s="1" t="str">
        <f t="shared" si="71"/>
        <v>Mid Career | High Spender | Lower</v>
      </c>
    </row>
    <row r="2271" spans="1:15" x14ac:dyDescent="0.25">
      <c r="A2271" s="1" t="s">
        <v>2301</v>
      </c>
      <c r="B2271" s="1">
        <v>54</v>
      </c>
      <c r="C2271" s="1" t="str" cm="1">
        <f t="array" ref="C2271">_xlfn.IFS(OR(B2271=" ", B2271="NA",NOT(ISNUMBER(B2271))), "Unknown",B2271&lt;18,"Underage",B2271&lt;=24,"Young Adult",B2271&lt;=34,"Early Career",B2271&lt;=44,"Mid Career",B2271&lt;=54,"Mature",B2271&lt;=65,"Pre-Senior",B2271&gt;65,"Senior")</f>
        <v>Mature</v>
      </c>
      <c r="D2271" s="1" t="s">
        <v>18</v>
      </c>
      <c r="E2271" s="1" t="s">
        <v>34</v>
      </c>
      <c r="F2271" s="1">
        <v>625000</v>
      </c>
      <c r="G2271" s="1">
        <v>10</v>
      </c>
      <c r="H2271" s="1" t="str" cm="1">
        <f t="array" ref="H2271">_xlfn.IFS( OR(G2271=" ",NOT(ISNUMBER(G2271))),"Unknown",G2271&lt;=33,"Low Spender",G2271&lt;=66,"Medium Spender",TRUE, "High Spender")</f>
        <v>Low Spender</v>
      </c>
      <c r="I2271" s="1">
        <v>75</v>
      </c>
      <c r="J2271" s="1">
        <v>1000</v>
      </c>
      <c r="K2271" s="1">
        <v>35</v>
      </c>
      <c r="N2271" s="1" t="str">
        <f t="shared" si="70"/>
        <v>Higher</v>
      </c>
      <c r="O2271" s="1" t="str">
        <f t="shared" si="71"/>
        <v>Mature | Low Spender | Higher</v>
      </c>
    </row>
    <row r="2272" spans="1:15" x14ac:dyDescent="0.25">
      <c r="A2272" s="1" t="s">
        <v>2302</v>
      </c>
      <c r="B2272" s="1">
        <v>49</v>
      </c>
      <c r="C2272" s="1" t="str" cm="1">
        <f t="array" ref="C2272">_xlfn.IFS(OR(B2272=" ", B2272="NA",NOT(ISNUMBER(B2272))), "Unknown",B2272&lt;18,"Underage",B2272&lt;=24,"Young Adult",B2272&lt;=34,"Early Career",B2272&lt;=44,"Mid Career",B2272&lt;=54,"Mature",B2272&lt;=65,"Pre-Senior",B2272&gt;65,"Senior")</f>
        <v>Mature</v>
      </c>
      <c r="D2272" s="1" t="s">
        <v>29</v>
      </c>
      <c r="F2272" s="1">
        <v>450000</v>
      </c>
      <c r="G2272" s="1">
        <v>87</v>
      </c>
      <c r="H2272" s="1" t="str" cm="1">
        <f t="array" ref="H2272">_xlfn.IFS( OR(G2272=" ",NOT(ISNUMBER(G2272))),"Unknown",G2272&lt;=33,"Low Spender",G2272&lt;=66,"Medium Spender",TRUE, "High Spender")</f>
        <v>High Spender</v>
      </c>
      <c r="J2272" s="1">
        <v>7600</v>
      </c>
      <c r="K2272" s="1">
        <v>194</v>
      </c>
      <c r="L2272" s="1" t="s">
        <v>16</v>
      </c>
      <c r="N2272" s="1" t="str">
        <f t="shared" si="70"/>
        <v>Higher</v>
      </c>
      <c r="O2272" s="1" t="str">
        <f t="shared" si="71"/>
        <v>Mature | High Spender | Higher</v>
      </c>
    </row>
    <row r="2273" spans="1:15" x14ac:dyDescent="0.25">
      <c r="A2273" s="1" t="s">
        <v>2303</v>
      </c>
      <c r="B2273" s="1">
        <v>58</v>
      </c>
      <c r="C2273" s="1" t="str" cm="1">
        <f t="array" ref="C2273">_xlfn.IFS(OR(B2273=" ", B2273="NA",NOT(ISNUMBER(B2273))), "Unknown",B2273&lt;18,"Underage",B2273&lt;=24,"Young Adult",B2273&lt;=34,"Early Career",B2273&lt;=44,"Mid Career",B2273&lt;=54,"Mature",B2273&lt;=65,"Pre-Senior",B2273&gt;65,"Senior")</f>
        <v>Pre-Senior</v>
      </c>
      <c r="E2273" s="1" t="s">
        <v>34</v>
      </c>
      <c r="F2273" s="1" t="s">
        <v>25</v>
      </c>
      <c r="G2273" s="1">
        <v>70</v>
      </c>
      <c r="H2273" s="1" t="str" cm="1">
        <f t="array" ref="H2273">_xlfn.IFS( OR(G2273=" ",NOT(ISNUMBER(G2273))),"Unknown",G2273&lt;=33,"Low Spender",G2273&lt;=66,"Medium Spender",TRUE, "High Spender")</f>
        <v>High Spender</v>
      </c>
      <c r="I2273" s="1">
        <v>34</v>
      </c>
      <c r="J2273" s="1">
        <v>1800</v>
      </c>
      <c r="K2273" s="1">
        <v>174</v>
      </c>
      <c r="L2273" s="1" t="s">
        <v>37</v>
      </c>
      <c r="M2273" s="1" t="s">
        <v>41</v>
      </c>
      <c r="N2273" s="1" t="str">
        <f t="shared" si="70"/>
        <v>Lower</v>
      </c>
      <c r="O2273" s="1" t="str">
        <f t="shared" si="71"/>
        <v>Pre-Senior | High Spender | Lower</v>
      </c>
    </row>
    <row r="2274" spans="1:15" x14ac:dyDescent="0.25">
      <c r="A2274" s="1" t="s">
        <v>2304</v>
      </c>
      <c r="B2274" s="1">
        <v>20</v>
      </c>
      <c r="C2274" s="1" t="str" cm="1">
        <f t="array" ref="C2274">_xlfn.IFS(OR(B2274=" ", B2274="NA",NOT(ISNUMBER(B2274))), "Unknown",B2274&lt;18,"Underage",B2274&lt;=24,"Young Adult",B2274&lt;=34,"Early Career",B2274&lt;=44,"Mid Career",B2274&lt;=54,"Mature",B2274&lt;=65,"Pre-Senior",B2274&gt;65,"Senior")</f>
        <v>Young Adult</v>
      </c>
      <c r="D2274" s="1" t="s">
        <v>18</v>
      </c>
      <c r="E2274" s="1" t="s">
        <v>13</v>
      </c>
      <c r="F2274" s="1">
        <v>1200000</v>
      </c>
      <c r="G2274" s="1">
        <v>23</v>
      </c>
      <c r="H2274" s="1" t="str" cm="1">
        <f t="array" ref="H2274">_xlfn.IFS( OR(G2274=" ",NOT(ISNUMBER(G2274))),"Unknown",G2274&lt;=33,"Low Spender",G2274&lt;=66,"Medium Spender",TRUE, "High Spender")</f>
        <v>Low Spender</v>
      </c>
      <c r="I2274" s="1">
        <v>19</v>
      </c>
      <c r="J2274" s="1">
        <v>5400</v>
      </c>
      <c r="K2274" s="1">
        <v>102</v>
      </c>
      <c r="M2274" s="1" t="s">
        <v>41</v>
      </c>
      <c r="N2274" s="1" t="str">
        <f t="shared" si="70"/>
        <v>Higher</v>
      </c>
      <c r="O2274" s="1" t="str">
        <f t="shared" si="71"/>
        <v>Young Adult | Low Spender | Higher</v>
      </c>
    </row>
    <row r="2275" spans="1:15" x14ac:dyDescent="0.25">
      <c r="A2275" s="1" t="s">
        <v>2305</v>
      </c>
      <c r="B2275" s="1">
        <v>45</v>
      </c>
      <c r="C2275" s="1" t="str" cm="1">
        <f t="array" ref="C2275">_xlfn.IFS(OR(B2275=" ", B2275="NA",NOT(ISNUMBER(B2275))), "Unknown",B2275&lt;18,"Underage",B2275&lt;=24,"Young Adult",B2275&lt;=34,"Early Career",B2275&lt;=44,"Mid Career",B2275&lt;=54,"Mature",B2275&lt;=65,"Pre-Senior",B2275&gt;65,"Senior")</f>
        <v>Mature</v>
      </c>
      <c r="E2275" s="1" t="s">
        <v>27</v>
      </c>
      <c r="F2275" s="1">
        <v>400000</v>
      </c>
      <c r="G2275" s="1">
        <v>92</v>
      </c>
      <c r="H2275" s="1" t="str" cm="1">
        <f t="array" ref="H2275">_xlfn.IFS( OR(G2275=" ",NOT(ISNUMBER(G2275))),"Unknown",G2275&lt;=33,"Low Spender",G2275&lt;=66,"Medium Spender",TRUE, "High Spender")</f>
        <v>High Spender</v>
      </c>
      <c r="I2275" s="1">
        <v>39</v>
      </c>
      <c r="J2275" s="1">
        <v>2800</v>
      </c>
      <c r="K2275" s="1">
        <v>324</v>
      </c>
      <c r="L2275" s="1" t="s">
        <v>16</v>
      </c>
      <c r="N2275" s="1" t="str">
        <f t="shared" si="70"/>
        <v>Lower</v>
      </c>
      <c r="O2275" s="1" t="str">
        <f t="shared" si="71"/>
        <v>Mature | High Spender | Lower</v>
      </c>
    </row>
    <row r="2276" spans="1:15" x14ac:dyDescent="0.25">
      <c r="A2276" s="1" t="s">
        <v>2306</v>
      </c>
      <c r="B2276" s="1">
        <v>27</v>
      </c>
      <c r="C2276" s="1" t="str" cm="1">
        <f t="array" ref="C2276">_xlfn.IFS(OR(B2276=" ", B2276="NA",NOT(ISNUMBER(B2276))), "Unknown",B2276&lt;18,"Underage",B2276&lt;=24,"Young Adult",B2276&lt;=34,"Early Career",B2276&lt;=44,"Mid Career",B2276&lt;=54,"Mature",B2276&lt;=65,"Pre-Senior",B2276&gt;65,"Senior")</f>
        <v>Early Career</v>
      </c>
      <c r="D2276" s="1" t="s">
        <v>12</v>
      </c>
      <c r="E2276" s="1" t="s">
        <v>15</v>
      </c>
      <c r="F2276" s="1">
        <v>1325000</v>
      </c>
      <c r="G2276" s="1">
        <v>30</v>
      </c>
      <c r="H2276" s="1" t="str" cm="1">
        <f t="array" ref="H2276">_xlfn.IFS( OR(G2276=" ",NOT(ISNUMBER(G2276))),"Unknown",G2276&lt;=33,"Low Spender",G2276&lt;=66,"Medium Spender",TRUE, "High Spender")</f>
        <v>Low Spender</v>
      </c>
      <c r="I2276" s="1">
        <v>13</v>
      </c>
      <c r="J2276" s="1">
        <v>1000</v>
      </c>
      <c r="K2276" s="1">
        <v>293</v>
      </c>
      <c r="L2276" s="1" t="s">
        <v>35</v>
      </c>
      <c r="M2276" s="1" t="s">
        <v>32</v>
      </c>
      <c r="N2276" s="1" t="str">
        <f t="shared" si="70"/>
        <v>Lower</v>
      </c>
      <c r="O2276" s="1" t="str">
        <f t="shared" si="71"/>
        <v>Early Career | Low Spender | Lower</v>
      </c>
    </row>
    <row r="2277" spans="1:15" x14ac:dyDescent="0.25">
      <c r="A2277" s="1" t="s">
        <v>2307</v>
      </c>
      <c r="B2277" s="1">
        <v>68</v>
      </c>
      <c r="C2277" s="1" t="str" cm="1">
        <f t="array" ref="C2277">_xlfn.IFS(OR(B2277=" ", B2277="NA",NOT(ISNUMBER(B2277))), "Unknown",B2277&lt;18,"Underage",B2277&lt;=24,"Young Adult",B2277&lt;=34,"Early Career",B2277&lt;=44,"Mid Career",B2277&lt;=54,"Mature",B2277&lt;=65,"Pre-Senior",B2277&gt;65,"Senior")</f>
        <v>Senior</v>
      </c>
      <c r="D2277" s="1" t="s">
        <v>18</v>
      </c>
      <c r="E2277" s="1" t="s">
        <v>27</v>
      </c>
      <c r="F2277" s="1">
        <v>500000</v>
      </c>
      <c r="G2277" s="1">
        <v>78</v>
      </c>
      <c r="H2277" s="1" t="str" cm="1">
        <f t="array" ref="H2277">_xlfn.IFS( OR(G2277=" ",NOT(ISNUMBER(G2277))),"Unknown",G2277&lt;=33,"Low Spender",G2277&lt;=66,"Medium Spender",TRUE, "High Spender")</f>
        <v>High Spender</v>
      </c>
      <c r="I2277" s="1">
        <v>5</v>
      </c>
      <c r="J2277" s="1">
        <v>10700</v>
      </c>
      <c r="K2277" s="1">
        <v>85</v>
      </c>
      <c r="L2277" s="1" t="s">
        <v>16</v>
      </c>
      <c r="M2277" s="1" t="s">
        <v>32</v>
      </c>
      <c r="N2277" s="1" t="str">
        <f t="shared" si="70"/>
        <v>Higher</v>
      </c>
      <c r="O2277" s="1" t="str">
        <f t="shared" si="71"/>
        <v>Senior | High Spender | Higher</v>
      </c>
    </row>
    <row r="2278" spans="1:15" x14ac:dyDescent="0.25">
      <c r="A2278" s="1" t="s">
        <v>2308</v>
      </c>
      <c r="B2278" s="1">
        <v>52</v>
      </c>
      <c r="C2278" s="1" t="str" cm="1">
        <f t="array" ref="C2278">_xlfn.IFS(OR(B2278=" ", B2278="NA",NOT(ISNUMBER(B2278))), "Unknown",B2278&lt;18,"Underage",B2278&lt;=24,"Young Adult",B2278&lt;=34,"Early Career",B2278&lt;=44,"Mid Career",B2278&lt;=54,"Mature",B2278&lt;=65,"Pre-Senior",B2278&gt;65,"Senior")</f>
        <v>Mature</v>
      </c>
      <c r="D2278" s="1" t="s">
        <v>29</v>
      </c>
      <c r="E2278" s="1" t="s">
        <v>58</v>
      </c>
      <c r="F2278" s="1">
        <v>550000</v>
      </c>
      <c r="G2278" s="1">
        <v>37</v>
      </c>
      <c r="H2278" s="1" t="str" cm="1">
        <f t="array" ref="H2278">_xlfn.IFS( OR(G2278=" ",NOT(ISNUMBER(G2278))),"Unknown",G2278&lt;=33,"Low Spender",G2278&lt;=66,"Medium Spender",TRUE, "High Spender")</f>
        <v>Medium Spender</v>
      </c>
      <c r="I2278" s="1">
        <v>50</v>
      </c>
      <c r="J2278" s="1">
        <v>4700</v>
      </c>
      <c r="K2278" s="1">
        <v>201</v>
      </c>
      <c r="L2278" s="1" t="s">
        <v>20</v>
      </c>
      <c r="N2278" s="1" t="str">
        <f t="shared" si="70"/>
        <v>Higher</v>
      </c>
      <c r="O2278" s="1" t="str">
        <f t="shared" si="71"/>
        <v>Mature | Medium Spender | Higher</v>
      </c>
    </row>
    <row r="2279" spans="1:15" x14ac:dyDescent="0.25">
      <c r="A2279" s="1" t="s">
        <v>2309</v>
      </c>
      <c r="B2279" s="1">
        <v>46</v>
      </c>
      <c r="C2279" s="1" t="str" cm="1">
        <f t="array" ref="C2279">_xlfn.IFS(OR(B2279=" ", B2279="NA",NOT(ISNUMBER(B2279))), "Unknown",B2279&lt;18,"Underage",B2279&lt;=24,"Young Adult",B2279&lt;=34,"Early Career",B2279&lt;=44,"Mid Career",B2279&lt;=54,"Mature",B2279&lt;=65,"Pre-Senior",B2279&gt;65,"Senior")</f>
        <v>Mature</v>
      </c>
      <c r="E2279" s="1" t="s">
        <v>13</v>
      </c>
      <c r="F2279" s="1">
        <v>1475000</v>
      </c>
      <c r="G2279" s="1">
        <v>55</v>
      </c>
      <c r="H2279" s="1" t="str" cm="1">
        <f t="array" ref="H2279">_xlfn.IFS( OR(G2279=" ",NOT(ISNUMBER(G2279))),"Unknown",G2279&lt;=33,"Low Spender",G2279&lt;=66,"Medium Spender",TRUE, "High Spender")</f>
        <v>Medium Spender</v>
      </c>
      <c r="I2279" s="1">
        <v>23</v>
      </c>
      <c r="J2279" s="1">
        <v>9500</v>
      </c>
      <c r="K2279" s="1">
        <v>173</v>
      </c>
      <c r="L2279" s="1" t="s">
        <v>20</v>
      </c>
      <c r="N2279" s="1" t="str">
        <f t="shared" si="70"/>
        <v>Lower</v>
      </c>
      <c r="O2279" s="1" t="str">
        <f t="shared" si="71"/>
        <v>Mature | Medium Spender | Lower</v>
      </c>
    </row>
    <row r="2280" spans="1:15" x14ac:dyDescent="0.25">
      <c r="A2280" s="1" t="s">
        <v>2310</v>
      </c>
      <c r="C2280" s="1" t="str" cm="1">
        <f t="array" ref="C2280">_xlfn.IFS(OR(B2280=" ", B2280="NA",NOT(ISNUMBER(B2280))), "Unknown",B2280&lt;18,"Underage",B2280&lt;=24,"Young Adult",B2280&lt;=34,"Early Career",B2280&lt;=44,"Mid Career",B2280&lt;=54,"Mature",B2280&lt;=65,"Pre-Senior",B2280&gt;65,"Senior")</f>
        <v>Unknown</v>
      </c>
      <c r="E2280" s="1" t="s">
        <v>34</v>
      </c>
      <c r="F2280" s="1">
        <v>1375000</v>
      </c>
      <c r="G2280" s="1">
        <v>96</v>
      </c>
      <c r="H2280" s="1" t="str" cm="1">
        <f t="array" ref="H2280">_xlfn.IFS( OR(G2280=" ",NOT(ISNUMBER(G2280))),"Unknown",G2280&lt;=33,"Low Spender",G2280&lt;=66,"Medium Spender",TRUE, "High Spender")</f>
        <v>High Spender</v>
      </c>
      <c r="I2280" s="1">
        <v>29</v>
      </c>
      <c r="J2280" s="1">
        <v>8600</v>
      </c>
      <c r="K2280" s="1">
        <v>29</v>
      </c>
      <c r="L2280" s="1" t="s">
        <v>35</v>
      </c>
      <c r="M2280" s="1" t="s">
        <v>32</v>
      </c>
      <c r="N2280" s="1" t="str">
        <f t="shared" si="70"/>
        <v>Lower</v>
      </c>
      <c r="O2280" s="1" t="str">
        <f t="shared" si="71"/>
        <v>Unknown | High Spender | Lower</v>
      </c>
    </row>
    <row r="2281" spans="1:15" x14ac:dyDescent="0.25">
      <c r="A2281" s="1" t="s">
        <v>2311</v>
      </c>
      <c r="B2281" s="1">
        <v>32</v>
      </c>
      <c r="C2281" s="1" t="str" cm="1">
        <f t="array" ref="C2281">_xlfn.IFS(OR(B2281=" ", B2281="NA",NOT(ISNUMBER(B2281))), "Unknown",B2281&lt;18,"Underage",B2281&lt;=24,"Young Adult",B2281&lt;=34,"Early Career",B2281&lt;=44,"Mid Career",B2281&lt;=54,"Mature",B2281&lt;=65,"Pre-Senior",B2281&gt;65,"Senior")</f>
        <v>Early Career</v>
      </c>
      <c r="D2281" s="1" t="s">
        <v>29</v>
      </c>
      <c r="E2281" s="1" t="s">
        <v>15</v>
      </c>
      <c r="F2281" s="1">
        <v>825000</v>
      </c>
      <c r="G2281" s="1">
        <v>49</v>
      </c>
      <c r="H2281" s="1" t="str" cm="1">
        <f t="array" ref="H2281">_xlfn.IFS( OR(G2281=" ",NOT(ISNUMBER(G2281))),"Unknown",G2281&lt;=33,"Low Spender",G2281&lt;=66,"Medium Spender",TRUE, "High Spender")</f>
        <v>Medium Spender</v>
      </c>
      <c r="I2281" s="1">
        <v>72</v>
      </c>
      <c r="J2281" s="1">
        <v>8300</v>
      </c>
      <c r="K2281" s="1">
        <v>297</v>
      </c>
      <c r="N2281" s="1" t="str">
        <f t="shared" si="70"/>
        <v>Higher</v>
      </c>
      <c r="O2281" s="1" t="str">
        <f t="shared" si="71"/>
        <v>Early Career | Medium Spender | Higher</v>
      </c>
    </row>
    <row r="2282" spans="1:15" x14ac:dyDescent="0.25">
      <c r="A2282" s="1" t="s">
        <v>2312</v>
      </c>
      <c r="B2282" s="1">
        <v>50</v>
      </c>
      <c r="C2282" s="1" t="str" cm="1">
        <f t="array" ref="C2282">_xlfn.IFS(OR(B2282=" ", B2282="NA",NOT(ISNUMBER(B2282))), "Unknown",B2282&lt;18,"Underage",B2282&lt;=24,"Young Adult",B2282&lt;=34,"Early Career",B2282&lt;=44,"Mid Career",B2282&lt;=54,"Mature",B2282&lt;=65,"Pre-Senior",B2282&gt;65,"Senior")</f>
        <v>Mature</v>
      </c>
      <c r="D2282" s="1" t="s">
        <v>12</v>
      </c>
      <c r="E2282" s="1" t="s">
        <v>34</v>
      </c>
      <c r="F2282" s="1">
        <v>225000</v>
      </c>
      <c r="G2282" s="1">
        <v>34</v>
      </c>
      <c r="H2282" s="1" t="str" cm="1">
        <f t="array" ref="H2282">_xlfn.IFS( OR(G2282=" ",NOT(ISNUMBER(G2282))),"Unknown",G2282&lt;=33,"Low Spender",G2282&lt;=66,"Medium Spender",TRUE, "High Spender")</f>
        <v>Medium Spender</v>
      </c>
      <c r="I2282" s="1">
        <v>26</v>
      </c>
      <c r="J2282" s="1">
        <v>2100</v>
      </c>
      <c r="K2282" s="1">
        <v>56</v>
      </c>
      <c r="L2282" s="1" t="s">
        <v>20</v>
      </c>
      <c r="M2282" s="1" t="s">
        <v>32</v>
      </c>
      <c r="N2282" s="1" t="str">
        <f t="shared" si="70"/>
        <v>Lower</v>
      </c>
      <c r="O2282" s="1" t="str">
        <f t="shared" si="71"/>
        <v>Mature | Medium Spender | Lower</v>
      </c>
    </row>
    <row r="2283" spans="1:15" x14ac:dyDescent="0.25">
      <c r="A2283" s="1" t="s">
        <v>2313</v>
      </c>
      <c r="B2283" s="1">
        <v>24</v>
      </c>
      <c r="C2283" s="1" t="str" cm="1">
        <f t="array" ref="C2283">_xlfn.IFS(OR(B2283=" ", B2283="NA",NOT(ISNUMBER(B2283))), "Unknown",B2283&lt;18,"Underage",B2283&lt;=24,"Young Adult",B2283&lt;=34,"Early Career",B2283&lt;=44,"Mid Career",B2283&lt;=54,"Mature",B2283&lt;=65,"Pre-Senior",B2283&gt;65,"Senior")</f>
        <v>Young Adult</v>
      </c>
      <c r="D2283" s="1" t="s">
        <v>18</v>
      </c>
      <c r="F2283" s="1">
        <v>675000</v>
      </c>
      <c r="G2283" s="1">
        <v>44</v>
      </c>
      <c r="H2283" s="1" t="str" cm="1">
        <f t="array" ref="H2283">_xlfn.IFS( OR(G2283=" ",NOT(ISNUMBER(G2283))),"Unknown",G2283&lt;=33,"Low Spender",G2283&lt;=66,"Medium Spender",TRUE, "High Spender")</f>
        <v>Medium Spender</v>
      </c>
      <c r="I2283" s="1">
        <v>79</v>
      </c>
      <c r="J2283" s="1">
        <v>1900</v>
      </c>
      <c r="K2283" s="1">
        <v>16</v>
      </c>
      <c r="L2283" s="1" t="s">
        <v>35</v>
      </c>
      <c r="N2283" s="1" t="str">
        <f t="shared" si="70"/>
        <v>Higher</v>
      </c>
      <c r="O2283" s="1" t="str">
        <f t="shared" si="71"/>
        <v>Young Adult | Medium Spender | Higher</v>
      </c>
    </row>
    <row r="2284" spans="1:15" x14ac:dyDescent="0.25">
      <c r="A2284" s="1" t="s">
        <v>2314</v>
      </c>
      <c r="B2284" s="1">
        <v>29</v>
      </c>
      <c r="C2284" s="1" t="str" cm="1">
        <f t="array" ref="C2284">_xlfn.IFS(OR(B2284=" ", B2284="NA",NOT(ISNUMBER(B2284))), "Unknown",B2284&lt;18,"Underage",B2284&lt;=24,"Young Adult",B2284&lt;=34,"Early Career",B2284&lt;=44,"Mid Career",B2284&lt;=54,"Mature",B2284&lt;=65,"Pre-Senior",B2284&gt;65,"Senior")</f>
        <v>Early Career</v>
      </c>
      <c r="D2284" s="1" t="s">
        <v>18</v>
      </c>
      <c r="F2284" s="1">
        <v>1100000</v>
      </c>
      <c r="G2284" s="1">
        <v>22</v>
      </c>
      <c r="H2284" s="1" t="str" cm="1">
        <f t="array" ref="H2284">_xlfn.IFS( OR(G2284=" ",NOT(ISNUMBER(G2284))),"Unknown",G2284&lt;=33,"Low Spender",G2284&lt;=66,"Medium Spender",TRUE, "High Spender")</f>
        <v>Low Spender</v>
      </c>
      <c r="I2284" s="1">
        <v>57</v>
      </c>
      <c r="J2284" s="1">
        <v>10500</v>
      </c>
      <c r="K2284" s="1">
        <v>140</v>
      </c>
      <c r="L2284" s="1" t="s">
        <v>37</v>
      </c>
      <c r="M2284" s="1" t="s">
        <v>32</v>
      </c>
      <c r="N2284" s="1" t="str">
        <f t="shared" si="70"/>
        <v>Higher</v>
      </c>
      <c r="O2284" s="1" t="str">
        <f t="shared" si="71"/>
        <v>Early Career | Low Spender | Higher</v>
      </c>
    </row>
    <row r="2285" spans="1:15" x14ac:dyDescent="0.25">
      <c r="A2285" s="1" t="s">
        <v>2315</v>
      </c>
      <c r="B2285" s="1">
        <v>66</v>
      </c>
      <c r="C2285" s="1" t="str" cm="1">
        <f t="array" ref="C2285">_xlfn.IFS(OR(B2285=" ", B2285="NA",NOT(ISNUMBER(B2285))), "Unknown",B2285&lt;18,"Underage",B2285&lt;=24,"Young Adult",B2285&lt;=34,"Early Career",B2285&lt;=44,"Mid Career",B2285&lt;=54,"Mature",B2285&lt;=65,"Pre-Senior",B2285&gt;65,"Senior")</f>
        <v>Senior</v>
      </c>
      <c r="D2285" s="1" t="s">
        <v>18</v>
      </c>
      <c r="E2285" s="1" t="s">
        <v>49</v>
      </c>
      <c r="F2285" s="1">
        <v>975000</v>
      </c>
      <c r="G2285" s="1">
        <v>31</v>
      </c>
      <c r="H2285" s="1" t="str" cm="1">
        <f t="array" ref="H2285">_xlfn.IFS( OR(G2285=" ",NOT(ISNUMBER(G2285))),"Unknown",G2285&lt;=33,"Low Spender",G2285&lt;=66,"Medium Spender",TRUE, "High Spender")</f>
        <v>Low Spender</v>
      </c>
      <c r="I2285" s="1">
        <v>1</v>
      </c>
      <c r="J2285" s="1">
        <v>6700</v>
      </c>
      <c r="K2285" s="1">
        <v>66</v>
      </c>
      <c r="N2285" s="1" t="str">
        <f t="shared" si="70"/>
        <v>Higher</v>
      </c>
      <c r="O2285" s="1" t="str">
        <f t="shared" si="71"/>
        <v>Senior | Low Spender | Higher</v>
      </c>
    </row>
    <row r="2286" spans="1:15" x14ac:dyDescent="0.25">
      <c r="A2286" s="1" t="s">
        <v>2316</v>
      </c>
      <c r="B2286" s="1">
        <v>47</v>
      </c>
      <c r="C2286" s="1" t="str" cm="1">
        <f t="array" ref="C2286">_xlfn.IFS(OR(B2286=" ", B2286="NA",NOT(ISNUMBER(B2286))), "Unknown",B2286&lt;18,"Underage",B2286&lt;=24,"Young Adult",B2286&lt;=34,"Early Career",B2286&lt;=44,"Mid Career",B2286&lt;=54,"Mature",B2286&lt;=65,"Pre-Senior",B2286&gt;65,"Senior")</f>
        <v>Mature</v>
      </c>
      <c r="D2286" s="1" t="s">
        <v>12</v>
      </c>
      <c r="E2286" s="1" t="s">
        <v>27</v>
      </c>
      <c r="F2286" s="1">
        <v>1225000</v>
      </c>
      <c r="G2286" s="1">
        <v>7</v>
      </c>
      <c r="H2286" s="1" t="str" cm="1">
        <f t="array" ref="H2286">_xlfn.IFS( OR(G2286=" ",NOT(ISNUMBER(G2286))),"Unknown",G2286&lt;=33,"Low Spender",G2286&lt;=66,"Medium Spender",TRUE, "High Spender")</f>
        <v>Low Spender</v>
      </c>
      <c r="I2286" s="1">
        <v>28</v>
      </c>
      <c r="J2286" s="1">
        <v>11800</v>
      </c>
      <c r="K2286" s="1">
        <v>147</v>
      </c>
      <c r="L2286" s="1" t="s">
        <v>20</v>
      </c>
      <c r="M2286" s="1" t="s">
        <v>41</v>
      </c>
      <c r="N2286" s="1" t="str">
        <f t="shared" si="70"/>
        <v>Lower</v>
      </c>
      <c r="O2286" s="1" t="str">
        <f t="shared" si="71"/>
        <v>Mature | Low Spender | Lower</v>
      </c>
    </row>
    <row r="2287" spans="1:15" x14ac:dyDescent="0.25">
      <c r="A2287" s="1" t="s">
        <v>2317</v>
      </c>
      <c r="B2287" s="1">
        <v>38</v>
      </c>
      <c r="C2287" s="1" t="str" cm="1">
        <f t="array" ref="C2287">_xlfn.IFS(OR(B2287=" ", B2287="NA",NOT(ISNUMBER(B2287))), "Unknown",B2287&lt;18,"Underage",B2287&lt;=24,"Young Adult",B2287&lt;=34,"Early Career",B2287&lt;=44,"Mid Career",B2287&lt;=54,"Mature",B2287&lt;=65,"Pre-Senior",B2287&gt;65,"Senior")</f>
        <v>Mid Career</v>
      </c>
      <c r="D2287" s="1" t="s">
        <v>12</v>
      </c>
      <c r="E2287" s="1" t="s">
        <v>15</v>
      </c>
      <c r="F2287" s="1">
        <v>1175000</v>
      </c>
      <c r="G2287" s="1">
        <v>21</v>
      </c>
      <c r="H2287" s="1" t="str" cm="1">
        <f t="array" ref="H2287">_xlfn.IFS( OR(G2287=" ",NOT(ISNUMBER(G2287))),"Unknown",G2287&lt;=33,"Low Spender",G2287&lt;=66,"Medium Spender",TRUE, "High Spender")</f>
        <v>Low Spender</v>
      </c>
      <c r="I2287" s="1">
        <v>62</v>
      </c>
      <c r="J2287" s="1">
        <v>3100</v>
      </c>
      <c r="K2287" s="1">
        <v>158</v>
      </c>
      <c r="L2287" s="1" t="s">
        <v>35</v>
      </c>
      <c r="M2287" s="1" t="s">
        <v>41</v>
      </c>
      <c r="N2287" s="1" t="str">
        <f t="shared" si="70"/>
        <v>Lower</v>
      </c>
      <c r="O2287" s="1" t="str">
        <f t="shared" si="71"/>
        <v>Mid Career | Low Spender | Lower</v>
      </c>
    </row>
    <row r="2288" spans="1:15" x14ac:dyDescent="0.25">
      <c r="A2288" s="1" t="s">
        <v>2318</v>
      </c>
      <c r="B2288" s="1">
        <v>48</v>
      </c>
      <c r="C2288" s="1" t="str" cm="1">
        <f t="array" ref="C2288">_xlfn.IFS(OR(B2288=" ", B2288="NA",NOT(ISNUMBER(B2288))), "Unknown",B2288&lt;18,"Underage",B2288&lt;=24,"Young Adult",B2288&lt;=34,"Early Career",B2288&lt;=44,"Mid Career",B2288&lt;=54,"Mature",B2288&lt;=65,"Pre-Senior",B2288&gt;65,"Senior")</f>
        <v>Mature</v>
      </c>
      <c r="F2288" s="1">
        <v>1125000</v>
      </c>
      <c r="G2288" s="1">
        <v>16</v>
      </c>
      <c r="H2288" s="1" t="str" cm="1">
        <f t="array" ref="H2288">_xlfn.IFS( OR(G2288=" ",NOT(ISNUMBER(G2288))),"Unknown",G2288&lt;=33,"Low Spender",G2288&lt;=66,"Medium Spender",TRUE, "High Spender")</f>
        <v>Low Spender</v>
      </c>
      <c r="I2288" s="1">
        <v>47</v>
      </c>
      <c r="J2288" s="1">
        <v>1600</v>
      </c>
      <c r="K2288" s="1">
        <v>69</v>
      </c>
      <c r="L2288" s="1" t="s">
        <v>35</v>
      </c>
      <c r="N2288" s="1" t="str">
        <f t="shared" si="70"/>
        <v>Lower</v>
      </c>
      <c r="O2288" s="1" t="str">
        <f t="shared" si="71"/>
        <v>Mature | Low Spender | Lower</v>
      </c>
    </row>
    <row r="2289" spans="1:15" x14ac:dyDescent="0.25">
      <c r="A2289" s="1" t="s">
        <v>2319</v>
      </c>
      <c r="B2289" s="1">
        <v>41</v>
      </c>
      <c r="C2289" s="1" t="str" cm="1">
        <f t="array" ref="C2289">_xlfn.IFS(OR(B2289=" ", B2289="NA",NOT(ISNUMBER(B2289))), "Unknown",B2289&lt;18,"Underage",B2289&lt;=24,"Young Adult",B2289&lt;=34,"Early Career",B2289&lt;=44,"Mid Career",B2289&lt;=54,"Mature",B2289&lt;=65,"Pre-Senior",B2289&gt;65,"Senior")</f>
        <v>Mid Career</v>
      </c>
      <c r="E2289" s="1" t="s">
        <v>49</v>
      </c>
      <c r="F2289" s="1">
        <v>425000</v>
      </c>
      <c r="G2289" s="1">
        <v>20</v>
      </c>
      <c r="H2289" s="1" t="str" cm="1">
        <f t="array" ref="H2289">_xlfn.IFS( OR(G2289=" ",NOT(ISNUMBER(G2289))),"Unknown",G2289&lt;=33,"Low Spender",G2289&lt;=66,"Medium Spender",TRUE, "High Spender")</f>
        <v>Low Spender</v>
      </c>
      <c r="I2289" s="1">
        <v>78</v>
      </c>
      <c r="J2289" s="1">
        <v>1900</v>
      </c>
      <c r="K2289" s="1">
        <v>23</v>
      </c>
      <c r="L2289" s="1" t="s">
        <v>37</v>
      </c>
      <c r="M2289" s="1" t="s">
        <v>32</v>
      </c>
      <c r="N2289" s="1" t="str">
        <f t="shared" si="70"/>
        <v>Lower</v>
      </c>
      <c r="O2289" s="1" t="str">
        <f t="shared" si="71"/>
        <v>Mid Career | Low Spender | Lower</v>
      </c>
    </row>
    <row r="2290" spans="1:15" x14ac:dyDescent="0.25">
      <c r="A2290" s="1" t="s">
        <v>2320</v>
      </c>
      <c r="B2290" s="1">
        <v>37</v>
      </c>
      <c r="C2290" s="1" t="str" cm="1">
        <f t="array" ref="C2290">_xlfn.IFS(OR(B2290=" ", B2290="NA",NOT(ISNUMBER(B2290))), "Unknown",B2290&lt;18,"Underage",B2290&lt;=24,"Young Adult",B2290&lt;=34,"Early Career",B2290&lt;=44,"Mid Career",B2290&lt;=54,"Mature",B2290&lt;=65,"Pre-Senior",B2290&gt;65,"Senior")</f>
        <v>Mid Career</v>
      </c>
      <c r="D2290" s="1" t="s">
        <v>18</v>
      </c>
      <c r="E2290" s="1" t="s">
        <v>13</v>
      </c>
      <c r="F2290" s="1">
        <v>175000</v>
      </c>
      <c r="G2290" s="1">
        <v>43</v>
      </c>
      <c r="H2290" s="1" t="str" cm="1">
        <f t="array" ref="H2290">_xlfn.IFS( OR(G2290=" ",NOT(ISNUMBER(G2290))),"Unknown",G2290&lt;=33,"Low Spender",G2290&lt;=66,"Medium Spender",TRUE, "High Spender")</f>
        <v>Medium Spender</v>
      </c>
      <c r="I2290" s="1">
        <v>59</v>
      </c>
      <c r="J2290" s="1">
        <v>1500</v>
      </c>
      <c r="K2290" s="1">
        <v>190</v>
      </c>
      <c r="L2290" s="1" t="s">
        <v>37</v>
      </c>
      <c r="N2290" s="1" t="str">
        <f t="shared" si="70"/>
        <v>Higher</v>
      </c>
      <c r="O2290" s="1" t="str">
        <f t="shared" si="71"/>
        <v>Mid Career | Medium Spender | Higher</v>
      </c>
    </row>
    <row r="2291" spans="1:15" x14ac:dyDescent="0.25">
      <c r="A2291" s="1" t="s">
        <v>2321</v>
      </c>
      <c r="B2291" s="1">
        <v>54</v>
      </c>
      <c r="C2291" s="1" t="str" cm="1">
        <f t="array" ref="C2291">_xlfn.IFS(OR(B2291=" ", B2291="NA",NOT(ISNUMBER(B2291))), "Unknown",B2291&lt;18,"Underage",B2291&lt;=24,"Young Adult",B2291&lt;=34,"Early Career",B2291&lt;=44,"Mid Career",B2291&lt;=54,"Mature",B2291&lt;=65,"Pre-Senior",B2291&gt;65,"Senior")</f>
        <v>Mature</v>
      </c>
      <c r="D2291" s="1" t="s">
        <v>18</v>
      </c>
      <c r="E2291" s="1" t="s">
        <v>15</v>
      </c>
      <c r="F2291" s="1">
        <v>825000</v>
      </c>
      <c r="G2291" s="1">
        <v>44</v>
      </c>
      <c r="H2291" s="1" t="str" cm="1">
        <f t="array" ref="H2291">_xlfn.IFS( OR(G2291=" ",NOT(ISNUMBER(G2291))),"Unknown",G2291&lt;=33,"Low Spender",G2291&lt;=66,"Medium Spender",TRUE, "High Spender")</f>
        <v>Medium Spender</v>
      </c>
      <c r="I2291" s="1">
        <v>31</v>
      </c>
      <c r="J2291" s="1">
        <v>9500</v>
      </c>
      <c r="K2291" s="1">
        <v>248</v>
      </c>
      <c r="N2291" s="1" t="str">
        <f t="shared" si="70"/>
        <v>Higher</v>
      </c>
      <c r="O2291" s="1" t="str">
        <f t="shared" si="71"/>
        <v>Mature | Medium Spender | Higher</v>
      </c>
    </row>
    <row r="2292" spans="1:15" x14ac:dyDescent="0.25">
      <c r="A2292" s="1" t="s">
        <v>2322</v>
      </c>
      <c r="B2292" s="1">
        <v>21</v>
      </c>
      <c r="C2292" s="1" t="str" cm="1">
        <f t="array" ref="C2292">_xlfn.IFS(OR(B2292=" ", B2292="NA",NOT(ISNUMBER(B2292))), "Unknown",B2292&lt;18,"Underage",B2292&lt;=24,"Young Adult",B2292&lt;=34,"Early Career",B2292&lt;=44,"Mid Career",B2292&lt;=54,"Mature",B2292&lt;=65,"Pre-Senior",B2292&gt;65,"Senior")</f>
        <v>Young Adult</v>
      </c>
      <c r="D2292" s="1" t="s">
        <v>18</v>
      </c>
      <c r="E2292" s="1" t="s">
        <v>49</v>
      </c>
      <c r="F2292" s="1">
        <v>1975000</v>
      </c>
      <c r="G2292" s="1">
        <v>47</v>
      </c>
      <c r="H2292" s="1" t="str" cm="1">
        <f t="array" ref="H2292">_xlfn.IFS( OR(G2292=" ",NOT(ISNUMBER(G2292))),"Unknown",G2292&lt;=33,"Low Spender",G2292&lt;=66,"Medium Spender",TRUE, "High Spender")</f>
        <v>Medium Spender</v>
      </c>
      <c r="I2292" s="1">
        <v>70</v>
      </c>
      <c r="J2292" s="1">
        <v>10000</v>
      </c>
      <c r="K2292" s="1">
        <v>309</v>
      </c>
      <c r="M2292" s="1" t="s">
        <v>41</v>
      </c>
      <c r="N2292" s="1" t="str">
        <f t="shared" si="70"/>
        <v>Higher</v>
      </c>
      <c r="O2292" s="1" t="str">
        <f t="shared" si="71"/>
        <v>Young Adult | Medium Spender | Higher</v>
      </c>
    </row>
    <row r="2293" spans="1:15" x14ac:dyDescent="0.25">
      <c r="A2293" s="1" t="s">
        <v>2323</v>
      </c>
      <c r="B2293" s="1">
        <v>45</v>
      </c>
      <c r="C2293" s="1" t="str" cm="1">
        <f t="array" ref="C2293">_xlfn.IFS(OR(B2293=" ", B2293="NA",NOT(ISNUMBER(B2293))), "Unknown",B2293&lt;18,"Underage",B2293&lt;=24,"Young Adult",B2293&lt;=34,"Early Career",B2293&lt;=44,"Mid Career",B2293&lt;=54,"Mature",B2293&lt;=65,"Pre-Senior",B2293&gt;65,"Senior")</f>
        <v>Mature</v>
      </c>
      <c r="D2293" s="1" t="s">
        <v>12</v>
      </c>
      <c r="E2293" s="1" t="s">
        <v>23</v>
      </c>
      <c r="F2293" s="1">
        <v>1800000</v>
      </c>
      <c r="G2293" s="1">
        <v>19</v>
      </c>
      <c r="H2293" s="1" t="str" cm="1">
        <f t="array" ref="H2293">_xlfn.IFS( OR(G2293=" ",NOT(ISNUMBER(G2293))),"Unknown",G2293&lt;=33,"Low Spender",G2293&lt;=66,"Medium Spender",TRUE, "High Spender")</f>
        <v>Low Spender</v>
      </c>
      <c r="I2293" s="1">
        <v>49</v>
      </c>
      <c r="J2293" s="1">
        <v>9300</v>
      </c>
      <c r="K2293" s="1">
        <v>145</v>
      </c>
      <c r="L2293" s="1" t="s">
        <v>20</v>
      </c>
      <c r="M2293" s="1" t="s">
        <v>21</v>
      </c>
      <c r="N2293" s="1" t="str">
        <f t="shared" si="70"/>
        <v>Lower</v>
      </c>
      <c r="O2293" s="1" t="str">
        <f t="shared" si="71"/>
        <v>Mature | Low Spender | Lower</v>
      </c>
    </row>
    <row r="2294" spans="1:15" x14ac:dyDescent="0.25">
      <c r="A2294" s="1" t="s">
        <v>2324</v>
      </c>
      <c r="B2294" s="1">
        <v>61</v>
      </c>
      <c r="C2294" s="1" t="str" cm="1">
        <f t="array" ref="C2294">_xlfn.IFS(OR(B2294=" ", B2294="NA",NOT(ISNUMBER(B2294))), "Unknown",B2294&lt;18,"Underage",B2294&lt;=24,"Young Adult",B2294&lt;=34,"Early Career",B2294&lt;=44,"Mid Career",B2294&lt;=54,"Mature",B2294&lt;=65,"Pre-Senior",B2294&gt;65,"Senior")</f>
        <v>Pre-Senior</v>
      </c>
      <c r="D2294" s="1" t="s">
        <v>12</v>
      </c>
      <c r="E2294" s="1" t="s">
        <v>15</v>
      </c>
      <c r="F2294" s="1">
        <v>1900000</v>
      </c>
      <c r="G2294" s="1">
        <v>48</v>
      </c>
      <c r="H2294" s="1" t="str" cm="1">
        <f t="array" ref="H2294">_xlfn.IFS( OR(G2294=" ",NOT(ISNUMBER(G2294))),"Unknown",G2294&lt;=33,"Low Spender",G2294&lt;=66,"Medium Spender",TRUE, "High Spender")</f>
        <v>Medium Spender</v>
      </c>
      <c r="I2294" s="1">
        <v>5</v>
      </c>
      <c r="J2294" s="1">
        <v>6500</v>
      </c>
      <c r="K2294" s="1">
        <v>305</v>
      </c>
      <c r="L2294" s="1" t="s">
        <v>35</v>
      </c>
      <c r="M2294" s="1" t="s">
        <v>32</v>
      </c>
      <c r="N2294" s="1" t="str">
        <f t="shared" si="70"/>
        <v>Lower</v>
      </c>
      <c r="O2294" s="1" t="str">
        <f t="shared" si="71"/>
        <v>Pre-Senior | Medium Spender | Lower</v>
      </c>
    </row>
    <row r="2295" spans="1:15" x14ac:dyDescent="0.25">
      <c r="A2295" s="1" t="s">
        <v>2325</v>
      </c>
      <c r="B2295" s="1">
        <v>37</v>
      </c>
      <c r="C2295" s="1" t="str" cm="1">
        <f t="array" ref="C2295">_xlfn.IFS(OR(B2295=" ", B2295="NA",NOT(ISNUMBER(B2295))), "Unknown",B2295&lt;18,"Underage",B2295&lt;=24,"Young Adult",B2295&lt;=34,"Early Career",B2295&lt;=44,"Mid Career",B2295&lt;=54,"Mature",B2295&lt;=65,"Pre-Senior",B2295&gt;65,"Senior")</f>
        <v>Mid Career</v>
      </c>
      <c r="D2295" s="1" t="s">
        <v>29</v>
      </c>
      <c r="F2295" s="1">
        <v>1925000</v>
      </c>
      <c r="G2295" s="1">
        <v>96</v>
      </c>
      <c r="H2295" s="1" t="str" cm="1">
        <f t="array" ref="H2295">_xlfn.IFS( OR(G2295=" ",NOT(ISNUMBER(G2295))),"Unknown",G2295&lt;=33,"Low Spender",G2295&lt;=66,"Medium Spender",TRUE, "High Spender")</f>
        <v>High Spender</v>
      </c>
      <c r="I2295" s="1">
        <v>31</v>
      </c>
      <c r="J2295" s="1">
        <v>11200</v>
      </c>
      <c r="K2295" s="1">
        <v>177</v>
      </c>
      <c r="M2295" s="1" t="s">
        <v>21</v>
      </c>
      <c r="N2295" s="1" t="str">
        <f t="shared" si="70"/>
        <v>Higher</v>
      </c>
      <c r="O2295" s="1" t="str">
        <f t="shared" si="71"/>
        <v>Mid Career | High Spender | Higher</v>
      </c>
    </row>
    <row r="2296" spans="1:15" x14ac:dyDescent="0.25">
      <c r="A2296" s="1" t="s">
        <v>2326</v>
      </c>
      <c r="B2296" s="1">
        <v>41</v>
      </c>
      <c r="C2296" s="1" t="str" cm="1">
        <f t="array" ref="C2296">_xlfn.IFS(OR(B2296=" ", B2296="NA",NOT(ISNUMBER(B2296))), "Unknown",B2296&lt;18,"Underage",B2296&lt;=24,"Young Adult",B2296&lt;=34,"Early Career",B2296&lt;=44,"Mid Career",B2296&lt;=54,"Mature",B2296&lt;=65,"Pre-Senior",B2296&gt;65,"Senior")</f>
        <v>Mid Career</v>
      </c>
      <c r="E2296" s="1" t="s">
        <v>49</v>
      </c>
      <c r="G2296" s="1">
        <v>79</v>
      </c>
      <c r="H2296" s="1" t="str" cm="1">
        <f t="array" ref="H2296">_xlfn.IFS( OR(G2296=" ",NOT(ISNUMBER(G2296))),"Unknown",G2296&lt;=33,"Low Spender",G2296&lt;=66,"Medium Spender",TRUE, "High Spender")</f>
        <v>High Spender</v>
      </c>
      <c r="I2296" s="1">
        <v>37</v>
      </c>
      <c r="J2296" s="1">
        <v>3500</v>
      </c>
      <c r="K2296" s="1">
        <v>195</v>
      </c>
      <c r="M2296" s="1" t="s">
        <v>21</v>
      </c>
      <c r="N2296" s="1" t="str">
        <f t="shared" si="70"/>
        <v>Lower</v>
      </c>
      <c r="O2296" s="1" t="str">
        <f t="shared" si="71"/>
        <v>Mid Career | High Spender | Lower</v>
      </c>
    </row>
    <row r="2297" spans="1:15" x14ac:dyDescent="0.25">
      <c r="A2297" s="1" t="s">
        <v>2327</v>
      </c>
      <c r="B2297" s="1">
        <v>67</v>
      </c>
      <c r="C2297" s="1" t="str" cm="1">
        <f t="array" ref="C2297">_xlfn.IFS(OR(B2297=" ", B2297="NA",NOT(ISNUMBER(B2297))), "Unknown",B2297&lt;18,"Underage",B2297&lt;=24,"Young Adult",B2297&lt;=34,"Early Career",B2297&lt;=44,"Mid Career",B2297&lt;=54,"Mature",B2297&lt;=65,"Pre-Senior",B2297&gt;65,"Senior")</f>
        <v>Senior</v>
      </c>
      <c r="D2297" s="1" t="s">
        <v>29</v>
      </c>
      <c r="E2297" s="1" t="s">
        <v>34</v>
      </c>
      <c r="F2297" s="1">
        <v>375000</v>
      </c>
      <c r="G2297" s="1">
        <v>69</v>
      </c>
      <c r="H2297" s="1" t="str" cm="1">
        <f t="array" ref="H2297">_xlfn.IFS( OR(G2297=" ",NOT(ISNUMBER(G2297))),"Unknown",G2297&lt;=33,"Low Spender",G2297&lt;=66,"Medium Spender",TRUE, "High Spender")</f>
        <v>High Spender</v>
      </c>
      <c r="I2297" s="1">
        <v>79</v>
      </c>
      <c r="J2297" s="1">
        <v>3100</v>
      </c>
      <c r="K2297" s="1">
        <v>13</v>
      </c>
      <c r="L2297" s="1" t="s">
        <v>37</v>
      </c>
      <c r="M2297" s="1" t="s">
        <v>30</v>
      </c>
      <c r="N2297" s="1" t="str">
        <f t="shared" si="70"/>
        <v>Higher</v>
      </c>
      <c r="O2297" s="1" t="str">
        <f t="shared" si="71"/>
        <v>Senior | High Spender | Higher</v>
      </c>
    </row>
    <row r="2298" spans="1:15" x14ac:dyDescent="0.25">
      <c r="A2298" s="1" t="s">
        <v>2328</v>
      </c>
      <c r="B2298" s="1">
        <v>66</v>
      </c>
      <c r="C2298" s="1" t="str" cm="1">
        <f t="array" ref="C2298">_xlfn.IFS(OR(B2298=" ", B2298="NA",NOT(ISNUMBER(B2298))), "Unknown",B2298&lt;18,"Underage",B2298&lt;=24,"Young Adult",B2298&lt;=34,"Early Career",B2298&lt;=44,"Mid Career",B2298&lt;=54,"Mature",B2298&lt;=65,"Pre-Senior",B2298&gt;65,"Senior")</f>
        <v>Senior</v>
      </c>
      <c r="D2298" s="1" t="s">
        <v>29</v>
      </c>
      <c r="F2298" s="1">
        <v>1550000</v>
      </c>
      <c r="G2298" s="1">
        <v>11</v>
      </c>
      <c r="H2298" s="1" t="str" cm="1">
        <f t="array" ref="H2298">_xlfn.IFS( OR(G2298=" ",NOT(ISNUMBER(G2298))),"Unknown",G2298&lt;=33,"Low Spender",G2298&lt;=66,"Medium Spender",TRUE, "High Spender")</f>
        <v>Low Spender</v>
      </c>
      <c r="I2298" s="1">
        <v>15</v>
      </c>
      <c r="J2298" s="1">
        <v>3900</v>
      </c>
      <c r="K2298" s="1">
        <v>364</v>
      </c>
      <c r="L2298" s="1" t="s">
        <v>35</v>
      </c>
      <c r="M2298" s="1" t="s">
        <v>21</v>
      </c>
      <c r="N2298" s="1" t="str">
        <f t="shared" si="70"/>
        <v>Higher</v>
      </c>
      <c r="O2298" s="1" t="str">
        <f t="shared" si="71"/>
        <v>Senior | Low Spender | Higher</v>
      </c>
    </row>
    <row r="2299" spans="1:15" x14ac:dyDescent="0.25">
      <c r="A2299" s="1" t="s">
        <v>2329</v>
      </c>
      <c r="B2299" s="1">
        <v>68</v>
      </c>
      <c r="C2299" s="1" t="str" cm="1">
        <f t="array" ref="C2299">_xlfn.IFS(OR(B2299=" ", B2299="NA",NOT(ISNUMBER(B2299))), "Unknown",B2299&lt;18,"Underage",B2299&lt;=24,"Young Adult",B2299&lt;=34,"Early Career",B2299&lt;=44,"Mid Career",B2299&lt;=54,"Mature",B2299&lt;=65,"Pre-Senior",B2299&gt;65,"Senior")</f>
        <v>Senior</v>
      </c>
      <c r="D2299" s="1" t="s">
        <v>12</v>
      </c>
      <c r="E2299" s="1" t="s">
        <v>23</v>
      </c>
      <c r="F2299" s="1">
        <v>1050000</v>
      </c>
      <c r="G2299" s="1">
        <v>79</v>
      </c>
      <c r="H2299" s="1" t="str" cm="1">
        <f t="array" ref="H2299">_xlfn.IFS( OR(G2299=" ",NOT(ISNUMBER(G2299))),"Unknown",G2299&lt;=33,"Low Spender",G2299&lt;=66,"Medium Spender",TRUE, "High Spender")</f>
        <v>High Spender</v>
      </c>
      <c r="I2299" s="1">
        <v>52</v>
      </c>
      <c r="J2299" s="1">
        <v>10500</v>
      </c>
      <c r="K2299" s="1">
        <v>166</v>
      </c>
      <c r="L2299" s="1" t="s">
        <v>16</v>
      </c>
      <c r="M2299" s="1" t="s">
        <v>21</v>
      </c>
      <c r="N2299" s="1" t="str">
        <f t="shared" si="70"/>
        <v>Lower</v>
      </c>
      <c r="O2299" s="1" t="str">
        <f t="shared" si="71"/>
        <v>Senior | High Spender | Lower</v>
      </c>
    </row>
    <row r="2300" spans="1:15" x14ac:dyDescent="0.25">
      <c r="A2300" s="1" t="s">
        <v>2330</v>
      </c>
      <c r="B2300" s="1">
        <v>49</v>
      </c>
      <c r="C2300" s="1" t="str" cm="1">
        <f t="array" ref="C2300">_xlfn.IFS(OR(B2300=" ", B2300="NA",NOT(ISNUMBER(B2300))), "Unknown",B2300&lt;18,"Underage",B2300&lt;=24,"Young Adult",B2300&lt;=34,"Early Career",B2300&lt;=44,"Mid Career",B2300&lt;=54,"Mature",B2300&lt;=65,"Pre-Senior",B2300&gt;65,"Senior")</f>
        <v>Mature</v>
      </c>
      <c r="D2300" s="1" t="s">
        <v>29</v>
      </c>
      <c r="F2300" s="1" t="s">
        <v>25</v>
      </c>
      <c r="G2300" s="1">
        <v>29</v>
      </c>
      <c r="H2300" s="1" t="str" cm="1">
        <f t="array" ref="H2300">_xlfn.IFS( OR(G2300=" ",NOT(ISNUMBER(G2300))),"Unknown",G2300&lt;=33,"Low Spender",G2300&lt;=66,"Medium Spender",TRUE, "High Spender")</f>
        <v>Low Spender</v>
      </c>
      <c r="I2300" s="1">
        <v>69</v>
      </c>
      <c r="J2300" s="1">
        <v>8500</v>
      </c>
      <c r="K2300" s="1">
        <v>150</v>
      </c>
      <c r="N2300" s="1" t="str">
        <f t="shared" si="70"/>
        <v>Higher</v>
      </c>
      <c r="O2300" s="1" t="str">
        <f t="shared" si="71"/>
        <v>Mature | Low Spender | Higher</v>
      </c>
    </row>
    <row r="2301" spans="1:15" x14ac:dyDescent="0.25">
      <c r="A2301" s="1" t="s">
        <v>2331</v>
      </c>
      <c r="B2301" s="1">
        <v>58</v>
      </c>
      <c r="C2301" s="1" t="str" cm="1">
        <f t="array" ref="C2301">_xlfn.IFS(OR(B2301=" ", B2301="NA",NOT(ISNUMBER(B2301))), "Unknown",B2301&lt;18,"Underage",B2301&lt;=24,"Young Adult",B2301&lt;=34,"Early Career",B2301&lt;=44,"Mid Career",B2301&lt;=54,"Mature",B2301&lt;=65,"Pre-Senior",B2301&gt;65,"Senior")</f>
        <v>Pre-Senior</v>
      </c>
      <c r="D2301" s="1" t="s">
        <v>18</v>
      </c>
      <c r="E2301" s="1" t="s">
        <v>19</v>
      </c>
      <c r="F2301" s="1">
        <v>1725000</v>
      </c>
      <c r="G2301" s="1">
        <v>45</v>
      </c>
      <c r="H2301" s="1" t="str" cm="1">
        <f t="array" ref="H2301">_xlfn.IFS( OR(G2301=" ",NOT(ISNUMBER(G2301))),"Unknown",G2301&lt;=33,"Low Spender",G2301&lt;=66,"Medium Spender",TRUE, "High Spender")</f>
        <v>Medium Spender</v>
      </c>
      <c r="I2301" s="1">
        <v>11</v>
      </c>
      <c r="J2301" s="1">
        <v>4800</v>
      </c>
      <c r="K2301" s="1">
        <v>341</v>
      </c>
      <c r="M2301" s="1" t="s">
        <v>30</v>
      </c>
      <c r="N2301" s="1" t="str">
        <f t="shared" si="70"/>
        <v>Higher</v>
      </c>
      <c r="O2301" s="1" t="str">
        <f t="shared" si="71"/>
        <v>Pre-Senior | Medium Spender | Higher</v>
      </c>
    </row>
    <row r="2302" spans="1:15" x14ac:dyDescent="0.25">
      <c r="A2302" s="1" t="s">
        <v>2332</v>
      </c>
      <c r="B2302" s="1">
        <v>53</v>
      </c>
      <c r="C2302" s="1" t="str" cm="1">
        <f t="array" ref="C2302">_xlfn.IFS(OR(B2302=" ", B2302="NA",NOT(ISNUMBER(B2302))), "Unknown",B2302&lt;18,"Underage",B2302&lt;=24,"Young Adult",B2302&lt;=34,"Early Career",B2302&lt;=44,"Mid Career",B2302&lt;=54,"Mature",B2302&lt;=65,"Pre-Senior",B2302&gt;65,"Senior")</f>
        <v>Mature</v>
      </c>
      <c r="E2302" s="1" t="s">
        <v>49</v>
      </c>
      <c r="F2302" s="1">
        <v>1125000</v>
      </c>
      <c r="G2302" s="1">
        <v>68</v>
      </c>
      <c r="H2302" s="1" t="str" cm="1">
        <f t="array" ref="H2302">_xlfn.IFS( OR(G2302=" ",NOT(ISNUMBER(G2302))),"Unknown",G2302&lt;=33,"Low Spender",G2302&lt;=66,"Medium Spender",TRUE, "High Spender")</f>
        <v>High Spender</v>
      </c>
      <c r="I2302" s="1">
        <v>43</v>
      </c>
      <c r="J2302" s="1">
        <v>2600</v>
      </c>
      <c r="K2302" s="1">
        <v>45</v>
      </c>
      <c r="L2302" s="1" t="s">
        <v>37</v>
      </c>
      <c r="M2302" s="1" t="s">
        <v>30</v>
      </c>
      <c r="N2302" s="1" t="str">
        <f t="shared" si="70"/>
        <v>Lower</v>
      </c>
      <c r="O2302" s="1" t="str">
        <f t="shared" si="71"/>
        <v>Mature | High Spender | Lower</v>
      </c>
    </row>
    <row r="2303" spans="1:15" x14ac:dyDescent="0.25">
      <c r="A2303" s="1" t="s">
        <v>2333</v>
      </c>
      <c r="C2303" s="1" t="str" cm="1">
        <f t="array" ref="C2303">_xlfn.IFS(OR(B2303=" ", B2303="NA",NOT(ISNUMBER(B2303))), "Unknown",B2303&lt;18,"Underage",B2303&lt;=24,"Young Adult",B2303&lt;=34,"Early Career",B2303&lt;=44,"Mid Career",B2303&lt;=54,"Mature",B2303&lt;=65,"Pre-Senior",B2303&gt;65,"Senior")</f>
        <v>Unknown</v>
      </c>
      <c r="E2303" s="1" t="s">
        <v>13</v>
      </c>
      <c r="F2303" s="1">
        <v>1625000</v>
      </c>
      <c r="G2303" s="1">
        <v>36</v>
      </c>
      <c r="H2303" s="1" t="str" cm="1">
        <f t="array" ref="H2303">_xlfn.IFS( OR(G2303=" ",NOT(ISNUMBER(G2303))),"Unknown",G2303&lt;=33,"Low Spender",G2303&lt;=66,"Medium Spender",TRUE, "High Spender")</f>
        <v>Medium Spender</v>
      </c>
      <c r="I2303" s="1">
        <v>70</v>
      </c>
      <c r="J2303" s="1">
        <v>1600</v>
      </c>
      <c r="K2303" s="1">
        <v>174</v>
      </c>
      <c r="L2303" s="1" t="s">
        <v>35</v>
      </c>
      <c r="M2303" s="1" t="s">
        <v>30</v>
      </c>
      <c r="N2303" s="1" t="str">
        <f t="shared" si="70"/>
        <v>Lower</v>
      </c>
      <c r="O2303" s="1" t="str">
        <f t="shared" si="71"/>
        <v>Unknown | Medium Spender | Lower</v>
      </c>
    </row>
    <row r="2304" spans="1:15" x14ac:dyDescent="0.25">
      <c r="A2304" s="1" t="s">
        <v>2334</v>
      </c>
      <c r="B2304" s="1">
        <v>51</v>
      </c>
      <c r="C2304" s="1" t="str" cm="1">
        <f t="array" ref="C2304">_xlfn.IFS(OR(B2304=" ", B2304="NA",NOT(ISNUMBER(B2304))), "Unknown",B2304&lt;18,"Underage",B2304&lt;=24,"Young Adult",B2304&lt;=34,"Early Career",B2304&lt;=44,"Mid Career",B2304&lt;=54,"Mature",B2304&lt;=65,"Pre-Senior",B2304&gt;65,"Senior")</f>
        <v>Mature</v>
      </c>
      <c r="D2304" s="1" t="s">
        <v>18</v>
      </c>
      <c r="E2304" s="1" t="s">
        <v>49</v>
      </c>
      <c r="F2304" s="1">
        <v>1325000</v>
      </c>
      <c r="G2304" s="1">
        <v>48</v>
      </c>
      <c r="H2304" s="1" t="str" cm="1">
        <f t="array" ref="H2304">_xlfn.IFS( OR(G2304=" ",NOT(ISNUMBER(G2304))),"Unknown",G2304&lt;=33,"Low Spender",G2304&lt;=66,"Medium Spender",TRUE, "High Spender")</f>
        <v>Medium Spender</v>
      </c>
      <c r="I2304" s="1">
        <v>23</v>
      </c>
      <c r="J2304" s="1">
        <v>11300</v>
      </c>
      <c r="K2304" s="1">
        <v>167</v>
      </c>
      <c r="N2304" s="1" t="str">
        <f t="shared" si="70"/>
        <v>Higher</v>
      </c>
      <c r="O2304" s="1" t="str">
        <f t="shared" si="71"/>
        <v>Mature | Medium Spender | Higher</v>
      </c>
    </row>
    <row r="2305" spans="1:15" x14ac:dyDescent="0.25">
      <c r="A2305" s="1" t="s">
        <v>2335</v>
      </c>
      <c r="B2305" s="1">
        <v>53</v>
      </c>
      <c r="C2305" s="1" t="str" cm="1">
        <f t="array" ref="C2305">_xlfn.IFS(OR(B2305=" ", B2305="NA",NOT(ISNUMBER(B2305))), "Unknown",B2305&lt;18,"Underage",B2305&lt;=24,"Young Adult",B2305&lt;=34,"Early Career",B2305&lt;=44,"Mid Career",B2305&lt;=54,"Mature",B2305&lt;=65,"Pre-Senior",B2305&gt;65,"Senior")</f>
        <v>Mature</v>
      </c>
      <c r="D2305" s="1" t="s">
        <v>18</v>
      </c>
      <c r="E2305" s="1" t="s">
        <v>19</v>
      </c>
      <c r="F2305" s="1">
        <v>600000</v>
      </c>
      <c r="G2305" s="1">
        <v>87</v>
      </c>
      <c r="H2305" s="1" t="str" cm="1">
        <f t="array" ref="H2305">_xlfn.IFS( OR(G2305=" ",NOT(ISNUMBER(G2305))),"Unknown",G2305&lt;=33,"Low Spender",G2305&lt;=66,"Medium Spender",TRUE, "High Spender")</f>
        <v>High Spender</v>
      </c>
      <c r="I2305" s="1">
        <v>40</v>
      </c>
      <c r="J2305" s="1">
        <v>10300</v>
      </c>
      <c r="K2305" s="1">
        <v>197</v>
      </c>
      <c r="M2305" s="1" t="s">
        <v>30</v>
      </c>
      <c r="N2305" s="1" t="str">
        <f t="shared" si="70"/>
        <v>Higher</v>
      </c>
      <c r="O2305" s="1" t="str">
        <f t="shared" si="71"/>
        <v>Mature | High Spender | Higher</v>
      </c>
    </row>
    <row r="2306" spans="1:15" x14ac:dyDescent="0.25">
      <c r="A2306" s="1" t="s">
        <v>2336</v>
      </c>
      <c r="B2306" s="1">
        <v>19</v>
      </c>
      <c r="C2306" s="1" t="str" cm="1">
        <f t="array" ref="C2306">_xlfn.IFS(OR(B2306=" ", B2306="NA",NOT(ISNUMBER(B2306))), "Unknown",B2306&lt;18,"Underage",B2306&lt;=24,"Young Adult",B2306&lt;=34,"Early Career",B2306&lt;=44,"Mid Career",B2306&lt;=54,"Mature",B2306&lt;=65,"Pre-Senior",B2306&gt;65,"Senior")</f>
        <v>Young Adult</v>
      </c>
      <c r="D2306" s="1" t="s">
        <v>18</v>
      </c>
      <c r="E2306" s="1" t="s">
        <v>23</v>
      </c>
      <c r="F2306" s="1">
        <v>1925000</v>
      </c>
      <c r="G2306" s="1">
        <v>15</v>
      </c>
      <c r="H2306" s="1" t="str" cm="1">
        <f t="array" ref="H2306">_xlfn.IFS( OR(G2306=" ",NOT(ISNUMBER(G2306))),"Unknown",G2306&lt;=33,"Low Spender",G2306&lt;=66,"Medium Spender",TRUE, "High Spender")</f>
        <v>Low Spender</v>
      </c>
      <c r="I2306" s="1">
        <v>63</v>
      </c>
      <c r="J2306" s="1">
        <v>700</v>
      </c>
      <c r="K2306" s="1">
        <v>206</v>
      </c>
      <c r="N2306" s="1" t="str">
        <f t="shared" ref="N2306:N2369" si="72">IF(OR(UPPER(TRIM(D2306))="Male",UPPER(TRIM(D2306))="Female"),"Higher","Lower")</f>
        <v>Higher</v>
      </c>
      <c r="O2306" s="1" t="str">
        <f t="shared" ref="O2306:O2369" si="73">_xlfn.TEXTJOIN(" | ", TRUE, C2306, H2306, N2306)</f>
        <v>Young Adult | Low Spender | Higher</v>
      </c>
    </row>
    <row r="2307" spans="1:15" x14ac:dyDescent="0.25">
      <c r="A2307" s="1" t="s">
        <v>2337</v>
      </c>
      <c r="B2307" s="1">
        <v>32</v>
      </c>
      <c r="C2307" s="1" t="str" cm="1">
        <f t="array" ref="C2307">_xlfn.IFS(OR(B2307=" ", B2307="NA",NOT(ISNUMBER(B2307))), "Unknown",B2307&lt;18,"Underage",B2307&lt;=24,"Young Adult",B2307&lt;=34,"Early Career",B2307&lt;=44,"Mid Career",B2307&lt;=54,"Mature",B2307&lt;=65,"Pre-Senior",B2307&gt;65,"Senior")</f>
        <v>Early Career</v>
      </c>
      <c r="D2307" s="1" t="s">
        <v>29</v>
      </c>
      <c r="E2307" s="1" t="s">
        <v>23</v>
      </c>
      <c r="F2307" s="1">
        <v>950000</v>
      </c>
      <c r="G2307" s="1">
        <v>44</v>
      </c>
      <c r="H2307" s="1" t="str" cm="1">
        <f t="array" ref="H2307">_xlfn.IFS( OR(G2307=" ",NOT(ISNUMBER(G2307))),"Unknown",G2307&lt;=33,"Low Spender",G2307&lt;=66,"Medium Spender",TRUE, "High Spender")</f>
        <v>Medium Spender</v>
      </c>
      <c r="I2307" s="1">
        <v>2</v>
      </c>
      <c r="J2307" s="1">
        <v>5500</v>
      </c>
      <c r="K2307" s="1">
        <v>82</v>
      </c>
      <c r="L2307" s="1" t="s">
        <v>20</v>
      </c>
      <c r="N2307" s="1" t="str">
        <f t="shared" si="72"/>
        <v>Higher</v>
      </c>
      <c r="O2307" s="1" t="str">
        <f t="shared" si="73"/>
        <v>Early Career | Medium Spender | Higher</v>
      </c>
    </row>
    <row r="2308" spans="1:15" x14ac:dyDescent="0.25">
      <c r="A2308" s="1" t="s">
        <v>2338</v>
      </c>
      <c r="B2308" s="1">
        <v>51</v>
      </c>
      <c r="C2308" s="1" t="str" cm="1">
        <f t="array" ref="C2308">_xlfn.IFS(OR(B2308=" ", B2308="NA",NOT(ISNUMBER(B2308))), "Unknown",B2308&lt;18,"Underage",B2308&lt;=24,"Young Adult",B2308&lt;=34,"Early Career",B2308&lt;=44,"Mid Career",B2308&lt;=54,"Mature",B2308&lt;=65,"Pre-Senior",B2308&gt;65,"Senior")</f>
        <v>Mature</v>
      </c>
      <c r="F2308" s="1">
        <v>1225000</v>
      </c>
      <c r="G2308" s="1">
        <v>67</v>
      </c>
      <c r="H2308" s="1" t="str" cm="1">
        <f t="array" ref="H2308">_xlfn.IFS( OR(G2308=" ",NOT(ISNUMBER(G2308))),"Unknown",G2308&lt;=33,"Low Spender",G2308&lt;=66,"Medium Spender",TRUE, "High Spender")</f>
        <v>High Spender</v>
      </c>
      <c r="I2308" s="1">
        <v>79</v>
      </c>
      <c r="J2308" s="1">
        <v>9000</v>
      </c>
      <c r="K2308" s="1">
        <v>68</v>
      </c>
      <c r="L2308" s="1" t="s">
        <v>16</v>
      </c>
      <c r="M2308" s="1" t="s">
        <v>32</v>
      </c>
      <c r="N2308" s="1" t="str">
        <f t="shared" si="72"/>
        <v>Lower</v>
      </c>
      <c r="O2308" s="1" t="str">
        <f t="shared" si="73"/>
        <v>Mature | High Spender | Lower</v>
      </c>
    </row>
    <row r="2309" spans="1:15" x14ac:dyDescent="0.25">
      <c r="A2309" s="1" t="s">
        <v>2339</v>
      </c>
      <c r="B2309" s="1">
        <v>53</v>
      </c>
      <c r="C2309" s="1" t="str" cm="1">
        <f t="array" ref="C2309">_xlfn.IFS(OR(B2309=" ", B2309="NA",NOT(ISNUMBER(B2309))), "Unknown",B2309&lt;18,"Underage",B2309&lt;=24,"Young Adult",B2309&lt;=34,"Early Career",B2309&lt;=44,"Mid Career",B2309&lt;=54,"Mature",B2309&lt;=65,"Pre-Senior",B2309&gt;65,"Senior")</f>
        <v>Mature</v>
      </c>
      <c r="D2309" s="1" t="s">
        <v>29</v>
      </c>
      <c r="E2309" s="1" t="s">
        <v>15</v>
      </c>
      <c r="F2309" s="1">
        <v>1050000</v>
      </c>
      <c r="G2309" s="1">
        <v>96</v>
      </c>
      <c r="H2309" s="1" t="str" cm="1">
        <f t="array" ref="H2309">_xlfn.IFS( OR(G2309=" ",NOT(ISNUMBER(G2309))),"Unknown",G2309&lt;=33,"Low Spender",G2309&lt;=66,"Medium Spender",TRUE, "High Spender")</f>
        <v>High Spender</v>
      </c>
      <c r="I2309" s="1">
        <v>73</v>
      </c>
      <c r="J2309" s="1">
        <v>10000</v>
      </c>
      <c r="K2309" s="1">
        <v>97</v>
      </c>
      <c r="L2309" s="1" t="s">
        <v>37</v>
      </c>
      <c r="N2309" s="1" t="str">
        <f t="shared" si="72"/>
        <v>Higher</v>
      </c>
      <c r="O2309" s="1" t="str">
        <f t="shared" si="73"/>
        <v>Mature | High Spender | Higher</v>
      </c>
    </row>
    <row r="2310" spans="1:15" x14ac:dyDescent="0.25">
      <c r="A2310" s="1" t="s">
        <v>2340</v>
      </c>
      <c r="B2310" s="1">
        <v>23</v>
      </c>
      <c r="C2310" s="1" t="str" cm="1">
        <f t="array" ref="C2310">_xlfn.IFS(OR(B2310=" ", B2310="NA",NOT(ISNUMBER(B2310))), "Unknown",B2310&lt;18,"Underage",B2310&lt;=24,"Young Adult",B2310&lt;=34,"Early Career",B2310&lt;=44,"Mid Career",B2310&lt;=54,"Mature",B2310&lt;=65,"Pre-Senior",B2310&gt;65,"Senior")</f>
        <v>Young Adult</v>
      </c>
      <c r="D2310" s="1" t="s">
        <v>18</v>
      </c>
      <c r="E2310" s="1" t="s">
        <v>13</v>
      </c>
      <c r="F2310" s="1">
        <v>1025000</v>
      </c>
      <c r="G2310" s="1">
        <v>74</v>
      </c>
      <c r="H2310" s="1" t="str" cm="1">
        <f t="array" ref="H2310">_xlfn.IFS( OR(G2310=" ",NOT(ISNUMBER(G2310))),"Unknown",G2310&lt;=33,"Low Spender",G2310&lt;=66,"Medium Spender",TRUE, "High Spender")</f>
        <v>High Spender</v>
      </c>
      <c r="I2310" s="1">
        <v>47</v>
      </c>
      <c r="J2310" s="1">
        <v>11600</v>
      </c>
      <c r="K2310" s="1">
        <v>167</v>
      </c>
      <c r="M2310" s="1" t="s">
        <v>32</v>
      </c>
      <c r="N2310" s="1" t="str">
        <f t="shared" si="72"/>
        <v>Higher</v>
      </c>
      <c r="O2310" s="1" t="str">
        <f t="shared" si="73"/>
        <v>Young Adult | High Spender | Higher</v>
      </c>
    </row>
    <row r="2311" spans="1:15" x14ac:dyDescent="0.25">
      <c r="A2311" s="1" t="s">
        <v>2341</v>
      </c>
      <c r="B2311" s="1">
        <v>56</v>
      </c>
      <c r="C2311" s="1" t="str" cm="1">
        <f t="array" ref="C2311">_xlfn.IFS(OR(B2311=" ", B2311="NA",NOT(ISNUMBER(B2311))), "Unknown",B2311&lt;18,"Underage",B2311&lt;=24,"Young Adult",B2311&lt;=34,"Early Career",B2311&lt;=44,"Mid Career",B2311&lt;=54,"Mature",B2311&lt;=65,"Pre-Senior",B2311&gt;65,"Senior")</f>
        <v>Pre-Senior</v>
      </c>
      <c r="D2311" s="1" t="s">
        <v>18</v>
      </c>
      <c r="F2311" s="1">
        <v>650000</v>
      </c>
      <c r="G2311" s="1">
        <v>40</v>
      </c>
      <c r="H2311" s="1" t="str" cm="1">
        <f t="array" ref="H2311">_xlfn.IFS( OR(G2311=" ",NOT(ISNUMBER(G2311))),"Unknown",G2311&lt;=33,"Low Spender",G2311&lt;=66,"Medium Spender",TRUE, "High Spender")</f>
        <v>Medium Spender</v>
      </c>
      <c r="I2311" s="1">
        <v>30</v>
      </c>
      <c r="J2311" s="1">
        <v>9700</v>
      </c>
      <c r="K2311" s="1">
        <v>77</v>
      </c>
      <c r="L2311" s="1" t="s">
        <v>20</v>
      </c>
      <c r="M2311" s="1" t="s">
        <v>30</v>
      </c>
      <c r="N2311" s="1" t="str">
        <f t="shared" si="72"/>
        <v>Higher</v>
      </c>
      <c r="O2311" s="1" t="str">
        <f t="shared" si="73"/>
        <v>Pre-Senior | Medium Spender | Higher</v>
      </c>
    </row>
    <row r="2312" spans="1:15" x14ac:dyDescent="0.25">
      <c r="A2312" s="1" t="s">
        <v>2342</v>
      </c>
      <c r="B2312" s="1">
        <v>59</v>
      </c>
      <c r="C2312" s="1" t="str" cm="1">
        <f t="array" ref="C2312">_xlfn.IFS(OR(B2312=" ", B2312="NA",NOT(ISNUMBER(B2312))), "Unknown",B2312&lt;18,"Underage",B2312&lt;=24,"Young Adult",B2312&lt;=34,"Early Career",B2312&lt;=44,"Mid Career",B2312&lt;=54,"Mature",B2312&lt;=65,"Pre-Senior",B2312&gt;65,"Senior")</f>
        <v>Pre-Senior</v>
      </c>
      <c r="D2312" s="1" t="s">
        <v>18</v>
      </c>
      <c r="E2312" s="1" t="s">
        <v>13</v>
      </c>
      <c r="F2312" s="1">
        <v>175000</v>
      </c>
      <c r="H2312" s="1" t="str" cm="1">
        <f t="array" ref="H2312">_xlfn.IFS( OR(G2312=" ",NOT(ISNUMBER(G2312))),"Unknown",G2312&lt;=33,"Low Spender",G2312&lt;=66,"Medium Spender",TRUE, "High Spender")</f>
        <v>Unknown</v>
      </c>
      <c r="I2312" s="1">
        <v>16</v>
      </c>
      <c r="J2312" s="1">
        <v>3200</v>
      </c>
      <c r="K2312" s="1">
        <v>237</v>
      </c>
      <c r="L2312" s="1" t="s">
        <v>20</v>
      </c>
      <c r="M2312" s="1" t="s">
        <v>30</v>
      </c>
      <c r="N2312" s="1" t="str">
        <f t="shared" si="72"/>
        <v>Higher</v>
      </c>
      <c r="O2312" s="1" t="str">
        <f t="shared" si="73"/>
        <v>Pre-Senior | Unknown | Higher</v>
      </c>
    </row>
    <row r="2313" spans="1:15" x14ac:dyDescent="0.25">
      <c r="A2313" s="1" t="s">
        <v>2343</v>
      </c>
      <c r="B2313" s="1">
        <v>68</v>
      </c>
      <c r="C2313" s="1" t="str" cm="1">
        <f t="array" ref="C2313">_xlfn.IFS(OR(B2313=" ", B2313="NA",NOT(ISNUMBER(B2313))), "Unknown",B2313&lt;18,"Underage",B2313&lt;=24,"Young Adult",B2313&lt;=34,"Early Career",B2313&lt;=44,"Mid Career",B2313&lt;=54,"Mature",B2313&lt;=65,"Pre-Senior",B2313&gt;65,"Senior")</f>
        <v>Senior</v>
      </c>
      <c r="D2313" s="1" t="s">
        <v>18</v>
      </c>
      <c r="E2313" s="1" t="s">
        <v>13</v>
      </c>
      <c r="F2313" s="1">
        <v>900000</v>
      </c>
      <c r="G2313" s="1">
        <v>86</v>
      </c>
      <c r="H2313" s="1" t="str" cm="1">
        <f t="array" ref="H2313">_xlfn.IFS( OR(G2313=" ",NOT(ISNUMBER(G2313))),"Unknown",G2313&lt;=33,"Low Spender",G2313&lt;=66,"Medium Spender",TRUE, "High Spender")</f>
        <v>High Spender</v>
      </c>
      <c r="I2313" s="1">
        <v>59</v>
      </c>
      <c r="J2313" s="1">
        <v>6200</v>
      </c>
      <c r="K2313" s="1">
        <v>196</v>
      </c>
      <c r="L2313" s="1" t="s">
        <v>16</v>
      </c>
      <c r="M2313" s="1" t="s">
        <v>32</v>
      </c>
      <c r="N2313" s="1" t="str">
        <f t="shared" si="72"/>
        <v>Higher</v>
      </c>
      <c r="O2313" s="1" t="str">
        <f t="shared" si="73"/>
        <v>Senior | High Spender | Higher</v>
      </c>
    </row>
    <row r="2314" spans="1:15" x14ac:dyDescent="0.25">
      <c r="A2314" s="1" t="s">
        <v>2344</v>
      </c>
      <c r="B2314" s="1">
        <v>68</v>
      </c>
      <c r="C2314" s="1" t="str" cm="1">
        <f t="array" ref="C2314">_xlfn.IFS(OR(B2314=" ", B2314="NA",NOT(ISNUMBER(B2314))), "Unknown",B2314&lt;18,"Underage",B2314&lt;=24,"Young Adult",B2314&lt;=34,"Early Career",B2314&lt;=44,"Mid Career",B2314&lt;=54,"Mature",B2314&lt;=65,"Pre-Senior",B2314&gt;65,"Senior")</f>
        <v>Senior</v>
      </c>
      <c r="D2314" s="1" t="s">
        <v>29</v>
      </c>
      <c r="E2314" s="1" t="s">
        <v>19</v>
      </c>
      <c r="F2314" s="1">
        <v>875000</v>
      </c>
      <c r="G2314" s="1">
        <v>14</v>
      </c>
      <c r="H2314" s="1" t="str" cm="1">
        <f t="array" ref="H2314">_xlfn.IFS( OR(G2314=" ",NOT(ISNUMBER(G2314))),"Unknown",G2314&lt;=33,"Low Spender",G2314&lt;=66,"Medium Spender",TRUE, "High Spender")</f>
        <v>Low Spender</v>
      </c>
      <c r="I2314" s="1">
        <v>47</v>
      </c>
      <c r="J2314" s="1">
        <v>7500</v>
      </c>
      <c r="K2314" s="1">
        <v>291</v>
      </c>
      <c r="L2314" s="1" t="s">
        <v>37</v>
      </c>
      <c r="M2314" s="1" t="s">
        <v>41</v>
      </c>
      <c r="N2314" s="1" t="str">
        <f t="shared" si="72"/>
        <v>Higher</v>
      </c>
      <c r="O2314" s="1" t="str">
        <f t="shared" si="73"/>
        <v>Senior | Low Spender | Higher</v>
      </c>
    </row>
    <row r="2315" spans="1:15" x14ac:dyDescent="0.25">
      <c r="A2315" s="1" t="s">
        <v>2345</v>
      </c>
      <c r="C2315" s="1" t="str" cm="1">
        <f t="array" ref="C2315">_xlfn.IFS(OR(B2315=" ", B2315="NA",NOT(ISNUMBER(B2315))), "Unknown",B2315&lt;18,"Underage",B2315&lt;=24,"Young Adult",B2315&lt;=34,"Early Career",B2315&lt;=44,"Mid Career",B2315&lt;=54,"Mature",B2315&lt;=65,"Pre-Senior",B2315&gt;65,"Senior")</f>
        <v>Unknown</v>
      </c>
      <c r="D2315" s="1" t="s">
        <v>18</v>
      </c>
      <c r="G2315" s="1">
        <v>63</v>
      </c>
      <c r="H2315" s="1" t="str" cm="1">
        <f t="array" ref="H2315">_xlfn.IFS( OR(G2315=" ",NOT(ISNUMBER(G2315))),"Unknown",G2315&lt;=33,"Low Spender",G2315&lt;=66,"Medium Spender",TRUE, "High Spender")</f>
        <v>Medium Spender</v>
      </c>
      <c r="I2315" s="1">
        <v>30</v>
      </c>
      <c r="J2315" s="1">
        <v>9300</v>
      </c>
      <c r="K2315" s="1">
        <v>136</v>
      </c>
      <c r="L2315" s="1" t="s">
        <v>37</v>
      </c>
      <c r="N2315" s="1" t="str">
        <f t="shared" si="72"/>
        <v>Higher</v>
      </c>
      <c r="O2315" s="1" t="str">
        <f t="shared" si="73"/>
        <v>Unknown | Medium Spender | Higher</v>
      </c>
    </row>
    <row r="2316" spans="1:15" x14ac:dyDescent="0.25">
      <c r="A2316" s="1" t="s">
        <v>2346</v>
      </c>
      <c r="B2316" s="1">
        <v>29</v>
      </c>
      <c r="C2316" s="1" t="str" cm="1">
        <f t="array" ref="C2316">_xlfn.IFS(OR(B2316=" ", B2316="NA",NOT(ISNUMBER(B2316))), "Unknown",B2316&lt;18,"Underage",B2316&lt;=24,"Young Adult",B2316&lt;=34,"Early Career",B2316&lt;=44,"Mid Career",B2316&lt;=54,"Mature",B2316&lt;=65,"Pre-Senior",B2316&gt;65,"Senior")</f>
        <v>Early Career</v>
      </c>
      <c r="E2316" s="1" t="s">
        <v>13</v>
      </c>
      <c r="F2316" s="1">
        <v>1225000</v>
      </c>
      <c r="G2316" s="1">
        <v>81</v>
      </c>
      <c r="H2316" s="1" t="str" cm="1">
        <f t="array" ref="H2316">_xlfn.IFS( OR(G2316=" ",NOT(ISNUMBER(G2316))),"Unknown",G2316&lt;=33,"Low Spender",G2316&lt;=66,"Medium Spender",TRUE, "High Spender")</f>
        <v>High Spender</v>
      </c>
      <c r="I2316" s="1">
        <v>9</v>
      </c>
      <c r="J2316" s="1">
        <v>3000</v>
      </c>
      <c r="K2316" s="1">
        <v>308</v>
      </c>
      <c r="N2316" s="1" t="str">
        <f t="shared" si="72"/>
        <v>Lower</v>
      </c>
      <c r="O2316" s="1" t="str">
        <f t="shared" si="73"/>
        <v>Early Career | High Spender | Lower</v>
      </c>
    </row>
    <row r="2317" spans="1:15" x14ac:dyDescent="0.25">
      <c r="A2317" s="1" t="s">
        <v>2347</v>
      </c>
      <c r="B2317" s="1">
        <v>20</v>
      </c>
      <c r="C2317" s="1" t="str" cm="1">
        <f t="array" ref="C2317">_xlfn.IFS(OR(B2317=" ", B2317="NA",NOT(ISNUMBER(B2317))), "Unknown",B2317&lt;18,"Underage",B2317&lt;=24,"Young Adult",B2317&lt;=34,"Early Career",B2317&lt;=44,"Mid Career",B2317&lt;=54,"Mature",B2317&lt;=65,"Pre-Senior",B2317&gt;65,"Senior")</f>
        <v>Young Adult</v>
      </c>
      <c r="D2317" s="1" t="s">
        <v>18</v>
      </c>
      <c r="E2317" s="1" t="s">
        <v>58</v>
      </c>
      <c r="F2317" s="1">
        <v>425000</v>
      </c>
      <c r="G2317" s="1">
        <v>85</v>
      </c>
      <c r="H2317" s="1" t="str" cm="1">
        <f t="array" ref="H2317">_xlfn.IFS( OR(G2317=" ",NOT(ISNUMBER(G2317))),"Unknown",G2317&lt;=33,"Low Spender",G2317&lt;=66,"Medium Spender",TRUE, "High Spender")</f>
        <v>High Spender</v>
      </c>
      <c r="I2317" s="1">
        <v>65</v>
      </c>
      <c r="J2317" s="1">
        <v>10800</v>
      </c>
      <c r="K2317" s="1">
        <v>296</v>
      </c>
      <c r="L2317" s="1" t="s">
        <v>37</v>
      </c>
      <c r="N2317" s="1" t="str">
        <f t="shared" si="72"/>
        <v>Higher</v>
      </c>
      <c r="O2317" s="1" t="str">
        <f t="shared" si="73"/>
        <v>Young Adult | High Spender | Higher</v>
      </c>
    </row>
    <row r="2318" spans="1:15" x14ac:dyDescent="0.25">
      <c r="A2318" s="1" t="s">
        <v>2348</v>
      </c>
      <c r="B2318" s="1">
        <v>62</v>
      </c>
      <c r="C2318" s="1" t="str" cm="1">
        <f t="array" ref="C2318">_xlfn.IFS(OR(B2318=" ", B2318="NA",NOT(ISNUMBER(B2318))), "Unknown",B2318&lt;18,"Underage",B2318&lt;=24,"Young Adult",B2318&lt;=34,"Early Career",B2318&lt;=44,"Mid Career",B2318&lt;=54,"Mature",B2318&lt;=65,"Pre-Senior",B2318&gt;65,"Senior")</f>
        <v>Pre-Senior</v>
      </c>
      <c r="E2318" s="1" t="s">
        <v>19</v>
      </c>
      <c r="F2318" s="1">
        <v>1400000</v>
      </c>
      <c r="G2318" s="1">
        <v>51</v>
      </c>
      <c r="H2318" s="1" t="str" cm="1">
        <f t="array" ref="H2318">_xlfn.IFS( OR(G2318=" ",NOT(ISNUMBER(G2318))),"Unknown",G2318&lt;=33,"Low Spender",G2318&lt;=66,"Medium Spender",TRUE, "High Spender")</f>
        <v>Medium Spender</v>
      </c>
      <c r="I2318" s="1">
        <v>59</v>
      </c>
      <c r="J2318" s="1">
        <v>2800</v>
      </c>
      <c r="K2318" s="1">
        <v>36</v>
      </c>
      <c r="L2318" s="1" t="s">
        <v>20</v>
      </c>
      <c r="N2318" s="1" t="str">
        <f t="shared" si="72"/>
        <v>Lower</v>
      </c>
      <c r="O2318" s="1" t="str">
        <f t="shared" si="73"/>
        <v>Pre-Senior | Medium Spender | Lower</v>
      </c>
    </row>
    <row r="2319" spans="1:15" x14ac:dyDescent="0.25">
      <c r="A2319" s="1" t="s">
        <v>2349</v>
      </c>
      <c r="B2319" s="1">
        <v>35</v>
      </c>
      <c r="C2319" s="1" t="str" cm="1">
        <f t="array" ref="C2319">_xlfn.IFS(OR(B2319=" ", B2319="NA",NOT(ISNUMBER(B2319))), "Unknown",B2319&lt;18,"Underage",B2319&lt;=24,"Young Adult",B2319&lt;=34,"Early Career",B2319&lt;=44,"Mid Career",B2319&lt;=54,"Mature",B2319&lt;=65,"Pre-Senior",B2319&gt;65,"Senior")</f>
        <v>Mid Career</v>
      </c>
      <c r="D2319" s="1" t="s">
        <v>29</v>
      </c>
      <c r="E2319" s="1" t="s">
        <v>23</v>
      </c>
      <c r="F2319" s="1">
        <v>1350000</v>
      </c>
      <c r="G2319" s="1">
        <v>79</v>
      </c>
      <c r="H2319" s="1" t="str" cm="1">
        <f t="array" ref="H2319">_xlfn.IFS( OR(G2319=" ",NOT(ISNUMBER(G2319))),"Unknown",G2319&lt;=33,"Low Spender",G2319&lt;=66,"Medium Spender",TRUE, "High Spender")</f>
        <v>High Spender</v>
      </c>
      <c r="I2319" s="1">
        <v>64</v>
      </c>
      <c r="J2319" s="1">
        <v>2000</v>
      </c>
      <c r="K2319" s="1">
        <v>248</v>
      </c>
      <c r="M2319" s="1" t="s">
        <v>21</v>
      </c>
      <c r="N2319" s="1" t="str">
        <f t="shared" si="72"/>
        <v>Higher</v>
      </c>
      <c r="O2319" s="1" t="str">
        <f t="shared" si="73"/>
        <v>Mid Career | High Spender | Higher</v>
      </c>
    </row>
    <row r="2320" spans="1:15" x14ac:dyDescent="0.25">
      <c r="A2320" s="1" t="s">
        <v>2350</v>
      </c>
      <c r="B2320" s="1">
        <v>57</v>
      </c>
      <c r="C2320" s="1" t="str" cm="1">
        <f t="array" ref="C2320">_xlfn.IFS(OR(B2320=" ", B2320="NA",NOT(ISNUMBER(B2320))), "Unknown",B2320&lt;18,"Underage",B2320&lt;=24,"Young Adult",B2320&lt;=34,"Early Career",B2320&lt;=44,"Mid Career",B2320&lt;=54,"Mature",B2320&lt;=65,"Pre-Senior",B2320&gt;65,"Senior")</f>
        <v>Pre-Senior</v>
      </c>
      <c r="E2320" s="1" t="s">
        <v>19</v>
      </c>
      <c r="F2320" s="1">
        <v>725000</v>
      </c>
      <c r="G2320" s="1">
        <v>58</v>
      </c>
      <c r="H2320" s="1" t="str" cm="1">
        <f t="array" ref="H2320">_xlfn.IFS( OR(G2320=" ",NOT(ISNUMBER(G2320))),"Unknown",G2320&lt;=33,"Low Spender",G2320&lt;=66,"Medium Spender",TRUE, "High Spender")</f>
        <v>Medium Spender</v>
      </c>
      <c r="I2320" s="1">
        <v>8</v>
      </c>
      <c r="J2320" s="1">
        <v>3800</v>
      </c>
      <c r="K2320" s="1">
        <v>254</v>
      </c>
      <c r="L2320" s="1" t="s">
        <v>37</v>
      </c>
      <c r="M2320" s="1" t="s">
        <v>30</v>
      </c>
      <c r="N2320" s="1" t="str">
        <f t="shared" si="72"/>
        <v>Lower</v>
      </c>
      <c r="O2320" s="1" t="str">
        <f t="shared" si="73"/>
        <v>Pre-Senior | Medium Spender | Lower</v>
      </c>
    </row>
    <row r="2321" spans="1:15" x14ac:dyDescent="0.25">
      <c r="A2321" s="1" t="s">
        <v>2351</v>
      </c>
      <c r="B2321" s="1">
        <v>38</v>
      </c>
      <c r="C2321" s="1" t="str" cm="1">
        <f t="array" ref="C2321">_xlfn.IFS(OR(B2321=" ", B2321="NA",NOT(ISNUMBER(B2321))), "Unknown",B2321&lt;18,"Underage",B2321&lt;=24,"Young Adult",B2321&lt;=34,"Early Career",B2321&lt;=44,"Mid Career",B2321&lt;=54,"Mature",B2321&lt;=65,"Pre-Senior",B2321&gt;65,"Senior")</f>
        <v>Mid Career</v>
      </c>
      <c r="E2321" s="1" t="s">
        <v>34</v>
      </c>
      <c r="F2321" s="1">
        <v>725000</v>
      </c>
      <c r="G2321" s="1">
        <v>15</v>
      </c>
      <c r="H2321" s="1" t="str" cm="1">
        <f t="array" ref="H2321">_xlfn.IFS( OR(G2321=" ",NOT(ISNUMBER(G2321))),"Unknown",G2321&lt;=33,"Low Spender",G2321&lt;=66,"Medium Spender",TRUE, "High Spender")</f>
        <v>Low Spender</v>
      </c>
      <c r="I2321" s="1">
        <v>52</v>
      </c>
      <c r="J2321" s="1">
        <v>1000</v>
      </c>
      <c r="K2321" s="1">
        <v>214</v>
      </c>
      <c r="L2321" s="1" t="s">
        <v>16</v>
      </c>
      <c r="N2321" s="1" t="str">
        <f t="shared" si="72"/>
        <v>Lower</v>
      </c>
      <c r="O2321" s="1" t="str">
        <f t="shared" si="73"/>
        <v>Mid Career | Low Spender | Lower</v>
      </c>
    </row>
    <row r="2322" spans="1:15" x14ac:dyDescent="0.25">
      <c r="A2322" s="1" t="s">
        <v>2352</v>
      </c>
      <c r="B2322" s="1">
        <v>32</v>
      </c>
      <c r="C2322" s="1" t="str" cm="1">
        <f t="array" ref="C2322">_xlfn.IFS(OR(B2322=" ", B2322="NA",NOT(ISNUMBER(B2322))), "Unknown",B2322&lt;18,"Underage",B2322&lt;=24,"Young Adult",B2322&lt;=34,"Early Career",B2322&lt;=44,"Mid Career",B2322&lt;=54,"Mature",B2322&lt;=65,"Pre-Senior",B2322&gt;65,"Senior")</f>
        <v>Early Career</v>
      </c>
      <c r="D2322" s="1" t="s">
        <v>29</v>
      </c>
      <c r="E2322" s="1" t="s">
        <v>34</v>
      </c>
      <c r="F2322" s="1">
        <v>1625000</v>
      </c>
      <c r="G2322" s="1">
        <v>65</v>
      </c>
      <c r="H2322" s="1" t="str" cm="1">
        <f t="array" ref="H2322">_xlfn.IFS( OR(G2322=" ",NOT(ISNUMBER(G2322))),"Unknown",G2322&lt;=33,"Low Spender",G2322&lt;=66,"Medium Spender",TRUE, "High Spender")</f>
        <v>Medium Spender</v>
      </c>
      <c r="I2322" s="1">
        <v>18</v>
      </c>
      <c r="J2322" s="1">
        <v>2000</v>
      </c>
      <c r="K2322" s="1">
        <v>252</v>
      </c>
      <c r="L2322" s="1" t="s">
        <v>20</v>
      </c>
      <c r="N2322" s="1" t="str">
        <f t="shared" si="72"/>
        <v>Higher</v>
      </c>
      <c r="O2322" s="1" t="str">
        <f t="shared" si="73"/>
        <v>Early Career | Medium Spender | Higher</v>
      </c>
    </row>
    <row r="2323" spans="1:15" x14ac:dyDescent="0.25">
      <c r="A2323" s="1" t="s">
        <v>2353</v>
      </c>
      <c r="B2323" s="1">
        <v>50</v>
      </c>
      <c r="C2323" s="1" t="str" cm="1">
        <f t="array" ref="C2323">_xlfn.IFS(OR(B2323=" ", B2323="NA",NOT(ISNUMBER(B2323))), "Unknown",B2323&lt;18,"Underage",B2323&lt;=24,"Young Adult",B2323&lt;=34,"Early Career",B2323&lt;=44,"Mid Career",B2323&lt;=54,"Mature",B2323&lt;=65,"Pre-Senior",B2323&gt;65,"Senior")</f>
        <v>Mature</v>
      </c>
      <c r="E2323" s="1" t="s">
        <v>13</v>
      </c>
      <c r="F2323" s="1">
        <v>400000</v>
      </c>
      <c r="G2323" s="1">
        <v>88</v>
      </c>
      <c r="H2323" s="1" t="str" cm="1">
        <f t="array" ref="H2323">_xlfn.IFS( OR(G2323=" ",NOT(ISNUMBER(G2323))),"Unknown",G2323&lt;=33,"Low Spender",G2323&lt;=66,"Medium Spender",TRUE, "High Spender")</f>
        <v>High Spender</v>
      </c>
      <c r="I2323" s="1">
        <v>58</v>
      </c>
      <c r="J2323" s="1">
        <v>8600</v>
      </c>
      <c r="K2323" s="1">
        <v>70</v>
      </c>
      <c r="L2323" s="1" t="s">
        <v>35</v>
      </c>
      <c r="N2323" s="1" t="str">
        <f t="shared" si="72"/>
        <v>Lower</v>
      </c>
      <c r="O2323" s="1" t="str">
        <f t="shared" si="73"/>
        <v>Mature | High Spender | Lower</v>
      </c>
    </row>
    <row r="2324" spans="1:15" x14ac:dyDescent="0.25">
      <c r="A2324" s="1" t="s">
        <v>2354</v>
      </c>
      <c r="B2324" s="1">
        <v>52</v>
      </c>
      <c r="C2324" s="1" t="str" cm="1">
        <f t="array" ref="C2324">_xlfn.IFS(OR(B2324=" ", B2324="NA",NOT(ISNUMBER(B2324))), "Unknown",B2324&lt;18,"Underage",B2324&lt;=24,"Young Adult",B2324&lt;=34,"Early Career",B2324&lt;=44,"Mid Career",B2324&lt;=54,"Mature",B2324&lt;=65,"Pre-Senior",B2324&gt;65,"Senior")</f>
        <v>Mature</v>
      </c>
      <c r="D2324" s="1" t="s">
        <v>29</v>
      </c>
      <c r="F2324" s="1">
        <v>450000</v>
      </c>
      <c r="G2324" s="1">
        <v>55</v>
      </c>
      <c r="H2324" s="1" t="str" cm="1">
        <f t="array" ref="H2324">_xlfn.IFS( OR(G2324=" ",NOT(ISNUMBER(G2324))),"Unknown",G2324&lt;=33,"Low Spender",G2324&lt;=66,"Medium Spender",TRUE, "High Spender")</f>
        <v>Medium Spender</v>
      </c>
      <c r="I2324" s="1">
        <v>49</v>
      </c>
      <c r="J2324" s="1">
        <v>6000</v>
      </c>
      <c r="K2324" s="1">
        <v>234</v>
      </c>
      <c r="L2324" s="1" t="s">
        <v>16</v>
      </c>
      <c r="N2324" s="1" t="str">
        <f t="shared" si="72"/>
        <v>Higher</v>
      </c>
      <c r="O2324" s="1" t="str">
        <f t="shared" si="73"/>
        <v>Mature | Medium Spender | Higher</v>
      </c>
    </row>
    <row r="2325" spans="1:15" x14ac:dyDescent="0.25">
      <c r="A2325" s="1" t="s">
        <v>2355</v>
      </c>
      <c r="B2325" s="1">
        <v>43</v>
      </c>
      <c r="C2325" s="1" t="str" cm="1">
        <f t="array" ref="C2325">_xlfn.IFS(OR(B2325=" ", B2325="NA",NOT(ISNUMBER(B2325))), "Unknown",B2325&lt;18,"Underage",B2325&lt;=24,"Young Adult",B2325&lt;=34,"Early Career",B2325&lt;=44,"Mid Career",B2325&lt;=54,"Mature",B2325&lt;=65,"Pre-Senior",B2325&gt;65,"Senior")</f>
        <v>Mid Career</v>
      </c>
      <c r="E2325" s="1" t="s">
        <v>23</v>
      </c>
      <c r="F2325" s="1">
        <v>1925000</v>
      </c>
      <c r="G2325" s="1">
        <v>76</v>
      </c>
      <c r="H2325" s="1" t="str" cm="1">
        <f t="array" ref="H2325">_xlfn.IFS( OR(G2325=" ",NOT(ISNUMBER(G2325))),"Unknown",G2325&lt;=33,"Low Spender",G2325&lt;=66,"Medium Spender",TRUE, "High Spender")</f>
        <v>High Spender</v>
      </c>
      <c r="I2325" s="1">
        <v>32</v>
      </c>
      <c r="J2325" s="1">
        <v>3400</v>
      </c>
      <c r="K2325" s="1">
        <v>329</v>
      </c>
      <c r="L2325" s="1" t="s">
        <v>16</v>
      </c>
      <c r="M2325" s="1" t="s">
        <v>30</v>
      </c>
      <c r="N2325" s="1" t="str">
        <f t="shared" si="72"/>
        <v>Lower</v>
      </c>
      <c r="O2325" s="1" t="str">
        <f t="shared" si="73"/>
        <v>Mid Career | High Spender | Lower</v>
      </c>
    </row>
    <row r="2326" spans="1:15" x14ac:dyDescent="0.25">
      <c r="A2326" s="1" t="s">
        <v>2356</v>
      </c>
      <c r="B2326" s="1">
        <v>25</v>
      </c>
      <c r="C2326" s="1" t="str" cm="1">
        <f t="array" ref="C2326">_xlfn.IFS(OR(B2326=" ", B2326="NA",NOT(ISNUMBER(B2326))), "Unknown",B2326&lt;18,"Underage",B2326&lt;=24,"Young Adult",B2326&lt;=34,"Early Career",B2326&lt;=44,"Mid Career",B2326&lt;=54,"Mature",B2326&lt;=65,"Pre-Senior",B2326&gt;65,"Senior")</f>
        <v>Early Career</v>
      </c>
      <c r="D2326" s="1" t="s">
        <v>29</v>
      </c>
      <c r="E2326" s="1" t="s">
        <v>19</v>
      </c>
      <c r="F2326" s="1">
        <v>1975000</v>
      </c>
      <c r="G2326" s="1">
        <v>10</v>
      </c>
      <c r="H2326" s="1" t="str" cm="1">
        <f t="array" ref="H2326">_xlfn.IFS( OR(G2326=" ",NOT(ISNUMBER(G2326))),"Unknown",G2326&lt;=33,"Low Spender",G2326&lt;=66,"Medium Spender",TRUE, "High Spender")</f>
        <v>Low Spender</v>
      </c>
      <c r="I2326" s="1">
        <v>48</v>
      </c>
      <c r="J2326" s="1">
        <v>9500</v>
      </c>
      <c r="K2326" s="1">
        <v>16</v>
      </c>
      <c r="L2326" s="1" t="s">
        <v>37</v>
      </c>
      <c r="N2326" s="1" t="str">
        <f t="shared" si="72"/>
        <v>Higher</v>
      </c>
      <c r="O2326" s="1" t="str">
        <f t="shared" si="73"/>
        <v>Early Career | Low Spender | Higher</v>
      </c>
    </row>
    <row r="2327" spans="1:15" x14ac:dyDescent="0.25">
      <c r="A2327" s="1" t="s">
        <v>2357</v>
      </c>
      <c r="B2327" s="1">
        <v>53</v>
      </c>
      <c r="C2327" s="1" t="str" cm="1">
        <f t="array" ref="C2327">_xlfn.IFS(OR(B2327=" ", B2327="NA",NOT(ISNUMBER(B2327))), "Unknown",B2327&lt;18,"Underage",B2327&lt;=24,"Young Adult",B2327&lt;=34,"Early Career",B2327&lt;=44,"Mid Career",B2327&lt;=54,"Mature",B2327&lt;=65,"Pre-Senior",B2327&gt;65,"Senior")</f>
        <v>Mature</v>
      </c>
      <c r="F2327" s="1">
        <v>1925000</v>
      </c>
      <c r="G2327" s="1">
        <v>42</v>
      </c>
      <c r="H2327" s="1" t="str" cm="1">
        <f t="array" ref="H2327">_xlfn.IFS( OR(G2327=" ",NOT(ISNUMBER(G2327))),"Unknown",G2327&lt;=33,"Low Spender",G2327&lt;=66,"Medium Spender",TRUE, "High Spender")</f>
        <v>Medium Spender</v>
      </c>
      <c r="I2327" s="1">
        <v>45</v>
      </c>
      <c r="J2327" s="1">
        <v>5100</v>
      </c>
      <c r="K2327" s="1">
        <v>174</v>
      </c>
      <c r="M2327" s="1" t="s">
        <v>32</v>
      </c>
      <c r="N2327" s="1" t="str">
        <f t="shared" si="72"/>
        <v>Lower</v>
      </c>
      <c r="O2327" s="1" t="str">
        <f t="shared" si="73"/>
        <v>Mature | Medium Spender | Lower</v>
      </c>
    </row>
    <row r="2328" spans="1:15" x14ac:dyDescent="0.25">
      <c r="A2328" s="1" t="s">
        <v>2358</v>
      </c>
      <c r="B2328" s="1">
        <v>65</v>
      </c>
      <c r="C2328" s="1" t="str" cm="1">
        <f t="array" ref="C2328">_xlfn.IFS(OR(B2328=" ", B2328="NA",NOT(ISNUMBER(B2328))), "Unknown",B2328&lt;18,"Underage",B2328&lt;=24,"Young Adult",B2328&lt;=34,"Early Career",B2328&lt;=44,"Mid Career",B2328&lt;=54,"Mature",B2328&lt;=65,"Pre-Senior",B2328&gt;65,"Senior")</f>
        <v>Pre-Senior</v>
      </c>
      <c r="D2328" s="1" t="s">
        <v>12</v>
      </c>
      <c r="E2328" s="1" t="s">
        <v>19</v>
      </c>
      <c r="F2328" s="1">
        <v>1725000</v>
      </c>
      <c r="G2328" s="1">
        <v>95</v>
      </c>
      <c r="H2328" s="1" t="str" cm="1">
        <f t="array" ref="H2328">_xlfn.IFS( OR(G2328=" ",NOT(ISNUMBER(G2328))),"Unknown",G2328&lt;=33,"Low Spender",G2328&lt;=66,"Medium Spender",TRUE, "High Spender")</f>
        <v>High Spender</v>
      </c>
      <c r="I2328" s="1">
        <v>54</v>
      </c>
      <c r="J2328" s="1">
        <v>5000</v>
      </c>
      <c r="K2328" s="1">
        <v>187</v>
      </c>
      <c r="M2328" s="1" t="s">
        <v>30</v>
      </c>
      <c r="N2328" s="1" t="str">
        <f t="shared" si="72"/>
        <v>Lower</v>
      </c>
      <c r="O2328" s="1" t="str">
        <f t="shared" si="73"/>
        <v>Pre-Senior | High Spender | Lower</v>
      </c>
    </row>
    <row r="2329" spans="1:15" x14ac:dyDescent="0.25">
      <c r="A2329" s="1" t="s">
        <v>2359</v>
      </c>
      <c r="B2329" s="1">
        <v>47</v>
      </c>
      <c r="C2329" s="1" t="str" cm="1">
        <f t="array" ref="C2329">_xlfn.IFS(OR(B2329=" ", B2329="NA",NOT(ISNUMBER(B2329))), "Unknown",B2329&lt;18,"Underage",B2329&lt;=24,"Young Adult",B2329&lt;=34,"Early Career",B2329&lt;=44,"Mid Career",B2329&lt;=54,"Mature",B2329&lt;=65,"Pre-Senior",B2329&gt;65,"Senior")</f>
        <v>Mature</v>
      </c>
      <c r="D2329" s="1" t="s">
        <v>29</v>
      </c>
      <c r="E2329" s="1" t="s">
        <v>19</v>
      </c>
      <c r="F2329" s="1">
        <v>625000</v>
      </c>
      <c r="G2329" s="1">
        <v>11</v>
      </c>
      <c r="H2329" s="1" t="str" cm="1">
        <f t="array" ref="H2329">_xlfn.IFS( OR(G2329=" ",NOT(ISNUMBER(G2329))),"Unknown",G2329&lt;=33,"Low Spender",G2329&lt;=66,"Medium Spender",TRUE, "High Spender")</f>
        <v>Low Spender</v>
      </c>
      <c r="I2329" s="1">
        <v>46</v>
      </c>
      <c r="J2329" s="1">
        <v>8400</v>
      </c>
      <c r="K2329" s="1">
        <v>294</v>
      </c>
      <c r="L2329" s="1" t="s">
        <v>20</v>
      </c>
      <c r="N2329" s="1" t="str">
        <f t="shared" si="72"/>
        <v>Higher</v>
      </c>
      <c r="O2329" s="1" t="str">
        <f t="shared" si="73"/>
        <v>Mature | Low Spender | Higher</v>
      </c>
    </row>
    <row r="2330" spans="1:15" x14ac:dyDescent="0.25">
      <c r="A2330" s="1" t="s">
        <v>2360</v>
      </c>
      <c r="B2330" s="1">
        <v>40</v>
      </c>
      <c r="C2330" s="1" t="str" cm="1">
        <f t="array" ref="C2330">_xlfn.IFS(OR(B2330=" ", B2330="NA",NOT(ISNUMBER(B2330))), "Unknown",B2330&lt;18,"Underage",B2330&lt;=24,"Young Adult",B2330&lt;=34,"Early Career",B2330&lt;=44,"Mid Career",B2330&lt;=54,"Mature",B2330&lt;=65,"Pre-Senior",B2330&gt;65,"Senior")</f>
        <v>Mid Career</v>
      </c>
      <c r="E2330" s="1" t="s">
        <v>58</v>
      </c>
      <c r="F2330" s="1">
        <v>1925000</v>
      </c>
      <c r="G2330" s="1">
        <v>16</v>
      </c>
      <c r="H2330" s="1" t="str" cm="1">
        <f t="array" ref="H2330">_xlfn.IFS( OR(G2330=" ",NOT(ISNUMBER(G2330))),"Unknown",G2330&lt;=33,"Low Spender",G2330&lt;=66,"Medium Spender",TRUE, "High Spender")</f>
        <v>Low Spender</v>
      </c>
      <c r="I2330" s="1">
        <v>31</v>
      </c>
      <c r="J2330" s="1">
        <v>7300</v>
      </c>
      <c r="K2330" s="1">
        <v>225</v>
      </c>
      <c r="L2330" s="1" t="s">
        <v>37</v>
      </c>
      <c r="M2330" s="1" t="s">
        <v>41</v>
      </c>
      <c r="N2330" s="1" t="str">
        <f t="shared" si="72"/>
        <v>Lower</v>
      </c>
      <c r="O2330" s="1" t="str">
        <f t="shared" si="73"/>
        <v>Mid Career | Low Spender | Lower</v>
      </c>
    </row>
    <row r="2331" spans="1:15" x14ac:dyDescent="0.25">
      <c r="A2331" s="1" t="s">
        <v>2361</v>
      </c>
      <c r="B2331" s="1">
        <v>59</v>
      </c>
      <c r="C2331" s="1" t="str" cm="1">
        <f t="array" ref="C2331">_xlfn.IFS(OR(B2331=" ", B2331="NA",NOT(ISNUMBER(B2331))), "Unknown",B2331&lt;18,"Underage",B2331&lt;=24,"Young Adult",B2331&lt;=34,"Early Career",B2331&lt;=44,"Mid Career",B2331&lt;=54,"Mature",B2331&lt;=65,"Pre-Senior",B2331&gt;65,"Senior")</f>
        <v>Pre-Senior</v>
      </c>
      <c r="D2331" s="1" t="s">
        <v>12</v>
      </c>
      <c r="E2331" s="1" t="s">
        <v>34</v>
      </c>
      <c r="F2331" s="1">
        <v>1950000</v>
      </c>
      <c r="G2331" s="1">
        <v>73</v>
      </c>
      <c r="H2331" s="1" t="str" cm="1">
        <f t="array" ref="H2331">_xlfn.IFS( OR(G2331=" ",NOT(ISNUMBER(G2331))),"Unknown",G2331&lt;=33,"Low Spender",G2331&lt;=66,"Medium Spender",TRUE, "High Spender")</f>
        <v>High Spender</v>
      </c>
      <c r="I2331" s="1">
        <v>37</v>
      </c>
      <c r="J2331" s="1">
        <v>6700</v>
      </c>
      <c r="K2331" s="1">
        <v>274</v>
      </c>
      <c r="N2331" s="1" t="str">
        <f t="shared" si="72"/>
        <v>Lower</v>
      </c>
      <c r="O2331" s="1" t="str">
        <f t="shared" si="73"/>
        <v>Pre-Senior | High Spender | Lower</v>
      </c>
    </row>
    <row r="2332" spans="1:15" x14ac:dyDescent="0.25">
      <c r="A2332" s="1" t="s">
        <v>2362</v>
      </c>
      <c r="B2332" s="1">
        <v>61</v>
      </c>
      <c r="C2332" s="1" t="str" cm="1">
        <f t="array" ref="C2332">_xlfn.IFS(OR(B2332=" ", B2332="NA",NOT(ISNUMBER(B2332))), "Unknown",B2332&lt;18,"Underage",B2332&lt;=24,"Young Adult",B2332&lt;=34,"Early Career",B2332&lt;=44,"Mid Career",B2332&lt;=54,"Mature",B2332&lt;=65,"Pre-Senior",B2332&gt;65,"Senior")</f>
        <v>Pre-Senior</v>
      </c>
      <c r="D2332" s="1" t="s">
        <v>18</v>
      </c>
      <c r="E2332" s="1" t="s">
        <v>19</v>
      </c>
      <c r="F2332" s="1">
        <v>1900000</v>
      </c>
      <c r="G2332" s="1">
        <v>78</v>
      </c>
      <c r="H2332" s="1" t="str" cm="1">
        <f t="array" ref="H2332">_xlfn.IFS( OR(G2332=" ",NOT(ISNUMBER(G2332))),"Unknown",G2332&lt;=33,"Low Spender",G2332&lt;=66,"Medium Spender",TRUE, "High Spender")</f>
        <v>High Spender</v>
      </c>
      <c r="I2332" s="1">
        <v>16</v>
      </c>
      <c r="J2332" s="1">
        <v>9400</v>
      </c>
      <c r="K2332" s="1">
        <v>12</v>
      </c>
      <c r="M2332" s="1" t="s">
        <v>32</v>
      </c>
      <c r="N2332" s="1" t="str">
        <f t="shared" si="72"/>
        <v>Higher</v>
      </c>
      <c r="O2332" s="1" t="str">
        <f t="shared" si="73"/>
        <v>Pre-Senior | High Spender | Higher</v>
      </c>
    </row>
    <row r="2333" spans="1:15" x14ac:dyDescent="0.25">
      <c r="A2333" s="1" t="s">
        <v>2363</v>
      </c>
      <c r="B2333" s="1">
        <v>31</v>
      </c>
      <c r="C2333" s="1" t="str" cm="1">
        <f t="array" ref="C2333">_xlfn.IFS(OR(B2333=" ", B2333="NA",NOT(ISNUMBER(B2333))), "Unknown",B2333&lt;18,"Underage",B2333&lt;=24,"Young Adult",B2333&lt;=34,"Early Career",B2333&lt;=44,"Mid Career",B2333&lt;=54,"Mature",B2333&lt;=65,"Pre-Senior",B2333&gt;65,"Senior")</f>
        <v>Early Career</v>
      </c>
      <c r="D2333" s="1" t="s">
        <v>12</v>
      </c>
      <c r="E2333" s="1" t="s">
        <v>58</v>
      </c>
      <c r="F2333" s="1">
        <v>825000</v>
      </c>
      <c r="G2333" s="1">
        <v>19</v>
      </c>
      <c r="H2333" s="1" t="str" cm="1">
        <f t="array" ref="H2333">_xlfn.IFS( OR(G2333=" ",NOT(ISNUMBER(G2333))),"Unknown",G2333&lt;=33,"Low Spender",G2333&lt;=66,"Medium Spender",TRUE, "High Spender")</f>
        <v>Low Spender</v>
      </c>
      <c r="I2333" s="1">
        <v>46</v>
      </c>
      <c r="J2333" s="1">
        <v>3500</v>
      </c>
      <c r="K2333" s="1">
        <v>310</v>
      </c>
      <c r="L2333" s="1" t="s">
        <v>35</v>
      </c>
      <c r="M2333" s="1" t="s">
        <v>30</v>
      </c>
      <c r="N2333" s="1" t="str">
        <f t="shared" si="72"/>
        <v>Lower</v>
      </c>
      <c r="O2333" s="1" t="str">
        <f t="shared" si="73"/>
        <v>Early Career | Low Spender | Lower</v>
      </c>
    </row>
    <row r="2334" spans="1:15" x14ac:dyDescent="0.25">
      <c r="A2334" s="1" t="s">
        <v>2364</v>
      </c>
      <c r="B2334" s="1">
        <v>31</v>
      </c>
      <c r="C2334" s="1" t="str" cm="1">
        <f t="array" ref="C2334">_xlfn.IFS(OR(B2334=" ", B2334="NA",NOT(ISNUMBER(B2334))), "Unknown",B2334&lt;18,"Underage",B2334&lt;=24,"Young Adult",B2334&lt;=34,"Early Career",B2334&lt;=44,"Mid Career",B2334&lt;=54,"Mature",B2334&lt;=65,"Pre-Senior",B2334&gt;65,"Senior")</f>
        <v>Early Career</v>
      </c>
      <c r="D2334" s="1" t="s">
        <v>18</v>
      </c>
      <c r="E2334" s="1" t="s">
        <v>34</v>
      </c>
      <c r="F2334" s="1">
        <v>175000</v>
      </c>
      <c r="G2334" s="1">
        <v>31</v>
      </c>
      <c r="H2334" s="1" t="str" cm="1">
        <f t="array" ref="H2334">_xlfn.IFS( OR(G2334=" ",NOT(ISNUMBER(G2334))),"Unknown",G2334&lt;=33,"Low Spender",G2334&lt;=66,"Medium Spender",TRUE, "High Spender")</f>
        <v>Low Spender</v>
      </c>
      <c r="I2334" s="1">
        <v>46</v>
      </c>
      <c r="J2334" s="1">
        <v>5200</v>
      </c>
      <c r="K2334" s="1">
        <v>219</v>
      </c>
      <c r="M2334" s="1" t="s">
        <v>21</v>
      </c>
      <c r="N2334" s="1" t="str">
        <f t="shared" si="72"/>
        <v>Higher</v>
      </c>
      <c r="O2334" s="1" t="str">
        <f t="shared" si="73"/>
        <v>Early Career | Low Spender | Higher</v>
      </c>
    </row>
    <row r="2335" spans="1:15" x14ac:dyDescent="0.25">
      <c r="A2335" s="1" t="s">
        <v>2365</v>
      </c>
      <c r="B2335" s="1">
        <v>19</v>
      </c>
      <c r="C2335" s="1" t="str" cm="1">
        <f t="array" ref="C2335">_xlfn.IFS(OR(B2335=" ", B2335="NA",NOT(ISNUMBER(B2335))), "Unknown",B2335&lt;18,"Underage",B2335&lt;=24,"Young Adult",B2335&lt;=34,"Early Career",B2335&lt;=44,"Mid Career",B2335&lt;=54,"Mature",B2335&lt;=65,"Pre-Senior",B2335&gt;65,"Senior")</f>
        <v>Young Adult</v>
      </c>
      <c r="E2335" s="1" t="s">
        <v>58</v>
      </c>
      <c r="F2335" s="1">
        <v>1200000</v>
      </c>
      <c r="G2335" s="1">
        <v>73</v>
      </c>
      <c r="H2335" s="1" t="str" cm="1">
        <f t="array" ref="H2335">_xlfn.IFS( OR(G2335=" ",NOT(ISNUMBER(G2335))),"Unknown",G2335&lt;=33,"Low Spender",G2335&lt;=66,"Medium Spender",TRUE, "High Spender")</f>
        <v>High Spender</v>
      </c>
      <c r="I2335" s="1">
        <v>78</v>
      </c>
      <c r="J2335" s="1">
        <v>600</v>
      </c>
      <c r="K2335" s="1">
        <v>1</v>
      </c>
      <c r="L2335" s="1" t="s">
        <v>37</v>
      </c>
      <c r="M2335" s="1" t="s">
        <v>30</v>
      </c>
      <c r="N2335" s="1" t="str">
        <f t="shared" si="72"/>
        <v>Lower</v>
      </c>
      <c r="O2335" s="1" t="str">
        <f t="shared" si="73"/>
        <v>Young Adult | High Spender | Lower</v>
      </c>
    </row>
    <row r="2336" spans="1:15" x14ac:dyDescent="0.25">
      <c r="A2336" s="1" t="s">
        <v>2366</v>
      </c>
      <c r="B2336" s="1" t="s">
        <v>73</v>
      </c>
      <c r="C2336" s="1" t="str" cm="1">
        <f t="array" ref="C2336">_xlfn.IFS(OR(B2336=" ", B2336="NA",NOT(ISNUMBER(B2336))), "Unknown",B2336&lt;18,"Underage",B2336&lt;=24,"Young Adult",B2336&lt;=34,"Early Career",B2336&lt;=44,"Mid Career",B2336&lt;=54,"Mature",B2336&lt;=65,"Pre-Senior",B2336&gt;65,"Senior")</f>
        <v>Unknown</v>
      </c>
      <c r="D2336" s="1" t="s">
        <v>12</v>
      </c>
      <c r="F2336" s="1">
        <v>325000</v>
      </c>
      <c r="G2336" s="1">
        <v>100</v>
      </c>
      <c r="H2336" s="1" t="str" cm="1">
        <f t="array" ref="H2336">_xlfn.IFS( OR(G2336=" ",NOT(ISNUMBER(G2336))),"Unknown",G2336&lt;=33,"Low Spender",G2336&lt;=66,"Medium Spender",TRUE, "High Spender")</f>
        <v>High Spender</v>
      </c>
      <c r="I2336" s="1">
        <v>61</v>
      </c>
      <c r="K2336" s="1">
        <v>111</v>
      </c>
      <c r="L2336" s="1" t="s">
        <v>37</v>
      </c>
      <c r="N2336" s="1" t="str">
        <f t="shared" si="72"/>
        <v>Lower</v>
      </c>
      <c r="O2336" s="1" t="str">
        <f t="shared" si="73"/>
        <v>Unknown | High Spender | Lower</v>
      </c>
    </row>
    <row r="2337" spans="1:15" x14ac:dyDescent="0.25">
      <c r="A2337" s="1" t="s">
        <v>2367</v>
      </c>
      <c r="B2337" s="1">
        <v>54</v>
      </c>
      <c r="C2337" s="1" t="str" cm="1">
        <f t="array" ref="C2337">_xlfn.IFS(OR(B2337=" ", B2337="NA",NOT(ISNUMBER(B2337))), "Unknown",B2337&lt;18,"Underage",B2337&lt;=24,"Young Adult",B2337&lt;=34,"Early Career",B2337&lt;=44,"Mid Career",B2337&lt;=54,"Mature",B2337&lt;=65,"Pre-Senior",B2337&gt;65,"Senior")</f>
        <v>Mature</v>
      </c>
      <c r="D2337" s="1" t="s">
        <v>29</v>
      </c>
      <c r="E2337" s="1" t="s">
        <v>15</v>
      </c>
      <c r="F2337" s="1">
        <v>450000</v>
      </c>
      <c r="G2337" s="1">
        <v>53</v>
      </c>
      <c r="H2337" s="1" t="str" cm="1">
        <f t="array" ref="H2337">_xlfn.IFS( OR(G2337=" ",NOT(ISNUMBER(G2337))),"Unknown",G2337&lt;=33,"Low Spender",G2337&lt;=66,"Medium Spender",TRUE, "High Spender")</f>
        <v>Medium Spender</v>
      </c>
      <c r="I2337" s="1">
        <v>46</v>
      </c>
      <c r="J2337" s="1">
        <v>8600</v>
      </c>
      <c r="K2337" s="1">
        <v>277</v>
      </c>
      <c r="N2337" s="1" t="str">
        <f t="shared" si="72"/>
        <v>Higher</v>
      </c>
      <c r="O2337" s="1" t="str">
        <f t="shared" si="73"/>
        <v>Mature | Medium Spender | Higher</v>
      </c>
    </row>
    <row r="2338" spans="1:15" x14ac:dyDescent="0.25">
      <c r="A2338" s="1" t="s">
        <v>2368</v>
      </c>
      <c r="B2338" s="1">
        <v>22</v>
      </c>
      <c r="C2338" s="1" t="str" cm="1">
        <f t="array" ref="C2338">_xlfn.IFS(OR(B2338=" ", B2338="NA",NOT(ISNUMBER(B2338))), "Unknown",B2338&lt;18,"Underage",B2338&lt;=24,"Young Adult",B2338&lt;=34,"Early Career",B2338&lt;=44,"Mid Career",B2338&lt;=54,"Mature",B2338&lt;=65,"Pre-Senior",B2338&gt;65,"Senior")</f>
        <v>Young Adult</v>
      </c>
      <c r="D2338" s="1" t="s">
        <v>18</v>
      </c>
      <c r="E2338" s="1" t="s">
        <v>34</v>
      </c>
      <c r="F2338" s="1">
        <v>1000000</v>
      </c>
      <c r="G2338" s="1">
        <v>90</v>
      </c>
      <c r="H2338" s="1" t="str" cm="1">
        <f t="array" ref="H2338">_xlfn.IFS( OR(G2338=" ",NOT(ISNUMBER(G2338))),"Unknown",G2338&lt;=33,"Low Spender",G2338&lt;=66,"Medium Spender",TRUE, "High Spender")</f>
        <v>High Spender</v>
      </c>
      <c r="I2338" s="1">
        <v>51</v>
      </c>
      <c r="J2338" s="1">
        <v>11900</v>
      </c>
      <c r="K2338" s="1">
        <v>129</v>
      </c>
      <c r="L2338" s="1" t="s">
        <v>16</v>
      </c>
      <c r="M2338" s="1" t="s">
        <v>21</v>
      </c>
      <c r="N2338" s="1" t="str">
        <f t="shared" si="72"/>
        <v>Higher</v>
      </c>
      <c r="O2338" s="1" t="str">
        <f t="shared" si="73"/>
        <v>Young Adult | High Spender | Higher</v>
      </c>
    </row>
    <row r="2339" spans="1:15" x14ac:dyDescent="0.25">
      <c r="A2339" s="1" t="s">
        <v>2369</v>
      </c>
      <c r="B2339" s="1">
        <v>55</v>
      </c>
      <c r="C2339" s="1" t="str" cm="1">
        <f t="array" ref="C2339">_xlfn.IFS(OR(B2339=" ", B2339="NA",NOT(ISNUMBER(B2339))), "Unknown",B2339&lt;18,"Underage",B2339&lt;=24,"Young Adult",B2339&lt;=34,"Early Career",B2339&lt;=44,"Mid Career",B2339&lt;=54,"Mature",B2339&lt;=65,"Pre-Senior",B2339&gt;65,"Senior")</f>
        <v>Pre-Senior</v>
      </c>
      <c r="F2339" s="1">
        <v>700000</v>
      </c>
      <c r="G2339" s="1">
        <v>8</v>
      </c>
      <c r="H2339" s="1" t="str" cm="1">
        <f t="array" ref="H2339">_xlfn.IFS( OR(G2339=" ",NOT(ISNUMBER(G2339))),"Unknown",G2339&lt;=33,"Low Spender",G2339&lt;=66,"Medium Spender",TRUE, "High Spender")</f>
        <v>Low Spender</v>
      </c>
      <c r="I2339" s="1">
        <v>62</v>
      </c>
      <c r="J2339" s="1">
        <v>11800</v>
      </c>
      <c r="K2339" s="1">
        <v>93</v>
      </c>
      <c r="L2339" s="1" t="s">
        <v>37</v>
      </c>
      <c r="M2339" s="1" t="s">
        <v>32</v>
      </c>
      <c r="N2339" s="1" t="str">
        <f t="shared" si="72"/>
        <v>Lower</v>
      </c>
      <c r="O2339" s="1" t="str">
        <f t="shared" si="73"/>
        <v>Pre-Senior | Low Spender | Lower</v>
      </c>
    </row>
    <row r="2340" spans="1:15" x14ac:dyDescent="0.25">
      <c r="A2340" s="1" t="s">
        <v>2370</v>
      </c>
      <c r="B2340" s="1">
        <v>62</v>
      </c>
      <c r="C2340" s="1" t="str" cm="1">
        <f t="array" ref="C2340">_xlfn.IFS(OR(B2340=" ", B2340="NA",NOT(ISNUMBER(B2340))), "Unknown",B2340&lt;18,"Underage",B2340&lt;=24,"Young Adult",B2340&lt;=34,"Early Career",B2340&lt;=44,"Mid Career",B2340&lt;=54,"Mature",B2340&lt;=65,"Pre-Senior",B2340&gt;65,"Senior")</f>
        <v>Pre-Senior</v>
      </c>
      <c r="E2340" s="1" t="s">
        <v>15</v>
      </c>
      <c r="F2340" s="1">
        <v>1275000</v>
      </c>
      <c r="G2340" s="1">
        <v>24</v>
      </c>
      <c r="H2340" s="1" t="str" cm="1">
        <f t="array" ref="H2340">_xlfn.IFS( OR(G2340=" ",NOT(ISNUMBER(G2340))),"Unknown",G2340&lt;=33,"Low Spender",G2340&lt;=66,"Medium Spender",TRUE, "High Spender")</f>
        <v>Low Spender</v>
      </c>
      <c r="I2340" s="1">
        <v>35</v>
      </c>
      <c r="J2340" s="1">
        <v>3800</v>
      </c>
      <c r="K2340" s="1">
        <v>39</v>
      </c>
      <c r="L2340" s="1" t="s">
        <v>16</v>
      </c>
      <c r="N2340" s="1" t="str">
        <f t="shared" si="72"/>
        <v>Lower</v>
      </c>
      <c r="O2340" s="1" t="str">
        <f t="shared" si="73"/>
        <v>Pre-Senior | Low Spender | Lower</v>
      </c>
    </row>
    <row r="2341" spans="1:15" x14ac:dyDescent="0.25">
      <c r="A2341" s="1" t="s">
        <v>2371</v>
      </c>
      <c r="B2341" s="1">
        <v>58</v>
      </c>
      <c r="C2341" s="1" t="str" cm="1">
        <f t="array" ref="C2341">_xlfn.IFS(OR(B2341=" ", B2341="NA",NOT(ISNUMBER(B2341))), "Unknown",B2341&lt;18,"Underage",B2341&lt;=24,"Young Adult",B2341&lt;=34,"Early Career",B2341&lt;=44,"Mid Career",B2341&lt;=54,"Mature",B2341&lt;=65,"Pre-Senior",B2341&gt;65,"Senior")</f>
        <v>Pre-Senior</v>
      </c>
      <c r="D2341" s="1" t="s">
        <v>18</v>
      </c>
      <c r="F2341" s="1">
        <v>500000</v>
      </c>
      <c r="G2341" s="1">
        <v>8</v>
      </c>
      <c r="H2341" s="1" t="str" cm="1">
        <f t="array" ref="H2341">_xlfn.IFS( OR(G2341=" ",NOT(ISNUMBER(G2341))),"Unknown",G2341&lt;=33,"Low Spender",G2341&lt;=66,"Medium Spender",TRUE, "High Spender")</f>
        <v>Low Spender</v>
      </c>
      <c r="J2341" s="1">
        <v>9700</v>
      </c>
      <c r="K2341" s="1">
        <v>316</v>
      </c>
      <c r="L2341" s="1" t="s">
        <v>20</v>
      </c>
      <c r="M2341" s="1" t="s">
        <v>32</v>
      </c>
      <c r="N2341" s="1" t="str">
        <f t="shared" si="72"/>
        <v>Higher</v>
      </c>
      <c r="O2341" s="1" t="str">
        <f t="shared" si="73"/>
        <v>Pre-Senior | Low Spender | Higher</v>
      </c>
    </row>
    <row r="2342" spans="1:15" x14ac:dyDescent="0.25">
      <c r="A2342" s="1" t="s">
        <v>2372</v>
      </c>
      <c r="C2342" s="1" t="str" cm="1">
        <f t="array" ref="C2342">_xlfn.IFS(OR(B2342=" ", B2342="NA",NOT(ISNUMBER(B2342))), "Unknown",B2342&lt;18,"Underage",B2342&lt;=24,"Young Adult",B2342&lt;=34,"Early Career",B2342&lt;=44,"Mid Career",B2342&lt;=54,"Mature",B2342&lt;=65,"Pre-Senior",B2342&gt;65,"Senior")</f>
        <v>Unknown</v>
      </c>
      <c r="E2342" s="1" t="s">
        <v>19</v>
      </c>
      <c r="F2342" s="1">
        <v>175000</v>
      </c>
      <c r="G2342" s="1">
        <v>83</v>
      </c>
      <c r="H2342" s="1" t="str" cm="1">
        <f t="array" ref="H2342">_xlfn.IFS( OR(G2342=" ",NOT(ISNUMBER(G2342))),"Unknown",G2342&lt;=33,"Low Spender",G2342&lt;=66,"Medium Spender",TRUE, "High Spender")</f>
        <v>High Spender</v>
      </c>
      <c r="I2342" s="1">
        <v>42</v>
      </c>
      <c r="J2342" s="1">
        <v>10400</v>
      </c>
      <c r="K2342" s="1">
        <v>159</v>
      </c>
      <c r="L2342" s="1" t="s">
        <v>20</v>
      </c>
      <c r="M2342" s="1" t="s">
        <v>32</v>
      </c>
      <c r="N2342" s="1" t="str">
        <f t="shared" si="72"/>
        <v>Lower</v>
      </c>
      <c r="O2342" s="1" t="str">
        <f t="shared" si="73"/>
        <v>Unknown | High Spender | Lower</v>
      </c>
    </row>
    <row r="2343" spans="1:15" x14ac:dyDescent="0.25">
      <c r="A2343" s="1" t="s">
        <v>2373</v>
      </c>
      <c r="B2343" s="1">
        <v>64</v>
      </c>
      <c r="C2343" s="1" t="str" cm="1">
        <f t="array" ref="C2343">_xlfn.IFS(OR(B2343=" ", B2343="NA",NOT(ISNUMBER(B2343))), "Unknown",B2343&lt;18,"Underage",B2343&lt;=24,"Young Adult",B2343&lt;=34,"Early Career",B2343&lt;=44,"Mid Career",B2343&lt;=54,"Mature",B2343&lt;=65,"Pre-Senior",B2343&gt;65,"Senior")</f>
        <v>Pre-Senior</v>
      </c>
      <c r="D2343" s="1" t="s">
        <v>12</v>
      </c>
      <c r="E2343" s="1" t="s">
        <v>23</v>
      </c>
      <c r="F2343" s="1">
        <v>1650000</v>
      </c>
      <c r="G2343" s="1">
        <v>48</v>
      </c>
      <c r="H2343" s="1" t="str" cm="1">
        <f t="array" ref="H2343">_xlfn.IFS( OR(G2343=" ",NOT(ISNUMBER(G2343))),"Unknown",G2343&lt;=33,"Low Spender",G2343&lt;=66,"Medium Spender",TRUE, "High Spender")</f>
        <v>Medium Spender</v>
      </c>
      <c r="I2343" s="1">
        <v>45</v>
      </c>
      <c r="J2343" s="1">
        <v>3000</v>
      </c>
      <c r="K2343" s="1">
        <v>186</v>
      </c>
      <c r="M2343" s="1" t="s">
        <v>30</v>
      </c>
      <c r="N2343" s="1" t="str">
        <f t="shared" si="72"/>
        <v>Lower</v>
      </c>
      <c r="O2343" s="1" t="str">
        <f t="shared" si="73"/>
        <v>Pre-Senior | Medium Spender | Lower</v>
      </c>
    </row>
    <row r="2344" spans="1:15" x14ac:dyDescent="0.25">
      <c r="A2344" s="1" t="s">
        <v>2374</v>
      </c>
      <c r="B2344" s="1">
        <v>31</v>
      </c>
      <c r="C2344" s="1" t="str" cm="1">
        <f t="array" ref="C2344">_xlfn.IFS(OR(B2344=" ", B2344="NA",NOT(ISNUMBER(B2344))), "Unknown",B2344&lt;18,"Underage",B2344&lt;=24,"Young Adult",B2344&lt;=34,"Early Career",B2344&lt;=44,"Mid Career",B2344&lt;=54,"Mature",B2344&lt;=65,"Pre-Senior",B2344&gt;65,"Senior")</f>
        <v>Early Career</v>
      </c>
      <c r="G2344" s="1">
        <v>30</v>
      </c>
      <c r="H2344" s="1" t="str" cm="1">
        <f t="array" ref="H2344">_xlfn.IFS( OR(G2344=" ",NOT(ISNUMBER(G2344))),"Unknown",G2344&lt;=33,"Low Spender",G2344&lt;=66,"Medium Spender",TRUE, "High Spender")</f>
        <v>Low Spender</v>
      </c>
      <c r="I2344" s="1">
        <v>68</v>
      </c>
      <c r="J2344" s="1">
        <v>500</v>
      </c>
      <c r="K2344" s="1">
        <v>353</v>
      </c>
      <c r="L2344" s="1" t="s">
        <v>20</v>
      </c>
      <c r="M2344" s="1" t="s">
        <v>32</v>
      </c>
      <c r="N2344" s="1" t="str">
        <f t="shared" si="72"/>
        <v>Lower</v>
      </c>
      <c r="O2344" s="1" t="str">
        <f t="shared" si="73"/>
        <v>Early Career | Low Spender | Lower</v>
      </c>
    </row>
    <row r="2345" spans="1:15" x14ac:dyDescent="0.25">
      <c r="A2345" s="1" t="s">
        <v>2375</v>
      </c>
      <c r="B2345" s="1">
        <v>56</v>
      </c>
      <c r="C2345" s="1" t="str" cm="1">
        <f t="array" ref="C2345">_xlfn.IFS(OR(B2345=" ", B2345="NA",NOT(ISNUMBER(B2345))), "Unknown",B2345&lt;18,"Underage",B2345&lt;=24,"Young Adult",B2345&lt;=34,"Early Career",B2345&lt;=44,"Mid Career",B2345&lt;=54,"Mature",B2345&lt;=65,"Pre-Senior",B2345&gt;65,"Senior")</f>
        <v>Pre-Senior</v>
      </c>
      <c r="E2345" s="1" t="s">
        <v>58</v>
      </c>
      <c r="F2345" s="1">
        <v>1725000</v>
      </c>
      <c r="G2345" s="1">
        <v>58</v>
      </c>
      <c r="H2345" s="1" t="str" cm="1">
        <f t="array" ref="H2345">_xlfn.IFS( OR(G2345=" ",NOT(ISNUMBER(G2345))),"Unknown",G2345&lt;=33,"Low Spender",G2345&lt;=66,"Medium Spender",TRUE, "High Spender")</f>
        <v>Medium Spender</v>
      </c>
      <c r="I2345" s="1">
        <v>75</v>
      </c>
      <c r="J2345" s="1">
        <v>800</v>
      </c>
      <c r="K2345" s="1">
        <v>256</v>
      </c>
      <c r="N2345" s="1" t="str">
        <f t="shared" si="72"/>
        <v>Lower</v>
      </c>
      <c r="O2345" s="1" t="str">
        <f t="shared" si="73"/>
        <v>Pre-Senior | Medium Spender | Lower</v>
      </c>
    </row>
    <row r="2346" spans="1:15" x14ac:dyDescent="0.25">
      <c r="A2346" s="1" t="s">
        <v>2376</v>
      </c>
      <c r="B2346" s="1">
        <v>42</v>
      </c>
      <c r="C2346" s="1" t="str" cm="1">
        <f t="array" ref="C2346">_xlfn.IFS(OR(B2346=" ", B2346="NA",NOT(ISNUMBER(B2346))), "Unknown",B2346&lt;18,"Underage",B2346&lt;=24,"Young Adult",B2346&lt;=34,"Early Career",B2346&lt;=44,"Mid Career",B2346&lt;=54,"Mature",B2346&lt;=65,"Pre-Senior",B2346&gt;65,"Senior")</f>
        <v>Mid Career</v>
      </c>
      <c r="D2346" s="1" t="s">
        <v>18</v>
      </c>
      <c r="E2346" s="1" t="s">
        <v>58</v>
      </c>
      <c r="F2346" s="1">
        <v>1425000</v>
      </c>
      <c r="G2346" s="1">
        <v>86</v>
      </c>
      <c r="H2346" s="1" t="str" cm="1">
        <f t="array" ref="H2346">_xlfn.IFS( OR(G2346=" ",NOT(ISNUMBER(G2346))),"Unknown",G2346&lt;=33,"Low Spender",G2346&lt;=66,"Medium Spender",TRUE, "High Spender")</f>
        <v>High Spender</v>
      </c>
      <c r="I2346" s="1">
        <v>47</v>
      </c>
      <c r="J2346" s="1">
        <v>4700</v>
      </c>
      <c r="K2346" s="1">
        <v>239</v>
      </c>
      <c r="N2346" s="1" t="str">
        <f t="shared" si="72"/>
        <v>Higher</v>
      </c>
      <c r="O2346" s="1" t="str">
        <f t="shared" si="73"/>
        <v>Mid Career | High Spender | Higher</v>
      </c>
    </row>
    <row r="2347" spans="1:15" x14ac:dyDescent="0.25">
      <c r="A2347" s="1" t="s">
        <v>2377</v>
      </c>
      <c r="B2347" s="1">
        <v>37</v>
      </c>
      <c r="C2347" s="1" t="str" cm="1">
        <f t="array" ref="C2347">_xlfn.IFS(OR(B2347=" ", B2347="NA",NOT(ISNUMBER(B2347))), "Unknown",B2347&lt;18,"Underage",B2347&lt;=24,"Young Adult",B2347&lt;=34,"Early Career",B2347&lt;=44,"Mid Career",B2347&lt;=54,"Mature",B2347&lt;=65,"Pre-Senior",B2347&gt;65,"Senior")</f>
        <v>Mid Career</v>
      </c>
      <c r="E2347" s="1" t="s">
        <v>58</v>
      </c>
      <c r="F2347" s="1">
        <v>1025000</v>
      </c>
      <c r="G2347" s="1">
        <v>55</v>
      </c>
      <c r="H2347" s="1" t="str" cm="1">
        <f t="array" ref="H2347">_xlfn.IFS( OR(G2347=" ",NOT(ISNUMBER(G2347))),"Unknown",G2347&lt;=33,"Low Spender",G2347&lt;=66,"Medium Spender",TRUE, "High Spender")</f>
        <v>Medium Spender</v>
      </c>
      <c r="I2347" s="1">
        <v>79</v>
      </c>
      <c r="J2347" s="1">
        <v>2500</v>
      </c>
      <c r="K2347" s="1">
        <v>104</v>
      </c>
      <c r="N2347" s="1" t="str">
        <f t="shared" si="72"/>
        <v>Lower</v>
      </c>
      <c r="O2347" s="1" t="str">
        <f t="shared" si="73"/>
        <v>Mid Career | Medium Spender | Lower</v>
      </c>
    </row>
    <row r="2348" spans="1:15" x14ac:dyDescent="0.25">
      <c r="A2348" s="1" t="s">
        <v>2378</v>
      </c>
      <c r="B2348" s="1">
        <v>19</v>
      </c>
      <c r="C2348" s="1" t="str" cm="1">
        <f t="array" ref="C2348">_xlfn.IFS(OR(B2348=" ", B2348="NA",NOT(ISNUMBER(B2348))), "Unknown",B2348&lt;18,"Underage",B2348&lt;=24,"Young Adult",B2348&lt;=34,"Early Career",B2348&lt;=44,"Mid Career",B2348&lt;=54,"Mature",B2348&lt;=65,"Pre-Senior",B2348&gt;65,"Senior")</f>
        <v>Young Adult</v>
      </c>
      <c r="E2348" s="1" t="s">
        <v>58</v>
      </c>
      <c r="F2348" s="1">
        <v>1800000</v>
      </c>
      <c r="G2348" s="1">
        <v>73</v>
      </c>
      <c r="H2348" s="1" t="str" cm="1">
        <f t="array" ref="H2348">_xlfn.IFS( OR(G2348=" ",NOT(ISNUMBER(G2348))),"Unknown",G2348&lt;=33,"Low Spender",G2348&lt;=66,"Medium Spender",TRUE, "High Spender")</f>
        <v>High Spender</v>
      </c>
      <c r="I2348" s="1">
        <v>30</v>
      </c>
      <c r="J2348" s="1">
        <v>900</v>
      </c>
      <c r="M2348" s="1" t="s">
        <v>41</v>
      </c>
      <c r="N2348" s="1" t="str">
        <f t="shared" si="72"/>
        <v>Lower</v>
      </c>
      <c r="O2348" s="1" t="str">
        <f t="shared" si="73"/>
        <v>Young Adult | High Spender | Lower</v>
      </c>
    </row>
    <row r="2349" spans="1:15" x14ac:dyDescent="0.25">
      <c r="A2349" s="1" t="s">
        <v>2379</v>
      </c>
      <c r="B2349" s="1">
        <v>56</v>
      </c>
      <c r="C2349" s="1" t="str" cm="1">
        <f t="array" ref="C2349">_xlfn.IFS(OR(B2349=" ", B2349="NA",NOT(ISNUMBER(B2349))), "Unknown",B2349&lt;18,"Underage",B2349&lt;=24,"Young Adult",B2349&lt;=34,"Early Career",B2349&lt;=44,"Mid Career",B2349&lt;=54,"Mature",B2349&lt;=65,"Pre-Senior",B2349&gt;65,"Senior")</f>
        <v>Pre-Senior</v>
      </c>
      <c r="F2349" s="1">
        <v>1850000</v>
      </c>
      <c r="G2349" s="1">
        <v>62</v>
      </c>
      <c r="H2349" s="1" t="str" cm="1">
        <f t="array" ref="H2349">_xlfn.IFS( OR(G2349=" ",NOT(ISNUMBER(G2349))),"Unknown",G2349&lt;=33,"Low Spender",G2349&lt;=66,"Medium Spender",TRUE, "High Spender")</f>
        <v>Medium Spender</v>
      </c>
      <c r="I2349" s="1">
        <v>24</v>
      </c>
      <c r="J2349" s="1">
        <v>6300</v>
      </c>
      <c r="K2349" s="1">
        <v>29</v>
      </c>
      <c r="M2349" s="1" t="s">
        <v>32</v>
      </c>
      <c r="N2349" s="1" t="str">
        <f t="shared" si="72"/>
        <v>Lower</v>
      </c>
      <c r="O2349" s="1" t="str">
        <f t="shared" si="73"/>
        <v>Pre-Senior | Medium Spender | Lower</v>
      </c>
    </row>
    <row r="2350" spans="1:15" x14ac:dyDescent="0.25">
      <c r="A2350" s="1" t="s">
        <v>2380</v>
      </c>
      <c r="B2350" s="1">
        <v>23</v>
      </c>
      <c r="C2350" s="1" t="str" cm="1">
        <f t="array" ref="C2350">_xlfn.IFS(OR(B2350=" ", B2350="NA",NOT(ISNUMBER(B2350))), "Unknown",B2350&lt;18,"Underage",B2350&lt;=24,"Young Adult",B2350&lt;=34,"Early Career",B2350&lt;=44,"Mid Career",B2350&lt;=54,"Mature",B2350&lt;=65,"Pre-Senior",B2350&gt;65,"Senior")</f>
        <v>Young Adult</v>
      </c>
      <c r="D2350" s="1" t="s">
        <v>18</v>
      </c>
      <c r="E2350" s="1" t="s">
        <v>23</v>
      </c>
      <c r="F2350" s="1">
        <v>1800000</v>
      </c>
      <c r="G2350" s="1">
        <v>48</v>
      </c>
      <c r="H2350" s="1" t="str" cm="1">
        <f t="array" ref="H2350">_xlfn.IFS( OR(G2350=" ",NOT(ISNUMBER(G2350))),"Unknown",G2350&lt;=33,"Low Spender",G2350&lt;=66,"Medium Spender",TRUE, "High Spender")</f>
        <v>Medium Spender</v>
      </c>
      <c r="I2350" s="1">
        <v>66</v>
      </c>
      <c r="J2350" s="1">
        <v>10200</v>
      </c>
      <c r="K2350" s="1">
        <v>89</v>
      </c>
      <c r="M2350" s="1" t="s">
        <v>41</v>
      </c>
      <c r="N2350" s="1" t="str">
        <f t="shared" si="72"/>
        <v>Higher</v>
      </c>
      <c r="O2350" s="1" t="str">
        <f t="shared" si="73"/>
        <v>Young Adult | Medium Spender | Higher</v>
      </c>
    </row>
    <row r="2351" spans="1:15" x14ac:dyDescent="0.25">
      <c r="A2351" s="1" t="s">
        <v>2381</v>
      </c>
      <c r="B2351" s="1">
        <v>34</v>
      </c>
      <c r="C2351" s="1" t="str" cm="1">
        <f t="array" ref="C2351">_xlfn.IFS(OR(B2351=" ", B2351="NA",NOT(ISNUMBER(B2351))), "Unknown",B2351&lt;18,"Underage",B2351&lt;=24,"Young Adult",B2351&lt;=34,"Early Career",B2351&lt;=44,"Mid Career",B2351&lt;=54,"Mature",B2351&lt;=65,"Pre-Senior",B2351&gt;65,"Senior")</f>
        <v>Early Career</v>
      </c>
      <c r="D2351" s="1" t="s">
        <v>18</v>
      </c>
      <c r="E2351" s="1" t="s">
        <v>49</v>
      </c>
      <c r="F2351" s="1">
        <v>1300000</v>
      </c>
      <c r="G2351" s="1">
        <v>4</v>
      </c>
      <c r="H2351" s="1" t="str" cm="1">
        <f t="array" ref="H2351">_xlfn.IFS( OR(G2351=" ",NOT(ISNUMBER(G2351))),"Unknown",G2351&lt;=33,"Low Spender",G2351&lt;=66,"Medium Spender",TRUE, "High Spender")</f>
        <v>Low Spender</v>
      </c>
      <c r="I2351" s="1">
        <v>43</v>
      </c>
      <c r="J2351" s="1">
        <v>6700</v>
      </c>
      <c r="K2351" s="1">
        <v>51</v>
      </c>
      <c r="L2351" s="1" t="s">
        <v>16</v>
      </c>
      <c r="M2351" s="1" t="s">
        <v>30</v>
      </c>
      <c r="N2351" s="1" t="str">
        <f t="shared" si="72"/>
        <v>Higher</v>
      </c>
      <c r="O2351" s="1" t="str">
        <f t="shared" si="73"/>
        <v>Early Career | Low Spender | Higher</v>
      </c>
    </row>
    <row r="2352" spans="1:15" x14ac:dyDescent="0.25">
      <c r="A2352" s="1" t="s">
        <v>2382</v>
      </c>
      <c r="B2352" s="1">
        <v>42</v>
      </c>
      <c r="C2352" s="1" t="str" cm="1">
        <f t="array" ref="C2352">_xlfn.IFS(OR(B2352=" ", B2352="NA",NOT(ISNUMBER(B2352))), "Unknown",B2352&lt;18,"Underage",B2352&lt;=24,"Young Adult",B2352&lt;=34,"Early Career",B2352&lt;=44,"Mid Career",B2352&lt;=54,"Mature",B2352&lt;=65,"Pre-Senior",B2352&gt;65,"Senior")</f>
        <v>Mid Career</v>
      </c>
      <c r="D2352" s="1" t="s">
        <v>12</v>
      </c>
      <c r="E2352" s="1" t="s">
        <v>58</v>
      </c>
      <c r="F2352" s="1">
        <v>175000</v>
      </c>
      <c r="G2352" s="1">
        <v>37</v>
      </c>
      <c r="H2352" s="1" t="str" cm="1">
        <f t="array" ref="H2352">_xlfn.IFS( OR(G2352=" ",NOT(ISNUMBER(G2352))),"Unknown",G2352&lt;=33,"Low Spender",G2352&lt;=66,"Medium Spender",TRUE, "High Spender")</f>
        <v>Medium Spender</v>
      </c>
      <c r="I2352" s="1">
        <v>34</v>
      </c>
      <c r="J2352" s="1">
        <v>800</v>
      </c>
      <c r="K2352" s="1">
        <v>364</v>
      </c>
      <c r="M2352" s="1" t="s">
        <v>41</v>
      </c>
      <c r="N2352" s="1" t="str">
        <f t="shared" si="72"/>
        <v>Lower</v>
      </c>
      <c r="O2352" s="1" t="str">
        <f t="shared" si="73"/>
        <v>Mid Career | Medium Spender | Lower</v>
      </c>
    </row>
    <row r="2353" spans="1:15" x14ac:dyDescent="0.25">
      <c r="A2353" s="1" t="s">
        <v>2383</v>
      </c>
      <c r="B2353" s="1">
        <v>45</v>
      </c>
      <c r="C2353" s="1" t="str" cm="1">
        <f t="array" ref="C2353">_xlfn.IFS(OR(B2353=" ", B2353="NA",NOT(ISNUMBER(B2353))), "Unknown",B2353&lt;18,"Underage",B2353&lt;=24,"Young Adult",B2353&lt;=34,"Early Career",B2353&lt;=44,"Mid Career",B2353&lt;=54,"Mature",B2353&lt;=65,"Pre-Senior",B2353&gt;65,"Senior")</f>
        <v>Mature</v>
      </c>
      <c r="D2353" s="1" t="s">
        <v>18</v>
      </c>
      <c r="E2353" s="1" t="s">
        <v>49</v>
      </c>
      <c r="F2353" s="1">
        <v>1225000</v>
      </c>
      <c r="G2353" s="1">
        <v>8</v>
      </c>
      <c r="H2353" s="1" t="str" cm="1">
        <f t="array" ref="H2353">_xlfn.IFS( OR(G2353=" ",NOT(ISNUMBER(G2353))),"Unknown",G2353&lt;=33,"Low Spender",G2353&lt;=66,"Medium Spender",TRUE, "High Spender")</f>
        <v>Low Spender</v>
      </c>
      <c r="I2353" s="1">
        <v>23</v>
      </c>
      <c r="J2353" s="1">
        <v>2600</v>
      </c>
      <c r="K2353" s="1">
        <v>147</v>
      </c>
      <c r="L2353" s="1" t="s">
        <v>16</v>
      </c>
      <c r="M2353" s="1" t="s">
        <v>32</v>
      </c>
      <c r="N2353" s="1" t="str">
        <f t="shared" si="72"/>
        <v>Higher</v>
      </c>
      <c r="O2353" s="1" t="str">
        <f t="shared" si="73"/>
        <v>Mature | Low Spender | Higher</v>
      </c>
    </row>
    <row r="2354" spans="1:15" x14ac:dyDescent="0.25">
      <c r="A2354" s="1" t="s">
        <v>2384</v>
      </c>
      <c r="B2354" s="1">
        <v>19</v>
      </c>
      <c r="C2354" s="1" t="str" cm="1">
        <f t="array" ref="C2354">_xlfn.IFS(OR(B2354=" ", B2354="NA",NOT(ISNUMBER(B2354))), "Unknown",B2354&lt;18,"Underage",B2354&lt;=24,"Young Adult",B2354&lt;=34,"Early Career",B2354&lt;=44,"Mid Career",B2354&lt;=54,"Mature",B2354&lt;=65,"Pre-Senior",B2354&gt;65,"Senior")</f>
        <v>Young Adult</v>
      </c>
      <c r="D2354" s="1" t="s">
        <v>18</v>
      </c>
      <c r="E2354" s="1" t="s">
        <v>23</v>
      </c>
      <c r="F2354" s="1">
        <v>1725000</v>
      </c>
      <c r="G2354" s="1">
        <v>1</v>
      </c>
      <c r="H2354" s="1" t="str" cm="1">
        <f t="array" ref="H2354">_xlfn.IFS( OR(G2354=" ",NOT(ISNUMBER(G2354))),"Unknown",G2354&lt;=33,"Low Spender",G2354&lt;=66,"Medium Spender",TRUE, "High Spender")</f>
        <v>Low Spender</v>
      </c>
      <c r="I2354" s="1">
        <v>61</v>
      </c>
      <c r="J2354" s="1">
        <v>3900</v>
      </c>
      <c r="K2354" s="1">
        <v>314</v>
      </c>
      <c r="L2354" s="1" t="s">
        <v>20</v>
      </c>
      <c r="N2354" s="1" t="str">
        <f t="shared" si="72"/>
        <v>Higher</v>
      </c>
      <c r="O2354" s="1" t="str">
        <f t="shared" si="73"/>
        <v>Young Adult | Low Spender | Higher</v>
      </c>
    </row>
    <row r="2355" spans="1:15" x14ac:dyDescent="0.25">
      <c r="A2355" s="1" t="s">
        <v>2385</v>
      </c>
      <c r="B2355" s="1">
        <v>52</v>
      </c>
      <c r="C2355" s="1" t="str" cm="1">
        <f t="array" ref="C2355">_xlfn.IFS(OR(B2355=" ", B2355="NA",NOT(ISNUMBER(B2355))), "Unknown",B2355&lt;18,"Underage",B2355&lt;=24,"Young Adult",B2355&lt;=34,"Early Career",B2355&lt;=44,"Mid Career",B2355&lt;=54,"Mature",B2355&lt;=65,"Pre-Senior",B2355&gt;65,"Senior")</f>
        <v>Mature</v>
      </c>
      <c r="D2355" s="1" t="s">
        <v>29</v>
      </c>
      <c r="E2355" s="1" t="s">
        <v>23</v>
      </c>
      <c r="F2355" s="1">
        <v>825000</v>
      </c>
      <c r="G2355" s="1">
        <v>92</v>
      </c>
      <c r="H2355" s="1" t="str" cm="1">
        <f t="array" ref="H2355">_xlfn.IFS( OR(G2355=" ",NOT(ISNUMBER(G2355))),"Unknown",G2355&lt;=33,"Low Spender",G2355&lt;=66,"Medium Spender",TRUE, "High Spender")</f>
        <v>High Spender</v>
      </c>
      <c r="I2355" s="1">
        <v>37</v>
      </c>
      <c r="J2355" s="1">
        <v>4700</v>
      </c>
      <c r="K2355" s="1">
        <v>36</v>
      </c>
      <c r="L2355" s="1" t="s">
        <v>16</v>
      </c>
      <c r="M2355" s="1" t="s">
        <v>30</v>
      </c>
      <c r="N2355" s="1" t="str">
        <f t="shared" si="72"/>
        <v>Higher</v>
      </c>
      <c r="O2355" s="1" t="str">
        <f t="shared" si="73"/>
        <v>Mature | High Spender | Higher</v>
      </c>
    </row>
    <row r="2356" spans="1:15" x14ac:dyDescent="0.25">
      <c r="A2356" s="1" t="s">
        <v>2386</v>
      </c>
      <c r="B2356" s="1">
        <v>54</v>
      </c>
      <c r="C2356" s="1" t="str" cm="1">
        <f t="array" ref="C2356">_xlfn.IFS(OR(B2356=" ", B2356="NA",NOT(ISNUMBER(B2356))), "Unknown",B2356&lt;18,"Underage",B2356&lt;=24,"Young Adult",B2356&lt;=34,"Early Career",B2356&lt;=44,"Mid Career",B2356&lt;=54,"Mature",B2356&lt;=65,"Pre-Senior",B2356&gt;65,"Senior")</f>
        <v>Mature</v>
      </c>
      <c r="D2356" s="1" t="s">
        <v>18</v>
      </c>
      <c r="E2356" s="1" t="s">
        <v>15</v>
      </c>
      <c r="F2356" s="1">
        <v>1475000</v>
      </c>
      <c r="G2356" s="1">
        <v>70</v>
      </c>
      <c r="H2356" s="1" t="str" cm="1">
        <f t="array" ref="H2356">_xlfn.IFS( OR(G2356=" ",NOT(ISNUMBER(G2356))),"Unknown",G2356&lt;=33,"Low Spender",G2356&lt;=66,"Medium Spender",TRUE, "High Spender")</f>
        <v>High Spender</v>
      </c>
      <c r="I2356" s="1">
        <v>13</v>
      </c>
      <c r="J2356" s="1">
        <v>5300</v>
      </c>
      <c r="K2356" s="1">
        <v>284</v>
      </c>
      <c r="L2356" s="1" t="s">
        <v>37</v>
      </c>
      <c r="M2356" s="1" t="s">
        <v>32</v>
      </c>
      <c r="N2356" s="1" t="str">
        <f t="shared" si="72"/>
        <v>Higher</v>
      </c>
      <c r="O2356" s="1" t="str">
        <f t="shared" si="73"/>
        <v>Mature | High Spender | Higher</v>
      </c>
    </row>
    <row r="2357" spans="1:15" x14ac:dyDescent="0.25">
      <c r="A2357" s="1" t="s">
        <v>2387</v>
      </c>
      <c r="B2357" s="1">
        <v>22</v>
      </c>
      <c r="C2357" s="1" t="str" cm="1">
        <f t="array" ref="C2357">_xlfn.IFS(OR(B2357=" ", B2357="NA",NOT(ISNUMBER(B2357))), "Unknown",B2357&lt;18,"Underage",B2357&lt;=24,"Young Adult",B2357&lt;=34,"Early Career",B2357&lt;=44,"Mid Career",B2357&lt;=54,"Mature",B2357&lt;=65,"Pre-Senior",B2357&gt;65,"Senior")</f>
        <v>Young Adult</v>
      </c>
      <c r="D2357" s="1" t="s">
        <v>29</v>
      </c>
      <c r="E2357" s="1" t="s">
        <v>34</v>
      </c>
      <c r="F2357" s="1">
        <v>1975000</v>
      </c>
      <c r="G2357" s="1">
        <v>47</v>
      </c>
      <c r="H2357" s="1" t="str" cm="1">
        <f t="array" ref="H2357">_xlfn.IFS( OR(G2357=" ",NOT(ISNUMBER(G2357))),"Unknown",G2357&lt;=33,"Low Spender",G2357&lt;=66,"Medium Spender",TRUE, "High Spender")</f>
        <v>Medium Spender</v>
      </c>
      <c r="I2357" s="1">
        <v>71</v>
      </c>
      <c r="J2357" s="1">
        <v>10200</v>
      </c>
      <c r="K2357" s="1">
        <v>101</v>
      </c>
      <c r="L2357" s="1" t="s">
        <v>35</v>
      </c>
      <c r="M2357" s="1" t="s">
        <v>30</v>
      </c>
      <c r="N2357" s="1" t="str">
        <f t="shared" si="72"/>
        <v>Higher</v>
      </c>
      <c r="O2357" s="1" t="str">
        <f t="shared" si="73"/>
        <v>Young Adult | Medium Spender | Higher</v>
      </c>
    </row>
    <row r="2358" spans="1:15" x14ac:dyDescent="0.25">
      <c r="A2358" s="1" t="s">
        <v>2388</v>
      </c>
      <c r="B2358" s="1">
        <v>18</v>
      </c>
      <c r="C2358" s="1" t="str" cm="1">
        <f t="array" ref="C2358">_xlfn.IFS(OR(B2358=" ", B2358="NA",NOT(ISNUMBER(B2358))), "Unknown",B2358&lt;18,"Underage",B2358&lt;=24,"Young Adult",B2358&lt;=34,"Early Career",B2358&lt;=44,"Mid Career",B2358&lt;=54,"Mature",B2358&lt;=65,"Pre-Senior",B2358&gt;65,"Senior")</f>
        <v>Young Adult</v>
      </c>
      <c r="D2358" s="1" t="s">
        <v>12</v>
      </c>
      <c r="F2358" s="1">
        <v>1800000</v>
      </c>
      <c r="G2358" s="1">
        <v>100</v>
      </c>
      <c r="H2358" s="1" t="str" cm="1">
        <f t="array" ref="H2358">_xlfn.IFS( OR(G2358=" ",NOT(ISNUMBER(G2358))),"Unknown",G2358&lt;=33,"Low Spender",G2358&lt;=66,"Medium Spender",TRUE, "High Spender")</f>
        <v>High Spender</v>
      </c>
      <c r="I2358" s="1">
        <v>7</v>
      </c>
      <c r="J2358" s="1">
        <v>9000</v>
      </c>
      <c r="K2358" s="1">
        <v>107</v>
      </c>
      <c r="L2358" s="1" t="s">
        <v>37</v>
      </c>
      <c r="M2358" s="1" t="s">
        <v>21</v>
      </c>
      <c r="N2358" s="1" t="str">
        <f t="shared" si="72"/>
        <v>Lower</v>
      </c>
      <c r="O2358" s="1" t="str">
        <f t="shared" si="73"/>
        <v>Young Adult | High Spender | Lower</v>
      </c>
    </row>
    <row r="2359" spans="1:15" x14ac:dyDescent="0.25">
      <c r="A2359" s="1" t="s">
        <v>2389</v>
      </c>
      <c r="B2359" s="1">
        <v>57</v>
      </c>
      <c r="C2359" s="1" t="str" cm="1">
        <f t="array" ref="C2359">_xlfn.IFS(OR(B2359=" ", B2359="NA",NOT(ISNUMBER(B2359))), "Unknown",B2359&lt;18,"Underage",B2359&lt;=24,"Young Adult",B2359&lt;=34,"Early Career",B2359&lt;=44,"Mid Career",B2359&lt;=54,"Mature",B2359&lt;=65,"Pre-Senior",B2359&gt;65,"Senior")</f>
        <v>Pre-Senior</v>
      </c>
      <c r="E2359" s="1" t="s">
        <v>13</v>
      </c>
      <c r="F2359" s="1">
        <v>1025000</v>
      </c>
      <c r="G2359" s="1">
        <v>75</v>
      </c>
      <c r="H2359" s="1" t="str" cm="1">
        <f t="array" ref="H2359">_xlfn.IFS( OR(G2359=" ",NOT(ISNUMBER(G2359))),"Unknown",G2359&lt;=33,"Low Spender",G2359&lt;=66,"Medium Spender",TRUE, "High Spender")</f>
        <v>High Spender</v>
      </c>
      <c r="I2359" s="1">
        <v>42</v>
      </c>
      <c r="J2359" s="1">
        <v>10400</v>
      </c>
      <c r="K2359" s="1">
        <v>345</v>
      </c>
      <c r="L2359" s="1" t="s">
        <v>37</v>
      </c>
      <c r="M2359" s="1" t="s">
        <v>32</v>
      </c>
      <c r="N2359" s="1" t="str">
        <f t="shared" si="72"/>
        <v>Lower</v>
      </c>
      <c r="O2359" s="1" t="str">
        <f t="shared" si="73"/>
        <v>Pre-Senior | High Spender | Lower</v>
      </c>
    </row>
    <row r="2360" spans="1:15" x14ac:dyDescent="0.25">
      <c r="A2360" s="1" t="s">
        <v>2390</v>
      </c>
      <c r="B2360" s="1">
        <v>29</v>
      </c>
      <c r="C2360" s="1" t="str" cm="1">
        <f t="array" ref="C2360">_xlfn.IFS(OR(B2360=" ", B2360="NA",NOT(ISNUMBER(B2360))), "Unknown",B2360&lt;18,"Underage",B2360&lt;=24,"Young Adult",B2360&lt;=34,"Early Career",B2360&lt;=44,"Mid Career",B2360&lt;=54,"Mature",B2360&lt;=65,"Pre-Senior",B2360&gt;65,"Senior")</f>
        <v>Early Career</v>
      </c>
      <c r="F2360" s="1">
        <v>1700000</v>
      </c>
      <c r="G2360" s="1">
        <v>5</v>
      </c>
      <c r="H2360" s="1" t="str" cm="1">
        <f t="array" ref="H2360">_xlfn.IFS( OR(G2360=" ",NOT(ISNUMBER(G2360))),"Unknown",G2360&lt;=33,"Low Spender",G2360&lt;=66,"Medium Spender",TRUE, "High Spender")</f>
        <v>Low Spender</v>
      </c>
      <c r="I2360" s="1">
        <v>38</v>
      </c>
      <c r="J2360" s="1">
        <v>4700</v>
      </c>
      <c r="K2360" s="1">
        <v>291</v>
      </c>
      <c r="M2360" s="1" t="s">
        <v>21</v>
      </c>
      <c r="N2360" s="1" t="str">
        <f t="shared" si="72"/>
        <v>Lower</v>
      </c>
      <c r="O2360" s="1" t="str">
        <f t="shared" si="73"/>
        <v>Early Career | Low Spender | Lower</v>
      </c>
    </row>
    <row r="2361" spans="1:15" x14ac:dyDescent="0.25">
      <c r="A2361" s="1" t="s">
        <v>2391</v>
      </c>
      <c r="B2361" s="1">
        <v>53</v>
      </c>
      <c r="C2361" s="1" t="str" cm="1">
        <f t="array" ref="C2361">_xlfn.IFS(OR(B2361=" ", B2361="NA",NOT(ISNUMBER(B2361))), "Unknown",B2361&lt;18,"Underage",B2361&lt;=24,"Young Adult",B2361&lt;=34,"Early Career",B2361&lt;=44,"Mid Career",B2361&lt;=54,"Mature",B2361&lt;=65,"Pre-Senior",B2361&gt;65,"Senior")</f>
        <v>Mature</v>
      </c>
      <c r="F2361" s="1">
        <v>750000</v>
      </c>
      <c r="G2361" s="1">
        <v>50</v>
      </c>
      <c r="H2361" s="1" t="str" cm="1">
        <f t="array" ref="H2361">_xlfn.IFS( OR(G2361=" ",NOT(ISNUMBER(G2361))),"Unknown",G2361&lt;=33,"Low Spender",G2361&lt;=66,"Medium Spender",TRUE, "High Spender")</f>
        <v>Medium Spender</v>
      </c>
      <c r="I2361" s="1">
        <v>52</v>
      </c>
      <c r="J2361" s="1">
        <v>6500</v>
      </c>
      <c r="K2361" s="1">
        <v>349</v>
      </c>
      <c r="L2361" s="1" t="s">
        <v>35</v>
      </c>
      <c r="M2361" s="1" t="s">
        <v>41</v>
      </c>
      <c r="N2361" s="1" t="str">
        <f t="shared" si="72"/>
        <v>Lower</v>
      </c>
      <c r="O2361" s="1" t="str">
        <f t="shared" si="73"/>
        <v>Mature | Medium Spender | Lower</v>
      </c>
    </row>
    <row r="2362" spans="1:15" x14ac:dyDescent="0.25">
      <c r="A2362" s="1" t="s">
        <v>2392</v>
      </c>
      <c r="B2362" s="1">
        <v>62</v>
      </c>
      <c r="C2362" s="1" t="str" cm="1">
        <f t="array" ref="C2362">_xlfn.IFS(OR(B2362=" ", B2362="NA",NOT(ISNUMBER(B2362))), "Unknown",B2362&lt;18,"Underage",B2362&lt;=24,"Young Adult",B2362&lt;=34,"Early Career",B2362&lt;=44,"Mid Career",B2362&lt;=54,"Mature",B2362&lt;=65,"Pre-Senior",B2362&gt;65,"Senior")</f>
        <v>Pre-Senior</v>
      </c>
      <c r="D2362" s="1" t="s">
        <v>12</v>
      </c>
      <c r="E2362" s="1" t="s">
        <v>13</v>
      </c>
      <c r="F2362" s="1">
        <v>1325000</v>
      </c>
      <c r="G2362" s="1">
        <v>24</v>
      </c>
      <c r="H2362" s="1" t="str" cm="1">
        <f t="array" ref="H2362">_xlfn.IFS( OR(G2362=" ",NOT(ISNUMBER(G2362))),"Unknown",G2362&lt;=33,"Low Spender",G2362&lt;=66,"Medium Spender",TRUE, "High Spender")</f>
        <v>Low Spender</v>
      </c>
      <c r="I2362" s="1">
        <v>44</v>
      </c>
      <c r="J2362" s="1">
        <v>3100</v>
      </c>
      <c r="K2362" s="1">
        <v>105</v>
      </c>
      <c r="M2362" s="1" t="s">
        <v>32</v>
      </c>
      <c r="N2362" s="1" t="str">
        <f t="shared" si="72"/>
        <v>Lower</v>
      </c>
      <c r="O2362" s="1" t="str">
        <f t="shared" si="73"/>
        <v>Pre-Senior | Low Spender | Lower</v>
      </c>
    </row>
    <row r="2363" spans="1:15" x14ac:dyDescent="0.25">
      <c r="A2363" s="1" t="s">
        <v>2393</v>
      </c>
      <c r="B2363" s="1">
        <v>40</v>
      </c>
      <c r="C2363" s="1" t="str" cm="1">
        <f t="array" ref="C2363">_xlfn.IFS(OR(B2363=" ", B2363="NA",NOT(ISNUMBER(B2363))), "Unknown",B2363&lt;18,"Underage",B2363&lt;=24,"Young Adult",B2363&lt;=34,"Early Career",B2363&lt;=44,"Mid Career",B2363&lt;=54,"Mature",B2363&lt;=65,"Pre-Senior",B2363&gt;65,"Senior")</f>
        <v>Mid Career</v>
      </c>
      <c r="D2363" s="1" t="s">
        <v>12</v>
      </c>
      <c r="E2363" s="1" t="s">
        <v>23</v>
      </c>
      <c r="F2363" s="1">
        <v>1100000</v>
      </c>
      <c r="G2363" s="1">
        <v>47</v>
      </c>
      <c r="H2363" s="1" t="str" cm="1">
        <f t="array" ref="H2363">_xlfn.IFS( OR(G2363=" ",NOT(ISNUMBER(G2363))),"Unknown",G2363&lt;=33,"Low Spender",G2363&lt;=66,"Medium Spender",TRUE, "High Spender")</f>
        <v>Medium Spender</v>
      </c>
      <c r="I2363" s="1">
        <v>64</v>
      </c>
      <c r="J2363" s="1">
        <v>10300</v>
      </c>
      <c r="K2363" s="1">
        <v>221</v>
      </c>
      <c r="L2363" s="1" t="s">
        <v>16</v>
      </c>
      <c r="M2363" s="1" t="s">
        <v>21</v>
      </c>
      <c r="N2363" s="1" t="str">
        <f t="shared" si="72"/>
        <v>Lower</v>
      </c>
      <c r="O2363" s="1" t="str">
        <f t="shared" si="73"/>
        <v>Mid Career | Medium Spender | Lower</v>
      </c>
    </row>
    <row r="2364" spans="1:15" x14ac:dyDescent="0.25">
      <c r="A2364" s="1" t="s">
        <v>2394</v>
      </c>
      <c r="B2364" s="1">
        <v>64</v>
      </c>
      <c r="C2364" s="1" t="str" cm="1">
        <f t="array" ref="C2364">_xlfn.IFS(OR(B2364=" ", B2364="NA",NOT(ISNUMBER(B2364))), "Unknown",B2364&lt;18,"Underage",B2364&lt;=24,"Young Adult",B2364&lt;=34,"Early Career",B2364&lt;=44,"Mid Career",B2364&lt;=54,"Mature",B2364&lt;=65,"Pre-Senior",B2364&gt;65,"Senior")</f>
        <v>Pre-Senior</v>
      </c>
      <c r="D2364" s="1" t="s">
        <v>29</v>
      </c>
      <c r="F2364" s="1">
        <v>1300000</v>
      </c>
      <c r="G2364" s="1">
        <v>18</v>
      </c>
      <c r="H2364" s="1" t="str" cm="1">
        <f t="array" ref="H2364">_xlfn.IFS( OR(G2364=" ",NOT(ISNUMBER(G2364))),"Unknown",G2364&lt;=33,"Low Spender",G2364&lt;=66,"Medium Spender",TRUE, "High Spender")</f>
        <v>Low Spender</v>
      </c>
      <c r="I2364" s="1">
        <v>13</v>
      </c>
      <c r="J2364" s="1">
        <v>11100</v>
      </c>
      <c r="K2364" s="1">
        <v>76</v>
      </c>
      <c r="N2364" s="1" t="str">
        <f t="shared" si="72"/>
        <v>Higher</v>
      </c>
      <c r="O2364" s="1" t="str">
        <f t="shared" si="73"/>
        <v>Pre-Senior | Low Spender | Higher</v>
      </c>
    </row>
    <row r="2365" spans="1:15" x14ac:dyDescent="0.25">
      <c r="A2365" s="1" t="s">
        <v>2395</v>
      </c>
      <c r="B2365" s="1">
        <v>48</v>
      </c>
      <c r="C2365" s="1" t="str" cm="1">
        <f t="array" ref="C2365">_xlfn.IFS(OR(B2365=" ", B2365="NA",NOT(ISNUMBER(B2365))), "Unknown",B2365&lt;18,"Underage",B2365&lt;=24,"Young Adult",B2365&lt;=34,"Early Career",B2365&lt;=44,"Mid Career",B2365&lt;=54,"Mature",B2365&lt;=65,"Pre-Senior",B2365&gt;65,"Senior")</f>
        <v>Mature</v>
      </c>
      <c r="E2365" s="1" t="s">
        <v>27</v>
      </c>
      <c r="F2365" s="1">
        <v>650000</v>
      </c>
      <c r="G2365" s="1">
        <v>84</v>
      </c>
      <c r="H2365" s="1" t="str" cm="1">
        <f t="array" ref="H2365">_xlfn.IFS( OR(G2365=" ",NOT(ISNUMBER(G2365))),"Unknown",G2365&lt;=33,"Low Spender",G2365&lt;=66,"Medium Spender",TRUE, "High Spender")</f>
        <v>High Spender</v>
      </c>
      <c r="I2365" s="1">
        <v>28</v>
      </c>
      <c r="J2365" s="1">
        <v>9800</v>
      </c>
      <c r="K2365" s="1">
        <v>227</v>
      </c>
      <c r="L2365" s="1" t="s">
        <v>16</v>
      </c>
      <c r="N2365" s="1" t="str">
        <f t="shared" si="72"/>
        <v>Lower</v>
      </c>
      <c r="O2365" s="1" t="str">
        <f t="shared" si="73"/>
        <v>Mature | High Spender | Lower</v>
      </c>
    </row>
    <row r="2366" spans="1:15" x14ac:dyDescent="0.25">
      <c r="A2366" s="1" t="s">
        <v>2396</v>
      </c>
      <c r="B2366" s="1">
        <v>28</v>
      </c>
      <c r="C2366" s="1" t="str" cm="1">
        <f t="array" ref="C2366">_xlfn.IFS(OR(B2366=" ", B2366="NA",NOT(ISNUMBER(B2366))), "Unknown",B2366&lt;18,"Underage",B2366&lt;=24,"Young Adult",B2366&lt;=34,"Early Career",B2366&lt;=44,"Mid Career",B2366&lt;=54,"Mature",B2366&lt;=65,"Pre-Senior",B2366&gt;65,"Senior")</f>
        <v>Early Career</v>
      </c>
      <c r="D2366" s="1" t="s">
        <v>12</v>
      </c>
      <c r="E2366" s="1" t="s">
        <v>34</v>
      </c>
      <c r="F2366" s="1">
        <v>875000</v>
      </c>
      <c r="G2366" s="1">
        <v>28</v>
      </c>
      <c r="H2366" s="1" t="str" cm="1">
        <f t="array" ref="H2366">_xlfn.IFS( OR(G2366=" ",NOT(ISNUMBER(G2366))),"Unknown",G2366&lt;=33,"Low Spender",G2366&lt;=66,"Medium Spender",TRUE, "High Spender")</f>
        <v>Low Spender</v>
      </c>
      <c r="I2366" s="1">
        <v>1</v>
      </c>
      <c r="J2366" s="1">
        <v>2700</v>
      </c>
      <c r="K2366" s="1">
        <v>84</v>
      </c>
      <c r="L2366" s="1" t="s">
        <v>35</v>
      </c>
      <c r="M2366" s="1" t="s">
        <v>41</v>
      </c>
      <c r="N2366" s="1" t="str">
        <f t="shared" si="72"/>
        <v>Lower</v>
      </c>
      <c r="O2366" s="1" t="str">
        <f t="shared" si="73"/>
        <v>Early Career | Low Spender | Lower</v>
      </c>
    </row>
    <row r="2367" spans="1:15" x14ac:dyDescent="0.25">
      <c r="A2367" s="1" t="s">
        <v>2397</v>
      </c>
      <c r="B2367" s="1">
        <v>27</v>
      </c>
      <c r="C2367" s="1" t="str" cm="1">
        <f t="array" ref="C2367">_xlfn.IFS(OR(B2367=" ", B2367="NA",NOT(ISNUMBER(B2367))), "Unknown",B2367&lt;18,"Underage",B2367&lt;=24,"Young Adult",B2367&lt;=34,"Early Career",B2367&lt;=44,"Mid Career",B2367&lt;=54,"Mature",B2367&lt;=65,"Pre-Senior",B2367&gt;65,"Senior")</f>
        <v>Early Career</v>
      </c>
      <c r="D2367" s="1" t="s">
        <v>18</v>
      </c>
      <c r="F2367" s="1">
        <v>900000</v>
      </c>
      <c r="G2367" s="1">
        <v>77</v>
      </c>
      <c r="H2367" s="1" t="str" cm="1">
        <f t="array" ref="H2367">_xlfn.IFS( OR(G2367=" ",NOT(ISNUMBER(G2367))),"Unknown",G2367&lt;=33,"Low Spender",G2367&lt;=66,"Medium Spender",TRUE, "High Spender")</f>
        <v>High Spender</v>
      </c>
      <c r="I2367" s="1">
        <v>43</v>
      </c>
      <c r="J2367" s="1">
        <v>1200</v>
      </c>
      <c r="K2367" s="1">
        <v>76</v>
      </c>
      <c r="L2367" s="1" t="s">
        <v>20</v>
      </c>
      <c r="M2367" s="1" t="s">
        <v>32</v>
      </c>
      <c r="N2367" s="1" t="str">
        <f t="shared" si="72"/>
        <v>Higher</v>
      </c>
      <c r="O2367" s="1" t="str">
        <f t="shared" si="73"/>
        <v>Early Career | High Spender | Higher</v>
      </c>
    </row>
    <row r="2368" spans="1:15" x14ac:dyDescent="0.25">
      <c r="A2368" s="1" t="s">
        <v>2398</v>
      </c>
      <c r="B2368" s="1">
        <v>20</v>
      </c>
      <c r="C2368" s="1" t="str" cm="1">
        <f t="array" ref="C2368">_xlfn.IFS(OR(B2368=" ", B2368="NA",NOT(ISNUMBER(B2368))), "Unknown",B2368&lt;18,"Underage",B2368&lt;=24,"Young Adult",B2368&lt;=34,"Early Career",B2368&lt;=44,"Mid Career",B2368&lt;=54,"Mature",B2368&lt;=65,"Pre-Senior",B2368&gt;65,"Senior")</f>
        <v>Young Adult</v>
      </c>
      <c r="E2368" s="1" t="s">
        <v>34</v>
      </c>
      <c r="F2368" s="1">
        <v>775000</v>
      </c>
      <c r="G2368" s="1">
        <v>5</v>
      </c>
      <c r="H2368" s="1" t="str" cm="1">
        <f t="array" ref="H2368">_xlfn.IFS( OR(G2368=" ",NOT(ISNUMBER(G2368))),"Unknown",G2368&lt;=33,"Low Spender",G2368&lt;=66,"Medium Spender",TRUE, "High Spender")</f>
        <v>Low Spender</v>
      </c>
      <c r="I2368" s="1">
        <v>42</v>
      </c>
      <c r="J2368" s="1">
        <v>3700</v>
      </c>
      <c r="K2368" s="1">
        <v>249</v>
      </c>
      <c r="L2368" s="1" t="s">
        <v>16</v>
      </c>
      <c r="M2368" s="1" t="s">
        <v>32</v>
      </c>
      <c r="N2368" s="1" t="str">
        <f t="shared" si="72"/>
        <v>Lower</v>
      </c>
      <c r="O2368" s="1" t="str">
        <f t="shared" si="73"/>
        <v>Young Adult | Low Spender | Lower</v>
      </c>
    </row>
    <row r="2369" spans="1:15" x14ac:dyDescent="0.25">
      <c r="A2369" s="1" t="s">
        <v>2399</v>
      </c>
      <c r="C2369" s="1" t="str" cm="1">
        <f t="array" ref="C2369">_xlfn.IFS(OR(B2369=" ", B2369="NA",NOT(ISNUMBER(B2369))), "Unknown",B2369&lt;18,"Underage",B2369&lt;=24,"Young Adult",B2369&lt;=34,"Early Career",B2369&lt;=44,"Mid Career",B2369&lt;=54,"Mature",B2369&lt;=65,"Pre-Senior",B2369&gt;65,"Senior")</f>
        <v>Unknown</v>
      </c>
      <c r="D2369" s="1" t="s">
        <v>18</v>
      </c>
      <c r="E2369" s="1" t="s">
        <v>49</v>
      </c>
      <c r="F2369" s="1">
        <v>675000</v>
      </c>
      <c r="G2369" s="1">
        <v>30</v>
      </c>
      <c r="H2369" s="1" t="str" cm="1">
        <f t="array" ref="H2369">_xlfn.IFS( OR(G2369=" ",NOT(ISNUMBER(G2369))),"Unknown",G2369&lt;=33,"Low Spender",G2369&lt;=66,"Medium Spender",TRUE, "High Spender")</f>
        <v>Low Spender</v>
      </c>
      <c r="I2369" s="1">
        <v>50</v>
      </c>
      <c r="J2369" s="1">
        <v>5700</v>
      </c>
      <c r="K2369" s="1">
        <v>255</v>
      </c>
      <c r="L2369" s="1" t="s">
        <v>37</v>
      </c>
      <c r="N2369" s="1" t="str">
        <f t="shared" si="72"/>
        <v>Higher</v>
      </c>
      <c r="O2369" s="1" t="str">
        <f t="shared" si="73"/>
        <v>Unknown | Low Spender | Higher</v>
      </c>
    </row>
    <row r="2370" spans="1:15" x14ac:dyDescent="0.25">
      <c r="A2370" s="1" t="s">
        <v>2400</v>
      </c>
      <c r="B2370" s="1">
        <v>31</v>
      </c>
      <c r="C2370" s="1" t="str" cm="1">
        <f t="array" ref="C2370">_xlfn.IFS(OR(B2370=" ", B2370="NA",NOT(ISNUMBER(B2370))), "Unknown",B2370&lt;18,"Underage",B2370&lt;=24,"Young Adult",B2370&lt;=34,"Early Career",B2370&lt;=44,"Mid Career",B2370&lt;=54,"Mature",B2370&lt;=65,"Pre-Senior",B2370&gt;65,"Senior")</f>
        <v>Early Career</v>
      </c>
      <c r="F2370" s="1">
        <v>650000</v>
      </c>
      <c r="G2370" s="1">
        <v>1</v>
      </c>
      <c r="H2370" s="1" t="str" cm="1">
        <f t="array" ref="H2370">_xlfn.IFS( OR(G2370=" ",NOT(ISNUMBER(G2370))),"Unknown",G2370&lt;=33,"Low Spender",G2370&lt;=66,"Medium Spender",TRUE, "High Spender")</f>
        <v>Low Spender</v>
      </c>
      <c r="I2370" s="1">
        <v>60</v>
      </c>
      <c r="J2370" s="1">
        <v>2700</v>
      </c>
      <c r="K2370" s="1">
        <v>50</v>
      </c>
      <c r="L2370" s="1" t="s">
        <v>35</v>
      </c>
      <c r="N2370" s="1" t="str">
        <f t="shared" ref="N2370:N2433" si="74">IF(OR(UPPER(TRIM(D2370))="Male",UPPER(TRIM(D2370))="Female"),"Higher","Lower")</f>
        <v>Lower</v>
      </c>
      <c r="O2370" s="1" t="str">
        <f t="shared" ref="O2370:O2433" si="75">_xlfn.TEXTJOIN(" | ", TRUE, C2370, H2370, N2370)</f>
        <v>Early Career | Low Spender | Lower</v>
      </c>
    </row>
    <row r="2371" spans="1:15" x14ac:dyDescent="0.25">
      <c r="A2371" s="1" t="s">
        <v>2401</v>
      </c>
      <c r="B2371" s="1">
        <v>33</v>
      </c>
      <c r="C2371" s="1" t="str" cm="1">
        <f t="array" ref="C2371">_xlfn.IFS(OR(B2371=" ", B2371="NA",NOT(ISNUMBER(B2371))), "Unknown",B2371&lt;18,"Underage",B2371&lt;=24,"Young Adult",B2371&lt;=34,"Early Career",B2371&lt;=44,"Mid Career",B2371&lt;=54,"Mature",B2371&lt;=65,"Pre-Senior",B2371&gt;65,"Senior")</f>
        <v>Early Career</v>
      </c>
      <c r="D2371" s="1" t="s">
        <v>29</v>
      </c>
      <c r="E2371" s="1" t="s">
        <v>34</v>
      </c>
      <c r="F2371" s="1">
        <v>150000</v>
      </c>
      <c r="G2371" s="1">
        <v>86</v>
      </c>
      <c r="H2371" s="1" t="str" cm="1">
        <f t="array" ref="H2371">_xlfn.IFS( OR(G2371=" ",NOT(ISNUMBER(G2371))),"Unknown",G2371&lt;=33,"Low Spender",G2371&lt;=66,"Medium Spender",TRUE, "High Spender")</f>
        <v>High Spender</v>
      </c>
      <c r="I2371" s="1">
        <v>1</v>
      </c>
      <c r="J2371" s="1">
        <v>9300</v>
      </c>
      <c r="K2371" s="1">
        <v>356</v>
      </c>
      <c r="L2371" s="1" t="s">
        <v>35</v>
      </c>
      <c r="M2371" s="1" t="s">
        <v>21</v>
      </c>
      <c r="N2371" s="1" t="str">
        <f t="shared" si="74"/>
        <v>Higher</v>
      </c>
      <c r="O2371" s="1" t="str">
        <f t="shared" si="75"/>
        <v>Early Career | High Spender | Higher</v>
      </c>
    </row>
    <row r="2372" spans="1:15" x14ac:dyDescent="0.25">
      <c r="A2372" s="1" t="s">
        <v>2402</v>
      </c>
      <c r="B2372" s="1">
        <v>27</v>
      </c>
      <c r="C2372" s="1" t="str" cm="1">
        <f t="array" ref="C2372">_xlfn.IFS(OR(B2372=" ", B2372="NA",NOT(ISNUMBER(B2372))), "Unknown",B2372&lt;18,"Underage",B2372&lt;=24,"Young Adult",B2372&lt;=34,"Early Career",B2372&lt;=44,"Mid Career",B2372&lt;=54,"Mature",B2372&lt;=65,"Pre-Senior",B2372&gt;65,"Senior")</f>
        <v>Early Career</v>
      </c>
      <c r="E2372" s="1" t="s">
        <v>49</v>
      </c>
      <c r="F2372" s="1">
        <v>1050000</v>
      </c>
      <c r="G2372" s="1">
        <v>82</v>
      </c>
      <c r="H2372" s="1" t="str" cm="1">
        <f t="array" ref="H2372">_xlfn.IFS( OR(G2372=" ",NOT(ISNUMBER(G2372))),"Unknown",G2372&lt;=33,"Low Spender",G2372&lt;=66,"Medium Spender",TRUE, "High Spender")</f>
        <v>High Spender</v>
      </c>
      <c r="I2372" s="1">
        <v>51</v>
      </c>
      <c r="J2372" s="1">
        <v>4700</v>
      </c>
      <c r="K2372" s="1">
        <v>210</v>
      </c>
      <c r="L2372" s="1" t="s">
        <v>16</v>
      </c>
      <c r="M2372" s="1" t="s">
        <v>21</v>
      </c>
      <c r="N2372" s="1" t="str">
        <f t="shared" si="74"/>
        <v>Lower</v>
      </c>
      <c r="O2372" s="1" t="str">
        <f t="shared" si="75"/>
        <v>Early Career | High Spender | Lower</v>
      </c>
    </row>
    <row r="2373" spans="1:15" x14ac:dyDescent="0.25">
      <c r="A2373" s="1" t="s">
        <v>2403</v>
      </c>
      <c r="B2373" s="1">
        <v>46</v>
      </c>
      <c r="C2373" s="1" t="str" cm="1">
        <f t="array" ref="C2373">_xlfn.IFS(OR(B2373=" ", B2373="NA",NOT(ISNUMBER(B2373))), "Unknown",B2373&lt;18,"Underage",B2373&lt;=24,"Young Adult",B2373&lt;=34,"Early Career",B2373&lt;=44,"Mid Career",B2373&lt;=54,"Mature",B2373&lt;=65,"Pre-Senior",B2373&gt;65,"Senior")</f>
        <v>Mature</v>
      </c>
      <c r="D2373" s="1" t="s">
        <v>29</v>
      </c>
      <c r="E2373" s="1" t="s">
        <v>58</v>
      </c>
      <c r="F2373" s="1" t="s">
        <v>25</v>
      </c>
      <c r="G2373" s="1">
        <v>46</v>
      </c>
      <c r="H2373" s="1" t="str" cm="1">
        <f t="array" ref="H2373">_xlfn.IFS( OR(G2373=" ",NOT(ISNUMBER(G2373))),"Unknown",G2373&lt;=33,"Low Spender",G2373&lt;=66,"Medium Spender",TRUE, "High Spender")</f>
        <v>Medium Spender</v>
      </c>
      <c r="I2373" s="1">
        <v>16</v>
      </c>
      <c r="J2373" s="1">
        <v>9800</v>
      </c>
      <c r="K2373" s="1">
        <v>158</v>
      </c>
      <c r="L2373" s="1" t="s">
        <v>16</v>
      </c>
      <c r="M2373" s="1" t="s">
        <v>21</v>
      </c>
      <c r="N2373" s="1" t="str">
        <f t="shared" si="74"/>
        <v>Higher</v>
      </c>
      <c r="O2373" s="1" t="str">
        <f t="shared" si="75"/>
        <v>Mature | Medium Spender | Higher</v>
      </c>
    </row>
    <row r="2374" spans="1:15" x14ac:dyDescent="0.25">
      <c r="A2374" s="1" t="s">
        <v>2404</v>
      </c>
      <c r="B2374" s="1">
        <v>27</v>
      </c>
      <c r="C2374" s="1" t="str" cm="1">
        <f t="array" ref="C2374">_xlfn.IFS(OR(B2374=" ", B2374="NA",NOT(ISNUMBER(B2374))), "Unknown",B2374&lt;18,"Underage",B2374&lt;=24,"Young Adult",B2374&lt;=34,"Early Career",B2374&lt;=44,"Mid Career",B2374&lt;=54,"Mature",B2374&lt;=65,"Pre-Senior",B2374&gt;65,"Senior")</f>
        <v>Early Career</v>
      </c>
      <c r="E2374" s="1" t="s">
        <v>49</v>
      </c>
      <c r="F2374" s="1">
        <v>1275000</v>
      </c>
      <c r="G2374" s="1">
        <v>69</v>
      </c>
      <c r="H2374" s="1" t="str" cm="1">
        <f t="array" ref="H2374">_xlfn.IFS( OR(G2374=" ",NOT(ISNUMBER(G2374))),"Unknown",G2374&lt;=33,"Low Spender",G2374&lt;=66,"Medium Spender",TRUE, "High Spender")</f>
        <v>High Spender</v>
      </c>
      <c r="I2374" s="1">
        <v>39</v>
      </c>
      <c r="J2374" s="1">
        <v>1400</v>
      </c>
      <c r="K2374" s="1">
        <v>328</v>
      </c>
      <c r="M2374" s="1" t="s">
        <v>30</v>
      </c>
      <c r="N2374" s="1" t="str">
        <f t="shared" si="74"/>
        <v>Lower</v>
      </c>
      <c r="O2374" s="1" t="str">
        <f t="shared" si="75"/>
        <v>Early Career | High Spender | Lower</v>
      </c>
    </row>
    <row r="2375" spans="1:15" x14ac:dyDescent="0.25">
      <c r="A2375" s="1" t="s">
        <v>2405</v>
      </c>
      <c r="B2375" s="1">
        <v>29</v>
      </c>
      <c r="C2375" s="1" t="str" cm="1">
        <f t="array" ref="C2375">_xlfn.IFS(OR(B2375=" ", B2375="NA",NOT(ISNUMBER(B2375))), "Unknown",B2375&lt;18,"Underage",B2375&lt;=24,"Young Adult",B2375&lt;=34,"Early Career",B2375&lt;=44,"Mid Career",B2375&lt;=54,"Mature",B2375&lt;=65,"Pre-Senior",B2375&gt;65,"Senior")</f>
        <v>Early Career</v>
      </c>
      <c r="D2375" s="1" t="s">
        <v>12</v>
      </c>
      <c r="F2375" s="1">
        <v>350000</v>
      </c>
      <c r="G2375" s="1">
        <v>31</v>
      </c>
      <c r="H2375" s="1" t="str" cm="1">
        <f t="array" ref="H2375">_xlfn.IFS( OR(G2375=" ",NOT(ISNUMBER(G2375))),"Unknown",G2375&lt;=33,"Low Spender",G2375&lt;=66,"Medium Spender",TRUE, "High Spender")</f>
        <v>Low Spender</v>
      </c>
      <c r="I2375" s="1">
        <v>15</v>
      </c>
      <c r="J2375" s="1">
        <v>600</v>
      </c>
      <c r="K2375" s="1">
        <v>233</v>
      </c>
      <c r="M2375" s="1" t="s">
        <v>41</v>
      </c>
      <c r="N2375" s="1" t="str">
        <f t="shared" si="74"/>
        <v>Lower</v>
      </c>
      <c r="O2375" s="1" t="str">
        <f t="shared" si="75"/>
        <v>Early Career | Low Spender | Lower</v>
      </c>
    </row>
    <row r="2376" spans="1:15" x14ac:dyDescent="0.25">
      <c r="A2376" s="1" t="s">
        <v>2406</v>
      </c>
      <c r="B2376" s="1">
        <v>47</v>
      </c>
      <c r="C2376" s="1" t="str" cm="1">
        <f t="array" ref="C2376">_xlfn.IFS(OR(B2376=" ", B2376="NA",NOT(ISNUMBER(B2376))), "Unknown",B2376&lt;18,"Underage",B2376&lt;=24,"Young Adult",B2376&lt;=34,"Early Career",B2376&lt;=44,"Mid Career",B2376&lt;=54,"Mature",B2376&lt;=65,"Pre-Senior",B2376&gt;65,"Senior")</f>
        <v>Mature</v>
      </c>
      <c r="E2376" s="1" t="s">
        <v>15</v>
      </c>
      <c r="F2376" s="1">
        <v>550000</v>
      </c>
      <c r="G2376" s="1">
        <v>70</v>
      </c>
      <c r="H2376" s="1" t="str" cm="1">
        <f t="array" ref="H2376">_xlfn.IFS( OR(G2376=" ",NOT(ISNUMBER(G2376))),"Unknown",G2376&lt;=33,"Low Spender",G2376&lt;=66,"Medium Spender",TRUE, "High Spender")</f>
        <v>High Spender</v>
      </c>
      <c r="I2376" s="1">
        <v>33</v>
      </c>
      <c r="J2376" s="1">
        <v>10800</v>
      </c>
      <c r="K2376" s="1">
        <v>77</v>
      </c>
      <c r="L2376" s="1" t="s">
        <v>37</v>
      </c>
      <c r="M2376" s="1" t="s">
        <v>32</v>
      </c>
      <c r="N2376" s="1" t="str">
        <f t="shared" si="74"/>
        <v>Lower</v>
      </c>
      <c r="O2376" s="1" t="str">
        <f t="shared" si="75"/>
        <v>Mature | High Spender | Lower</v>
      </c>
    </row>
    <row r="2377" spans="1:15" x14ac:dyDescent="0.25">
      <c r="A2377" s="1" t="s">
        <v>2407</v>
      </c>
      <c r="B2377" s="1">
        <v>58</v>
      </c>
      <c r="C2377" s="1" t="str" cm="1">
        <f t="array" ref="C2377">_xlfn.IFS(OR(B2377=" ", B2377="NA",NOT(ISNUMBER(B2377))), "Unknown",B2377&lt;18,"Underage",B2377&lt;=24,"Young Adult",B2377&lt;=34,"Early Career",B2377&lt;=44,"Mid Career",B2377&lt;=54,"Mature",B2377&lt;=65,"Pre-Senior",B2377&gt;65,"Senior")</f>
        <v>Pre-Senior</v>
      </c>
      <c r="D2377" s="1" t="s">
        <v>12</v>
      </c>
      <c r="E2377" s="1" t="s">
        <v>58</v>
      </c>
      <c r="F2377" s="1">
        <v>1300000</v>
      </c>
      <c r="G2377" s="1">
        <v>91</v>
      </c>
      <c r="H2377" s="1" t="str" cm="1">
        <f t="array" ref="H2377">_xlfn.IFS( OR(G2377=" ",NOT(ISNUMBER(G2377))),"Unknown",G2377&lt;=33,"Low Spender",G2377&lt;=66,"Medium Spender",TRUE, "High Spender")</f>
        <v>High Spender</v>
      </c>
      <c r="I2377" s="1">
        <v>53</v>
      </c>
      <c r="J2377" s="1">
        <v>9200</v>
      </c>
      <c r="K2377" s="1">
        <v>223</v>
      </c>
      <c r="L2377" s="1" t="s">
        <v>35</v>
      </c>
      <c r="M2377" s="1" t="s">
        <v>41</v>
      </c>
      <c r="N2377" s="1" t="str">
        <f t="shared" si="74"/>
        <v>Lower</v>
      </c>
      <c r="O2377" s="1" t="str">
        <f t="shared" si="75"/>
        <v>Pre-Senior | High Spender | Lower</v>
      </c>
    </row>
    <row r="2378" spans="1:15" x14ac:dyDescent="0.25">
      <c r="A2378" s="1" t="s">
        <v>2408</v>
      </c>
      <c r="B2378" s="1">
        <v>18</v>
      </c>
      <c r="C2378" s="1" t="str" cm="1">
        <f t="array" ref="C2378">_xlfn.IFS(OR(B2378=" ", B2378="NA",NOT(ISNUMBER(B2378))), "Unknown",B2378&lt;18,"Underage",B2378&lt;=24,"Young Adult",B2378&lt;=34,"Early Career",B2378&lt;=44,"Mid Career",B2378&lt;=54,"Mature",B2378&lt;=65,"Pre-Senior",B2378&gt;65,"Senior")</f>
        <v>Young Adult</v>
      </c>
      <c r="E2378" s="1" t="s">
        <v>23</v>
      </c>
      <c r="F2378" s="1">
        <v>1600000</v>
      </c>
      <c r="G2378" s="1">
        <v>56</v>
      </c>
      <c r="H2378" s="1" t="str" cm="1">
        <f t="array" ref="H2378">_xlfn.IFS( OR(G2378=" ",NOT(ISNUMBER(G2378))),"Unknown",G2378&lt;=33,"Low Spender",G2378&lt;=66,"Medium Spender",TRUE, "High Spender")</f>
        <v>Medium Spender</v>
      </c>
      <c r="I2378" s="1">
        <v>17</v>
      </c>
      <c r="J2378" s="1">
        <v>6900</v>
      </c>
      <c r="K2378" s="1">
        <v>121</v>
      </c>
      <c r="L2378" s="1" t="s">
        <v>20</v>
      </c>
      <c r="N2378" s="1" t="str">
        <f t="shared" si="74"/>
        <v>Lower</v>
      </c>
      <c r="O2378" s="1" t="str">
        <f t="shared" si="75"/>
        <v>Young Adult | Medium Spender | Lower</v>
      </c>
    </row>
    <row r="2379" spans="1:15" x14ac:dyDescent="0.25">
      <c r="A2379" s="1" t="s">
        <v>2409</v>
      </c>
      <c r="B2379" s="1">
        <v>22</v>
      </c>
      <c r="C2379" s="1" t="str" cm="1">
        <f t="array" ref="C2379">_xlfn.IFS(OR(B2379=" ", B2379="NA",NOT(ISNUMBER(B2379))), "Unknown",B2379&lt;18,"Underage",B2379&lt;=24,"Young Adult",B2379&lt;=34,"Early Career",B2379&lt;=44,"Mid Career",B2379&lt;=54,"Mature",B2379&lt;=65,"Pre-Senior",B2379&gt;65,"Senior")</f>
        <v>Young Adult</v>
      </c>
      <c r="D2379" s="1" t="s">
        <v>18</v>
      </c>
      <c r="E2379" s="1" t="s">
        <v>19</v>
      </c>
      <c r="F2379" s="1">
        <v>1475000</v>
      </c>
      <c r="G2379" s="1">
        <v>89</v>
      </c>
      <c r="H2379" s="1" t="str" cm="1">
        <f t="array" ref="H2379">_xlfn.IFS( OR(G2379=" ",NOT(ISNUMBER(G2379))),"Unknown",G2379&lt;=33,"Low Spender",G2379&lt;=66,"Medium Spender",TRUE, "High Spender")</f>
        <v>High Spender</v>
      </c>
      <c r="I2379" s="1">
        <v>6</v>
      </c>
      <c r="J2379" s="1">
        <v>1900</v>
      </c>
      <c r="K2379" s="1">
        <v>310</v>
      </c>
      <c r="L2379" s="1" t="s">
        <v>20</v>
      </c>
      <c r="N2379" s="1" t="str">
        <f t="shared" si="74"/>
        <v>Higher</v>
      </c>
      <c r="O2379" s="1" t="str">
        <f t="shared" si="75"/>
        <v>Young Adult | High Spender | Higher</v>
      </c>
    </row>
    <row r="2380" spans="1:15" x14ac:dyDescent="0.25">
      <c r="A2380" s="1" t="s">
        <v>2410</v>
      </c>
      <c r="B2380" s="1">
        <v>37</v>
      </c>
      <c r="C2380" s="1" t="str" cm="1">
        <f t="array" ref="C2380">_xlfn.IFS(OR(B2380=" ", B2380="NA",NOT(ISNUMBER(B2380))), "Unknown",B2380&lt;18,"Underage",B2380&lt;=24,"Young Adult",B2380&lt;=34,"Early Career",B2380&lt;=44,"Mid Career",B2380&lt;=54,"Mature",B2380&lt;=65,"Pre-Senior",B2380&gt;65,"Senior")</f>
        <v>Mid Career</v>
      </c>
      <c r="D2380" s="1" t="s">
        <v>18</v>
      </c>
      <c r="E2380" s="1" t="s">
        <v>49</v>
      </c>
      <c r="F2380" s="1">
        <v>425000</v>
      </c>
      <c r="G2380" s="1">
        <v>93</v>
      </c>
      <c r="H2380" s="1" t="str" cm="1">
        <f t="array" ref="H2380">_xlfn.IFS( OR(G2380=" ",NOT(ISNUMBER(G2380))),"Unknown",G2380&lt;=33,"Low Spender",G2380&lt;=66,"Medium Spender",TRUE, "High Spender")</f>
        <v>High Spender</v>
      </c>
      <c r="I2380" s="1">
        <v>31</v>
      </c>
      <c r="J2380" s="1">
        <v>7500</v>
      </c>
      <c r="K2380" s="1">
        <v>327</v>
      </c>
      <c r="L2380" s="1" t="s">
        <v>35</v>
      </c>
      <c r="M2380" s="1" t="s">
        <v>41</v>
      </c>
      <c r="N2380" s="1" t="str">
        <f t="shared" si="74"/>
        <v>Higher</v>
      </c>
      <c r="O2380" s="1" t="str">
        <f t="shared" si="75"/>
        <v>Mid Career | High Spender | Higher</v>
      </c>
    </row>
    <row r="2381" spans="1:15" x14ac:dyDescent="0.25">
      <c r="A2381" s="1" t="s">
        <v>2411</v>
      </c>
      <c r="B2381" s="1">
        <v>25</v>
      </c>
      <c r="C2381" s="1" t="str" cm="1">
        <f t="array" ref="C2381">_xlfn.IFS(OR(B2381=" ", B2381="NA",NOT(ISNUMBER(B2381))), "Unknown",B2381&lt;18,"Underage",B2381&lt;=24,"Young Adult",B2381&lt;=34,"Early Career",B2381&lt;=44,"Mid Career",B2381&lt;=54,"Mature",B2381&lt;=65,"Pre-Senior",B2381&gt;65,"Senior")</f>
        <v>Early Career</v>
      </c>
      <c r="D2381" s="1" t="s">
        <v>29</v>
      </c>
      <c r="E2381" s="1" t="s">
        <v>49</v>
      </c>
      <c r="F2381" s="1">
        <v>1725000</v>
      </c>
      <c r="G2381" s="1">
        <v>28</v>
      </c>
      <c r="H2381" s="1" t="str" cm="1">
        <f t="array" ref="H2381">_xlfn.IFS( OR(G2381=" ",NOT(ISNUMBER(G2381))),"Unknown",G2381&lt;=33,"Low Spender",G2381&lt;=66,"Medium Spender",TRUE, "High Spender")</f>
        <v>Low Spender</v>
      </c>
      <c r="I2381" s="1">
        <v>69</v>
      </c>
      <c r="J2381" s="1">
        <v>9500</v>
      </c>
      <c r="K2381" s="1">
        <v>341</v>
      </c>
      <c r="L2381" s="1" t="s">
        <v>37</v>
      </c>
      <c r="M2381" s="1" t="s">
        <v>41</v>
      </c>
      <c r="N2381" s="1" t="str">
        <f t="shared" si="74"/>
        <v>Higher</v>
      </c>
      <c r="O2381" s="1" t="str">
        <f t="shared" si="75"/>
        <v>Early Career | Low Spender | Higher</v>
      </c>
    </row>
    <row r="2382" spans="1:15" x14ac:dyDescent="0.25">
      <c r="A2382" s="1" t="s">
        <v>2412</v>
      </c>
      <c r="B2382" s="1">
        <v>60</v>
      </c>
      <c r="C2382" s="1" t="str" cm="1">
        <f t="array" ref="C2382">_xlfn.IFS(OR(B2382=" ", B2382="NA",NOT(ISNUMBER(B2382))), "Unknown",B2382&lt;18,"Underage",B2382&lt;=24,"Young Adult",B2382&lt;=34,"Early Career",B2382&lt;=44,"Mid Career",B2382&lt;=54,"Mature",B2382&lt;=65,"Pre-Senior",B2382&gt;65,"Senior")</f>
        <v>Pre-Senior</v>
      </c>
      <c r="D2382" s="1" t="s">
        <v>29</v>
      </c>
      <c r="E2382" s="1" t="s">
        <v>34</v>
      </c>
      <c r="F2382" s="1">
        <v>275000</v>
      </c>
      <c r="G2382" s="1">
        <v>16</v>
      </c>
      <c r="H2382" s="1" t="str" cm="1">
        <f t="array" ref="H2382">_xlfn.IFS( OR(G2382=" ",NOT(ISNUMBER(G2382))),"Unknown",G2382&lt;=33,"Low Spender",G2382&lt;=66,"Medium Spender",TRUE, "High Spender")</f>
        <v>Low Spender</v>
      </c>
      <c r="I2382" s="1">
        <v>40</v>
      </c>
      <c r="J2382" s="1">
        <v>6700</v>
      </c>
      <c r="K2382" s="1">
        <v>358</v>
      </c>
      <c r="M2382" s="1" t="s">
        <v>21</v>
      </c>
      <c r="N2382" s="1" t="str">
        <f t="shared" si="74"/>
        <v>Higher</v>
      </c>
      <c r="O2382" s="1" t="str">
        <f t="shared" si="75"/>
        <v>Pre-Senior | Low Spender | Higher</v>
      </c>
    </row>
    <row r="2383" spans="1:15" x14ac:dyDescent="0.25">
      <c r="A2383" s="1" t="s">
        <v>2413</v>
      </c>
      <c r="B2383" s="1">
        <v>29</v>
      </c>
      <c r="C2383" s="1" t="str" cm="1">
        <f t="array" ref="C2383">_xlfn.IFS(OR(B2383=" ", B2383="NA",NOT(ISNUMBER(B2383))), "Unknown",B2383&lt;18,"Underage",B2383&lt;=24,"Young Adult",B2383&lt;=34,"Early Career",B2383&lt;=44,"Mid Career",B2383&lt;=54,"Mature",B2383&lt;=65,"Pre-Senior",B2383&gt;65,"Senior")</f>
        <v>Early Career</v>
      </c>
      <c r="E2383" s="1" t="s">
        <v>23</v>
      </c>
      <c r="F2383" s="1">
        <v>1450000</v>
      </c>
      <c r="G2383" s="1">
        <v>54</v>
      </c>
      <c r="H2383" s="1" t="str" cm="1">
        <f t="array" ref="H2383">_xlfn.IFS( OR(G2383=" ",NOT(ISNUMBER(G2383))),"Unknown",G2383&lt;=33,"Low Spender",G2383&lt;=66,"Medium Spender",TRUE, "High Spender")</f>
        <v>Medium Spender</v>
      </c>
      <c r="I2383" s="1">
        <v>30</v>
      </c>
      <c r="J2383" s="1">
        <v>8400</v>
      </c>
      <c r="K2383" s="1">
        <v>107</v>
      </c>
      <c r="N2383" s="1" t="str">
        <f t="shared" si="74"/>
        <v>Lower</v>
      </c>
      <c r="O2383" s="1" t="str">
        <f t="shared" si="75"/>
        <v>Early Career | Medium Spender | Lower</v>
      </c>
    </row>
    <row r="2384" spans="1:15" x14ac:dyDescent="0.25">
      <c r="A2384" s="1" t="s">
        <v>2414</v>
      </c>
      <c r="B2384" s="1">
        <v>18</v>
      </c>
      <c r="C2384" s="1" t="str" cm="1">
        <f t="array" ref="C2384">_xlfn.IFS(OR(B2384=" ", B2384="NA",NOT(ISNUMBER(B2384))), "Unknown",B2384&lt;18,"Underage",B2384&lt;=24,"Young Adult",B2384&lt;=34,"Early Career",B2384&lt;=44,"Mid Career",B2384&lt;=54,"Mature",B2384&lt;=65,"Pre-Senior",B2384&gt;65,"Senior")</f>
        <v>Young Adult</v>
      </c>
      <c r="D2384" s="1" t="s">
        <v>12</v>
      </c>
      <c r="F2384" s="1">
        <v>525000</v>
      </c>
      <c r="G2384" s="1">
        <v>53</v>
      </c>
      <c r="H2384" s="1" t="str" cm="1">
        <f t="array" ref="H2384">_xlfn.IFS( OR(G2384=" ",NOT(ISNUMBER(G2384))),"Unknown",G2384&lt;=33,"Low Spender",G2384&lt;=66,"Medium Spender",TRUE, "High Spender")</f>
        <v>Medium Spender</v>
      </c>
      <c r="I2384" s="1">
        <v>69</v>
      </c>
      <c r="J2384" s="1">
        <v>10700</v>
      </c>
      <c r="K2384" s="1">
        <v>241</v>
      </c>
      <c r="M2384" s="1" t="s">
        <v>41</v>
      </c>
      <c r="N2384" s="1" t="str">
        <f t="shared" si="74"/>
        <v>Lower</v>
      </c>
      <c r="O2384" s="1" t="str">
        <f t="shared" si="75"/>
        <v>Young Adult | Medium Spender | Lower</v>
      </c>
    </row>
    <row r="2385" spans="1:15" x14ac:dyDescent="0.25">
      <c r="A2385" s="1" t="s">
        <v>2415</v>
      </c>
      <c r="C2385" s="1" t="str" cm="1">
        <f t="array" ref="C2385">_xlfn.IFS(OR(B2385=" ", B2385="NA",NOT(ISNUMBER(B2385))), "Unknown",B2385&lt;18,"Underage",B2385&lt;=24,"Young Adult",B2385&lt;=34,"Early Career",B2385&lt;=44,"Mid Career",B2385&lt;=54,"Mature",B2385&lt;=65,"Pre-Senior",B2385&gt;65,"Senior")</f>
        <v>Unknown</v>
      </c>
      <c r="E2385" s="1" t="s">
        <v>27</v>
      </c>
      <c r="F2385" s="1">
        <v>250000</v>
      </c>
      <c r="G2385" s="1">
        <v>12</v>
      </c>
      <c r="H2385" s="1" t="str" cm="1">
        <f t="array" ref="H2385">_xlfn.IFS( OR(G2385=" ",NOT(ISNUMBER(G2385))),"Unknown",G2385&lt;=33,"Low Spender",G2385&lt;=66,"Medium Spender",TRUE, "High Spender")</f>
        <v>Low Spender</v>
      </c>
      <c r="I2385" s="1">
        <v>76</v>
      </c>
      <c r="J2385" s="1">
        <v>5500</v>
      </c>
      <c r="K2385" s="1">
        <v>28</v>
      </c>
      <c r="L2385" s="1" t="s">
        <v>20</v>
      </c>
      <c r="M2385" s="1" t="s">
        <v>32</v>
      </c>
      <c r="N2385" s="1" t="str">
        <f t="shared" si="74"/>
        <v>Lower</v>
      </c>
      <c r="O2385" s="1" t="str">
        <f t="shared" si="75"/>
        <v>Unknown | Low Spender | Lower</v>
      </c>
    </row>
    <row r="2386" spans="1:15" x14ac:dyDescent="0.25">
      <c r="A2386" s="1" t="s">
        <v>2416</v>
      </c>
      <c r="B2386" s="1">
        <v>37</v>
      </c>
      <c r="C2386" s="1" t="str" cm="1">
        <f t="array" ref="C2386">_xlfn.IFS(OR(B2386=" ", B2386="NA",NOT(ISNUMBER(B2386))), "Unknown",B2386&lt;18,"Underage",B2386&lt;=24,"Young Adult",B2386&lt;=34,"Early Career",B2386&lt;=44,"Mid Career",B2386&lt;=54,"Mature",B2386&lt;=65,"Pre-Senior",B2386&gt;65,"Senior")</f>
        <v>Mid Career</v>
      </c>
      <c r="D2386" s="1" t="s">
        <v>29</v>
      </c>
      <c r="E2386" s="1" t="s">
        <v>13</v>
      </c>
      <c r="F2386" s="1">
        <v>1950000</v>
      </c>
      <c r="G2386" s="1">
        <v>20</v>
      </c>
      <c r="H2386" s="1" t="str" cm="1">
        <f t="array" ref="H2386">_xlfn.IFS( OR(G2386=" ",NOT(ISNUMBER(G2386))),"Unknown",G2386&lt;=33,"Low Spender",G2386&lt;=66,"Medium Spender",TRUE, "High Spender")</f>
        <v>Low Spender</v>
      </c>
      <c r="I2386" s="1">
        <v>7</v>
      </c>
      <c r="J2386" s="1">
        <v>8600</v>
      </c>
      <c r="K2386" s="1">
        <v>192</v>
      </c>
      <c r="L2386" s="1" t="s">
        <v>20</v>
      </c>
      <c r="M2386" s="1" t="s">
        <v>21</v>
      </c>
      <c r="N2386" s="1" t="str">
        <f t="shared" si="74"/>
        <v>Higher</v>
      </c>
      <c r="O2386" s="1" t="str">
        <f t="shared" si="75"/>
        <v>Mid Career | Low Spender | Higher</v>
      </c>
    </row>
    <row r="2387" spans="1:15" x14ac:dyDescent="0.25">
      <c r="A2387" s="1" t="s">
        <v>2417</v>
      </c>
      <c r="B2387" s="1">
        <v>45</v>
      </c>
      <c r="C2387" s="1" t="str" cm="1">
        <f t="array" ref="C2387">_xlfn.IFS(OR(B2387=" ", B2387="NA",NOT(ISNUMBER(B2387))), "Unknown",B2387&lt;18,"Underage",B2387&lt;=24,"Young Adult",B2387&lt;=34,"Early Career",B2387&lt;=44,"Mid Career",B2387&lt;=54,"Mature",B2387&lt;=65,"Pre-Senior",B2387&gt;65,"Senior")</f>
        <v>Mature</v>
      </c>
      <c r="D2387" s="1" t="s">
        <v>18</v>
      </c>
      <c r="E2387" s="1" t="s">
        <v>49</v>
      </c>
      <c r="F2387" s="1">
        <v>1275000</v>
      </c>
      <c r="G2387" s="1">
        <v>82</v>
      </c>
      <c r="H2387" s="1" t="str" cm="1">
        <f t="array" ref="H2387">_xlfn.IFS( OR(G2387=" ",NOT(ISNUMBER(G2387))),"Unknown",G2387&lt;=33,"Low Spender",G2387&lt;=66,"Medium Spender",TRUE, "High Spender")</f>
        <v>High Spender</v>
      </c>
      <c r="I2387" s="1">
        <v>13</v>
      </c>
      <c r="J2387" s="1">
        <v>5900</v>
      </c>
      <c r="K2387" s="1">
        <v>249</v>
      </c>
      <c r="L2387" s="1" t="s">
        <v>37</v>
      </c>
      <c r="M2387" s="1" t="s">
        <v>41</v>
      </c>
      <c r="N2387" s="1" t="str">
        <f t="shared" si="74"/>
        <v>Higher</v>
      </c>
      <c r="O2387" s="1" t="str">
        <f t="shared" si="75"/>
        <v>Mature | High Spender | Higher</v>
      </c>
    </row>
    <row r="2388" spans="1:15" x14ac:dyDescent="0.25">
      <c r="A2388" s="1" t="s">
        <v>2418</v>
      </c>
      <c r="B2388" s="1">
        <v>60</v>
      </c>
      <c r="C2388" s="1" t="str" cm="1">
        <f t="array" ref="C2388">_xlfn.IFS(OR(B2388=" ", B2388="NA",NOT(ISNUMBER(B2388))), "Unknown",B2388&lt;18,"Underage",B2388&lt;=24,"Young Adult",B2388&lt;=34,"Early Career",B2388&lt;=44,"Mid Career",B2388&lt;=54,"Mature",B2388&lt;=65,"Pre-Senior",B2388&gt;65,"Senior")</f>
        <v>Pre-Senior</v>
      </c>
      <c r="D2388" s="1" t="s">
        <v>18</v>
      </c>
      <c r="F2388" s="1">
        <v>475000</v>
      </c>
      <c r="G2388" s="1">
        <v>34</v>
      </c>
      <c r="H2388" s="1" t="str" cm="1">
        <f t="array" ref="H2388">_xlfn.IFS( OR(G2388=" ",NOT(ISNUMBER(G2388))),"Unknown",G2388&lt;=33,"Low Spender",G2388&lt;=66,"Medium Spender",TRUE, "High Spender")</f>
        <v>Medium Spender</v>
      </c>
      <c r="I2388" s="1">
        <v>4</v>
      </c>
      <c r="J2388" s="1">
        <v>10700</v>
      </c>
      <c r="K2388" s="1">
        <v>364</v>
      </c>
      <c r="L2388" s="1" t="s">
        <v>20</v>
      </c>
      <c r="N2388" s="1" t="str">
        <f t="shared" si="74"/>
        <v>Higher</v>
      </c>
      <c r="O2388" s="1" t="str">
        <f t="shared" si="75"/>
        <v>Pre-Senior | Medium Spender | Higher</v>
      </c>
    </row>
    <row r="2389" spans="1:15" x14ac:dyDescent="0.25">
      <c r="A2389" s="1" t="s">
        <v>2419</v>
      </c>
      <c r="B2389" s="1">
        <v>54</v>
      </c>
      <c r="C2389" s="1" t="str" cm="1">
        <f t="array" ref="C2389">_xlfn.IFS(OR(B2389=" ", B2389="NA",NOT(ISNUMBER(B2389))), "Unknown",B2389&lt;18,"Underage",B2389&lt;=24,"Young Adult",B2389&lt;=34,"Early Career",B2389&lt;=44,"Mid Career",B2389&lt;=54,"Mature",B2389&lt;=65,"Pre-Senior",B2389&gt;65,"Senior")</f>
        <v>Mature</v>
      </c>
      <c r="D2389" s="1" t="s">
        <v>29</v>
      </c>
      <c r="E2389" s="1" t="s">
        <v>27</v>
      </c>
      <c r="F2389" s="1">
        <v>1225000</v>
      </c>
      <c r="G2389" s="1">
        <v>53</v>
      </c>
      <c r="H2389" s="1" t="str" cm="1">
        <f t="array" ref="H2389">_xlfn.IFS( OR(G2389=" ",NOT(ISNUMBER(G2389))),"Unknown",G2389&lt;=33,"Low Spender",G2389&lt;=66,"Medium Spender",TRUE, "High Spender")</f>
        <v>Medium Spender</v>
      </c>
      <c r="I2389" s="1">
        <v>50</v>
      </c>
      <c r="J2389" s="1">
        <v>10000</v>
      </c>
      <c r="K2389" s="1">
        <v>213</v>
      </c>
      <c r="L2389" s="1" t="s">
        <v>16</v>
      </c>
      <c r="N2389" s="1" t="str">
        <f t="shared" si="74"/>
        <v>Higher</v>
      </c>
      <c r="O2389" s="1" t="str">
        <f t="shared" si="75"/>
        <v>Mature | Medium Spender | Higher</v>
      </c>
    </row>
    <row r="2390" spans="1:15" x14ac:dyDescent="0.25">
      <c r="A2390" s="1" t="s">
        <v>2420</v>
      </c>
      <c r="B2390" s="1">
        <v>64</v>
      </c>
      <c r="C2390" s="1" t="str" cm="1">
        <f t="array" ref="C2390">_xlfn.IFS(OR(B2390=" ", B2390="NA",NOT(ISNUMBER(B2390))), "Unknown",B2390&lt;18,"Underage",B2390&lt;=24,"Young Adult",B2390&lt;=34,"Early Career",B2390&lt;=44,"Mid Career",B2390&lt;=54,"Mature",B2390&lt;=65,"Pre-Senior",B2390&gt;65,"Senior")</f>
        <v>Pre-Senior</v>
      </c>
      <c r="D2390" s="1" t="s">
        <v>12</v>
      </c>
      <c r="E2390" s="1" t="s">
        <v>13</v>
      </c>
      <c r="F2390" s="1">
        <v>1700000</v>
      </c>
      <c r="G2390" s="1">
        <v>64</v>
      </c>
      <c r="H2390" s="1" t="str" cm="1">
        <f t="array" ref="H2390">_xlfn.IFS( OR(G2390=" ",NOT(ISNUMBER(G2390))),"Unknown",G2390&lt;=33,"Low Spender",G2390&lt;=66,"Medium Spender",TRUE, "High Spender")</f>
        <v>Medium Spender</v>
      </c>
      <c r="I2390" s="1">
        <v>3</v>
      </c>
      <c r="J2390" s="1">
        <v>11700</v>
      </c>
      <c r="K2390" s="1">
        <v>21</v>
      </c>
      <c r="L2390" s="1" t="s">
        <v>20</v>
      </c>
      <c r="M2390" s="1" t="s">
        <v>32</v>
      </c>
      <c r="N2390" s="1" t="str">
        <f t="shared" si="74"/>
        <v>Lower</v>
      </c>
      <c r="O2390" s="1" t="str">
        <f t="shared" si="75"/>
        <v>Pre-Senior | Medium Spender | Lower</v>
      </c>
    </row>
    <row r="2391" spans="1:15" x14ac:dyDescent="0.25">
      <c r="A2391" s="1" t="s">
        <v>2421</v>
      </c>
      <c r="B2391" s="1">
        <v>54</v>
      </c>
      <c r="C2391" s="1" t="str" cm="1">
        <f t="array" ref="C2391">_xlfn.IFS(OR(B2391=" ", B2391="NA",NOT(ISNUMBER(B2391))), "Unknown",B2391&lt;18,"Underage",B2391&lt;=24,"Young Adult",B2391&lt;=34,"Early Career",B2391&lt;=44,"Mid Career",B2391&lt;=54,"Mature",B2391&lt;=65,"Pre-Senior",B2391&gt;65,"Senior")</f>
        <v>Mature</v>
      </c>
      <c r="E2391" s="1" t="s">
        <v>19</v>
      </c>
      <c r="F2391" s="1">
        <v>1425000</v>
      </c>
      <c r="G2391" s="1">
        <v>23</v>
      </c>
      <c r="H2391" s="1" t="str" cm="1">
        <f t="array" ref="H2391">_xlfn.IFS( OR(G2391=" ",NOT(ISNUMBER(G2391))),"Unknown",G2391&lt;=33,"Low Spender",G2391&lt;=66,"Medium Spender",TRUE, "High Spender")</f>
        <v>Low Spender</v>
      </c>
      <c r="I2391" s="1">
        <v>12</v>
      </c>
      <c r="J2391" s="1">
        <v>3000</v>
      </c>
      <c r="K2391" s="1">
        <v>155</v>
      </c>
      <c r="N2391" s="1" t="str">
        <f t="shared" si="74"/>
        <v>Lower</v>
      </c>
      <c r="O2391" s="1" t="str">
        <f t="shared" si="75"/>
        <v>Mature | Low Spender | Lower</v>
      </c>
    </row>
    <row r="2392" spans="1:15" x14ac:dyDescent="0.25">
      <c r="A2392" s="1" t="s">
        <v>2422</v>
      </c>
      <c r="B2392" s="1">
        <v>29</v>
      </c>
      <c r="C2392" s="1" t="str" cm="1">
        <f t="array" ref="C2392">_xlfn.IFS(OR(B2392=" ", B2392="NA",NOT(ISNUMBER(B2392))), "Unknown",B2392&lt;18,"Underage",B2392&lt;=24,"Young Adult",B2392&lt;=34,"Early Career",B2392&lt;=44,"Mid Career",B2392&lt;=54,"Mature",B2392&lt;=65,"Pre-Senior",B2392&gt;65,"Senior")</f>
        <v>Early Career</v>
      </c>
      <c r="D2392" s="1" t="s">
        <v>29</v>
      </c>
      <c r="E2392" s="1" t="s">
        <v>34</v>
      </c>
      <c r="F2392" s="1">
        <v>775000</v>
      </c>
      <c r="G2392" s="1">
        <v>27</v>
      </c>
      <c r="H2392" s="1" t="str" cm="1">
        <f t="array" ref="H2392">_xlfn.IFS( OR(G2392=" ",NOT(ISNUMBER(G2392))),"Unknown",G2392&lt;=33,"Low Spender",G2392&lt;=66,"Medium Spender",TRUE, "High Spender")</f>
        <v>Low Spender</v>
      </c>
      <c r="I2392" s="1">
        <v>65</v>
      </c>
      <c r="J2392" s="1">
        <v>11400</v>
      </c>
      <c r="K2392" s="1">
        <v>27</v>
      </c>
      <c r="L2392" s="1" t="s">
        <v>37</v>
      </c>
      <c r="N2392" s="1" t="str">
        <f t="shared" si="74"/>
        <v>Higher</v>
      </c>
      <c r="O2392" s="1" t="str">
        <f t="shared" si="75"/>
        <v>Early Career | Low Spender | Higher</v>
      </c>
    </row>
    <row r="2393" spans="1:15" x14ac:dyDescent="0.25">
      <c r="A2393" s="1" t="s">
        <v>2423</v>
      </c>
      <c r="B2393" s="1">
        <v>54</v>
      </c>
      <c r="C2393" s="1" t="str" cm="1">
        <f t="array" ref="C2393">_xlfn.IFS(OR(B2393=" ", B2393="NA",NOT(ISNUMBER(B2393))), "Unknown",B2393&lt;18,"Underage",B2393&lt;=24,"Young Adult",B2393&lt;=34,"Early Career",B2393&lt;=44,"Mid Career",B2393&lt;=54,"Mature",B2393&lt;=65,"Pre-Senior",B2393&gt;65,"Senior")</f>
        <v>Mature</v>
      </c>
      <c r="D2393" s="1" t="s">
        <v>12</v>
      </c>
      <c r="F2393" s="1">
        <v>1450000</v>
      </c>
      <c r="G2393" s="1">
        <v>17</v>
      </c>
      <c r="H2393" s="1" t="str" cm="1">
        <f t="array" ref="H2393">_xlfn.IFS( OR(G2393=" ",NOT(ISNUMBER(G2393))),"Unknown",G2393&lt;=33,"Low Spender",G2393&lt;=66,"Medium Spender",TRUE, "High Spender")</f>
        <v>Low Spender</v>
      </c>
      <c r="I2393" s="1">
        <v>27</v>
      </c>
      <c r="J2393" s="1">
        <v>10100</v>
      </c>
      <c r="K2393" s="1">
        <v>77</v>
      </c>
      <c r="L2393" s="1" t="s">
        <v>35</v>
      </c>
      <c r="N2393" s="1" t="str">
        <f t="shared" si="74"/>
        <v>Lower</v>
      </c>
      <c r="O2393" s="1" t="str">
        <f t="shared" si="75"/>
        <v>Mature | Low Spender | Lower</v>
      </c>
    </row>
    <row r="2394" spans="1:15" x14ac:dyDescent="0.25">
      <c r="A2394" s="1" t="s">
        <v>2424</v>
      </c>
      <c r="B2394" s="1">
        <v>66</v>
      </c>
      <c r="C2394" s="1" t="str" cm="1">
        <f t="array" ref="C2394">_xlfn.IFS(OR(B2394=" ", B2394="NA",NOT(ISNUMBER(B2394))), "Unknown",B2394&lt;18,"Underage",B2394&lt;=24,"Young Adult",B2394&lt;=34,"Early Career",B2394&lt;=44,"Mid Career",B2394&lt;=54,"Mature",B2394&lt;=65,"Pre-Senior",B2394&gt;65,"Senior")</f>
        <v>Senior</v>
      </c>
      <c r="D2394" s="1" t="s">
        <v>18</v>
      </c>
      <c r="E2394" s="1" t="s">
        <v>34</v>
      </c>
      <c r="F2394" s="1">
        <v>850000</v>
      </c>
      <c r="G2394" s="1">
        <v>48</v>
      </c>
      <c r="H2394" s="1" t="str" cm="1">
        <f t="array" ref="H2394">_xlfn.IFS( OR(G2394=" ",NOT(ISNUMBER(G2394))),"Unknown",G2394&lt;=33,"Low Spender",G2394&lt;=66,"Medium Spender",TRUE, "High Spender")</f>
        <v>Medium Spender</v>
      </c>
      <c r="I2394" s="1">
        <v>50</v>
      </c>
      <c r="J2394" s="1">
        <v>1800</v>
      </c>
      <c r="K2394" s="1">
        <v>306</v>
      </c>
      <c r="L2394" s="1" t="s">
        <v>35</v>
      </c>
      <c r="N2394" s="1" t="str">
        <f t="shared" si="74"/>
        <v>Higher</v>
      </c>
      <c r="O2394" s="1" t="str">
        <f t="shared" si="75"/>
        <v>Senior | Medium Spender | Higher</v>
      </c>
    </row>
    <row r="2395" spans="1:15" x14ac:dyDescent="0.25">
      <c r="A2395" s="1" t="s">
        <v>2425</v>
      </c>
      <c r="B2395" s="1">
        <v>66</v>
      </c>
      <c r="C2395" s="1" t="str" cm="1">
        <f t="array" ref="C2395">_xlfn.IFS(OR(B2395=" ", B2395="NA",NOT(ISNUMBER(B2395))), "Unknown",B2395&lt;18,"Underage",B2395&lt;=24,"Young Adult",B2395&lt;=34,"Early Career",B2395&lt;=44,"Mid Career",B2395&lt;=54,"Mature",B2395&lt;=65,"Pre-Senior",B2395&gt;65,"Senior")</f>
        <v>Senior</v>
      </c>
      <c r="D2395" s="1" t="s">
        <v>29</v>
      </c>
      <c r="E2395" s="1" t="s">
        <v>13</v>
      </c>
      <c r="F2395" s="1">
        <v>600000</v>
      </c>
      <c r="G2395" s="1">
        <v>21</v>
      </c>
      <c r="H2395" s="1" t="str" cm="1">
        <f t="array" ref="H2395">_xlfn.IFS( OR(G2395=" ",NOT(ISNUMBER(G2395))),"Unknown",G2395&lt;=33,"Low Spender",G2395&lt;=66,"Medium Spender",TRUE, "High Spender")</f>
        <v>Low Spender</v>
      </c>
      <c r="I2395" s="1">
        <v>77</v>
      </c>
      <c r="J2395" s="1">
        <v>2300</v>
      </c>
      <c r="K2395" s="1">
        <v>57</v>
      </c>
      <c r="L2395" s="1" t="s">
        <v>37</v>
      </c>
      <c r="N2395" s="1" t="str">
        <f t="shared" si="74"/>
        <v>Higher</v>
      </c>
      <c r="O2395" s="1" t="str">
        <f t="shared" si="75"/>
        <v>Senior | Low Spender | Higher</v>
      </c>
    </row>
    <row r="2396" spans="1:15" x14ac:dyDescent="0.25">
      <c r="A2396" s="1" t="s">
        <v>2426</v>
      </c>
      <c r="B2396" s="1">
        <v>61</v>
      </c>
      <c r="C2396" s="1" t="str" cm="1">
        <f t="array" ref="C2396">_xlfn.IFS(OR(B2396=" ", B2396="NA",NOT(ISNUMBER(B2396))), "Unknown",B2396&lt;18,"Underage",B2396&lt;=24,"Young Adult",B2396&lt;=34,"Early Career",B2396&lt;=44,"Mid Career",B2396&lt;=54,"Mature",B2396&lt;=65,"Pre-Senior",B2396&gt;65,"Senior")</f>
        <v>Pre-Senior</v>
      </c>
      <c r="D2396" s="1" t="s">
        <v>12</v>
      </c>
      <c r="E2396" s="1" t="s">
        <v>15</v>
      </c>
      <c r="F2396" s="1">
        <v>1300000</v>
      </c>
      <c r="G2396" s="1">
        <v>50</v>
      </c>
      <c r="H2396" s="1" t="str" cm="1">
        <f t="array" ref="H2396">_xlfn.IFS( OR(G2396=" ",NOT(ISNUMBER(G2396))),"Unknown",G2396&lt;=33,"Low Spender",G2396&lt;=66,"Medium Spender",TRUE, "High Spender")</f>
        <v>Medium Spender</v>
      </c>
      <c r="I2396" s="1">
        <v>17</v>
      </c>
      <c r="J2396" s="1">
        <v>7900</v>
      </c>
      <c r="K2396" s="1">
        <v>119</v>
      </c>
      <c r="L2396" s="1" t="s">
        <v>16</v>
      </c>
      <c r="M2396" s="1" t="s">
        <v>30</v>
      </c>
      <c r="N2396" s="1" t="str">
        <f t="shared" si="74"/>
        <v>Lower</v>
      </c>
      <c r="O2396" s="1" t="str">
        <f t="shared" si="75"/>
        <v>Pre-Senior | Medium Spender | Lower</v>
      </c>
    </row>
    <row r="2397" spans="1:15" x14ac:dyDescent="0.25">
      <c r="A2397" s="1" t="s">
        <v>2427</v>
      </c>
      <c r="B2397" s="1">
        <v>45</v>
      </c>
      <c r="C2397" s="1" t="str" cm="1">
        <f t="array" ref="C2397">_xlfn.IFS(OR(B2397=" ", B2397="NA",NOT(ISNUMBER(B2397))), "Unknown",B2397&lt;18,"Underage",B2397&lt;=24,"Young Adult",B2397&lt;=34,"Early Career",B2397&lt;=44,"Mid Career",B2397&lt;=54,"Mature",B2397&lt;=65,"Pre-Senior",B2397&gt;65,"Senior")</f>
        <v>Mature</v>
      </c>
      <c r="D2397" s="1" t="s">
        <v>29</v>
      </c>
      <c r="E2397" s="1" t="s">
        <v>49</v>
      </c>
      <c r="F2397" s="1">
        <v>325000</v>
      </c>
      <c r="G2397" s="1">
        <v>40</v>
      </c>
      <c r="H2397" s="1" t="str" cm="1">
        <f t="array" ref="H2397">_xlfn.IFS( OR(G2397=" ",NOT(ISNUMBER(G2397))),"Unknown",G2397&lt;=33,"Low Spender",G2397&lt;=66,"Medium Spender",TRUE, "High Spender")</f>
        <v>Medium Spender</v>
      </c>
      <c r="I2397" s="1">
        <v>72</v>
      </c>
      <c r="J2397" s="1">
        <v>10100</v>
      </c>
      <c r="K2397" s="1">
        <v>165</v>
      </c>
      <c r="L2397" s="1" t="s">
        <v>35</v>
      </c>
      <c r="M2397" s="1" t="s">
        <v>32</v>
      </c>
      <c r="N2397" s="1" t="str">
        <f t="shared" si="74"/>
        <v>Higher</v>
      </c>
      <c r="O2397" s="1" t="str">
        <f t="shared" si="75"/>
        <v>Mature | Medium Spender | Higher</v>
      </c>
    </row>
    <row r="2398" spans="1:15" x14ac:dyDescent="0.25">
      <c r="A2398" s="1" t="s">
        <v>2428</v>
      </c>
      <c r="B2398" s="1">
        <v>64</v>
      </c>
      <c r="C2398" s="1" t="str" cm="1">
        <f t="array" ref="C2398">_xlfn.IFS(OR(B2398=" ", B2398="NA",NOT(ISNUMBER(B2398))), "Unknown",B2398&lt;18,"Underage",B2398&lt;=24,"Young Adult",B2398&lt;=34,"Early Career",B2398&lt;=44,"Mid Career",B2398&lt;=54,"Mature",B2398&lt;=65,"Pre-Senior",B2398&gt;65,"Senior")</f>
        <v>Pre-Senior</v>
      </c>
      <c r="D2398" s="1" t="s">
        <v>29</v>
      </c>
      <c r="E2398" s="1" t="s">
        <v>58</v>
      </c>
      <c r="F2398" s="1">
        <v>700000</v>
      </c>
      <c r="G2398" s="1">
        <v>95</v>
      </c>
      <c r="H2398" s="1" t="str" cm="1">
        <f t="array" ref="H2398">_xlfn.IFS( OR(G2398=" ",NOT(ISNUMBER(G2398))),"Unknown",G2398&lt;=33,"Low Spender",G2398&lt;=66,"Medium Spender",TRUE, "High Spender")</f>
        <v>High Spender</v>
      </c>
      <c r="I2398" s="1">
        <v>32</v>
      </c>
      <c r="J2398" s="1">
        <v>4400</v>
      </c>
      <c r="K2398" s="1">
        <v>64</v>
      </c>
      <c r="N2398" s="1" t="str">
        <f t="shared" si="74"/>
        <v>Higher</v>
      </c>
      <c r="O2398" s="1" t="str">
        <f t="shared" si="75"/>
        <v>Pre-Senior | High Spender | Higher</v>
      </c>
    </row>
    <row r="2399" spans="1:15" x14ac:dyDescent="0.25">
      <c r="A2399" s="1" t="s">
        <v>2429</v>
      </c>
      <c r="B2399" s="1">
        <v>32</v>
      </c>
      <c r="C2399" s="1" t="str" cm="1">
        <f t="array" ref="C2399">_xlfn.IFS(OR(B2399=" ", B2399="NA",NOT(ISNUMBER(B2399))), "Unknown",B2399&lt;18,"Underage",B2399&lt;=24,"Young Adult",B2399&lt;=34,"Early Career",B2399&lt;=44,"Mid Career",B2399&lt;=54,"Mature",B2399&lt;=65,"Pre-Senior",B2399&gt;65,"Senior")</f>
        <v>Early Career</v>
      </c>
      <c r="E2399" s="1" t="s">
        <v>27</v>
      </c>
      <c r="F2399" s="1">
        <v>1000000</v>
      </c>
      <c r="G2399" s="1">
        <v>3</v>
      </c>
      <c r="H2399" s="1" t="str" cm="1">
        <f t="array" ref="H2399">_xlfn.IFS( OR(G2399=" ",NOT(ISNUMBER(G2399))),"Unknown",G2399&lt;=33,"Low Spender",G2399&lt;=66,"Medium Spender",TRUE, "High Spender")</f>
        <v>Low Spender</v>
      </c>
      <c r="I2399" s="1">
        <v>51</v>
      </c>
      <c r="J2399" s="1">
        <v>5600</v>
      </c>
      <c r="K2399" s="1">
        <v>48</v>
      </c>
      <c r="L2399" s="1" t="s">
        <v>35</v>
      </c>
      <c r="M2399" s="1" t="s">
        <v>30</v>
      </c>
      <c r="N2399" s="1" t="str">
        <f t="shared" si="74"/>
        <v>Lower</v>
      </c>
      <c r="O2399" s="1" t="str">
        <f t="shared" si="75"/>
        <v>Early Career | Low Spender | Lower</v>
      </c>
    </row>
    <row r="2400" spans="1:15" x14ac:dyDescent="0.25">
      <c r="A2400" s="1" t="s">
        <v>2430</v>
      </c>
      <c r="B2400" s="1">
        <v>23</v>
      </c>
      <c r="C2400" s="1" t="str" cm="1">
        <f t="array" ref="C2400">_xlfn.IFS(OR(B2400=" ", B2400="NA",NOT(ISNUMBER(B2400))), "Unknown",B2400&lt;18,"Underage",B2400&lt;=24,"Young Adult",B2400&lt;=34,"Early Career",B2400&lt;=44,"Mid Career",B2400&lt;=54,"Mature",B2400&lt;=65,"Pre-Senior",B2400&gt;65,"Senior")</f>
        <v>Young Adult</v>
      </c>
      <c r="E2400" s="1" t="s">
        <v>23</v>
      </c>
      <c r="F2400" s="1">
        <v>1450000</v>
      </c>
      <c r="G2400" s="1">
        <v>17</v>
      </c>
      <c r="H2400" s="1" t="str" cm="1">
        <f t="array" ref="H2400">_xlfn.IFS( OR(G2400=" ",NOT(ISNUMBER(G2400))),"Unknown",G2400&lt;=33,"Low Spender",G2400&lt;=66,"Medium Spender",TRUE, "High Spender")</f>
        <v>Low Spender</v>
      </c>
      <c r="I2400" s="1">
        <v>17</v>
      </c>
      <c r="J2400" s="1">
        <v>3400</v>
      </c>
      <c r="K2400" s="1">
        <v>150</v>
      </c>
      <c r="L2400" s="1" t="s">
        <v>35</v>
      </c>
      <c r="M2400" s="1" t="s">
        <v>21</v>
      </c>
      <c r="N2400" s="1" t="str">
        <f t="shared" si="74"/>
        <v>Lower</v>
      </c>
      <c r="O2400" s="1" t="str">
        <f t="shared" si="75"/>
        <v>Young Adult | Low Spender | Lower</v>
      </c>
    </row>
    <row r="2401" spans="1:15" x14ac:dyDescent="0.25">
      <c r="A2401" s="1" t="s">
        <v>2431</v>
      </c>
      <c r="B2401" s="1">
        <v>61</v>
      </c>
      <c r="C2401" s="1" t="str" cm="1">
        <f t="array" ref="C2401">_xlfn.IFS(OR(B2401=" ", B2401="NA",NOT(ISNUMBER(B2401))), "Unknown",B2401&lt;18,"Underage",B2401&lt;=24,"Young Adult",B2401&lt;=34,"Early Career",B2401&lt;=44,"Mid Career",B2401&lt;=54,"Mature",B2401&lt;=65,"Pre-Senior",B2401&gt;65,"Senior")</f>
        <v>Pre-Senior</v>
      </c>
      <c r="D2401" s="1" t="s">
        <v>12</v>
      </c>
      <c r="F2401" s="1">
        <v>1575000</v>
      </c>
      <c r="G2401" s="1">
        <v>61</v>
      </c>
      <c r="H2401" s="1" t="str" cm="1">
        <f t="array" ref="H2401">_xlfn.IFS( OR(G2401=" ",NOT(ISNUMBER(G2401))),"Unknown",G2401&lt;=33,"Low Spender",G2401&lt;=66,"Medium Spender",TRUE, "High Spender")</f>
        <v>Medium Spender</v>
      </c>
      <c r="I2401" s="1">
        <v>34</v>
      </c>
      <c r="J2401" s="1">
        <v>11600</v>
      </c>
      <c r="K2401" s="1">
        <v>158</v>
      </c>
      <c r="M2401" s="1" t="s">
        <v>30</v>
      </c>
      <c r="N2401" s="1" t="str">
        <f t="shared" si="74"/>
        <v>Lower</v>
      </c>
      <c r="O2401" s="1" t="str">
        <f t="shared" si="75"/>
        <v>Pre-Senior | Medium Spender | Lower</v>
      </c>
    </row>
    <row r="2402" spans="1:15" x14ac:dyDescent="0.25">
      <c r="A2402" s="1" t="s">
        <v>2432</v>
      </c>
      <c r="B2402" s="1">
        <v>37</v>
      </c>
      <c r="C2402" s="1" t="str" cm="1">
        <f t="array" ref="C2402">_xlfn.IFS(OR(B2402=" ", B2402="NA",NOT(ISNUMBER(B2402))), "Unknown",B2402&lt;18,"Underage",B2402&lt;=24,"Young Adult",B2402&lt;=34,"Early Career",B2402&lt;=44,"Mid Career",B2402&lt;=54,"Mature",B2402&lt;=65,"Pre-Senior",B2402&gt;65,"Senior")</f>
        <v>Mid Career</v>
      </c>
      <c r="D2402" s="1" t="s">
        <v>12</v>
      </c>
      <c r="E2402" s="1" t="s">
        <v>49</v>
      </c>
      <c r="F2402" s="1">
        <v>250000</v>
      </c>
      <c r="G2402" s="1">
        <v>50</v>
      </c>
      <c r="H2402" s="1" t="str" cm="1">
        <f t="array" ref="H2402">_xlfn.IFS( OR(G2402=" ",NOT(ISNUMBER(G2402))),"Unknown",G2402&lt;=33,"Low Spender",G2402&lt;=66,"Medium Spender",TRUE, "High Spender")</f>
        <v>Medium Spender</v>
      </c>
      <c r="I2402" s="1">
        <v>35</v>
      </c>
      <c r="J2402" s="1">
        <v>4000</v>
      </c>
      <c r="K2402" s="1">
        <v>156</v>
      </c>
      <c r="L2402" s="1" t="s">
        <v>20</v>
      </c>
      <c r="M2402" s="1" t="s">
        <v>21</v>
      </c>
      <c r="N2402" s="1" t="str">
        <f t="shared" si="74"/>
        <v>Lower</v>
      </c>
      <c r="O2402" s="1" t="str">
        <f t="shared" si="75"/>
        <v>Mid Career | Medium Spender | Lower</v>
      </c>
    </row>
    <row r="2403" spans="1:15" x14ac:dyDescent="0.25">
      <c r="A2403" s="1" t="s">
        <v>2433</v>
      </c>
      <c r="B2403" s="1">
        <v>67</v>
      </c>
      <c r="C2403" s="1" t="str" cm="1">
        <f t="array" ref="C2403">_xlfn.IFS(OR(B2403=" ", B2403="NA",NOT(ISNUMBER(B2403))), "Unknown",B2403&lt;18,"Underage",B2403&lt;=24,"Young Adult",B2403&lt;=34,"Early Career",B2403&lt;=44,"Mid Career",B2403&lt;=54,"Mature",B2403&lt;=65,"Pre-Senior",B2403&gt;65,"Senior")</f>
        <v>Senior</v>
      </c>
      <c r="D2403" s="1" t="s">
        <v>29</v>
      </c>
      <c r="E2403" s="1" t="s">
        <v>58</v>
      </c>
      <c r="F2403" s="1">
        <v>525000</v>
      </c>
      <c r="G2403" s="1">
        <v>90</v>
      </c>
      <c r="H2403" s="1" t="str" cm="1">
        <f t="array" ref="H2403">_xlfn.IFS( OR(G2403=" ",NOT(ISNUMBER(G2403))),"Unknown",G2403&lt;=33,"Low Spender",G2403&lt;=66,"Medium Spender",TRUE, "High Spender")</f>
        <v>High Spender</v>
      </c>
      <c r="I2403" s="1">
        <v>24</v>
      </c>
      <c r="J2403" s="1">
        <v>7200</v>
      </c>
      <c r="K2403" s="1">
        <v>151</v>
      </c>
      <c r="L2403" s="1" t="s">
        <v>16</v>
      </c>
      <c r="N2403" s="1" t="str">
        <f t="shared" si="74"/>
        <v>Higher</v>
      </c>
      <c r="O2403" s="1" t="str">
        <f t="shared" si="75"/>
        <v>Senior | High Spender | Higher</v>
      </c>
    </row>
    <row r="2404" spans="1:15" x14ac:dyDescent="0.25">
      <c r="A2404" s="1" t="s">
        <v>2434</v>
      </c>
      <c r="B2404" s="1">
        <v>31</v>
      </c>
      <c r="C2404" s="1" t="str" cm="1">
        <f t="array" ref="C2404">_xlfn.IFS(OR(B2404=" ", B2404="NA",NOT(ISNUMBER(B2404))), "Unknown",B2404&lt;18,"Underage",B2404&lt;=24,"Young Adult",B2404&lt;=34,"Early Career",B2404&lt;=44,"Mid Career",B2404&lt;=54,"Mature",B2404&lt;=65,"Pre-Senior",B2404&gt;65,"Senior")</f>
        <v>Early Career</v>
      </c>
      <c r="D2404" s="1" t="s">
        <v>29</v>
      </c>
      <c r="F2404" s="1">
        <v>550000</v>
      </c>
      <c r="G2404" s="1">
        <v>87</v>
      </c>
      <c r="H2404" s="1" t="str" cm="1">
        <f t="array" ref="H2404">_xlfn.IFS( OR(G2404=" ",NOT(ISNUMBER(G2404))),"Unknown",G2404&lt;=33,"Low Spender",G2404&lt;=66,"Medium Spender",TRUE, "High Spender")</f>
        <v>High Spender</v>
      </c>
      <c r="I2404" s="1">
        <v>54</v>
      </c>
      <c r="J2404" s="1">
        <v>11600</v>
      </c>
      <c r="K2404" s="1">
        <v>225</v>
      </c>
      <c r="M2404" s="1" t="s">
        <v>30</v>
      </c>
      <c r="N2404" s="1" t="str">
        <f t="shared" si="74"/>
        <v>Higher</v>
      </c>
      <c r="O2404" s="1" t="str">
        <f t="shared" si="75"/>
        <v>Early Career | High Spender | Higher</v>
      </c>
    </row>
    <row r="2405" spans="1:15" x14ac:dyDescent="0.25">
      <c r="A2405" s="1" t="s">
        <v>2435</v>
      </c>
      <c r="B2405" s="1">
        <v>19</v>
      </c>
      <c r="C2405" s="1" t="str" cm="1">
        <f t="array" ref="C2405">_xlfn.IFS(OR(B2405=" ", B2405="NA",NOT(ISNUMBER(B2405))), "Unknown",B2405&lt;18,"Underage",B2405&lt;=24,"Young Adult",B2405&lt;=34,"Early Career",B2405&lt;=44,"Mid Career",B2405&lt;=54,"Mature",B2405&lt;=65,"Pre-Senior",B2405&gt;65,"Senior")</f>
        <v>Young Adult</v>
      </c>
      <c r="D2405" s="1" t="s">
        <v>18</v>
      </c>
      <c r="F2405" s="1">
        <v>925000</v>
      </c>
      <c r="G2405" s="1">
        <v>6</v>
      </c>
      <c r="H2405" s="1" t="str" cm="1">
        <f t="array" ref="H2405">_xlfn.IFS( OR(G2405=" ",NOT(ISNUMBER(G2405))),"Unknown",G2405&lt;=33,"Low Spender",G2405&lt;=66,"Medium Spender",TRUE, "High Spender")</f>
        <v>Low Spender</v>
      </c>
      <c r="I2405" s="1">
        <v>18</v>
      </c>
      <c r="J2405" s="1">
        <v>10400</v>
      </c>
      <c r="K2405" s="1">
        <v>260</v>
      </c>
      <c r="N2405" s="1" t="str">
        <f t="shared" si="74"/>
        <v>Higher</v>
      </c>
      <c r="O2405" s="1" t="str">
        <f t="shared" si="75"/>
        <v>Young Adult | Low Spender | Higher</v>
      </c>
    </row>
    <row r="2406" spans="1:15" x14ac:dyDescent="0.25">
      <c r="A2406" s="1" t="s">
        <v>2436</v>
      </c>
      <c r="B2406" s="1">
        <v>26</v>
      </c>
      <c r="C2406" s="1" t="str" cm="1">
        <f t="array" ref="C2406">_xlfn.IFS(OR(B2406=" ", B2406="NA",NOT(ISNUMBER(B2406))), "Unknown",B2406&lt;18,"Underage",B2406&lt;=24,"Young Adult",B2406&lt;=34,"Early Career",B2406&lt;=44,"Mid Career",B2406&lt;=54,"Mature",B2406&lt;=65,"Pre-Senior",B2406&gt;65,"Senior")</f>
        <v>Early Career</v>
      </c>
      <c r="D2406" s="1" t="s">
        <v>29</v>
      </c>
      <c r="F2406" s="1">
        <v>1425000</v>
      </c>
      <c r="G2406" s="1">
        <v>28</v>
      </c>
      <c r="H2406" s="1" t="str" cm="1">
        <f t="array" ref="H2406">_xlfn.IFS( OR(G2406=" ",NOT(ISNUMBER(G2406))),"Unknown",G2406&lt;=33,"Low Spender",G2406&lt;=66,"Medium Spender",TRUE, "High Spender")</f>
        <v>Low Spender</v>
      </c>
      <c r="I2406" s="1">
        <v>50</v>
      </c>
      <c r="J2406" s="1">
        <v>4000</v>
      </c>
      <c r="K2406" s="1">
        <v>256</v>
      </c>
      <c r="N2406" s="1" t="str">
        <f t="shared" si="74"/>
        <v>Higher</v>
      </c>
      <c r="O2406" s="1" t="str">
        <f t="shared" si="75"/>
        <v>Early Career | Low Spender | Higher</v>
      </c>
    </row>
    <row r="2407" spans="1:15" x14ac:dyDescent="0.25">
      <c r="A2407" s="1" t="s">
        <v>2437</v>
      </c>
      <c r="B2407" s="1">
        <v>54</v>
      </c>
      <c r="C2407" s="1" t="str" cm="1">
        <f t="array" ref="C2407">_xlfn.IFS(OR(B2407=" ", B2407="NA",NOT(ISNUMBER(B2407))), "Unknown",B2407&lt;18,"Underage",B2407&lt;=24,"Young Adult",B2407&lt;=34,"Early Career",B2407&lt;=44,"Mid Career",B2407&lt;=54,"Mature",B2407&lt;=65,"Pre-Senior",B2407&gt;65,"Senior")</f>
        <v>Mature</v>
      </c>
      <c r="D2407" s="1" t="s">
        <v>29</v>
      </c>
      <c r="E2407" s="1" t="s">
        <v>19</v>
      </c>
      <c r="F2407" s="1">
        <v>625000</v>
      </c>
      <c r="G2407" s="1">
        <v>72</v>
      </c>
      <c r="H2407" s="1" t="str" cm="1">
        <f t="array" ref="H2407">_xlfn.IFS( OR(G2407=" ",NOT(ISNUMBER(G2407))),"Unknown",G2407&lt;=33,"Low Spender",G2407&lt;=66,"Medium Spender",TRUE, "High Spender")</f>
        <v>High Spender</v>
      </c>
      <c r="I2407" s="1">
        <v>46</v>
      </c>
      <c r="J2407" s="1">
        <v>5600</v>
      </c>
      <c r="K2407" s="1">
        <v>61</v>
      </c>
      <c r="L2407" s="1" t="s">
        <v>37</v>
      </c>
      <c r="M2407" s="1" t="s">
        <v>30</v>
      </c>
      <c r="N2407" s="1" t="str">
        <f t="shared" si="74"/>
        <v>Higher</v>
      </c>
      <c r="O2407" s="1" t="str">
        <f t="shared" si="75"/>
        <v>Mature | High Spender | Higher</v>
      </c>
    </row>
    <row r="2408" spans="1:15" x14ac:dyDescent="0.25">
      <c r="A2408" s="1" t="s">
        <v>2438</v>
      </c>
      <c r="B2408" s="1">
        <v>37</v>
      </c>
      <c r="C2408" s="1" t="str" cm="1">
        <f t="array" ref="C2408">_xlfn.IFS(OR(B2408=" ", B2408="NA",NOT(ISNUMBER(B2408))), "Unknown",B2408&lt;18,"Underage",B2408&lt;=24,"Young Adult",B2408&lt;=34,"Early Career",B2408&lt;=44,"Mid Career",B2408&lt;=54,"Mature",B2408&lt;=65,"Pre-Senior",B2408&gt;65,"Senior")</f>
        <v>Mid Career</v>
      </c>
      <c r="D2408" s="1" t="s">
        <v>12</v>
      </c>
      <c r="E2408" s="1" t="s">
        <v>49</v>
      </c>
      <c r="F2408" s="1">
        <v>1775000</v>
      </c>
      <c r="G2408" s="1">
        <v>55</v>
      </c>
      <c r="H2408" s="1" t="str" cm="1">
        <f t="array" ref="H2408">_xlfn.IFS( OR(G2408=" ",NOT(ISNUMBER(G2408))),"Unknown",G2408&lt;=33,"Low Spender",G2408&lt;=66,"Medium Spender",TRUE, "High Spender")</f>
        <v>Medium Spender</v>
      </c>
      <c r="I2408" s="1">
        <v>48</v>
      </c>
      <c r="J2408" s="1">
        <v>6200</v>
      </c>
      <c r="K2408" s="1">
        <v>352</v>
      </c>
      <c r="L2408" s="1" t="s">
        <v>16</v>
      </c>
      <c r="M2408" s="1" t="s">
        <v>30</v>
      </c>
      <c r="N2408" s="1" t="str">
        <f t="shared" si="74"/>
        <v>Lower</v>
      </c>
      <c r="O2408" s="1" t="str">
        <f t="shared" si="75"/>
        <v>Mid Career | Medium Spender | Lower</v>
      </c>
    </row>
    <row r="2409" spans="1:15" x14ac:dyDescent="0.25">
      <c r="A2409" s="1" t="s">
        <v>2439</v>
      </c>
      <c r="B2409" s="1">
        <v>43</v>
      </c>
      <c r="C2409" s="1" t="str" cm="1">
        <f t="array" ref="C2409">_xlfn.IFS(OR(B2409=" ", B2409="NA",NOT(ISNUMBER(B2409))), "Unknown",B2409&lt;18,"Underage",B2409&lt;=24,"Young Adult",B2409&lt;=34,"Early Career",B2409&lt;=44,"Mid Career",B2409&lt;=54,"Mature",B2409&lt;=65,"Pre-Senior",B2409&gt;65,"Senior")</f>
        <v>Mid Career</v>
      </c>
      <c r="D2409" s="1" t="s">
        <v>29</v>
      </c>
      <c r="E2409" s="1" t="s">
        <v>34</v>
      </c>
      <c r="F2409" s="1">
        <v>150000</v>
      </c>
      <c r="G2409" s="1">
        <v>58</v>
      </c>
      <c r="H2409" s="1" t="str" cm="1">
        <f t="array" ref="H2409">_xlfn.IFS( OR(G2409=" ",NOT(ISNUMBER(G2409))),"Unknown",G2409&lt;=33,"Low Spender",G2409&lt;=66,"Medium Spender",TRUE, "High Spender")</f>
        <v>Medium Spender</v>
      </c>
      <c r="I2409" s="1">
        <v>33</v>
      </c>
      <c r="J2409" s="1">
        <v>7900</v>
      </c>
      <c r="K2409" s="1">
        <v>260</v>
      </c>
      <c r="L2409" s="1" t="s">
        <v>20</v>
      </c>
      <c r="N2409" s="1" t="str">
        <f t="shared" si="74"/>
        <v>Higher</v>
      </c>
      <c r="O2409" s="1" t="str">
        <f t="shared" si="75"/>
        <v>Mid Career | Medium Spender | Higher</v>
      </c>
    </row>
    <row r="2410" spans="1:15" x14ac:dyDescent="0.25">
      <c r="A2410" s="1" t="s">
        <v>2440</v>
      </c>
      <c r="B2410" s="1">
        <v>46</v>
      </c>
      <c r="C2410" s="1" t="str" cm="1">
        <f t="array" ref="C2410">_xlfn.IFS(OR(B2410=" ", B2410="NA",NOT(ISNUMBER(B2410))), "Unknown",B2410&lt;18,"Underage",B2410&lt;=24,"Young Adult",B2410&lt;=34,"Early Career",B2410&lt;=44,"Mid Career",B2410&lt;=54,"Mature",B2410&lt;=65,"Pre-Senior",B2410&gt;65,"Senior")</f>
        <v>Mature</v>
      </c>
      <c r="E2410" s="1" t="s">
        <v>15</v>
      </c>
      <c r="F2410" s="1">
        <v>1575000</v>
      </c>
      <c r="G2410" s="1">
        <v>45</v>
      </c>
      <c r="H2410" s="1" t="str" cm="1">
        <f t="array" ref="H2410">_xlfn.IFS( OR(G2410=" ",NOT(ISNUMBER(G2410))),"Unknown",G2410&lt;=33,"Low Spender",G2410&lt;=66,"Medium Spender",TRUE, "High Spender")</f>
        <v>Medium Spender</v>
      </c>
      <c r="I2410" s="1">
        <v>27</v>
      </c>
      <c r="J2410" s="1">
        <v>11200</v>
      </c>
      <c r="K2410" s="1">
        <v>321</v>
      </c>
      <c r="M2410" s="1" t="s">
        <v>21</v>
      </c>
      <c r="N2410" s="1" t="str">
        <f t="shared" si="74"/>
        <v>Lower</v>
      </c>
      <c r="O2410" s="1" t="str">
        <f t="shared" si="75"/>
        <v>Mature | Medium Spender | Lower</v>
      </c>
    </row>
    <row r="2411" spans="1:15" x14ac:dyDescent="0.25">
      <c r="A2411" s="1" t="s">
        <v>2441</v>
      </c>
      <c r="B2411" s="1">
        <v>18</v>
      </c>
      <c r="C2411" s="1" t="str" cm="1">
        <f t="array" ref="C2411">_xlfn.IFS(OR(B2411=" ", B2411="NA",NOT(ISNUMBER(B2411))), "Unknown",B2411&lt;18,"Underage",B2411&lt;=24,"Young Adult",B2411&lt;=34,"Early Career",B2411&lt;=44,"Mid Career",B2411&lt;=54,"Mature",B2411&lt;=65,"Pre-Senior",B2411&gt;65,"Senior")</f>
        <v>Young Adult</v>
      </c>
      <c r="D2411" s="1" t="s">
        <v>29</v>
      </c>
      <c r="E2411" s="1" t="s">
        <v>23</v>
      </c>
      <c r="F2411" s="1">
        <v>1225000</v>
      </c>
      <c r="G2411" s="1">
        <v>72</v>
      </c>
      <c r="H2411" s="1" t="str" cm="1">
        <f t="array" ref="H2411">_xlfn.IFS( OR(G2411=" ",NOT(ISNUMBER(G2411))),"Unknown",G2411&lt;=33,"Low Spender",G2411&lt;=66,"Medium Spender",TRUE, "High Spender")</f>
        <v>High Spender</v>
      </c>
      <c r="I2411" s="1">
        <v>1</v>
      </c>
      <c r="J2411" s="1">
        <v>11900</v>
      </c>
      <c r="K2411" s="1">
        <v>162</v>
      </c>
      <c r="N2411" s="1" t="str">
        <f t="shared" si="74"/>
        <v>Higher</v>
      </c>
      <c r="O2411" s="1" t="str">
        <f t="shared" si="75"/>
        <v>Young Adult | High Spender | Higher</v>
      </c>
    </row>
    <row r="2412" spans="1:15" x14ac:dyDescent="0.25">
      <c r="A2412" s="1" t="s">
        <v>2442</v>
      </c>
      <c r="B2412" s="1" t="s">
        <v>73</v>
      </c>
      <c r="C2412" s="1" t="str" cm="1">
        <f t="array" ref="C2412">_xlfn.IFS(OR(B2412=" ", B2412="NA",NOT(ISNUMBER(B2412))), "Unknown",B2412&lt;18,"Underage",B2412&lt;=24,"Young Adult",B2412&lt;=34,"Early Career",B2412&lt;=44,"Mid Career",B2412&lt;=54,"Mature",B2412&lt;=65,"Pre-Senior",B2412&gt;65,"Senior")</f>
        <v>Unknown</v>
      </c>
      <c r="E2412" s="1" t="s">
        <v>34</v>
      </c>
      <c r="F2412" s="1">
        <v>275000</v>
      </c>
      <c r="G2412" s="1">
        <v>19</v>
      </c>
      <c r="H2412" s="1" t="str" cm="1">
        <f t="array" ref="H2412">_xlfn.IFS( OR(G2412=" ",NOT(ISNUMBER(G2412))),"Unknown",G2412&lt;=33,"Low Spender",G2412&lt;=66,"Medium Spender",TRUE, "High Spender")</f>
        <v>Low Spender</v>
      </c>
      <c r="I2412" s="1">
        <v>59</v>
      </c>
      <c r="J2412" s="1">
        <v>10500</v>
      </c>
      <c r="K2412" s="1">
        <v>349</v>
      </c>
      <c r="M2412" s="1" t="s">
        <v>32</v>
      </c>
      <c r="N2412" s="1" t="str">
        <f t="shared" si="74"/>
        <v>Lower</v>
      </c>
      <c r="O2412" s="1" t="str">
        <f t="shared" si="75"/>
        <v>Unknown | Low Spender | Lower</v>
      </c>
    </row>
    <row r="2413" spans="1:15" x14ac:dyDescent="0.25">
      <c r="A2413" s="1" t="s">
        <v>2443</v>
      </c>
      <c r="B2413" s="1">
        <v>52</v>
      </c>
      <c r="C2413" s="1" t="str" cm="1">
        <f t="array" ref="C2413">_xlfn.IFS(OR(B2413=" ", B2413="NA",NOT(ISNUMBER(B2413))), "Unknown",B2413&lt;18,"Underage",B2413&lt;=24,"Young Adult",B2413&lt;=34,"Early Career",B2413&lt;=44,"Mid Career",B2413&lt;=54,"Mature",B2413&lt;=65,"Pre-Senior",B2413&gt;65,"Senior")</f>
        <v>Mature</v>
      </c>
      <c r="E2413" s="1" t="s">
        <v>58</v>
      </c>
      <c r="F2413" s="1">
        <v>1375000</v>
      </c>
      <c r="H2413" s="1" t="str" cm="1">
        <f t="array" ref="H2413">_xlfn.IFS( OR(G2413=" ",NOT(ISNUMBER(G2413))),"Unknown",G2413&lt;=33,"Low Spender",G2413&lt;=66,"Medium Spender",TRUE, "High Spender")</f>
        <v>Unknown</v>
      </c>
      <c r="I2413" s="1">
        <v>10</v>
      </c>
      <c r="J2413" s="1">
        <v>7900</v>
      </c>
      <c r="K2413" s="1">
        <v>31</v>
      </c>
      <c r="L2413" s="1" t="s">
        <v>20</v>
      </c>
      <c r="M2413" s="1" t="s">
        <v>30</v>
      </c>
      <c r="N2413" s="1" t="str">
        <f t="shared" si="74"/>
        <v>Lower</v>
      </c>
      <c r="O2413" s="1" t="str">
        <f t="shared" si="75"/>
        <v>Mature | Unknown | Lower</v>
      </c>
    </row>
    <row r="2414" spans="1:15" x14ac:dyDescent="0.25">
      <c r="A2414" s="1" t="s">
        <v>2444</v>
      </c>
      <c r="B2414" s="1">
        <v>23</v>
      </c>
      <c r="C2414" s="1" t="str" cm="1">
        <f t="array" ref="C2414">_xlfn.IFS(OR(B2414=" ", B2414="NA",NOT(ISNUMBER(B2414))), "Unknown",B2414&lt;18,"Underage",B2414&lt;=24,"Young Adult",B2414&lt;=34,"Early Career",B2414&lt;=44,"Mid Career",B2414&lt;=54,"Mature",B2414&lt;=65,"Pre-Senior",B2414&gt;65,"Senior")</f>
        <v>Young Adult</v>
      </c>
      <c r="D2414" s="1" t="s">
        <v>18</v>
      </c>
      <c r="E2414" s="1" t="s">
        <v>49</v>
      </c>
      <c r="F2414" s="1">
        <v>1925000</v>
      </c>
      <c r="G2414" s="1">
        <v>29</v>
      </c>
      <c r="H2414" s="1" t="str" cm="1">
        <f t="array" ref="H2414">_xlfn.IFS( OR(G2414=" ",NOT(ISNUMBER(G2414))),"Unknown",G2414&lt;=33,"Low Spender",G2414&lt;=66,"Medium Spender",TRUE, "High Spender")</f>
        <v>Low Spender</v>
      </c>
      <c r="I2414" s="1">
        <v>25</v>
      </c>
      <c r="J2414" s="1">
        <v>4900</v>
      </c>
      <c r="K2414" s="1">
        <v>71</v>
      </c>
      <c r="M2414" s="1" t="s">
        <v>32</v>
      </c>
      <c r="N2414" s="1" t="str">
        <f t="shared" si="74"/>
        <v>Higher</v>
      </c>
      <c r="O2414" s="1" t="str">
        <f t="shared" si="75"/>
        <v>Young Adult | Low Spender | Higher</v>
      </c>
    </row>
    <row r="2415" spans="1:15" x14ac:dyDescent="0.25">
      <c r="A2415" s="1" t="s">
        <v>2445</v>
      </c>
      <c r="B2415" s="1">
        <v>54</v>
      </c>
      <c r="C2415" s="1" t="str" cm="1">
        <f t="array" ref="C2415">_xlfn.IFS(OR(B2415=" ", B2415="NA",NOT(ISNUMBER(B2415))), "Unknown",B2415&lt;18,"Underage",B2415&lt;=24,"Young Adult",B2415&lt;=34,"Early Career",B2415&lt;=44,"Mid Career",B2415&lt;=54,"Mature",B2415&lt;=65,"Pre-Senior",B2415&gt;65,"Senior")</f>
        <v>Mature</v>
      </c>
      <c r="D2415" s="1" t="s">
        <v>12</v>
      </c>
      <c r="E2415" s="1" t="s">
        <v>15</v>
      </c>
      <c r="F2415" s="1">
        <v>625000</v>
      </c>
      <c r="G2415" s="1">
        <v>23</v>
      </c>
      <c r="H2415" s="1" t="str" cm="1">
        <f t="array" ref="H2415">_xlfn.IFS( OR(G2415=" ",NOT(ISNUMBER(G2415))),"Unknown",G2415&lt;=33,"Low Spender",G2415&lt;=66,"Medium Spender",TRUE, "High Spender")</f>
        <v>Low Spender</v>
      </c>
      <c r="I2415" s="1">
        <v>57</v>
      </c>
      <c r="J2415" s="1">
        <v>1400</v>
      </c>
      <c r="K2415" s="1">
        <v>2</v>
      </c>
      <c r="N2415" s="1" t="str">
        <f t="shared" si="74"/>
        <v>Lower</v>
      </c>
      <c r="O2415" s="1" t="str">
        <f t="shared" si="75"/>
        <v>Mature | Low Spender | Lower</v>
      </c>
    </row>
    <row r="2416" spans="1:15" x14ac:dyDescent="0.25">
      <c r="A2416" s="1" t="s">
        <v>2446</v>
      </c>
      <c r="C2416" s="1" t="str" cm="1">
        <f t="array" ref="C2416">_xlfn.IFS(OR(B2416=" ", B2416="NA",NOT(ISNUMBER(B2416))), "Unknown",B2416&lt;18,"Underage",B2416&lt;=24,"Young Adult",B2416&lt;=34,"Early Career",B2416&lt;=44,"Mid Career",B2416&lt;=54,"Mature",B2416&lt;=65,"Pre-Senior",B2416&gt;65,"Senior")</f>
        <v>Unknown</v>
      </c>
      <c r="D2416" s="1" t="s">
        <v>29</v>
      </c>
      <c r="F2416" s="1">
        <v>475000</v>
      </c>
      <c r="G2416" s="1">
        <v>32</v>
      </c>
      <c r="H2416" s="1" t="str" cm="1">
        <f t="array" ref="H2416">_xlfn.IFS( OR(G2416=" ",NOT(ISNUMBER(G2416))),"Unknown",G2416&lt;=33,"Low Spender",G2416&lt;=66,"Medium Spender",TRUE, "High Spender")</f>
        <v>Low Spender</v>
      </c>
      <c r="I2416" s="1">
        <v>66</v>
      </c>
      <c r="J2416" s="1">
        <v>5500</v>
      </c>
      <c r="K2416" s="1">
        <v>50</v>
      </c>
      <c r="N2416" s="1" t="str">
        <f t="shared" si="74"/>
        <v>Higher</v>
      </c>
      <c r="O2416" s="1" t="str">
        <f t="shared" si="75"/>
        <v>Unknown | Low Spender | Higher</v>
      </c>
    </row>
    <row r="2417" spans="1:15" x14ac:dyDescent="0.25">
      <c r="A2417" s="1" t="s">
        <v>2447</v>
      </c>
      <c r="B2417" s="1">
        <v>22</v>
      </c>
      <c r="C2417" s="1" t="str" cm="1">
        <f t="array" ref="C2417">_xlfn.IFS(OR(B2417=" ", B2417="NA",NOT(ISNUMBER(B2417))), "Unknown",B2417&lt;18,"Underage",B2417&lt;=24,"Young Adult",B2417&lt;=34,"Early Career",B2417&lt;=44,"Mid Career",B2417&lt;=54,"Mature",B2417&lt;=65,"Pre-Senior",B2417&gt;65,"Senior")</f>
        <v>Young Adult</v>
      </c>
      <c r="E2417" s="1" t="s">
        <v>49</v>
      </c>
      <c r="F2417" s="1">
        <v>250000</v>
      </c>
      <c r="G2417" s="1">
        <v>10</v>
      </c>
      <c r="H2417" s="1" t="str" cm="1">
        <f t="array" ref="H2417">_xlfn.IFS( OR(G2417=" ",NOT(ISNUMBER(G2417))),"Unknown",G2417&lt;=33,"Low Spender",G2417&lt;=66,"Medium Spender",TRUE, "High Spender")</f>
        <v>Low Spender</v>
      </c>
      <c r="I2417" s="1">
        <v>15</v>
      </c>
      <c r="J2417" s="1">
        <v>3500</v>
      </c>
      <c r="K2417" s="1">
        <v>135</v>
      </c>
      <c r="N2417" s="1" t="str">
        <f t="shared" si="74"/>
        <v>Lower</v>
      </c>
      <c r="O2417" s="1" t="str">
        <f t="shared" si="75"/>
        <v>Young Adult | Low Spender | Lower</v>
      </c>
    </row>
    <row r="2418" spans="1:15" x14ac:dyDescent="0.25">
      <c r="A2418" s="1" t="s">
        <v>2448</v>
      </c>
      <c r="B2418" s="1">
        <v>50</v>
      </c>
      <c r="C2418" s="1" t="str" cm="1">
        <f t="array" ref="C2418">_xlfn.IFS(OR(B2418=" ", B2418="NA",NOT(ISNUMBER(B2418))), "Unknown",B2418&lt;18,"Underage",B2418&lt;=24,"Young Adult",B2418&lt;=34,"Early Career",B2418&lt;=44,"Mid Career",B2418&lt;=54,"Mature",B2418&lt;=65,"Pre-Senior",B2418&gt;65,"Senior")</f>
        <v>Mature</v>
      </c>
      <c r="F2418" s="1">
        <v>1150000</v>
      </c>
      <c r="G2418" s="1">
        <v>91</v>
      </c>
      <c r="H2418" s="1" t="str" cm="1">
        <f t="array" ref="H2418">_xlfn.IFS( OR(G2418=" ",NOT(ISNUMBER(G2418))),"Unknown",G2418&lt;=33,"Low Spender",G2418&lt;=66,"Medium Spender",TRUE, "High Spender")</f>
        <v>High Spender</v>
      </c>
      <c r="I2418" s="1">
        <v>28</v>
      </c>
      <c r="J2418" s="1">
        <v>3000</v>
      </c>
      <c r="K2418" s="1">
        <v>146</v>
      </c>
      <c r="M2418" s="1" t="s">
        <v>41</v>
      </c>
      <c r="N2418" s="1" t="str">
        <f t="shared" si="74"/>
        <v>Lower</v>
      </c>
      <c r="O2418" s="1" t="str">
        <f t="shared" si="75"/>
        <v>Mature | High Spender | Lower</v>
      </c>
    </row>
    <row r="2419" spans="1:15" x14ac:dyDescent="0.25">
      <c r="A2419" s="1" t="s">
        <v>2449</v>
      </c>
      <c r="B2419" s="1">
        <v>66</v>
      </c>
      <c r="C2419" s="1" t="str" cm="1">
        <f t="array" ref="C2419">_xlfn.IFS(OR(B2419=" ", B2419="NA",NOT(ISNUMBER(B2419))), "Unknown",B2419&lt;18,"Underage",B2419&lt;=24,"Young Adult",B2419&lt;=34,"Early Career",B2419&lt;=44,"Mid Career",B2419&lt;=54,"Mature",B2419&lt;=65,"Pre-Senior",B2419&gt;65,"Senior")</f>
        <v>Senior</v>
      </c>
      <c r="F2419" s="1">
        <v>1125000</v>
      </c>
      <c r="G2419" s="1">
        <v>49</v>
      </c>
      <c r="H2419" s="1" t="str" cm="1">
        <f t="array" ref="H2419">_xlfn.IFS( OR(G2419=" ",NOT(ISNUMBER(G2419))),"Unknown",G2419&lt;=33,"Low Spender",G2419&lt;=66,"Medium Spender",TRUE, "High Spender")</f>
        <v>Medium Spender</v>
      </c>
      <c r="I2419" s="1">
        <v>13</v>
      </c>
      <c r="J2419" s="1">
        <v>500</v>
      </c>
      <c r="K2419" s="1">
        <v>179</v>
      </c>
      <c r="L2419" s="1" t="s">
        <v>37</v>
      </c>
      <c r="M2419" s="1" t="s">
        <v>32</v>
      </c>
      <c r="N2419" s="1" t="str">
        <f t="shared" si="74"/>
        <v>Lower</v>
      </c>
      <c r="O2419" s="1" t="str">
        <f t="shared" si="75"/>
        <v>Senior | Medium Spender | Lower</v>
      </c>
    </row>
    <row r="2420" spans="1:15" x14ac:dyDescent="0.25">
      <c r="A2420" s="1" t="s">
        <v>2450</v>
      </c>
      <c r="B2420" s="1">
        <v>68</v>
      </c>
      <c r="C2420" s="1" t="str" cm="1">
        <f t="array" ref="C2420">_xlfn.IFS(OR(B2420=" ", B2420="NA",NOT(ISNUMBER(B2420))), "Unknown",B2420&lt;18,"Underage",B2420&lt;=24,"Young Adult",B2420&lt;=34,"Early Career",B2420&lt;=44,"Mid Career",B2420&lt;=54,"Mature",B2420&lt;=65,"Pre-Senior",B2420&gt;65,"Senior")</f>
        <v>Senior</v>
      </c>
      <c r="E2420" s="1" t="s">
        <v>19</v>
      </c>
      <c r="F2420" s="1">
        <v>975000</v>
      </c>
      <c r="G2420" s="1">
        <v>65</v>
      </c>
      <c r="H2420" s="1" t="str" cm="1">
        <f t="array" ref="H2420">_xlfn.IFS( OR(G2420=" ",NOT(ISNUMBER(G2420))),"Unknown",G2420&lt;=33,"Low Spender",G2420&lt;=66,"Medium Spender",TRUE, "High Spender")</f>
        <v>Medium Spender</v>
      </c>
      <c r="I2420" s="1">
        <v>14</v>
      </c>
      <c r="J2420" s="1">
        <v>8400</v>
      </c>
      <c r="K2420" s="1">
        <v>264</v>
      </c>
      <c r="L2420" s="1" t="s">
        <v>35</v>
      </c>
      <c r="M2420" s="1" t="s">
        <v>41</v>
      </c>
      <c r="N2420" s="1" t="str">
        <f t="shared" si="74"/>
        <v>Lower</v>
      </c>
      <c r="O2420" s="1" t="str">
        <f t="shared" si="75"/>
        <v>Senior | Medium Spender | Lower</v>
      </c>
    </row>
    <row r="2421" spans="1:15" x14ac:dyDescent="0.25">
      <c r="A2421" s="1" t="s">
        <v>2451</v>
      </c>
      <c r="B2421" s="1">
        <v>31</v>
      </c>
      <c r="C2421" s="1" t="str" cm="1">
        <f t="array" ref="C2421">_xlfn.IFS(OR(B2421=" ", B2421="NA",NOT(ISNUMBER(B2421))), "Unknown",B2421&lt;18,"Underage",B2421&lt;=24,"Young Adult",B2421&lt;=34,"Early Career",B2421&lt;=44,"Mid Career",B2421&lt;=54,"Mature",B2421&lt;=65,"Pre-Senior",B2421&gt;65,"Senior")</f>
        <v>Early Career</v>
      </c>
      <c r="D2421" s="1" t="s">
        <v>18</v>
      </c>
      <c r="E2421" s="1" t="s">
        <v>13</v>
      </c>
      <c r="F2421" s="1">
        <v>1250000</v>
      </c>
      <c r="G2421" s="1">
        <v>29</v>
      </c>
      <c r="H2421" s="1" t="str" cm="1">
        <f t="array" ref="H2421">_xlfn.IFS( OR(G2421=" ",NOT(ISNUMBER(G2421))),"Unknown",G2421&lt;=33,"Low Spender",G2421&lt;=66,"Medium Spender",TRUE, "High Spender")</f>
        <v>Low Spender</v>
      </c>
      <c r="I2421" s="1">
        <v>66</v>
      </c>
      <c r="J2421" s="1">
        <v>2800</v>
      </c>
      <c r="K2421" s="1">
        <v>311</v>
      </c>
      <c r="L2421" s="1" t="s">
        <v>16</v>
      </c>
      <c r="M2421" s="1" t="s">
        <v>32</v>
      </c>
      <c r="N2421" s="1" t="str">
        <f t="shared" si="74"/>
        <v>Higher</v>
      </c>
      <c r="O2421" s="1" t="str">
        <f t="shared" si="75"/>
        <v>Early Career | Low Spender | Higher</v>
      </c>
    </row>
    <row r="2422" spans="1:15" x14ac:dyDescent="0.25">
      <c r="A2422" s="1" t="s">
        <v>2452</v>
      </c>
      <c r="B2422" s="1">
        <v>29</v>
      </c>
      <c r="C2422" s="1" t="str" cm="1">
        <f t="array" ref="C2422">_xlfn.IFS(OR(B2422=" ", B2422="NA",NOT(ISNUMBER(B2422))), "Unknown",B2422&lt;18,"Underage",B2422&lt;=24,"Young Adult",B2422&lt;=34,"Early Career",B2422&lt;=44,"Mid Career",B2422&lt;=54,"Mature",B2422&lt;=65,"Pre-Senior",B2422&gt;65,"Senior")</f>
        <v>Early Career</v>
      </c>
      <c r="D2422" s="1" t="s">
        <v>29</v>
      </c>
      <c r="E2422" s="1" t="s">
        <v>49</v>
      </c>
      <c r="F2422" s="1">
        <v>1900000</v>
      </c>
      <c r="G2422" s="1">
        <v>59</v>
      </c>
      <c r="H2422" s="1" t="str" cm="1">
        <f t="array" ref="H2422">_xlfn.IFS( OR(G2422=" ",NOT(ISNUMBER(G2422))),"Unknown",G2422&lt;=33,"Low Spender",G2422&lt;=66,"Medium Spender",TRUE, "High Spender")</f>
        <v>Medium Spender</v>
      </c>
      <c r="I2422" s="1">
        <v>34</v>
      </c>
      <c r="J2422" s="1">
        <v>5600</v>
      </c>
      <c r="K2422" s="1">
        <v>204</v>
      </c>
      <c r="L2422" s="1" t="s">
        <v>37</v>
      </c>
      <c r="N2422" s="1" t="str">
        <f t="shared" si="74"/>
        <v>Higher</v>
      </c>
      <c r="O2422" s="1" t="str">
        <f t="shared" si="75"/>
        <v>Early Career | Medium Spender | Higher</v>
      </c>
    </row>
    <row r="2423" spans="1:15" x14ac:dyDescent="0.25">
      <c r="A2423" s="1" t="s">
        <v>2453</v>
      </c>
      <c r="B2423" s="1">
        <v>59</v>
      </c>
      <c r="C2423" s="1" t="str" cm="1">
        <f t="array" ref="C2423">_xlfn.IFS(OR(B2423=" ", B2423="NA",NOT(ISNUMBER(B2423))), "Unknown",B2423&lt;18,"Underage",B2423&lt;=24,"Young Adult",B2423&lt;=34,"Early Career",B2423&lt;=44,"Mid Career",B2423&lt;=54,"Mature",B2423&lt;=65,"Pre-Senior",B2423&gt;65,"Senior")</f>
        <v>Pre-Senior</v>
      </c>
      <c r="D2423" s="1" t="s">
        <v>18</v>
      </c>
      <c r="E2423" s="1" t="s">
        <v>58</v>
      </c>
      <c r="F2423" s="1">
        <v>1900000</v>
      </c>
      <c r="G2423" s="1">
        <v>45</v>
      </c>
      <c r="H2423" s="1" t="str" cm="1">
        <f t="array" ref="H2423">_xlfn.IFS( OR(G2423=" ",NOT(ISNUMBER(G2423))),"Unknown",G2423&lt;=33,"Low Spender",G2423&lt;=66,"Medium Spender",TRUE, "High Spender")</f>
        <v>Medium Spender</v>
      </c>
      <c r="I2423" s="1">
        <v>25</v>
      </c>
      <c r="J2423" s="1">
        <v>4200</v>
      </c>
      <c r="K2423" s="1">
        <v>299</v>
      </c>
      <c r="L2423" s="1" t="s">
        <v>20</v>
      </c>
      <c r="M2423" s="1" t="s">
        <v>41</v>
      </c>
      <c r="N2423" s="1" t="str">
        <f t="shared" si="74"/>
        <v>Higher</v>
      </c>
      <c r="O2423" s="1" t="str">
        <f t="shared" si="75"/>
        <v>Pre-Senior | Medium Spender | Higher</v>
      </c>
    </row>
    <row r="2424" spans="1:15" x14ac:dyDescent="0.25">
      <c r="A2424" s="1" t="s">
        <v>2454</v>
      </c>
      <c r="B2424" s="1">
        <v>37</v>
      </c>
      <c r="C2424" s="1" t="str" cm="1">
        <f t="array" ref="C2424">_xlfn.IFS(OR(B2424=" ", B2424="NA",NOT(ISNUMBER(B2424))), "Unknown",B2424&lt;18,"Underage",B2424&lt;=24,"Young Adult",B2424&lt;=34,"Early Career",B2424&lt;=44,"Mid Career",B2424&lt;=54,"Mature",B2424&lt;=65,"Pre-Senior",B2424&gt;65,"Senior")</f>
        <v>Mid Career</v>
      </c>
      <c r="F2424" s="1">
        <v>800000</v>
      </c>
      <c r="G2424" s="1">
        <v>67</v>
      </c>
      <c r="H2424" s="1" t="str" cm="1">
        <f t="array" ref="H2424">_xlfn.IFS( OR(G2424=" ",NOT(ISNUMBER(G2424))),"Unknown",G2424&lt;=33,"Low Spender",G2424&lt;=66,"Medium Spender",TRUE, "High Spender")</f>
        <v>High Spender</v>
      </c>
      <c r="I2424" s="1">
        <v>54</v>
      </c>
      <c r="J2424" s="1">
        <v>6800</v>
      </c>
      <c r="K2424" s="1">
        <v>187</v>
      </c>
      <c r="M2424" s="1" t="s">
        <v>41</v>
      </c>
      <c r="N2424" s="1" t="str">
        <f t="shared" si="74"/>
        <v>Lower</v>
      </c>
      <c r="O2424" s="1" t="str">
        <f t="shared" si="75"/>
        <v>Mid Career | High Spender | Lower</v>
      </c>
    </row>
    <row r="2425" spans="1:15" x14ac:dyDescent="0.25">
      <c r="A2425" s="1" t="s">
        <v>2455</v>
      </c>
      <c r="C2425" s="1" t="str" cm="1">
        <f t="array" ref="C2425">_xlfn.IFS(OR(B2425=" ", B2425="NA",NOT(ISNUMBER(B2425))), "Unknown",B2425&lt;18,"Underage",B2425&lt;=24,"Young Adult",B2425&lt;=34,"Early Career",B2425&lt;=44,"Mid Career",B2425&lt;=54,"Mature",B2425&lt;=65,"Pre-Senior",B2425&gt;65,"Senior")</f>
        <v>Unknown</v>
      </c>
      <c r="E2425" s="1" t="s">
        <v>34</v>
      </c>
      <c r="F2425" s="1">
        <v>1225000</v>
      </c>
      <c r="G2425" s="1">
        <v>51</v>
      </c>
      <c r="H2425" s="1" t="str" cm="1">
        <f t="array" ref="H2425">_xlfn.IFS( OR(G2425=" ",NOT(ISNUMBER(G2425))),"Unknown",G2425&lt;=33,"Low Spender",G2425&lt;=66,"Medium Spender",TRUE, "High Spender")</f>
        <v>Medium Spender</v>
      </c>
      <c r="I2425" s="1">
        <v>79</v>
      </c>
      <c r="J2425" s="1">
        <v>7000</v>
      </c>
      <c r="K2425" s="1">
        <v>30</v>
      </c>
      <c r="M2425" s="1" t="s">
        <v>32</v>
      </c>
      <c r="N2425" s="1" t="str">
        <f t="shared" si="74"/>
        <v>Lower</v>
      </c>
      <c r="O2425" s="1" t="str">
        <f t="shared" si="75"/>
        <v>Unknown | Medium Spender | Lower</v>
      </c>
    </row>
    <row r="2426" spans="1:15" x14ac:dyDescent="0.25">
      <c r="A2426" s="1" t="s">
        <v>2456</v>
      </c>
      <c r="B2426" s="1">
        <v>67</v>
      </c>
      <c r="C2426" s="1" t="str" cm="1">
        <f t="array" ref="C2426">_xlfn.IFS(OR(B2426=" ", B2426="NA",NOT(ISNUMBER(B2426))), "Unknown",B2426&lt;18,"Underage",B2426&lt;=24,"Young Adult",B2426&lt;=34,"Early Career",B2426&lt;=44,"Mid Career",B2426&lt;=54,"Mature",B2426&lt;=65,"Pre-Senior",B2426&gt;65,"Senior")</f>
        <v>Senior</v>
      </c>
      <c r="D2426" s="1" t="s">
        <v>29</v>
      </c>
      <c r="F2426" s="1">
        <v>950000</v>
      </c>
      <c r="H2426" s="1" t="str" cm="1">
        <f t="array" ref="H2426">_xlfn.IFS( OR(G2426=" ",NOT(ISNUMBER(G2426))),"Unknown",G2426&lt;=33,"Low Spender",G2426&lt;=66,"Medium Spender",TRUE, "High Spender")</f>
        <v>Unknown</v>
      </c>
      <c r="I2426" s="1">
        <v>12</v>
      </c>
      <c r="J2426" s="1">
        <v>11600</v>
      </c>
      <c r="K2426" s="1">
        <v>59</v>
      </c>
      <c r="N2426" s="1" t="str">
        <f t="shared" si="74"/>
        <v>Higher</v>
      </c>
      <c r="O2426" s="1" t="str">
        <f t="shared" si="75"/>
        <v>Senior | Unknown | Higher</v>
      </c>
    </row>
    <row r="2427" spans="1:15" x14ac:dyDescent="0.25">
      <c r="A2427" s="1" t="s">
        <v>2457</v>
      </c>
      <c r="B2427" s="1">
        <v>41</v>
      </c>
      <c r="C2427" s="1" t="str" cm="1">
        <f t="array" ref="C2427">_xlfn.IFS(OR(B2427=" ", B2427="NA",NOT(ISNUMBER(B2427))), "Unknown",B2427&lt;18,"Underage",B2427&lt;=24,"Young Adult",B2427&lt;=34,"Early Career",B2427&lt;=44,"Mid Career",B2427&lt;=54,"Mature",B2427&lt;=65,"Pre-Senior",B2427&gt;65,"Senior")</f>
        <v>Mid Career</v>
      </c>
      <c r="D2427" s="1" t="s">
        <v>18</v>
      </c>
      <c r="E2427" s="1" t="s">
        <v>58</v>
      </c>
      <c r="F2427" s="1">
        <v>950000</v>
      </c>
      <c r="G2427" s="1">
        <v>95</v>
      </c>
      <c r="H2427" s="1" t="str" cm="1">
        <f t="array" ref="H2427">_xlfn.IFS( OR(G2427=" ",NOT(ISNUMBER(G2427))),"Unknown",G2427&lt;=33,"Low Spender",G2427&lt;=66,"Medium Spender",TRUE, "High Spender")</f>
        <v>High Spender</v>
      </c>
      <c r="I2427" s="1">
        <v>9</v>
      </c>
      <c r="J2427" s="1">
        <v>9400</v>
      </c>
      <c r="K2427" s="1">
        <v>9</v>
      </c>
      <c r="M2427" s="1" t="s">
        <v>21</v>
      </c>
      <c r="N2427" s="1" t="str">
        <f t="shared" si="74"/>
        <v>Higher</v>
      </c>
      <c r="O2427" s="1" t="str">
        <f t="shared" si="75"/>
        <v>Mid Career | High Spender | Higher</v>
      </c>
    </row>
    <row r="2428" spans="1:15" x14ac:dyDescent="0.25">
      <c r="A2428" s="1" t="s">
        <v>2458</v>
      </c>
      <c r="B2428" s="1">
        <v>60</v>
      </c>
      <c r="C2428" s="1" t="str" cm="1">
        <f t="array" ref="C2428">_xlfn.IFS(OR(B2428=" ", B2428="NA",NOT(ISNUMBER(B2428))), "Unknown",B2428&lt;18,"Underage",B2428&lt;=24,"Young Adult",B2428&lt;=34,"Early Career",B2428&lt;=44,"Mid Career",B2428&lt;=54,"Mature",B2428&lt;=65,"Pre-Senior",B2428&gt;65,"Senior")</f>
        <v>Pre-Senior</v>
      </c>
      <c r="D2428" s="1" t="s">
        <v>29</v>
      </c>
      <c r="E2428" s="1" t="s">
        <v>23</v>
      </c>
      <c r="F2428" s="1">
        <v>1225000</v>
      </c>
      <c r="G2428" s="1">
        <v>11</v>
      </c>
      <c r="H2428" s="1" t="str" cm="1">
        <f t="array" ref="H2428">_xlfn.IFS( OR(G2428=" ",NOT(ISNUMBER(G2428))),"Unknown",G2428&lt;=33,"Low Spender",G2428&lt;=66,"Medium Spender",TRUE, "High Spender")</f>
        <v>Low Spender</v>
      </c>
      <c r="I2428" s="1">
        <v>31</v>
      </c>
      <c r="J2428" s="1">
        <v>9400</v>
      </c>
      <c r="K2428" s="1">
        <v>324</v>
      </c>
      <c r="L2428" s="1" t="s">
        <v>16</v>
      </c>
      <c r="N2428" s="1" t="str">
        <f t="shared" si="74"/>
        <v>Higher</v>
      </c>
      <c r="O2428" s="1" t="str">
        <f t="shared" si="75"/>
        <v>Pre-Senior | Low Spender | Higher</v>
      </c>
    </row>
    <row r="2429" spans="1:15" x14ac:dyDescent="0.25">
      <c r="A2429" s="1" t="s">
        <v>2459</v>
      </c>
      <c r="B2429" s="1">
        <v>51</v>
      </c>
      <c r="C2429" s="1" t="str" cm="1">
        <f t="array" ref="C2429">_xlfn.IFS(OR(B2429=" ", B2429="NA",NOT(ISNUMBER(B2429))), "Unknown",B2429&lt;18,"Underage",B2429&lt;=24,"Young Adult",B2429&lt;=34,"Early Career",B2429&lt;=44,"Mid Career",B2429&lt;=54,"Mature",B2429&lt;=65,"Pre-Senior",B2429&gt;65,"Senior")</f>
        <v>Mature</v>
      </c>
      <c r="D2429" s="1" t="s">
        <v>29</v>
      </c>
      <c r="E2429" s="1" t="s">
        <v>13</v>
      </c>
      <c r="F2429" s="1">
        <v>625000</v>
      </c>
      <c r="G2429" s="1">
        <v>86</v>
      </c>
      <c r="H2429" s="1" t="str" cm="1">
        <f t="array" ref="H2429">_xlfn.IFS( OR(G2429=" ",NOT(ISNUMBER(G2429))),"Unknown",G2429&lt;=33,"Low Spender",G2429&lt;=66,"Medium Spender",TRUE, "High Spender")</f>
        <v>High Spender</v>
      </c>
      <c r="I2429" s="1">
        <v>78</v>
      </c>
      <c r="J2429" s="1">
        <v>9100</v>
      </c>
      <c r="K2429" s="1">
        <v>167</v>
      </c>
      <c r="L2429" s="1" t="s">
        <v>37</v>
      </c>
      <c r="M2429" s="1" t="s">
        <v>21</v>
      </c>
      <c r="N2429" s="1" t="str">
        <f t="shared" si="74"/>
        <v>Higher</v>
      </c>
      <c r="O2429" s="1" t="str">
        <f t="shared" si="75"/>
        <v>Mature | High Spender | Higher</v>
      </c>
    </row>
    <row r="2430" spans="1:15" x14ac:dyDescent="0.25">
      <c r="A2430" s="1" t="s">
        <v>2460</v>
      </c>
      <c r="B2430" s="1">
        <v>42</v>
      </c>
      <c r="C2430" s="1" t="str" cm="1">
        <f t="array" ref="C2430">_xlfn.IFS(OR(B2430=" ", B2430="NA",NOT(ISNUMBER(B2430))), "Unknown",B2430&lt;18,"Underage",B2430&lt;=24,"Young Adult",B2430&lt;=34,"Early Career",B2430&lt;=44,"Mid Career",B2430&lt;=54,"Mature",B2430&lt;=65,"Pre-Senior",B2430&gt;65,"Senior")</f>
        <v>Mid Career</v>
      </c>
      <c r="D2430" s="1" t="s">
        <v>12</v>
      </c>
      <c r="F2430" s="1">
        <v>1025000</v>
      </c>
      <c r="G2430" s="1">
        <v>82</v>
      </c>
      <c r="H2430" s="1" t="str" cm="1">
        <f t="array" ref="H2430">_xlfn.IFS( OR(G2430=" ",NOT(ISNUMBER(G2430))),"Unknown",G2430&lt;=33,"Low Spender",G2430&lt;=66,"Medium Spender",TRUE, "High Spender")</f>
        <v>High Spender</v>
      </c>
      <c r="I2430" s="1">
        <v>53</v>
      </c>
      <c r="J2430" s="1">
        <v>9200</v>
      </c>
      <c r="K2430" s="1">
        <v>337</v>
      </c>
      <c r="L2430" s="1" t="s">
        <v>37</v>
      </c>
      <c r="M2430" s="1" t="s">
        <v>32</v>
      </c>
      <c r="N2430" s="1" t="str">
        <f t="shared" si="74"/>
        <v>Lower</v>
      </c>
      <c r="O2430" s="1" t="str">
        <f t="shared" si="75"/>
        <v>Mid Career | High Spender | Lower</v>
      </c>
    </row>
    <row r="2431" spans="1:15" x14ac:dyDescent="0.25">
      <c r="A2431" s="1" t="s">
        <v>2461</v>
      </c>
      <c r="B2431" s="1">
        <v>67</v>
      </c>
      <c r="C2431" s="1" t="str" cm="1">
        <f t="array" ref="C2431">_xlfn.IFS(OR(B2431=" ", B2431="NA",NOT(ISNUMBER(B2431))), "Unknown",B2431&lt;18,"Underage",B2431&lt;=24,"Young Adult",B2431&lt;=34,"Early Career",B2431&lt;=44,"Mid Career",B2431&lt;=54,"Mature",B2431&lt;=65,"Pre-Senior",B2431&gt;65,"Senior")</f>
        <v>Senior</v>
      </c>
      <c r="D2431" s="1" t="s">
        <v>12</v>
      </c>
      <c r="E2431" s="1" t="s">
        <v>19</v>
      </c>
      <c r="F2431" s="1">
        <v>300000</v>
      </c>
      <c r="G2431" s="1">
        <v>99</v>
      </c>
      <c r="H2431" s="1" t="str" cm="1">
        <f t="array" ref="H2431">_xlfn.IFS( OR(G2431=" ",NOT(ISNUMBER(G2431))),"Unknown",G2431&lt;=33,"Low Spender",G2431&lt;=66,"Medium Spender",TRUE, "High Spender")</f>
        <v>High Spender</v>
      </c>
      <c r="I2431" s="1">
        <v>43</v>
      </c>
      <c r="J2431" s="1">
        <v>11100</v>
      </c>
      <c r="K2431" s="1">
        <v>279</v>
      </c>
      <c r="L2431" s="1" t="s">
        <v>20</v>
      </c>
      <c r="M2431" s="1" t="s">
        <v>30</v>
      </c>
      <c r="N2431" s="1" t="str">
        <f t="shared" si="74"/>
        <v>Lower</v>
      </c>
      <c r="O2431" s="1" t="str">
        <f t="shared" si="75"/>
        <v>Senior | High Spender | Lower</v>
      </c>
    </row>
    <row r="2432" spans="1:15" x14ac:dyDescent="0.25">
      <c r="A2432" s="1" t="s">
        <v>2462</v>
      </c>
      <c r="B2432" s="1">
        <v>46</v>
      </c>
      <c r="C2432" s="1" t="str" cm="1">
        <f t="array" ref="C2432">_xlfn.IFS(OR(B2432=" ", B2432="NA",NOT(ISNUMBER(B2432))), "Unknown",B2432&lt;18,"Underage",B2432&lt;=24,"Young Adult",B2432&lt;=34,"Early Career",B2432&lt;=44,"Mid Career",B2432&lt;=54,"Mature",B2432&lt;=65,"Pre-Senior",B2432&gt;65,"Senior")</f>
        <v>Mature</v>
      </c>
      <c r="D2432" s="1" t="s">
        <v>12</v>
      </c>
      <c r="E2432" s="1" t="s">
        <v>13</v>
      </c>
      <c r="F2432" s="1">
        <v>925000</v>
      </c>
      <c r="G2432" s="1">
        <v>6</v>
      </c>
      <c r="H2432" s="1" t="str" cm="1">
        <f t="array" ref="H2432">_xlfn.IFS( OR(G2432=" ",NOT(ISNUMBER(G2432))),"Unknown",G2432&lt;=33,"Low Spender",G2432&lt;=66,"Medium Spender",TRUE, "High Spender")</f>
        <v>Low Spender</v>
      </c>
      <c r="I2432" s="1">
        <v>38</v>
      </c>
      <c r="J2432" s="1">
        <v>4900</v>
      </c>
      <c r="K2432" s="1">
        <v>191</v>
      </c>
      <c r="L2432" s="1" t="s">
        <v>37</v>
      </c>
      <c r="N2432" s="1" t="str">
        <f t="shared" si="74"/>
        <v>Lower</v>
      </c>
      <c r="O2432" s="1" t="str">
        <f t="shared" si="75"/>
        <v>Mature | Low Spender | Lower</v>
      </c>
    </row>
    <row r="2433" spans="1:15" x14ac:dyDescent="0.25">
      <c r="A2433" s="1" t="s">
        <v>2463</v>
      </c>
      <c r="B2433" s="1">
        <v>56</v>
      </c>
      <c r="C2433" s="1" t="str" cm="1">
        <f t="array" ref="C2433">_xlfn.IFS(OR(B2433=" ", B2433="NA",NOT(ISNUMBER(B2433))), "Unknown",B2433&lt;18,"Underage",B2433&lt;=24,"Young Adult",B2433&lt;=34,"Early Career",B2433&lt;=44,"Mid Career",B2433&lt;=54,"Mature",B2433&lt;=65,"Pre-Senior",B2433&gt;65,"Senior")</f>
        <v>Pre-Senior</v>
      </c>
      <c r="D2433" s="1" t="s">
        <v>18</v>
      </c>
      <c r="F2433" s="1">
        <v>1800000</v>
      </c>
      <c r="G2433" s="1">
        <v>67</v>
      </c>
      <c r="H2433" s="1" t="str" cm="1">
        <f t="array" ref="H2433">_xlfn.IFS( OR(G2433=" ",NOT(ISNUMBER(G2433))),"Unknown",G2433&lt;=33,"Low Spender",G2433&lt;=66,"Medium Spender",TRUE, "High Spender")</f>
        <v>High Spender</v>
      </c>
      <c r="I2433" s="1">
        <v>42</v>
      </c>
      <c r="J2433" s="1">
        <v>400</v>
      </c>
      <c r="K2433" s="1">
        <v>242</v>
      </c>
      <c r="L2433" s="1" t="s">
        <v>37</v>
      </c>
      <c r="M2433" s="1" t="s">
        <v>41</v>
      </c>
      <c r="N2433" s="1" t="str">
        <f t="shared" si="74"/>
        <v>Higher</v>
      </c>
      <c r="O2433" s="1" t="str">
        <f t="shared" si="75"/>
        <v>Pre-Senior | High Spender | Higher</v>
      </c>
    </row>
    <row r="2434" spans="1:15" x14ac:dyDescent="0.25">
      <c r="A2434" s="1" t="s">
        <v>2464</v>
      </c>
      <c r="B2434" s="1">
        <v>48</v>
      </c>
      <c r="C2434" s="1" t="str" cm="1">
        <f t="array" ref="C2434">_xlfn.IFS(OR(B2434=" ", B2434="NA",NOT(ISNUMBER(B2434))), "Unknown",B2434&lt;18,"Underage",B2434&lt;=24,"Young Adult",B2434&lt;=34,"Early Career",B2434&lt;=44,"Mid Career",B2434&lt;=54,"Mature",B2434&lt;=65,"Pre-Senior",B2434&gt;65,"Senior")</f>
        <v>Mature</v>
      </c>
      <c r="D2434" s="1" t="s">
        <v>29</v>
      </c>
      <c r="E2434" s="1" t="s">
        <v>58</v>
      </c>
      <c r="F2434" s="1">
        <v>1100000</v>
      </c>
      <c r="G2434" s="1">
        <v>62</v>
      </c>
      <c r="H2434" s="1" t="str" cm="1">
        <f t="array" ref="H2434">_xlfn.IFS( OR(G2434=" ",NOT(ISNUMBER(G2434))),"Unknown",G2434&lt;=33,"Low Spender",G2434&lt;=66,"Medium Spender",TRUE, "High Spender")</f>
        <v>Medium Spender</v>
      </c>
      <c r="I2434" s="1">
        <v>72</v>
      </c>
      <c r="J2434" s="1">
        <v>4400</v>
      </c>
      <c r="K2434" s="1">
        <v>278</v>
      </c>
      <c r="L2434" s="1" t="s">
        <v>35</v>
      </c>
      <c r="N2434" s="1" t="str">
        <f t="shared" ref="N2434:N2497" si="76">IF(OR(UPPER(TRIM(D2434))="Male",UPPER(TRIM(D2434))="Female"),"Higher","Lower")</f>
        <v>Higher</v>
      </c>
      <c r="O2434" s="1" t="str">
        <f t="shared" ref="O2434:O2497" si="77">_xlfn.TEXTJOIN(" | ", TRUE, C2434, H2434, N2434)</f>
        <v>Mature | Medium Spender | Higher</v>
      </c>
    </row>
    <row r="2435" spans="1:15" x14ac:dyDescent="0.25">
      <c r="A2435" s="1" t="s">
        <v>2465</v>
      </c>
      <c r="B2435" s="1">
        <v>64</v>
      </c>
      <c r="C2435" s="1" t="str" cm="1">
        <f t="array" ref="C2435">_xlfn.IFS(OR(B2435=" ", B2435="NA",NOT(ISNUMBER(B2435))), "Unknown",B2435&lt;18,"Underage",B2435&lt;=24,"Young Adult",B2435&lt;=34,"Early Career",B2435&lt;=44,"Mid Career",B2435&lt;=54,"Mature",B2435&lt;=65,"Pre-Senior",B2435&gt;65,"Senior")</f>
        <v>Pre-Senior</v>
      </c>
      <c r="D2435" s="1" t="s">
        <v>29</v>
      </c>
      <c r="E2435" s="1" t="s">
        <v>23</v>
      </c>
      <c r="F2435" s="1">
        <v>725000</v>
      </c>
      <c r="G2435" s="1">
        <v>5</v>
      </c>
      <c r="H2435" s="1" t="str" cm="1">
        <f t="array" ref="H2435">_xlfn.IFS( OR(G2435=" ",NOT(ISNUMBER(G2435))),"Unknown",G2435&lt;=33,"Low Spender",G2435&lt;=66,"Medium Spender",TRUE, "High Spender")</f>
        <v>Low Spender</v>
      </c>
      <c r="I2435" s="1">
        <v>48</v>
      </c>
      <c r="J2435" s="1">
        <v>3600</v>
      </c>
      <c r="K2435" s="1">
        <v>154</v>
      </c>
      <c r="L2435" s="1" t="s">
        <v>16</v>
      </c>
      <c r="M2435" s="1" t="s">
        <v>32</v>
      </c>
      <c r="N2435" s="1" t="str">
        <f t="shared" si="76"/>
        <v>Higher</v>
      </c>
      <c r="O2435" s="1" t="str">
        <f t="shared" si="77"/>
        <v>Pre-Senior | Low Spender | Higher</v>
      </c>
    </row>
    <row r="2436" spans="1:15" x14ac:dyDescent="0.25">
      <c r="A2436" s="1" t="s">
        <v>2466</v>
      </c>
      <c r="B2436" s="1">
        <v>60</v>
      </c>
      <c r="C2436" s="1" t="str" cm="1">
        <f t="array" ref="C2436">_xlfn.IFS(OR(B2436=" ", B2436="NA",NOT(ISNUMBER(B2436))), "Unknown",B2436&lt;18,"Underage",B2436&lt;=24,"Young Adult",B2436&lt;=34,"Early Career",B2436&lt;=44,"Mid Career",B2436&lt;=54,"Mature",B2436&lt;=65,"Pre-Senior",B2436&gt;65,"Senior")</f>
        <v>Pre-Senior</v>
      </c>
      <c r="D2436" s="1" t="s">
        <v>18</v>
      </c>
      <c r="E2436" s="1" t="s">
        <v>27</v>
      </c>
      <c r="F2436" s="1">
        <v>1875000</v>
      </c>
      <c r="G2436" s="1">
        <v>9</v>
      </c>
      <c r="H2436" s="1" t="str" cm="1">
        <f t="array" ref="H2436">_xlfn.IFS( OR(G2436=" ",NOT(ISNUMBER(G2436))),"Unknown",G2436&lt;=33,"Low Spender",G2436&lt;=66,"Medium Spender",TRUE, "High Spender")</f>
        <v>Low Spender</v>
      </c>
      <c r="I2436" s="1">
        <v>67</v>
      </c>
      <c r="J2436" s="1">
        <v>9600</v>
      </c>
      <c r="K2436" s="1">
        <v>160</v>
      </c>
      <c r="M2436" s="1" t="s">
        <v>30</v>
      </c>
      <c r="N2436" s="1" t="str">
        <f t="shared" si="76"/>
        <v>Higher</v>
      </c>
      <c r="O2436" s="1" t="str">
        <f t="shared" si="77"/>
        <v>Pre-Senior | Low Spender | Higher</v>
      </c>
    </row>
    <row r="2437" spans="1:15" x14ac:dyDescent="0.25">
      <c r="A2437" s="1" t="s">
        <v>2467</v>
      </c>
      <c r="B2437" s="1">
        <v>67</v>
      </c>
      <c r="C2437" s="1" t="str" cm="1">
        <f t="array" ref="C2437">_xlfn.IFS(OR(B2437=" ", B2437="NA",NOT(ISNUMBER(B2437))), "Unknown",B2437&lt;18,"Underage",B2437&lt;=24,"Young Adult",B2437&lt;=34,"Early Career",B2437&lt;=44,"Mid Career",B2437&lt;=54,"Mature",B2437&lt;=65,"Pre-Senior",B2437&gt;65,"Senior")</f>
        <v>Senior</v>
      </c>
      <c r="D2437" s="1" t="s">
        <v>12</v>
      </c>
      <c r="E2437" s="1" t="s">
        <v>19</v>
      </c>
      <c r="F2437" s="1">
        <v>1475000</v>
      </c>
      <c r="G2437" s="1">
        <v>28</v>
      </c>
      <c r="H2437" s="1" t="str" cm="1">
        <f t="array" ref="H2437">_xlfn.IFS( OR(G2437=" ",NOT(ISNUMBER(G2437))),"Unknown",G2437&lt;=33,"Low Spender",G2437&lt;=66,"Medium Spender",TRUE, "High Spender")</f>
        <v>Low Spender</v>
      </c>
      <c r="I2437" s="1">
        <v>66</v>
      </c>
      <c r="J2437" s="1">
        <v>2300</v>
      </c>
      <c r="K2437" s="1">
        <v>265</v>
      </c>
      <c r="L2437" s="1" t="s">
        <v>37</v>
      </c>
      <c r="M2437" s="1" t="s">
        <v>30</v>
      </c>
      <c r="N2437" s="1" t="str">
        <f t="shared" si="76"/>
        <v>Lower</v>
      </c>
      <c r="O2437" s="1" t="str">
        <f t="shared" si="77"/>
        <v>Senior | Low Spender | Lower</v>
      </c>
    </row>
    <row r="2438" spans="1:15" x14ac:dyDescent="0.25">
      <c r="A2438" s="1" t="s">
        <v>2468</v>
      </c>
      <c r="B2438" s="1">
        <v>40</v>
      </c>
      <c r="C2438" s="1" t="str" cm="1">
        <f t="array" ref="C2438">_xlfn.IFS(OR(B2438=" ", B2438="NA",NOT(ISNUMBER(B2438))), "Unknown",B2438&lt;18,"Underage",B2438&lt;=24,"Young Adult",B2438&lt;=34,"Early Career",B2438&lt;=44,"Mid Career",B2438&lt;=54,"Mature",B2438&lt;=65,"Pre-Senior",B2438&gt;65,"Senior")</f>
        <v>Mid Career</v>
      </c>
      <c r="D2438" s="1" t="s">
        <v>12</v>
      </c>
      <c r="E2438" s="1" t="s">
        <v>15</v>
      </c>
      <c r="F2438" s="1">
        <v>1075000</v>
      </c>
      <c r="G2438" s="1">
        <v>83</v>
      </c>
      <c r="H2438" s="1" t="str" cm="1">
        <f t="array" ref="H2438">_xlfn.IFS( OR(G2438=" ",NOT(ISNUMBER(G2438))),"Unknown",G2438&lt;=33,"Low Spender",G2438&lt;=66,"Medium Spender",TRUE, "High Spender")</f>
        <v>High Spender</v>
      </c>
      <c r="I2438" s="1">
        <v>16</v>
      </c>
      <c r="J2438" s="1">
        <v>11000</v>
      </c>
      <c r="K2438" s="1">
        <v>235</v>
      </c>
      <c r="L2438" s="1" t="s">
        <v>20</v>
      </c>
      <c r="N2438" s="1" t="str">
        <f t="shared" si="76"/>
        <v>Lower</v>
      </c>
      <c r="O2438" s="1" t="str">
        <f t="shared" si="77"/>
        <v>Mid Career | High Spender | Lower</v>
      </c>
    </row>
    <row r="2439" spans="1:15" x14ac:dyDescent="0.25">
      <c r="A2439" s="1" t="s">
        <v>2469</v>
      </c>
      <c r="B2439" s="1">
        <v>61</v>
      </c>
      <c r="C2439" s="1" t="str" cm="1">
        <f t="array" ref="C2439">_xlfn.IFS(OR(B2439=" ", B2439="NA",NOT(ISNUMBER(B2439))), "Unknown",B2439&lt;18,"Underage",B2439&lt;=24,"Young Adult",B2439&lt;=34,"Early Career",B2439&lt;=44,"Mid Career",B2439&lt;=54,"Mature",B2439&lt;=65,"Pre-Senior",B2439&gt;65,"Senior")</f>
        <v>Pre-Senior</v>
      </c>
      <c r="F2439" s="1">
        <v>1975000</v>
      </c>
      <c r="G2439" s="1">
        <v>92</v>
      </c>
      <c r="H2439" s="1" t="str" cm="1">
        <f t="array" ref="H2439">_xlfn.IFS( OR(G2439=" ",NOT(ISNUMBER(G2439))),"Unknown",G2439&lt;=33,"Low Spender",G2439&lt;=66,"Medium Spender",TRUE, "High Spender")</f>
        <v>High Spender</v>
      </c>
      <c r="I2439" s="1">
        <v>16</v>
      </c>
      <c r="J2439" s="1">
        <v>10300</v>
      </c>
      <c r="K2439" s="1">
        <v>346</v>
      </c>
      <c r="N2439" s="1" t="str">
        <f t="shared" si="76"/>
        <v>Lower</v>
      </c>
      <c r="O2439" s="1" t="str">
        <f t="shared" si="77"/>
        <v>Pre-Senior | High Spender | Lower</v>
      </c>
    </row>
    <row r="2440" spans="1:15" x14ac:dyDescent="0.25">
      <c r="A2440" s="1" t="s">
        <v>2470</v>
      </c>
      <c r="B2440" s="1">
        <v>55</v>
      </c>
      <c r="C2440" s="1" t="str" cm="1">
        <f t="array" ref="C2440">_xlfn.IFS(OR(B2440=" ", B2440="NA",NOT(ISNUMBER(B2440))), "Unknown",B2440&lt;18,"Underage",B2440&lt;=24,"Young Adult",B2440&lt;=34,"Early Career",B2440&lt;=44,"Mid Career",B2440&lt;=54,"Mature",B2440&lt;=65,"Pre-Senior",B2440&gt;65,"Senior")</f>
        <v>Pre-Senior</v>
      </c>
      <c r="D2440" s="1" t="s">
        <v>29</v>
      </c>
      <c r="E2440" s="1" t="s">
        <v>27</v>
      </c>
      <c r="G2440" s="1">
        <v>91</v>
      </c>
      <c r="H2440" s="1" t="str" cm="1">
        <f t="array" ref="H2440">_xlfn.IFS( OR(G2440=" ",NOT(ISNUMBER(G2440))),"Unknown",G2440&lt;=33,"Low Spender",G2440&lt;=66,"Medium Spender",TRUE, "High Spender")</f>
        <v>High Spender</v>
      </c>
      <c r="I2440" s="1">
        <v>31</v>
      </c>
      <c r="J2440" s="1">
        <v>4600</v>
      </c>
      <c r="K2440" s="1">
        <v>199</v>
      </c>
      <c r="N2440" s="1" t="str">
        <f t="shared" si="76"/>
        <v>Higher</v>
      </c>
      <c r="O2440" s="1" t="str">
        <f t="shared" si="77"/>
        <v>Pre-Senior | High Spender | Higher</v>
      </c>
    </row>
    <row r="2441" spans="1:15" x14ac:dyDescent="0.25">
      <c r="A2441" s="1" t="s">
        <v>2471</v>
      </c>
      <c r="B2441" s="1">
        <v>37</v>
      </c>
      <c r="C2441" s="1" t="str" cm="1">
        <f t="array" ref="C2441">_xlfn.IFS(OR(B2441=" ", B2441="NA",NOT(ISNUMBER(B2441))), "Unknown",B2441&lt;18,"Underage",B2441&lt;=24,"Young Adult",B2441&lt;=34,"Early Career",B2441&lt;=44,"Mid Career",B2441&lt;=54,"Mature",B2441&lt;=65,"Pre-Senior",B2441&gt;65,"Senior")</f>
        <v>Mid Career</v>
      </c>
      <c r="D2441" s="1" t="s">
        <v>29</v>
      </c>
      <c r="E2441" s="1" t="s">
        <v>49</v>
      </c>
      <c r="F2441" s="1">
        <v>925000</v>
      </c>
      <c r="G2441" s="1">
        <v>77</v>
      </c>
      <c r="H2441" s="1" t="str" cm="1">
        <f t="array" ref="H2441">_xlfn.IFS( OR(G2441=" ",NOT(ISNUMBER(G2441))),"Unknown",G2441&lt;=33,"Low Spender",G2441&lt;=66,"Medium Spender",TRUE, "High Spender")</f>
        <v>High Spender</v>
      </c>
      <c r="I2441" s="1">
        <v>58</v>
      </c>
      <c r="J2441" s="1">
        <v>8900</v>
      </c>
      <c r="K2441" s="1">
        <v>33</v>
      </c>
      <c r="L2441" s="1" t="s">
        <v>37</v>
      </c>
      <c r="N2441" s="1" t="str">
        <f t="shared" si="76"/>
        <v>Higher</v>
      </c>
      <c r="O2441" s="1" t="str">
        <f t="shared" si="77"/>
        <v>Mid Career | High Spender | Higher</v>
      </c>
    </row>
    <row r="2442" spans="1:15" x14ac:dyDescent="0.25">
      <c r="A2442" s="1" t="s">
        <v>2472</v>
      </c>
      <c r="B2442" s="1">
        <v>40</v>
      </c>
      <c r="C2442" s="1" t="str" cm="1">
        <f t="array" ref="C2442">_xlfn.IFS(OR(B2442=" ", B2442="NA",NOT(ISNUMBER(B2442))), "Unknown",B2442&lt;18,"Underage",B2442&lt;=24,"Young Adult",B2442&lt;=34,"Early Career",B2442&lt;=44,"Mid Career",B2442&lt;=54,"Mature",B2442&lt;=65,"Pre-Senior",B2442&gt;65,"Senior")</f>
        <v>Mid Career</v>
      </c>
      <c r="D2442" s="1" t="s">
        <v>18</v>
      </c>
      <c r="E2442" s="1" t="s">
        <v>23</v>
      </c>
      <c r="F2442" s="1">
        <v>1250000</v>
      </c>
      <c r="G2442" s="1">
        <v>38</v>
      </c>
      <c r="H2442" s="1" t="str" cm="1">
        <f t="array" ref="H2442">_xlfn.IFS( OR(G2442=" ",NOT(ISNUMBER(G2442))),"Unknown",G2442&lt;=33,"Low Spender",G2442&lt;=66,"Medium Spender",TRUE, "High Spender")</f>
        <v>Medium Spender</v>
      </c>
      <c r="I2442" s="1">
        <v>28</v>
      </c>
      <c r="J2442" s="1">
        <v>9900</v>
      </c>
      <c r="K2442" s="1">
        <v>89</v>
      </c>
      <c r="L2442" s="1" t="s">
        <v>37</v>
      </c>
      <c r="M2442" s="1" t="s">
        <v>32</v>
      </c>
      <c r="N2442" s="1" t="str">
        <f t="shared" si="76"/>
        <v>Higher</v>
      </c>
      <c r="O2442" s="1" t="str">
        <f t="shared" si="77"/>
        <v>Mid Career | Medium Spender | Higher</v>
      </c>
    </row>
    <row r="2443" spans="1:15" x14ac:dyDescent="0.25">
      <c r="A2443" s="1" t="s">
        <v>2473</v>
      </c>
      <c r="B2443" s="1">
        <v>62</v>
      </c>
      <c r="C2443" s="1" t="str" cm="1">
        <f t="array" ref="C2443">_xlfn.IFS(OR(B2443=" ", B2443="NA",NOT(ISNUMBER(B2443))), "Unknown",B2443&lt;18,"Underage",B2443&lt;=24,"Young Adult",B2443&lt;=34,"Early Career",B2443&lt;=44,"Mid Career",B2443&lt;=54,"Mature",B2443&lt;=65,"Pre-Senior",B2443&gt;65,"Senior")</f>
        <v>Pre-Senior</v>
      </c>
      <c r="D2443" s="1" t="s">
        <v>18</v>
      </c>
      <c r="E2443" s="1" t="s">
        <v>34</v>
      </c>
      <c r="F2443" s="1">
        <v>1650000</v>
      </c>
      <c r="G2443" s="1">
        <v>43</v>
      </c>
      <c r="H2443" s="1" t="str" cm="1">
        <f t="array" ref="H2443">_xlfn.IFS( OR(G2443=" ",NOT(ISNUMBER(G2443))),"Unknown",G2443&lt;=33,"Low Spender",G2443&lt;=66,"Medium Spender",TRUE, "High Spender")</f>
        <v>Medium Spender</v>
      </c>
      <c r="I2443" s="1">
        <v>4</v>
      </c>
      <c r="J2443" s="1">
        <v>400</v>
      </c>
      <c r="K2443" s="1">
        <v>95</v>
      </c>
      <c r="M2443" s="1" t="s">
        <v>21</v>
      </c>
      <c r="N2443" s="1" t="str">
        <f t="shared" si="76"/>
        <v>Higher</v>
      </c>
      <c r="O2443" s="1" t="str">
        <f t="shared" si="77"/>
        <v>Pre-Senior | Medium Spender | Higher</v>
      </c>
    </row>
    <row r="2444" spans="1:15" x14ac:dyDescent="0.25">
      <c r="A2444" s="1" t="s">
        <v>2474</v>
      </c>
      <c r="B2444" s="1">
        <v>69</v>
      </c>
      <c r="C2444" s="1" t="str" cm="1">
        <f t="array" ref="C2444">_xlfn.IFS(OR(B2444=" ", B2444="NA",NOT(ISNUMBER(B2444))), "Unknown",B2444&lt;18,"Underage",B2444&lt;=24,"Young Adult",B2444&lt;=34,"Early Career",B2444&lt;=44,"Mid Career",B2444&lt;=54,"Mature",B2444&lt;=65,"Pre-Senior",B2444&gt;65,"Senior")</f>
        <v>Senior</v>
      </c>
      <c r="D2444" s="1" t="s">
        <v>12</v>
      </c>
      <c r="E2444" s="1" t="s">
        <v>15</v>
      </c>
      <c r="F2444" s="1">
        <v>1875000</v>
      </c>
      <c r="G2444" s="1">
        <v>21</v>
      </c>
      <c r="H2444" s="1" t="str" cm="1">
        <f t="array" ref="H2444">_xlfn.IFS( OR(G2444=" ",NOT(ISNUMBER(G2444))),"Unknown",G2444&lt;=33,"Low Spender",G2444&lt;=66,"Medium Spender",TRUE, "High Spender")</f>
        <v>Low Spender</v>
      </c>
      <c r="I2444" s="1">
        <v>10</v>
      </c>
      <c r="J2444" s="1">
        <v>9300</v>
      </c>
      <c r="K2444" s="1">
        <v>221</v>
      </c>
      <c r="N2444" s="1" t="str">
        <f t="shared" si="76"/>
        <v>Lower</v>
      </c>
      <c r="O2444" s="1" t="str">
        <f t="shared" si="77"/>
        <v>Senior | Low Spender | Lower</v>
      </c>
    </row>
    <row r="2445" spans="1:15" x14ac:dyDescent="0.25">
      <c r="A2445" s="1" t="s">
        <v>2475</v>
      </c>
      <c r="B2445" s="1">
        <v>33</v>
      </c>
      <c r="C2445" s="1" t="str" cm="1">
        <f t="array" ref="C2445">_xlfn.IFS(OR(B2445=" ", B2445="NA",NOT(ISNUMBER(B2445))), "Unknown",B2445&lt;18,"Underage",B2445&lt;=24,"Young Adult",B2445&lt;=34,"Early Career",B2445&lt;=44,"Mid Career",B2445&lt;=54,"Mature",B2445&lt;=65,"Pre-Senior",B2445&gt;65,"Senior")</f>
        <v>Early Career</v>
      </c>
      <c r="D2445" s="1" t="s">
        <v>29</v>
      </c>
      <c r="E2445" s="1" t="s">
        <v>58</v>
      </c>
      <c r="F2445" s="1">
        <v>1450000</v>
      </c>
      <c r="G2445" s="1">
        <v>91</v>
      </c>
      <c r="H2445" s="1" t="str" cm="1">
        <f t="array" ref="H2445">_xlfn.IFS( OR(G2445=" ",NOT(ISNUMBER(G2445))),"Unknown",G2445&lt;=33,"Low Spender",G2445&lt;=66,"Medium Spender",TRUE, "High Spender")</f>
        <v>High Spender</v>
      </c>
      <c r="I2445" s="1">
        <v>51</v>
      </c>
      <c r="J2445" s="1">
        <v>11400</v>
      </c>
      <c r="K2445" s="1">
        <v>69</v>
      </c>
      <c r="L2445" s="1" t="s">
        <v>35</v>
      </c>
      <c r="M2445" s="1" t="s">
        <v>21</v>
      </c>
      <c r="N2445" s="1" t="str">
        <f t="shared" si="76"/>
        <v>Higher</v>
      </c>
      <c r="O2445" s="1" t="str">
        <f t="shared" si="77"/>
        <v>Early Career | High Spender | Higher</v>
      </c>
    </row>
    <row r="2446" spans="1:15" x14ac:dyDescent="0.25">
      <c r="A2446" s="1" t="s">
        <v>2476</v>
      </c>
      <c r="B2446" s="1">
        <v>67</v>
      </c>
      <c r="C2446" s="1" t="str" cm="1">
        <f t="array" ref="C2446">_xlfn.IFS(OR(B2446=" ", B2446="NA",NOT(ISNUMBER(B2446))), "Unknown",B2446&lt;18,"Underage",B2446&lt;=24,"Young Adult",B2446&lt;=34,"Early Career",B2446&lt;=44,"Mid Career",B2446&lt;=54,"Mature",B2446&lt;=65,"Pre-Senior",B2446&gt;65,"Senior")</f>
        <v>Senior</v>
      </c>
      <c r="D2446" s="1" t="s">
        <v>29</v>
      </c>
      <c r="E2446" s="1" t="s">
        <v>23</v>
      </c>
      <c r="F2446" s="1">
        <v>1400000</v>
      </c>
      <c r="G2446" s="1">
        <v>62</v>
      </c>
      <c r="H2446" s="1" t="str" cm="1">
        <f t="array" ref="H2446">_xlfn.IFS( OR(G2446=" ",NOT(ISNUMBER(G2446))),"Unknown",G2446&lt;=33,"Low Spender",G2446&lt;=66,"Medium Spender",TRUE, "High Spender")</f>
        <v>Medium Spender</v>
      </c>
      <c r="I2446" s="1">
        <v>18</v>
      </c>
      <c r="J2446" s="1">
        <v>6100</v>
      </c>
      <c r="K2446" s="1">
        <v>294</v>
      </c>
      <c r="L2446" s="1" t="s">
        <v>16</v>
      </c>
      <c r="M2446" s="1" t="s">
        <v>41</v>
      </c>
      <c r="N2446" s="1" t="str">
        <f t="shared" si="76"/>
        <v>Higher</v>
      </c>
      <c r="O2446" s="1" t="str">
        <f t="shared" si="77"/>
        <v>Senior | Medium Spender | Higher</v>
      </c>
    </row>
    <row r="2447" spans="1:15" x14ac:dyDescent="0.25">
      <c r="A2447" s="1" t="s">
        <v>2477</v>
      </c>
      <c r="B2447" s="1">
        <v>59</v>
      </c>
      <c r="C2447" s="1" t="str" cm="1">
        <f t="array" ref="C2447">_xlfn.IFS(OR(B2447=" ", B2447="NA",NOT(ISNUMBER(B2447))), "Unknown",B2447&lt;18,"Underage",B2447&lt;=24,"Young Adult",B2447&lt;=34,"Early Career",B2447&lt;=44,"Mid Career",B2447&lt;=54,"Mature",B2447&lt;=65,"Pre-Senior",B2447&gt;65,"Senior")</f>
        <v>Pre-Senior</v>
      </c>
      <c r="D2447" s="1" t="s">
        <v>18</v>
      </c>
      <c r="E2447" s="1" t="s">
        <v>13</v>
      </c>
      <c r="G2447" s="1">
        <v>46</v>
      </c>
      <c r="H2447" s="1" t="str" cm="1">
        <f t="array" ref="H2447">_xlfn.IFS( OR(G2447=" ",NOT(ISNUMBER(G2447))),"Unknown",G2447&lt;=33,"Low Spender",G2447&lt;=66,"Medium Spender",TRUE, "High Spender")</f>
        <v>Medium Spender</v>
      </c>
      <c r="I2447" s="1">
        <v>47</v>
      </c>
      <c r="J2447" s="1">
        <v>8800</v>
      </c>
      <c r="K2447" s="1">
        <v>237</v>
      </c>
      <c r="L2447" s="1" t="s">
        <v>35</v>
      </c>
      <c r="M2447" s="1" t="s">
        <v>32</v>
      </c>
      <c r="N2447" s="1" t="str">
        <f t="shared" si="76"/>
        <v>Higher</v>
      </c>
      <c r="O2447" s="1" t="str">
        <f t="shared" si="77"/>
        <v>Pre-Senior | Medium Spender | Higher</v>
      </c>
    </row>
    <row r="2448" spans="1:15" x14ac:dyDescent="0.25">
      <c r="A2448" s="1" t="s">
        <v>2478</v>
      </c>
      <c r="B2448" s="1" t="s">
        <v>73</v>
      </c>
      <c r="C2448" s="1" t="str" cm="1">
        <f t="array" ref="C2448">_xlfn.IFS(OR(B2448=" ", B2448="NA",NOT(ISNUMBER(B2448))), "Unknown",B2448&lt;18,"Underage",B2448&lt;=24,"Young Adult",B2448&lt;=34,"Early Career",B2448&lt;=44,"Mid Career",B2448&lt;=54,"Mature",B2448&lt;=65,"Pre-Senior",B2448&gt;65,"Senior")</f>
        <v>Unknown</v>
      </c>
      <c r="D2448" s="1" t="s">
        <v>29</v>
      </c>
      <c r="F2448" s="1">
        <v>1525000</v>
      </c>
      <c r="G2448" s="1">
        <v>70</v>
      </c>
      <c r="H2448" s="1" t="str" cm="1">
        <f t="array" ref="H2448">_xlfn.IFS( OR(G2448=" ",NOT(ISNUMBER(G2448))),"Unknown",G2448&lt;=33,"Low Spender",G2448&lt;=66,"Medium Spender",TRUE, "High Spender")</f>
        <v>High Spender</v>
      </c>
      <c r="I2448" s="1">
        <v>32</v>
      </c>
      <c r="J2448" s="1">
        <v>10000</v>
      </c>
      <c r="K2448" s="1">
        <v>160</v>
      </c>
      <c r="L2448" s="1" t="s">
        <v>20</v>
      </c>
      <c r="N2448" s="1" t="str">
        <f t="shared" si="76"/>
        <v>Higher</v>
      </c>
      <c r="O2448" s="1" t="str">
        <f t="shared" si="77"/>
        <v>Unknown | High Spender | Higher</v>
      </c>
    </row>
    <row r="2449" spans="1:15" x14ac:dyDescent="0.25">
      <c r="A2449" s="1" t="s">
        <v>2479</v>
      </c>
      <c r="B2449" s="1">
        <v>25</v>
      </c>
      <c r="C2449" s="1" t="str" cm="1">
        <f t="array" ref="C2449">_xlfn.IFS(OR(B2449=" ", B2449="NA",NOT(ISNUMBER(B2449))), "Unknown",B2449&lt;18,"Underage",B2449&lt;=24,"Young Adult",B2449&lt;=34,"Early Career",B2449&lt;=44,"Mid Career",B2449&lt;=54,"Mature",B2449&lt;=65,"Pre-Senior",B2449&gt;65,"Senior")</f>
        <v>Early Career</v>
      </c>
      <c r="E2449" s="1" t="s">
        <v>13</v>
      </c>
      <c r="F2449" s="1">
        <v>800000</v>
      </c>
      <c r="G2449" s="1">
        <v>38</v>
      </c>
      <c r="H2449" s="1" t="str" cm="1">
        <f t="array" ref="H2449">_xlfn.IFS( OR(G2449=" ",NOT(ISNUMBER(G2449))),"Unknown",G2449&lt;=33,"Low Spender",G2449&lt;=66,"Medium Spender",TRUE, "High Spender")</f>
        <v>Medium Spender</v>
      </c>
      <c r="I2449" s="1">
        <v>30</v>
      </c>
      <c r="J2449" s="1">
        <v>1800</v>
      </c>
      <c r="K2449" s="1">
        <v>320</v>
      </c>
      <c r="M2449" s="1" t="s">
        <v>30</v>
      </c>
      <c r="N2449" s="1" t="str">
        <f t="shared" si="76"/>
        <v>Lower</v>
      </c>
      <c r="O2449" s="1" t="str">
        <f t="shared" si="77"/>
        <v>Early Career | Medium Spender | Lower</v>
      </c>
    </row>
    <row r="2450" spans="1:15" x14ac:dyDescent="0.25">
      <c r="A2450" s="1" t="s">
        <v>2480</v>
      </c>
      <c r="B2450" s="1">
        <v>67</v>
      </c>
      <c r="C2450" s="1" t="str" cm="1">
        <f t="array" ref="C2450">_xlfn.IFS(OR(B2450=" ", B2450="NA",NOT(ISNUMBER(B2450))), "Unknown",B2450&lt;18,"Underage",B2450&lt;=24,"Young Adult",B2450&lt;=34,"Early Career",B2450&lt;=44,"Mid Career",B2450&lt;=54,"Mature",B2450&lt;=65,"Pre-Senior",B2450&gt;65,"Senior")</f>
        <v>Senior</v>
      </c>
      <c r="D2450" s="1" t="s">
        <v>29</v>
      </c>
      <c r="E2450" s="1" t="s">
        <v>13</v>
      </c>
      <c r="F2450" s="1">
        <v>1075000</v>
      </c>
      <c r="G2450" s="1">
        <v>49</v>
      </c>
      <c r="H2450" s="1" t="str" cm="1">
        <f t="array" ref="H2450">_xlfn.IFS( OR(G2450=" ",NOT(ISNUMBER(G2450))),"Unknown",G2450&lt;=33,"Low Spender",G2450&lt;=66,"Medium Spender",TRUE, "High Spender")</f>
        <v>Medium Spender</v>
      </c>
      <c r="I2450" s="1">
        <v>36</v>
      </c>
      <c r="J2450" s="1">
        <v>2200</v>
      </c>
      <c r="K2450" s="1">
        <v>328</v>
      </c>
      <c r="L2450" s="1" t="s">
        <v>37</v>
      </c>
      <c r="N2450" s="1" t="str">
        <f t="shared" si="76"/>
        <v>Higher</v>
      </c>
      <c r="O2450" s="1" t="str">
        <f t="shared" si="77"/>
        <v>Senior | Medium Spender | Higher</v>
      </c>
    </row>
    <row r="2451" spans="1:15" x14ac:dyDescent="0.25">
      <c r="A2451" s="1" t="s">
        <v>2481</v>
      </c>
      <c r="B2451" s="1">
        <v>38</v>
      </c>
      <c r="C2451" s="1" t="str" cm="1">
        <f t="array" ref="C2451">_xlfn.IFS(OR(B2451=" ", B2451="NA",NOT(ISNUMBER(B2451))), "Unknown",B2451&lt;18,"Underage",B2451&lt;=24,"Young Adult",B2451&lt;=34,"Early Career",B2451&lt;=44,"Mid Career",B2451&lt;=54,"Mature",B2451&lt;=65,"Pre-Senior",B2451&gt;65,"Senior")</f>
        <v>Mid Career</v>
      </c>
      <c r="E2451" s="1" t="s">
        <v>49</v>
      </c>
      <c r="F2451" s="1">
        <v>1675000</v>
      </c>
      <c r="G2451" s="1">
        <v>75</v>
      </c>
      <c r="H2451" s="1" t="str" cm="1">
        <f t="array" ref="H2451">_xlfn.IFS( OR(G2451=" ",NOT(ISNUMBER(G2451))),"Unknown",G2451&lt;=33,"Low Spender",G2451&lt;=66,"Medium Spender",TRUE, "High Spender")</f>
        <v>High Spender</v>
      </c>
      <c r="I2451" s="1">
        <v>9</v>
      </c>
      <c r="J2451" s="1">
        <v>2800</v>
      </c>
      <c r="K2451" s="1">
        <v>276</v>
      </c>
      <c r="L2451" s="1" t="s">
        <v>35</v>
      </c>
      <c r="M2451" s="1" t="s">
        <v>41</v>
      </c>
      <c r="N2451" s="1" t="str">
        <f t="shared" si="76"/>
        <v>Lower</v>
      </c>
      <c r="O2451" s="1" t="str">
        <f t="shared" si="77"/>
        <v>Mid Career | High Spender | Lower</v>
      </c>
    </row>
    <row r="2452" spans="1:15" x14ac:dyDescent="0.25">
      <c r="A2452" s="1" t="s">
        <v>2482</v>
      </c>
      <c r="B2452" s="1">
        <v>18</v>
      </c>
      <c r="C2452" s="1" t="str" cm="1">
        <f t="array" ref="C2452">_xlfn.IFS(OR(B2452=" ", B2452="NA",NOT(ISNUMBER(B2452))), "Unknown",B2452&lt;18,"Underage",B2452&lt;=24,"Young Adult",B2452&lt;=34,"Early Career",B2452&lt;=44,"Mid Career",B2452&lt;=54,"Mature",B2452&lt;=65,"Pre-Senior",B2452&gt;65,"Senior")</f>
        <v>Young Adult</v>
      </c>
      <c r="D2452" s="1" t="s">
        <v>18</v>
      </c>
      <c r="E2452" s="1" t="s">
        <v>19</v>
      </c>
      <c r="F2452" s="1">
        <v>575000</v>
      </c>
      <c r="G2452" s="1">
        <v>81</v>
      </c>
      <c r="H2452" s="1" t="str" cm="1">
        <f t="array" ref="H2452">_xlfn.IFS( OR(G2452=" ",NOT(ISNUMBER(G2452))),"Unknown",G2452&lt;=33,"Low Spender",G2452&lt;=66,"Medium Spender",TRUE, "High Spender")</f>
        <v>High Spender</v>
      </c>
      <c r="I2452" s="1">
        <v>36</v>
      </c>
      <c r="J2452" s="1">
        <v>1800</v>
      </c>
      <c r="K2452" s="1">
        <v>290</v>
      </c>
      <c r="L2452" s="1" t="s">
        <v>16</v>
      </c>
      <c r="M2452" s="1" t="s">
        <v>30</v>
      </c>
      <c r="N2452" s="1" t="str">
        <f t="shared" si="76"/>
        <v>Higher</v>
      </c>
      <c r="O2452" s="1" t="str">
        <f t="shared" si="77"/>
        <v>Young Adult | High Spender | Higher</v>
      </c>
    </row>
    <row r="2453" spans="1:15" x14ac:dyDescent="0.25">
      <c r="A2453" s="1" t="s">
        <v>2483</v>
      </c>
      <c r="B2453" s="1" t="s">
        <v>73</v>
      </c>
      <c r="C2453" s="1" t="str" cm="1">
        <f t="array" ref="C2453">_xlfn.IFS(OR(B2453=" ", B2453="NA",NOT(ISNUMBER(B2453))), "Unknown",B2453&lt;18,"Underage",B2453&lt;=24,"Young Adult",B2453&lt;=34,"Early Career",B2453&lt;=44,"Mid Career",B2453&lt;=54,"Mature",B2453&lt;=65,"Pre-Senior",B2453&gt;65,"Senior")</f>
        <v>Unknown</v>
      </c>
      <c r="E2453" s="1" t="s">
        <v>34</v>
      </c>
      <c r="F2453" s="1">
        <v>1725000</v>
      </c>
      <c r="G2453" s="1">
        <v>39</v>
      </c>
      <c r="H2453" s="1" t="str" cm="1">
        <f t="array" ref="H2453">_xlfn.IFS( OR(G2453=" ",NOT(ISNUMBER(G2453))),"Unknown",G2453&lt;=33,"Low Spender",G2453&lt;=66,"Medium Spender",TRUE, "High Spender")</f>
        <v>Medium Spender</v>
      </c>
      <c r="I2453" s="1">
        <v>29</v>
      </c>
      <c r="J2453" s="1">
        <v>7200</v>
      </c>
      <c r="K2453" s="1">
        <v>42</v>
      </c>
      <c r="L2453" s="1" t="s">
        <v>20</v>
      </c>
      <c r="N2453" s="1" t="str">
        <f t="shared" si="76"/>
        <v>Lower</v>
      </c>
      <c r="O2453" s="1" t="str">
        <f t="shared" si="77"/>
        <v>Unknown | Medium Spender | Lower</v>
      </c>
    </row>
    <row r="2454" spans="1:15" x14ac:dyDescent="0.25">
      <c r="A2454" s="1" t="s">
        <v>2484</v>
      </c>
      <c r="B2454" s="1">
        <v>25</v>
      </c>
      <c r="C2454" s="1" t="str" cm="1">
        <f t="array" ref="C2454">_xlfn.IFS(OR(B2454=" ", B2454="NA",NOT(ISNUMBER(B2454))), "Unknown",B2454&lt;18,"Underage",B2454&lt;=24,"Young Adult",B2454&lt;=34,"Early Career",B2454&lt;=44,"Mid Career",B2454&lt;=54,"Mature",B2454&lt;=65,"Pre-Senior",B2454&gt;65,"Senior")</f>
        <v>Early Career</v>
      </c>
      <c r="D2454" s="1" t="s">
        <v>18</v>
      </c>
      <c r="E2454" s="1" t="s">
        <v>15</v>
      </c>
      <c r="F2454" s="1" t="s">
        <v>25</v>
      </c>
      <c r="G2454" s="1">
        <v>71</v>
      </c>
      <c r="H2454" s="1" t="str" cm="1">
        <f t="array" ref="H2454">_xlfn.IFS( OR(G2454=" ",NOT(ISNUMBER(G2454))),"Unknown",G2454&lt;=33,"Low Spender",G2454&lt;=66,"Medium Spender",TRUE, "High Spender")</f>
        <v>High Spender</v>
      </c>
      <c r="I2454" s="1">
        <v>16</v>
      </c>
      <c r="J2454" s="1">
        <v>11100</v>
      </c>
      <c r="K2454" s="1">
        <v>66</v>
      </c>
      <c r="L2454" s="1" t="s">
        <v>35</v>
      </c>
      <c r="M2454" s="1" t="s">
        <v>30</v>
      </c>
      <c r="N2454" s="1" t="str">
        <f t="shared" si="76"/>
        <v>Higher</v>
      </c>
      <c r="O2454" s="1" t="str">
        <f t="shared" si="77"/>
        <v>Early Career | High Spender | Higher</v>
      </c>
    </row>
    <row r="2455" spans="1:15" x14ac:dyDescent="0.25">
      <c r="A2455" s="1" t="s">
        <v>2485</v>
      </c>
      <c r="B2455" s="1">
        <v>46</v>
      </c>
      <c r="C2455" s="1" t="str" cm="1">
        <f t="array" ref="C2455">_xlfn.IFS(OR(B2455=" ", B2455="NA",NOT(ISNUMBER(B2455))), "Unknown",B2455&lt;18,"Underage",B2455&lt;=24,"Young Adult",B2455&lt;=34,"Early Career",B2455&lt;=44,"Mid Career",B2455&lt;=54,"Mature",B2455&lt;=65,"Pre-Senior",B2455&gt;65,"Senior")</f>
        <v>Mature</v>
      </c>
      <c r="D2455" s="1" t="s">
        <v>12</v>
      </c>
      <c r="E2455" s="1" t="s">
        <v>19</v>
      </c>
      <c r="F2455" s="1">
        <v>875000</v>
      </c>
      <c r="G2455" s="1">
        <v>30</v>
      </c>
      <c r="H2455" s="1" t="str" cm="1">
        <f t="array" ref="H2455">_xlfn.IFS( OR(G2455=" ",NOT(ISNUMBER(G2455))),"Unknown",G2455&lt;=33,"Low Spender",G2455&lt;=66,"Medium Spender",TRUE, "High Spender")</f>
        <v>Low Spender</v>
      </c>
      <c r="I2455" s="1">
        <v>21</v>
      </c>
      <c r="J2455" s="1">
        <v>11000</v>
      </c>
      <c r="K2455" s="1">
        <v>21</v>
      </c>
      <c r="L2455" s="1" t="s">
        <v>37</v>
      </c>
      <c r="N2455" s="1" t="str">
        <f t="shared" si="76"/>
        <v>Lower</v>
      </c>
      <c r="O2455" s="1" t="str">
        <f t="shared" si="77"/>
        <v>Mature | Low Spender | Lower</v>
      </c>
    </row>
    <row r="2456" spans="1:15" x14ac:dyDescent="0.25">
      <c r="A2456" s="1" t="s">
        <v>2486</v>
      </c>
      <c r="B2456" s="1">
        <v>49</v>
      </c>
      <c r="C2456" s="1" t="str" cm="1">
        <f t="array" ref="C2456">_xlfn.IFS(OR(B2456=" ", B2456="NA",NOT(ISNUMBER(B2456))), "Unknown",B2456&lt;18,"Underage",B2456&lt;=24,"Young Adult",B2456&lt;=34,"Early Career",B2456&lt;=44,"Mid Career",B2456&lt;=54,"Mature",B2456&lt;=65,"Pre-Senior",B2456&gt;65,"Senior")</f>
        <v>Mature</v>
      </c>
      <c r="E2456" s="1" t="s">
        <v>23</v>
      </c>
      <c r="F2456" s="1">
        <v>1350000</v>
      </c>
      <c r="G2456" s="1">
        <v>21</v>
      </c>
      <c r="H2456" s="1" t="str" cm="1">
        <f t="array" ref="H2456">_xlfn.IFS( OR(G2456=" ",NOT(ISNUMBER(G2456))),"Unknown",G2456&lt;=33,"Low Spender",G2456&lt;=66,"Medium Spender",TRUE, "High Spender")</f>
        <v>Low Spender</v>
      </c>
      <c r="I2456" s="1">
        <v>64</v>
      </c>
      <c r="J2456" s="1">
        <v>2500</v>
      </c>
      <c r="K2456" s="1">
        <v>335</v>
      </c>
      <c r="L2456" s="1" t="s">
        <v>16</v>
      </c>
      <c r="M2456" s="1" t="s">
        <v>30</v>
      </c>
      <c r="N2456" s="1" t="str">
        <f t="shared" si="76"/>
        <v>Lower</v>
      </c>
      <c r="O2456" s="1" t="str">
        <f t="shared" si="77"/>
        <v>Mature | Low Spender | Lower</v>
      </c>
    </row>
    <row r="2457" spans="1:15" x14ac:dyDescent="0.25">
      <c r="A2457" s="1" t="s">
        <v>2487</v>
      </c>
      <c r="B2457" s="1">
        <v>55</v>
      </c>
      <c r="C2457" s="1" t="str" cm="1">
        <f t="array" ref="C2457">_xlfn.IFS(OR(B2457=" ", B2457="NA",NOT(ISNUMBER(B2457))), "Unknown",B2457&lt;18,"Underage",B2457&lt;=24,"Young Adult",B2457&lt;=34,"Early Career",B2457&lt;=44,"Mid Career",B2457&lt;=54,"Mature",B2457&lt;=65,"Pre-Senior",B2457&gt;65,"Senior")</f>
        <v>Pre-Senior</v>
      </c>
      <c r="D2457" s="1" t="s">
        <v>29</v>
      </c>
      <c r="E2457" s="1" t="s">
        <v>13</v>
      </c>
      <c r="F2457" s="1">
        <v>1150000</v>
      </c>
      <c r="G2457" s="1">
        <v>1</v>
      </c>
      <c r="H2457" s="1" t="str" cm="1">
        <f t="array" ref="H2457">_xlfn.IFS( OR(G2457=" ",NOT(ISNUMBER(G2457))),"Unknown",G2457&lt;=33,"Low Spender",G2457&lt;=66,"Medium Spender",TRUE, "High Spender")</f>
        <v>Low Spender</v>
      </c>
      <c r="I2457" s="1">
        <v>66</v>
      </c>
      <c r="J2457" s="1">
        <v>4400</v>
      </c>
      <c r="K2457" s="1">
        <v>70</v>
      </c>
      <c r="L2457" s="1" t="s">
        <v>37</v>
      </c>
      <c r="N2457" s="1" t="str">
        <f t="shared" si="76"/>
        <v>Higher</v>
      </c>
      <c r="O2457" s="1" t="str">
        <f t="shared" si="77"/>
        <v>Pre-Senior | Low Spender | Higher</v>
      </c>
    </row>
    <row r="2458" spans="1:15" x14ac:dyDescent="0.25">
      <c r="A2458" s="1" t="s">
        <v>2488</v>
      </c>
      <c r="B2458" s="1">
        <v>22</v>
      </c>
      <c r="C2458" s="1" t="str" cm="1">
        <f t="array" ref="C2458">_xlfn.IFS(OR(B2458=" ", B2458="NA",NOT(ISNUMBER(B2458))), "Unknown",B2458&lt;18,"Underage",B2458&lt;=24,"Young Adult",B2458&lt;=34,"Early Career",B2458&lt;=44,"Mid Career",B2458&lt;=54,"Mature",B2458&lt;=65,"Pre-Senior",B2458&gt;65,"Senior")</f>
        <v>Young Adult</v>
      </c>
      <c r="D2458" s="1" t="s">
        <v>12</v>
      </c>
      <c r="E2458" s="1" t="s">
        <v>49</v>
      </c>
      <c r="F2458" s="1">
        <v>450000</v>
      </c>
      <c r="G2458" s="1">
        <v>89</v>
      </c>
      <c r="H2458" s="1" t="str" cm="1">
        <f t="array" ref="H2458">_xlfn.IFS( OR(G2458=" ",NOT(ISNUMBER(G2458))),"Unknown",G2458&lt;=33,"Low Spender",G2458&lt;=66,"Medium Spender",TRUE, "High Spender")</f>
        <v>High Spender</v>
      </c>
      <c r="I2458" s="1">
        <v>59</v>
      </c>
      <c r="J2458" s="1">
        <v>3900</v>
      </c>
      <c r="K2458" s="1">
        <v>261</v>
      </c>
      <c r="L2458" s="1" t="s">
        <v>37</v>
      </c>
      <c r="M2458" s="1" t="s">
        <v>30</v>
      </c>
      <c r="N2458" s="1" t="str">
        <f t="shared" si="76"/>
        <v>Lower</v>
      </c>
      <c r="O2458" s="1" t="str">
        <f t="shared" si="77"/>
        <v>Young Adult | High Spender | Lower</v>
      </c>
    </row>
    <row r="2459" spans="1:15" x14ac:dyDescent="0.25">
      <c r="A2459" s="1" t="s">
        <v>2489</v>
      </c>
      <c r="B2459" s="1">
        <v>64</v>
      </c>
      <c r="C2459" s="1" t="str" cm="1">
        <f t="array" ref="C2459">_xlfn.IFS(OR(B2459=" ", B2459="NA",NOT(ISNUMBER(B2459))), "Unknown",B2459&lt;18,"Underage",B2459&lt;=24,"Young Adult",B2459&lt;=34,"Early Career",B2459&lt;=44,"Mid Career",B2459&lt;=54,"Mature",B2459&lt;=65,"Pre-Senior",B2459&gt;65,"Senior")</f>
        <v>Pre-Senior</v>
      </c>
      <c r="D2459" s="1" t="s">
        <v>29</v>
      </c>
      <c r="E2459" s="1" t="s">
        <v>23</v>
      </c>
      <c r="F2459" s="1">
        <v>975000</v>
      </c>
      <c r="G2459" s="1">
        <v>32</v>
      </c>
      <c r="H2459" s="1" t="str" cm="1">
        <f t="array" ref="H2459">_xlfn.IFS( OR(G2459=" ",NOT(ISNUMBER(G2459))),"Unknown",G2459&lt;=33,"Low Spender",G2459&lt;=66,"Medium Spender",TRUE, "High Spender")</f>
        <v>Low Spender</v>
      </c>
      <c r="I2459" s="1">
        <v>28</v>
      </c>
      <c r="J2459" s="1">
        <v>7400</v>
      </c>
      <c r="K2459" s="1">
        <v>246</v>
      </c>
      <c r="L2459" s="1" t="s">
        <v>20</v>
      </c>
      <c r="M2459" s="1" t="s">
        <v>32</v>
      </c>
      <c r="N2459" s="1" t="str">
        <f t="shared" si="76"/>
        <v>Higher</v>
      </c>
      <c r="O2459" s="1" t="str">
        <f t="shared" si="77"/>
        <v>Pre-Senior | Low Spender | Higher</v>
      </c>
    </row>
    <row r="2460" spans="1:15" x14ac:dyDescent="0.25">
      <c r="A2460" s="1" t="s">
        <v>2490</v>
      </c>
      <c r="B2460" s="1">
        <v>39</v>
      </c>
      <c r="C2460" s="1" t="str" cm="1">
        <f t="array" ref="C2460">_xlfn.IFS(OR(B2460=" ", B2460="NA",NOT(ISNUMBER(B2460))), "Unknown",B2460&lt;18,"Underage",B2460&lt;=24,"Young Adult",B2460&lt;=34,"Early Career",B2460&lt;=44,"Mid Career",B2460&lt;=54,"Mature",B2460&lt;=65,"Pre-Senior",B2460&gt;65,"Senior")</f>
        <v>Mid Career</v>
      </c>
      <c r="D2460" s="1" t="s">
        <v>12</v>
      </c>
      <c r="F2460" s="1">
        <v>750000</v>
      </c>
      <c r="G2460" s="1">
        <v>8</v>
      </c>
      <c r="H2460" s="1" t="str" cm="1">
        <f t="array" ref="H2460">_xlfn.IFS( OR(G2460=" ",NOT(ISNUMBER(G2460))),"Unknown",G2460&lt;=33,"Low Spender",G2460&lt;=66,"Medium Spender",TRUE, "High Spender")</f>
        <v>Low Spender</v>
      </c>
      <c r="I2460" s="1">
        <v>55</v>
      </c>
      <c r="J2460" s="1">
        <v>800</v>
      </c>
      <c r="K2460" s="1">
        <v>323</v>
      </c>
      <c r="L2460" s="1" t="s">
        <v>16</v>
      </c>
      <c r="N2460" s="1" t="str">
        <f t="shared" si="76"/>
        <v>Lower</v>
      </c>
      <c r="O2460" s="1" t="str">
        <f t="shared" si="77"/>
        <v>Mid Career | Low Spender | Lower</v>
      </c>
    </row>
    <row r="2461" spans="1:15" x14ac:dyDescent="0.25">
      <c r="A2461" s="1" t="s">
        <v>2491</v>
      </c>
      <c r="B2461" s="1">
        <v>64</v>
      </c>
      <c r="C2461" s="1" t="str" cm="1">
        <f t="array" ref="C2461">_xlfn.IFS(OR(B2461=" ", B2461="NA",NOT(ISNUMBER(B2461))), "Unknown",B2461&lt;18,"Underage",B2461&lt;=24,"Young Adult",B2461&lt;=34,"Early Career",B2461&lt;=44,"Mid Career",B2461&lt;=54,"Mature",B2461&lt;=65,"Pre-Senior",B2461&gt;65,"Senior")</f>
        <v>Pre-Senior</v>
      </c>
      <c r="D2461" s="1" t="s">
        <v>18</v>
      </c>
      <c r="E2461" s="1" t="s">
        <v>34</v>
      </c>
      <c r="F2461" s="1">
        <v>1775000</v>
      </c>
      <c r="G2461" s="1">
        <v>69</v>
      </c>
      <c r="H2461" s="1" t="str" cm="1">
        <f t="array" ref="H2461">_xlfn.IFS( OR(G2461=" ",NOT(ISNUMBER(G2461))),"Unknown",G2461&lt;=33,"Low Spender",G2461&lt;=66,"Medium Spender",TRUE, "High Spender")</f>
        <v>High Spender</v>
      </c>
      <c r="I2461" s="1">
        <v>31</v>
      </c>
      <c r="J2461" s="1">
        <v>3900</v>
      </c>
      <c r="K2461" s="1">
        <v>235</v>
      </c>
      <c r="N2461" s="1" t="str">
        <f t="shared" si="76"/>
        <v>Higher</v>
      </c>
      <c r="O2461" s="1" t="str">
        <f t="shared" si="77"/>
        <v>Pre-Senior | High Spender | Higher</v>
      </c>
    </row>
    <row r="2462" spans="1:15" x14ac:dyDescent="0.25">
      <c r="A2462" s="1" t="s">
        <v>2492</v>
      </c>
      <c r="B2462" s="1">
        <v>51</v>
      </c>
      <c r="C2462" s="1" t="str" cm="1">
        <f t="array" ref="C2462">_xlfn.IFS(OR(B2462=" ", B2462="NA",NOT(ISNUMBER(B2462))), "Unknown",B2462&lt;18,"Underage",B2462&lt;=24,"Young Adult",B2462&lt;=34,"Early Career",B2462&lt;=44,"Mid Career",B2462&lt;=54,"Mature",B2462&lt;=65,"Pre-Senior",B2462&gt;65,"Senior")</f>
        <v>Mature</v>
      </c>
      <c r="D2462" s="1" t="s">
        <v>18</v>
      </c>
      <c r="E2462" s="1" t="s">
        <v>15</v>
      </c>
      <c r="F2462" s="1">
        <v>575000</v>
      </c>
      <c r="G2462" s="1">
        <v>30</v>
      </c>
      <c r="H2462" s="1" t="str" cm="1">
        <f t="array" ref="H2462">_xlfn.IFS( OR(G2462=" ",NOT(ISNUMBER(G2462))),"Unknown",G2462&lt;=33,"Low Spender",G2462&lt;=66,"Medium Spender",TRUE, "High Spender")</f>
        <v>Low Spender</v>
      </c>
      <c r="I2462" s="1">
        <v>33</v>
      </c>
      <c r="J2462" s="1">
        <v>11800</v>
      </c>
      <c r="K2462" s="1">
        <v>272</v>
      </c>
      <c r="L2462" s="1" t="s">
        <v>37</v>
      </c>
      <c r="M2462" s="1" t="s">
        <v>41</v>
      </c>
      <c r="N2462" s="1" t="str">
        <f t="shared" si="76"/>
        <v>Higher</v>
      </c>
      <c r="O2462" s="1" t="str">
        <f t="shared" si="77"/>
        <v>Mature | Low Spender | Higher</v>
      </c>
    </row>
    <row r="2463" spans="1:15" x14ac:dyDescent="0.25">
      <c r="A2463" s="1" t="s">
        <v>2493</v>
      </c>
      <c r="B2463" s="1">
        <v>18</v>
      </c>
      <c r="C2463" s="1" t="str" cm="1">
        <f t="array" ref="C2463">_xlfn.IFS(OR(B2463=" ", B2463="NA",NOT(ISNUMBER(B2463))), "Unknown",B2463&lt;18,"Underage",B2463&lt;=24,"Young Adult",B2463&lt;=34,"Early Career",B2463&lt;=44,"Mid Career",B2463&lt;=54,"Mature",B2463&lt;=65,"Pre-Senior",B2463&gt;65,"Senior")</f>
        <v>Young Adult</v>
      </c>
      <c r="D2463" s="1" t="s">
        <v>18</v>
      </c>
      <c r="F2463" s="1">
        <v>250000</v>
      </c>
      <c r="G2463" s="1">
        <v>8</v>
      </c>
      <c r="H2463" s="1" t="str" cm="1">
        <f t="array" ref="H2463">_xlfn.IFS( OR(G2463=" ",NOT(ISNUMBER(G2463))),"Unknown",G2463&lt;=33,"Low Spender",G2463&lt;=66,"Medium Spender",TRUE, "High Spender")</f>
        <v>Low Spender</v>
      </c>
      <c r="I2463" s="1">
        <v>60</v>
      </c>
      <c r="J2463" s="1">
        <v>2400</v>
      </c>
      <c r="K2463" s="1">
        <v>99</v>
      </c>
      <c r="L2463" s="1" t="s">
        <v>16</v>
      </c>
      <c r="N2463" s="1" t="str">
        <f t="shared" si="76"/>
        <v>Higher</v>
      </c>
      <c r="O2463" s="1" t="str">
        <f t="shared" si="77"/>
        <v>Young Adult | Low Spender | Higher</v>
      </c>
    </row>
    <row r="2464" spans="1:15" x14ac:dyDescent="0.25">
      <c r="A2464" s="1" t="s">
        <v>2494</v>
      </c>
      <c r="B2464" s="1" t="s">
        <v>73</v>
      </c>
      <c r="C2464" s="1" t="str" cm="1">
        <f t="array" ref="C2464">_xlfn.IFS(OR(B2464=" ", B2464="NA",NOT(ISNUMBER(B2464))), "Unknown",B2464&lt;18,"Underage",B2464&lt;=24,"Young Adult",B2464&lt;=34,"Early Career",B2464&lt;=44,"Mid Career",B2464&lt;=54,"Mature",B2464&lt;=65,"Pre-Senior",B2464&gt;65,"Senior")</f>
        <v>Unknown</v>
      </c>
      <c r="E2464" s="1" t="s">
        <v>49</v>
      </c>
      <c r="F2464" s="1">
        <v>600000</v>
      </c>
      <c r="G2464" s="1">
        <v>19</v>
      </c>
      <c r="H2464" s="1" t="str" cm="1">
        <f t="array" ref="H2464">_xlfn.IFS( OR(G2464=" ",NOT(ISNUMBER(G2464))),"Unknown",G2464&lt;=33,"Low Spender",G2464&lt;=66,"Medium Spender",TRUE, "High Spender")</f>
        <v>Low Spender</v>
      </c>
      <c r="I2464" s="1">
        <v>41</v>
      </c>
      <c r="J2464" s="1">
        <v>800</v>
      </c>
      <c r="K2464" s="1">
        <v>329</v>
      </c>
      <c r="L2464" s="1" t="s">
        <v>37</v>
      </c>
      <c r="M2464" s="1" t="s">
        <v>21</v>
      </c>
      <c r="N2464" s="1" t="str">
        <f t="shared" si="76"/>
        <v>Lower</v>
      </c>
      <c r="O2464" s="1" t="str">
        <f t="shared" si="77"/>
        <v>Unknown | Low Spender | Lower</v>
      </c>
    </row>
    <row r="2465" spans="1:15" x14ac:dyDescent="0.25">
      <c r="A2465" s="1" t="s">
        <v>2495</v>
      </c>
      <c r="B2465" s="1" t="s">
        <v>73</v>
      </c>
      <c r="C2465" s="1" t="str" cm="1">
        <f t="array" ref="C2465">_xlfn.IFS(OR(B2465=" ", B2465="NA",NOT(ISNUMBER(B2465))), "Unknown",B2465&lt;18,"Underage",B2465&lt;=24,"Young Adult",B2465&lt;=34,"Early Career",B2465&lt;=44,"Mid Career",B2465&lt;=54,"Mature",B2465&lt;=65,"Pre-Senior",B2465&gt;65,"Senior")</f>
        <v>Unknown</v>
      </c>
      <c r="D2465" s="1" t="s">
        <v>29</v>
      </c>
      <c r="E2465" s="1" t="s">
        <v>34</v>
      </c>
      <c r="F2465" s="1">
        <v>1175000</v>
      </c>
      <c r="G2465" s="1">
        <v>59</v>
      </c>
      <c r="H2465" s="1" t="str" cm="1">
        <f t="array" ref="H2465">_xlfn.IFS( OR(G2465=" ",NOT(ISNUMBER(G2465))),"Unknown",G2465&lt;=33,"Low Spender",G2465&lt;=66,"Medium Spender",TRUE, "High Spender")</f>
        <v>Medium Spender</v>
      </c>
      <c r="K2465" s="1">
        <v>35</v>
      </c>
      <c r="L2465" s="1" t="s">
        <v>35</v>
      </c>
      <c r="M2465" s="1" t="s">
        <v>32</v>
      </c>
      <c r="N2465" s="1" t="str">
        <f t="shared" si="76"/>
        <v>Higher</v>
      </c>
      <c r="O2465" s="1" t="str">
        <f t="shared" si="77"/>
        <v>Unknown | Medium Spender | Higher</v>
      </c>
    </row>
    <row r="2466" spans="1:15" x14ac:dyDescent="0.25">
      <c r="A2466" s="1" t="s">
        <v>2496</v>
      </c>
      <c r="B2466" s="1">
        <v>43</v>
      </c>
      <c r="C2466" s="1" t="str" cm="1">
        <f t="array" ref="C2466">_xlfn.IFS(OR(B2466=" ", B2466="NA",NOT(ISNUMBER(B2466))), "Unknown",B2466&lt;18,"Underage",B2466&lt;=24,"Young Adult",B2466&lt;=34,"Early Career",B2466&lt;=44,"Mid Career",B2466&lt;=54,"Mature",B2466&lt;=65,"Pre-Senior",B2466&gt;65,"Senior")</f>
        <v>Mid Career</v>
      </c>
      <c r="D2466" s="1" t="s">
        <v>18</v>
      </c>
      <c r="E2466" s="1" t="s">
        <v>23</v>
      </c>
      <c r="F2466" s="1">
        <v>575000</v>
      </c>
      <c r="G2466" s="1">
        <v>55</v>
      </c>
      <c r="H2466" s="1" t="str" cm="1">
        <f t="array" ref="H2466">_xlfn.IFS( OR(G2466=" ",NOT(ISNUMBER(G2466))),"Unknown",G2466&lt;=33,"Low Spender",G2466&lt;=66,"Medium Spender",TRUE, "High Spender")</f>
        <v>Medium Spender</v>
      </c>
      <c r="I2466" s="1">
        <v>46</v>
      </c>
      <c r="J2466" s="1">
        <v>3400</v>
      </c>
      <c r="K2466" s="1">
        <v>339</v>
      </c>
      <c r="L2466" s="1" t="s">
        <v>35</v>
      </c>
      <c r="M2466" s="1" t="s">
        <v>41</v>
      </c>
      <c r="N2466" s="1" t="str">
        <f t="shared" si="76"/>
        <v>Higher</v>
      </c>
      <c r="O2466" s="1" t="str">
        <f t="shared" si="77"/>
        <v>Mid Career | Medium Spender | Higher</v>
      </c>
    </row>
    <row r="2467" spans="1:15" x14ac:dyDescent="0.25">
      <c r="A2467" s="1" t="s">
        <v>2497</v>
      </c>
      <c r="B2467" s="1">
        <v>60</v>
      </c>
      <c r="C2467" s="1" t="str" cm="1">
        <f t="array" ref="C2467">_xlfn.IFS(OR(B2467=" ", B2467="NA",NOT(ISNUMBER(B2467))), "Unknown",B2467&lt;18,"Underage",B2467&lt;=24,"Young Adult",B2467&lt;=34,"Early Career",B2467&lt;=44,"Mid Career",B2467&lt;=54,"Mature",B2467&lt;=65,"Pre-Senior",B2467&gt;65,"Senior")</f>
        <v>Pre-Senior</v>
      </c>
      <c r="D2467" s="1" t="s">
        <v>18</v>
      </c>
      <c r="E2467" s="1" t="s">
        <v>13</v>
      </c>
      <c r="F2467" s="1">
        <v>925000</v>
      </c>
      <c r="G2467" s="1">
        <v>30</v>
      </c>
      <c r="H2467" s="1" t="str" cm="1">
        <f t="array" ref="H2467">_xlfn.IFS( OR(G2467=" ",NOT(ISNUMBER(G2467))),"Unknown",G2467&lt;=33,"Low Spender",G2467&lt;=66,"Medium Spender",TRUE, "High Spender")</f>
        <v>Low Spender</v>
      </c>
      <c r="I2467" s="1">
        <v>49</v>
      </c>
      <c r="J2467" s="1">
        <v>1900</v>
      </c>
      <c r="K2467" s="1">
        <v>171</v>
      </c>
      <c r="L2467" s="1" t="s">
        <v>16</v>
      </c>
      <c r="M2467" s="1" t="s">
        <v>21</v>
      </c>
      <c r="N2467" s="1" t="str">
        <f t="shared" si="76"/>
        <v>Higher</v>
      </c>
      <c r="O2467" s="1" t="str">
        <f t="shared" si="77"/>
        <v>Pre-Senior | Low Spender | Higher</v>
      </c>
    </row>
    <row r="2468" spans="1:15" x14ac:dyDescent="0.25">
      <c r="A2468" s="1" t="s">
        <v>2498</v>
      </c>
      <c r="B2468" s="1">
        <v>27</v>
      </c>
      <c r="C2468" s="1" t="str" cm="1">
        <f t="array" ref="C2468">_xlfn.IFS(OR(B2468=" ", B2468="NA",NOT(ISNUMBER(B2468))), "Unknown",B2468&lt;18,"Underage",B2468&lt;=24,"Young Adult",B2468&lt;=34,"Early Career",B2468&lt;=44,"Mid Career",B2468&lt;=54,"Mature",B2468&lt;=65,"Pre-Senior",B2468&gt;65,"Senior")</f>
        <v>Early Career</v>
      </c>
      <c r="E2468" s="1" t="s">
        <v>13</v>
      </c>
      <c r="F2468" s="1">
        <v>650000</v>
      </c>
      <c r="G2468" s="1">
        <v>79</v>
      </c>
      <c r="H2468" s="1" t="str" cm="1">
        <f t="array" ref="H2468">_xlfn.IFS( OR(G2468=" ",NOT(ISNUMBER(G2468))),"Unknown",G2468&lt;=33,"Low Spender",G2468&lt;=66,"Medium Spender",TRUE, "High Spender")</f>
        <v>High Spender</v>
      </c>
      <c r="I2468" s="1">
        <v>65</v>
      </c>
      <c r="J2468" s="1">
        <v>4000</v>
      </c>
      <c r="K2468" s="1">
        <v>110</v>
      </c>
      <c r="L2468" s="1" t="s">
        <v>20</v>
      </c>
      <c r="M2468" s="1" t="s">
        <v>30</v>
      </c>
      <c r="N2468" s="1" t="str">
        <f t="shared" si="76"/>
        <v>Lower</v>
      </c>
      <c r="O2468" s="1" t="str">
        <f t="shared" si="77"/>
        <v>Early Career | High Spender | Lower</v>
      </c>
    </row>
    <row r="2469" spans="1:15" x14ac:dyDescent="0.25">
      <c r="A2469" s="1" t="s">
        <v>2499</v>
      </c>
      <c r="B2469" s="1">
        <v>47</v>
      </c>
      <c r="C2469" s="1" t="str" cm="1">
        <f t="array" ref="C2469">_xlfn.IFS(OR(B2469=" ", B2469="NA",NOT(ISNUMBER(B2469))), "Unknown",B2469&lt;18,"Underage",B2469&lt;=24,"Young Adult",B2469&lt;=34,"Early Career",B2469&lt;=44,"Mid Career",B2469&lt;=54,"Mature",B2469&lt;=65,"Pre-Senior",B2469&gt;65,"Senior")</f>
        <v>Mature</v>
      </c>
      <c r="D2469" s="1" t="s">
        <v>29</v>
      </c>
      <c r="F2469" s="1">
        <v>375000</v>
      </c>
      <c r="G2469" s="1">
        <v>36</v>
      </c>
      <c r="H2469" s="1" t="str" cm="1">
        <f t="array" ref="H2469">_xlfn.IFS( OR(G2469=" ",NOT(ISNUMBER(G2469))),"Unknown",G2469&lt;=33,"Low Spender",G2469&lt;=66,"Medium Spender",TRUE, "High Spender")</f>
        <v>Medium Spender</v>
      </c>
      <c r="I2469" s="1">
        <v>42</v>
      </c>
      <c r="J2469" s="1">
        <v>1900</v>
      </c>
      <c r="K2469" s="1">
        <v>295</v>
      </c>
      <c r="M2469" s="1" t="s">
        <v>21</v>
      </c>
      <c r="N2469" s="1" t="str">
        <f t="shared" si="76"/>
        <v>Higher</v>
      </c>
      <c r="O2469" s="1" t="str">
        <f t="shared" si="77"/>
        <v>Mature | Medium Spender | Higher</v>
      </c>
    </row>
    <row r="2470" spans="1:15" x14ac:dyDescent="0.25">
      <c r="A2470" s="1" t="s">
        <v>2500</v>
      </c>
      <c r="B2470" s="1">
        <v>67</v>
      </c>
      <c r="C2470" s="1" t="str" cm="1">
        <f t="array" ref="C2470">_xlfn.IFS(OR(B2470=" ", B2470="NA",NOT(ISNUMBER(B2470))), "Unknown",B2470&lt;18,"Underage",B2470&lt;=24,"Young Adult",B2470&lt;=34,"Early Career",B2470&lt;=44,"Mid Career",B2470&lt;=54,"Mature",B2470&lt;=65,"Pre-Senior",B2470&gt;65,"Senior")</f>
        <v>Senior</v>
      </c>
      <c r="E2470" s="1" t="s">
        <v>13</v>
      </c>
      <c r="F2470" s="1">
        <v>1050000</v>
      </c>
      <c r="G2470" s="1">
        <v>55</v>
      </c>
      <c r="H2470" s="1" t="str" cm="1">
        <f t="array" ref="H2470">_xlfn.IFS( OR(G2470=" ",NOT(ISNUMBER(G2470))),"Unknown",G2470&lt;=33,"Low Spender",G2470&lt;=66,"Medium Spender",TRUE, "High Spender")</f>
        <v>Medium Spender</v>
      </c>
      <c r="I2470" s="1">
        <v>23</v>
      </c>
      <c r="J2470" s="1">
        <v>3900</v>
      </c>
      <c r="K2470" s="1">
        <v>10</v>
      </c>
      <c r="L2470" s="1" t="s">
        <v>35</v>
      </c>
      <c r="M2470" s="1" t="s">
        <v>41</v>
      </c>
      <c r="N2470" s="1" t="str">
        <f t="shared" si="76"/>
        <v>Lower</v>
      </c>
      <c r="O2470" s="1" t="str">
        <f t="shared" si="77"/>
        <v>Senior | Medium Spender | Lower</v>
      </c>
    </row>
    <row r="2471" spans="1:15" x14ac:dyDescent="0.25">
      <c r="A2471" s="1" t="s">
        <v>2501</v>
      </c>
      <c r="B2471" s="1">
        <v>35</v>
      </c>
      <c r="C2471" s="1" t="str" cm="1">
        <f t="array" ref="C2471">_xlfn.IFS(OR(B2471=" ", B2471="NA",NOT(ISNUMBER(B2471))), "Unknown",B2471&lt;18,"Underage",B2471&lt;=24,"Young Adult",B2471&lt;=34,"Early Career",B2471&lt;=44,"Mid Career",B2471&lt;=54,"Mature",B2471&lt;=65,"Pre-Senior",B2471&gt;65,"Senior")</f>
        <v>Mid Career</v>
      </c>
      <c r="D2471" s="1" t="s">
        <v>29</v>
      </c>
      <c r="E2471" s="1" t="s">
        <v>27</v>
      </c>
      <c r="F2471" s="1">
        <v>1350000</v>
      </c>
      <c r="G2471" s="1">
        <v>44</v>
      </c>
      <c r="H2471" s="1" t="str" cm="1">
        <f t="array" ref="H2471">_xlfn.IFS( OR(G2471=" ",NOT(ISNUMBER(G2471))),"Unknown",G2471&lt;=33,"Low Spender",G2471&lt;=66,"Medium Spender",TRUE, "High Spender")</f>
        <v>Medium Spender</v>
      </c>
      <c r="I2471" s="1">
        <v>27</v>
      </c>
      <c r="J2471" s="1">
        <v>2500</v>
      </c>
      <c r="K2471" s="1">
        <v>202</v>
      </c>
      <c r="L2471" s="1" t="s">
        <v>20</v>
      </c>
      <c r="N2471" s="1" t="str">
        <f t="shared" si="76"/>
        <v>Higher</v>
      </c>
      <c r="O2471" s="1" t="str">
        <f t="shared" si="77"/>
        <v>Mid Career | Medium Spender | Higher</v>
      </c>
    </row>
    <row r="2472" spans="1:15" x14ac:dyDescent="0.25">
      <c r="A2472" s="1" t="s">
        <v>2502</v>
      </c>
      <c r="B2472" s="1">
        <v>34</v>
      </c>
      <c r="C2472" s="1" t="str" cm="1">
        <f t="array" ref="C2472">_xlfn.IFS(OR(B2472=" ", B2472="NA",NOT(ISNUMBER(B2472))), "Unknown",B2472&lt;18,"Underage",B2472&lt;=24,"Young Adult",B2472&lt;=34,"Early Career",B2472&lt;=44,"Mid Career",B2472&lt;=54,"Mature",B2472&lt;=65,"Pre-Senior",B2472&gt;65,"Senior")</f>
        <v>Early Career</v>
      </c>
      <c r="D2472" s="1" t="s">
        <v>29</v>
      </c>
      <c r="E2472" s="1" t="s">
        <v>13</v>
      </c>
      <c r="F2472" s="1">
        <v>450000</v>
      </c>
      <c r="G2472" s="1">
        <v>27</v>
      </c>
      <c r="H2472" s="1" t="str" cm="1">
        <f t="array" ref="H2472">_xlfn.IFS( OR(G2472=" ",NOT(ISNUMBER(G2472))),"Unknown",G2472&lt;=33,"Low Spender",G2472&lt;=66,"Medium Spender",TRUE, "High Spender")</f>
        <v>Low Spender</v>
      </c>
      <c r="I2472" s="1">
        <v>32</v>
      </c>
      <c r="J2472" s="1">
        <v>5100</v>
      </c>
      <c r="K2472" s="1">
        <v>257</v>
      </c>
      <c r="M2472" s="1" t="s">
        <v>32</v>
      </c>
      <c r="N2472" s="1" t="str">
        <f t="shared" si="76"/>
        <v>Higher</v>
      </c>
      <c r="O2472" s="1" t="str">
        <f t="shared" si="77"/>
        <v>Early Career | Low Spender | Higher</v>
      </c>
    </row>
    <row r="2473" spans="1:15" x14ac:dyDescent="0.25">
      <c r="A2473" s="1" t="s">
        <v>2503</v>
      </c>
      <c r="B2473" s="1">
        <v>43</v>
      </c>
      <c r="C2473" s="1" t="str" cm="1">
        <f t="array" ref="C2473">_xlfn.IFS(OR(B2473=" ", B2473="NA",NOT(ISNUMBER(B2473))), "Unknown",B2473&lt;18,"Underage",B2473&lt;=24,"Young Adult",B2473&lt;=34,"Early Career",B2473&lt;=44,"Mid Career",B2473&lt;=54,"Mature",B2473&lt;=65,"Pre-Senior",B2473&gt;65,"Senior")</f>
        <v>Mid Career</v>
      </c>
      <c r="D2473" s="1" t="s">
        <v>12</v>
      </c>
      <c r="E2473" s="1" t="s">
        <v>27</v>
      </c>
      <c r="F2473" s="1">
        <v>1500000</v>
      </c>
      <c r="G2473" s="1">
        <v>77</v>
      </c>
      <c r="H2473" s="1" t="str" cm="1">
        <f t="array" ref="H2473">_xlfn.IFS( OR(G2473=" ",NOT(ISNUMBER(G2473))),"Unknown",G2473&lt;=33,"Low Spender",G2473&lt;=66,"Medium Spender",TRUE, "High Spender")</f>
        <v>High Spender</v>
      </c>
      <c r="I2473" s="1">
        <v>3</v>
      </c>
      <c r="J2473" s="1">
        <v>6300</v>
      </c>
      <c r="K2473" s="1">
        <v>262</v>
      </c>
      <c r="L2473" s="1" t="s">
        <v>35</v>
      </c>
      <c r="M2473" s="1" t="s">
        <v>41</v>
      </c>
      <c r="N2473" s="1" t="str">
        <f t="shared" si="76"/>
        <v>Lower</v>
      </c>
      <c r="O2473" s="1" t="str">
        <f t="shared" si="77"/>
        <v>Mid Career | High Spender | Lower</v>
      </c>
    </row>
    <row r="2474" spans="1:15" x14ac:dyDescent="0.25">
      <c r="A2474" s="1" t="s">
        <v>2504</v>
      </c>
      <c r="B2474" s="1">
        <v>25</v>
      </c>
      <c r="C2474" s="1" t="str" cm="1">
        <f t="array" ref="C2474">_xlfn.IFS(OR(B2474=" ", B2474="NA",NOT(ISNUMBER(B2474))), "Unknown",B2474&lt;18,"Underage",B2474&lt;=24,"Young Adult",B2474&lt;=34,"Early Career",B2474&lt;=44,"Mid Career",B2474&lt;=54,"Mature",B2474&lt;=65,"Pre-Senior",B2474&gt;65,"Senior")</f>
        <v>Early Career</v>
      </c>
      <c r="D2474" s="1" t="s">
        <v>18</v>
      </c>
      <c r="E2474" s="1" t="s">
        <v>58</v>
      </c>
      <c r="F2474" s="1">
        <v>550000</v>
      </c>
      <c r="G2474" s="1">
        <v>78</v>
      </c>
      <c r="H2474" s="1" t="str" cm="1">
        <f t="array" ref="H2474">_xlfn.IFS( OR(G2474=" ",NOT(ISNUMBER(G2474))),"Unknown",G2474&lt;=33,"Low Spender",G2474&lt;=66,"Medium Spender",TRUE, "High Spender")</f>
        <v>High Spender</v>
      </c>
      <c r="I2474" s="1">
        <v>60</v>
      </c>
      <c r="J2474" s="1">
        <v>5100</v>
      </c>
      <c r="K2474" s="1">
        <v>181</v>
      </c>
      <c r="M2474" s="1" t="s">
        <v>21</v>
      </c>
      <c r="N2474" s="1" t="str">
        <f t="shared" si="76"/>
        <v>Higher</v>
      </c>
      <c r="O2474" s="1" t="str">
        <f t="shared" si="77"/>
        <v>Early Career | High Spender | Higher</v>
      </c>
    </row>
    <row r="2475" spans="1:15" x14ac:dyDescent="0.25">
      <c r="A2475" s="1" t="s">
        <v>2505</v>
      </c>
      <c r="B2475" s="1">
        <v>64</v>
      </c>
      <c r="C2475" s="1" t="str" cm="1">
        <f t="array" ref="C2475">_xlfn.IFS(OR(B2475=" ", B2475="NA",NOT(ISNUMBER(B2475))), "Unknown",B2475&lt;18,"Underage",B2475&lt;=24,"Young Adult",B2475&lt;=34,"Early Career",B2475&lt;=44,"Mid Career",B2475&lt;=54,"Mature",B2475&lt;=65,"Pre-Senior",B2475&gt;65,"Senior")</f>
        <v>Pre-Senior</v>
      </c>
      <c r="D2475" s="1" t="s">
        <v>29</v>
      </c>
      <c r="E2475" s="1" t="s">
        <v>27</v>
      </c>
      <c r="F2475" s="1">
        <v>350000</v>
      </c>
      <c r="H2475" s="1" t="str" cm="1">
        <f t="array" ref="H2475">_xlfn.IFS( OR(G2475=" ",NOT(ISNUMBER(G2475))),"Unknown",G2475&lt;=33,"Low Spender",G2475&lt;=66,"Medium Spender",TRUE, "High Spender")</f>
        <v>Unknown</v>
      </c>
      <c r="I2475" s="1">
        <v>76</v>
      </c>
      <c r="J2475" s="1">
        <v>6300</v>
      </c>
      <c r="K2475" s="1">
        <v>66</v>
      </c>
      <c r="M2475" s="1" t="s">
        <v>21</v>
      </c>
      <c r="N2475" s="1" t="str">
        <f t="shared" si="76"/>
        <v>Higher</v>
      </c>
      <c r="O2475" s="1" t="str">
        <f t="shared" si="77"/>
        <v>Pre-Senior | Unknown | Higher</v>
      </c>
    </row>
    <row r="2476" spans="1:15" x14ac:dyDescent="0.25">
      <c r="A2476" s="1" t="s">
        <v>2506</v>
      </c>
      <c r="B2476" s="1">
        <v>57</v>
      </c>
      <c r="C2476" s="1" t="str" cm="1">
        <f t="array" ref="C2476">_xlfn.IFS(OR(B2476=" ", B2476="NA",NOT(ISNUMBER(B2476))), "Unknown",B2476&lt;18,"Underage",B2476&lt;=24,"Young Adult",B2476&lt;=34,"Early Career",B2476&lt;=44,"Mid Career",B2476&lt;=54,"Mature",B2476&lt;=65,"Pre-Senior",B2476&gt;65,"Senior")</f>
        <v>Pre-Senior</v>
      </c>
      <c r="E2476" s="1" t="s">
        <v>34</v>
      </c>
      <c r="F2476" s="1">
        <v>1225000</v>
      </c>
      <c r="G2476" s="1">
        <v>54</v>
      </c>
      <c r="H2476" s="1" t="str" cm="1">
        <f t="array" ref="H2476">_xlfn.IFS( OR(G2476=" ",NOT(ISNUMBER(G2476))),"Unknown",G2476&lt;=33,"Low Spender",G2476&lt;=66,"Medium Spender",TRUE, "High Spender")</f>
        <v>Medium Spender</v>
      </c>
      <c r="I2476" s="1">
        <v>79</v>
      </c>
      <c r="J2476" s="1">
        <v>7900</v>
      </c>
      <c r="K2476" s="1">
        <v>294</v>
      </c>
      <c r="L2476" s="1" t="s">
        <v>37</v>
      </c>
      <c r="M2476" s="1" t="s">
        <v>41</v>
      </c>
      <c r="N2476" s="1" t="str">
        <f t="shared" si="76"/>
        <v>Lower</v>
      </c>
      <c r="O2476" s="1" t="str">
        <f t="shared" si="77"/>
        <v>Pre-Senior | Medium Spender | Lower</v>
      </c>
    </row>
    <row r="2477" spans="1:15" x14ac:dyDescent="0.25">
      <c r="A2477" s="1" t="s">
        <v>2507</v>
      </c>
      <c r="B2477" s="1">
        <v>66</v>
      </c>
      <c r="C2477" s="1" t="str" cm="1">
        <f t="array" ref="C2477">_xlfn.IFS(OR(B2477=" ", B2477="NA",NOT(ISNUMBER(B2477))), "Unknown",B2477&lt;18,"Underage",B2477&lt;=24,"Young Adult",B2477&lt;=34,"Early Career",B2477&lt;=44,"Mid Career",B2477&lt;=54,"Mature",B2477&lt;=65,"Pre-Senior",B2477&gt;65,"Senior")</f>
        <v>Senior</v>
      </c>
      <c r="F2477" s="1">
        <v>1275000</v>
      </c>
      <c r="G2477" s="1">
        <v>48</v>
      </c>
      <c r="H2477" s="1" t="str" cm="1">
        <f t="array" ref="H2477">_xlfn.IFS( OR(G2477=" ",NOT(ISNUMBER(G2477))),"Unknown",G2477&lt;=33,"Low Spender",G2477&lt;=66,"Medium Spender",TRUE, "High Spender")</f>
        <v>Medium Spender</v>
      </c>
      <c r="I2477" s="1">
        <v>17</v>
      </c>
      <c r="J2477" s="1">
        <v>3400</v>
      </c>
      <c r="K2477" s="1">
        <v>161</v>
      </c>
      <c r="L2477" s="1" t="s">
        <v>16</v>
      </c>
      <c r="N2477" s="1" t="str">
        <f t="shared" si="76"/>
        <v>Lower</v>
      </c>
      <c r="O2477" s="1" t="str">
        <f t="shared" si="77"/>
        <v>Senior | Medium Spender | Lower</v>
      </c>
    </row>
    <row r="2478" spans="1:15" x14ac:dyDescent="0.25">
      <c r="A2478" s="1" t="s">
        <v>2508</v>
      </c>
      <c r="B2478" s="1">
        <v>29</v>
      </c>
      <c r="C2478" s="1" t="str" cm="1">
        <f t="array" ref="C2478">_xlfn.IFS(OR(B2478=" ", B2478="NA",NOT(ISNUMBER(B2478))), "Unknown",B2478&lt;18,"Underage",B2478&lt;=24,"Young Adult",B2478&lt;=34,"Early Career",B2478&lt;=44,"Mid Career",B2478&lt;=54,"Mature",B2478&lt;=65,"Pre-Senior",B2478&gt;65,"Senior")</f>
        <v>Early Career</v>
      </c>
      <c r="D2478" s="1" t="s">
        <v>18</v>
      </c>
      <c r="E2478" s="1" t="s">
        <v>34</v>
      </c>
      <c r="F2478" s="1">
        <v>325000</v>
      </c>
      <c r="G2478" s="1">
        <v>30</v>
      </c>
      <c r="H2478" s="1" t="str" cm="1">
        <f t="array" ref="H2478">_xlfn.IFS( OR(G2478=" ",NOT(ISNUMBER(G2478))),"Unknown",G2478&lt;=33,"Low Spender",G2478&lt;=66,"Medium Spender",TRUE, "High Spender")</f>
        <v>Low Spender</v>
      </c>
      <c r="I2478" s="1">
        <v>32</v>
      </c>
      <c r="J2478" s="1">
        <v>8800</v>
      </c>
      <c r="K2478" s="1">
        <v>67</v>
      </c>
      <c r="L2478" s="1" t="s">
        <v>35</v>
      </c>
      <c r="N2478" s="1" t="str">
        <f t="shared" si="76"/>
        <v>Higher</v>
      </c>
      <c r="O2478" s="1" t="str">
        <f t="shared" si="77"/>
        <v>Early Career | Low Spender | Higher</v>
      </c>
    </row>
    <row r="2479" spans="1:15" x14ac:dyDescent="0.25">
      <c r="A2479" s="1" t="s">
        <v>2509</v>
      </c>
      <c r="B2479" s="1">
        <v>44</v>
      </c>
      <c r="C2479" s="1" t="str" cm="1">
        <f t="array" ref="C2479">_xlfn.IFS(OR(B2479=" ", B2479="NA",NOT(ISNUMBER(B2479))), "Unknown",B2479&lt;18,"Underage",B2479&lt;=24,"Young Adult",B2479&lt;=34,"Early Career",B2479&lt;=44,"Mid Career",B2479&lt;=54,"Mature",B2479&lt;=65,"Pre-Senior",B2479&gt;65,"Senior")</f>
        <v>Mid Career</v>
      </c>
      <c r="F2479" s="1">
        <v>1050000</v>
      </c>
      <c r="G2479" s="1">
        <v>39</v>
      </c>
      <c r="H2479" s="1" t="str" cm="1">
        <f t="array" ref="H2479">_xlfn.IFS( OR(G2479=" ",NOT(ISNUMBER(G2479))),"Unknown",G2479&lt;=33,"Low Spender",G2479&lt;=66,"Medium Spender",TRUE, "High Spender")</f>
        <v>Medium Spender</v>
      </c>
      <c r="I2479" s="1">
        <v>7</v>
      </c>
      <c r="J2479" s="1">
        <v>6500</v>
      </c>
      <c r="K2479" s="1">
        <v>100</v>
      </c>
      <c r="L2479" s="1" t="s">
        <v>35</v>
      </c>
      <c r="M2479" s="1" t="s">
        <v>41</v>
      </c>
      <c r="N2479" s="1" t="str">
        <f t="shared" si="76"/>
        <v>Lower</v>
      </c>
      <c r="O2479" s="1" t="str">
        <f t="shared" si="77"/>
        <v>Mid Career | Medium Spender | Lower</v>
      </c>
    </row>
    <row r="2480" spans="1:15" x14ac:dyDescent="0.25">
      <c r="A2480" s="1" t="s">
        <v>2510</v>
      </c>
      <c r="B2480" s="1">
        <v>25</v>
      </c>
      <c r="C2480" s="1" t="str" cm="1">
        <f t="array" ref="C2480">_xlfn.IFS(OR(B2480=" ", B2480="NA",NOT(ISNUMBER(B2480))), "Unknown",B2480&lt;18,"Underage",B2480&lt;=24,"Young Adult",B2480&lt;=34,"Early Career",B2480&lt;=44,"Mid Career",B2480&lt;=54,"Mature",B2480&lt;=65,"Pre-Senior",B2480&gt;65,"Senior")</f>
        <v>Early Career</v>
      </c>
      <c r="D2480" s="1" t="s">
        <v>29</v>
      </c>
      <c r="F2480" s="1">
        <v>600000</v>
      </c>
      <c r="G2480" s="1">
        <v>13</v>
      </c>
      <c r="H2480" s="1" t="str" cm="1">
        <f t="array" ref="H2480">_xlfn.IFS( OR(G2480=" ",NOT(ISNUMBER(G2480))),"Unknown",G2480&lt;=33,"Low Spender",G2480&lt;=66,"Medium Spender",TRUE, "High Spender")</f>
        <v>Low Spender</v>
      </c>
      <c r="I2480" s="1">
        <v>71</v>
      </c>
      <c r="J2480" s="1">
        <v>900</v>
      </c>
      <c r="K2480" s="1">
        <v>77</v>
      </c>
      <c r="L2480" s="1" t="s">
        <v>37</v>
      </c>
      <c r="N2480" s="1" t="str">
        <f t="shared" si="76"/>
        <v>Higher</v>
      </c>
      <c r="O2480" s="1" t="str">
        <f t="shared" si="77"/>
        <v>Early Career | Low Spender | Higher</v>
      </c>
    </row>
    <row r="2481" spans="1:15" x14ac:dyDescent="0.25">
      <c r="A2481" s="1" t="s">
        <v>2511</v>
      </c>
      <c r="B2481" s="1">
        <v>42</v>
      </c>
      <c r="C2481" s="1" t="str" cm="1">
        <f t="array" ref="C2481">_xlfn.IFS(OR(B2481=" ", B2481="NA",NOT(ISNUMBER(B2481))), "Unknown",B2481&lt;18,"Underage",B2481&lt;=24,"Young Adult",B2481&lt;=34,"Early Career",B2481&lt;=44,"Mid Career",B2481&lt;=54,"Mature",B2481&lt;=65,"Pre-Senior",B2481&gt;65,"Senior")</f>
        <v>Mid Career</v>
      </c>
      <c r="D2481" s="1" t="s">
        <v>12</v>
      </c>
      <c r="E2481" s="1" t="s">
        <v>58</v>
      </c>
      <c r="F2481" s="1">
        <v>1700000</v>
      </c>
      <c r="G2481" s="1">
        <v>16</v>
      </c>
      <c r="H2481" s="1" t="str" cm="1">
        <f t="array" ref="H2481">_xlfn.IFS( OR(G2481=" ",NOT(ISNUMBER(G2481))),"Unknown",G2481&lt;=33,"Low Spender",G2481&lt;=66,"Medium Spender",TRUE, "High Spender")</f>
        <v>Low Spender</v>
      </c>
      <c r="I2481" s="1">
        <v>69</v>
      </c>
      <c r="J2481" s="1">
        <v>2400</v>
      </c>
      <c r="K2481" s="1">
        <v>35</v>
      </c>
      <c r="L2481" s="1" t="s">
        <v>35</v>
      </c>
      <c r="M2481" s="1" t="s">
        <v>41</v>
      </c>
      <c r="N2481" s="1" t="str">
        <f t="shared" si="76"/>
        <v>Lower</v>
      </c>
      <c r="O2481" s="1" t="str">
        <f t="shared" si="77"/>
        <v>Mid Career | Low Spender | Lower</v>
      </c>
    </row>
    <row r="2482" spans="1:15" x14ac:dyDescent="0.25">
      <c r="A2482" s="1" t="s">
        <v>2512</v>
      </c>
      <c r="B2482" s="1">
        <v>63</v>
      </c>
      <c r="C2482" s="1" t="str" cm="1">
        <f t="array" ref="C2482">_xlfn.IFS(OR(B2482=" ", B2482="NA",NOT(ISNUMBER(B2482))), "Unknown",B2482&lt;18,"Underage",B2482&lt;=24,"Young Adult",B2482&lt;=34,"Early Career",B2482&lt;=44,"Mid Career",B2482&lt;=54,"Mature",B2482&lt;=65,"Pre-Senior",B2482&gt;65,"Senior")</f>
        <v>Pre-Senior</v>
      </c>
      <c r="D2482" s="1" t="s">
        <v>18</v>
      </c>
      <c r="F2482" s="1">
        <v>1275000</v>
      </c>
      <c r="G2482" s="1">
        <v>44</v>
      </c>
      <c r="H2482" s="1" t="str" cm="1">
        <f t="array" ref="H2482">_xlfn.IFS( OR(G2482=" ",NOT(ISNUMBER(G2482))),"Unknown",G2482&lt;=33,"Low Spender",G2482&lt;=66,"Medium Spender",TRUE, "High Spender")</f>
        <v>Medium Spender</v>
      </c>
      <c r="I2482" s="1">
        <v>58</v>
      </c>
      <c r="J2482" s="1">
        <v>8700</v>
      </c>
      <c r="K2482" s="1">
        <v>45</v>
      </c>
      <c r="L2482" s="1" t="s">
        <v>35</v>
      </c>
      <c r="N2482" s="1" t="str">
        <f t="shared" si="76"/>
        <v>Higher</v>
      </c>
      <c r="O2482" s="1" t="str">
        <f t="shared" si="77"/>
        <v>Pre-Senior | Medium Spender | Higher</v>
      </c>
    </row>
    <row r="2483" spans="1:15" x14ac:dyDescent="0.25">
      <c r="A2483" s="1" t="s">
        <v>2513</v>
      </c>
      <c r="B2483" s="1">
        <v>21</v>
      </c>
      <c r="C2483" s="1" t="str" cm="1">
        <f t="array" ref="C2483">_xlfn.IFS(OR(B2483=" ", B2483="NA",NOT(ISNUMBER(B2483))), "Unknown",B2483&lt;18,"Underage",B2483&lt;=24,"Young Adult",B2483&lt;=34,"Early Career",B2483&lt;=44,"Mid Career",B2483&lt;=54,"Mature",B2483&lt;=65,"Pre-Senior",B2483&gt;65,"Senior")</f>
        <v>Young Adult</v>
      </c>
      <c r="D2483" s="1" t="s">
        <v>12</v>
      </c>
      <c r="F2483" s="1">
        <v>1900000</v>
      </c>
      <c r="G2483" s="1">
        <v>71</v>
      </c>
      <c r="H2483" s="1" t="str" cm="1">
        <f t="array" ref="H2483">_xlfn.IFS( OR(G2483=" ",NOT(ISNUMBER(G2483))),"Unknown",G2483&lt;=33,"Low Spender",G2483&lt;=66,"Medium Spender",TRUE, "High Spender")</f>
        <v>High Spender</v>
      </c>
      <c r="I2483" s="1">
        <v>40</v>
      </c>
      <c r="J2483" s="1">
        <v>800</v>
      </c>
      <c r="K2483" s="1">
        <v>150</v>
      </c>
      <c r="M2483" s="1" t="s">
        <v>41</v>
      </c>
      <c r="N2483" s="1" t="str">
        <f t="shared" si="76"/>
        <v>Lower</v>
      </c>
      <c r="O2483" s="1" t="str">
        <f t="shared" si="77"/>
        <v>Young Adult | High Spender | Lower</v>
      </c>
    </row>
    <row r="2484" spans="1:15" x14ac:dyDescent="0.25">
      <c r="A2484" s="1" t="s">
        <v>2514</v>
      </c>
      <c r="B2484" s="1">
        <v>50</v>
      </c>
      <c r="C2484" s="1" t="str" cm="1">
        <f t="array" ref="C2484">_xlfn.IFS(OR(B2484=" ", B2484="NA",NOT(ISNUMBER(B2484))), "Unknown",B2484&lt;18,"Underage",B2484&lt;=24,"Young Adult",B2484&lt;=34,"Early Career",B2484&lt;=44,"Mid Career",B2484&lt;=54,"Mature",B2484&lt;=65,"Pre-Senior",B2484&gt;65,"Senior")</f>
        <v>Mature</v>
      </c>
      <c r="E2484" s="1" t="s">
        <v>49</v>
      </c>
      <c r="F2484" s="1">
        <v>775000</v>
      </c>
      <c r="G2484" s="1">
        <v>27</v>
      </c>
      <c r="H2484" s="1" t="str" cm="1">
        <f t="array" ref="H2484">_xlfn.IFS( OR(G2484=" ",NOT(ISNUMBER(G2484))),"Unknown",G2484&lt;=33,"Low Spender",G2484&lt;=66,"Medium Spender",TRUE, "High Spender")</f>
        <v>Low Spender</v>
      </c>
      <c r="I2484" s="1">
        <v>48</v>
      </c>
      <c r="J2484" s="1">
        <v>6300</v>
      </c>
      <c r="K2484" s="1">
        <v>68</v>
      </c>
      <c r="L2484" s="1" t="s">
        <v>35</v>
      </c>
      <c r="M2484" s="1" t="s">
        <v>30</v>
      </c>
      <c r="N2484" s="1" t="str">
        <f t="shared" si="76"/>
        <v>Lower</v>
      </c>
      <c r="O2484" s="1" t="str">
        <f t="shared" si="77"/>
        <v>Mature | Low Spender | Lower</v>
      </c>
    </row>
    <row r="2485" spans="1:15" x14ac:dyDescent="0.25">
      <c r="A2485" s="1" t="s">
        <v>2515</v>
      </c>
      <c r="B2485" s="1">
        <v>18</v>
      </c>
      <c r="C2485" s="1" t="str" cm="1">
        <f t="array" ref="C2485">_xlfn.IFS(OR(B2485=" ", B2485="NA",NOT(ISNUMBER(B2485))), "Unknown",B2485&lt;18,"Underage",B2485&lt;=24,"Young Adult",B2485&lt;=34,"Early Career",B2485&lt;=44,"Mid Career",B2485&lt;=54,"Mature",B2485&lt;=65,"Pre-Senior",B2485&gt;65,"Senior")</f>
        <v>Young Adult</v>
      </c>
      <c r="D2485" s="1" t="s">
        <v>29</v>
      </c>
      <c r="E2485" s="1" t="s">
        <v>19</v>
      </c>
      <c r="F2485" s="1">
        <v>1275000</v>
      </c>
      <c r="G2485" s="1">
        <v>45</v>
      </c>
      <c r="H2485" s="1" t="str" cm="1">
        <f t="array" ref="H2485">_xlfn.IFS( OR(G2485=" ",NOT(ISNUMBER(G2485))),"Unknown",G2485&lt;=33,"Low Spender",G2485&lt;=66,"Medium Spender",TRUE, "High Spender")</f>
        <v>Medium Spender</v>
      </c>
      <c r="I2485" s="1">
        <v>51</v>
      </c>
      <c r="J2485" s="1">
        <v>1600</v>
      </c>
      <c r="K2485" s="1">
        <v>254</v>
      </c>
      <c r="L2485" s="1" t="s">
        <v>35</v>
      </c>
      <c r="M2485" s="1" t="s">
        <v>32</v>
      </c>
      <c r="N2485" s="1" t="str">
        <f t="shared" si="76"/>
        <v>Higher</v>
      </c>
      <c r="O2485" s="1" t="str">
        <f t="shared" si="77"/>
        <v>Young Adult | Medium Spender | Higher</v>
      </c>
    </row>
    <row r="2486" spans="1:15" x14ac:dyDescent="0.25">
      <c r="A2486" s="1" t="s">
        <v>2516</v>
      </c>
      <c r="B2486" s="1">
        <v>36</v>
      </c>
      <c r="C2486" s="1" t="str" cm="1">
        <f t="array" ref="C2486">_xlfn.IFS(OR(B2486=" ", B2486="NA",NOT(ISNUMBER(B2486))), "Unknown",B2486&lt;18,"Underage",B2486&lt;=24,"Young Adult",B2486&lt;=34,"Early Career",B2486&lt;=44,"Mid Career",B2486&lt;=54,"Mature",B2486&lt;=65,"Pre-Senior",B2486&gt;65,"Senior")</f>
        <v>Mid Career</v>
      </c>
      <c r="D2486" s="1" t="s">
        <v>29</v>
      </c>
      <c r="E2486" s="1" t="s">
        <v>19</v>
      </c>
      <c r="F2486" s="1">
        <v>1275000</v>
      </c>
      <c r="G2486" s="1">
        <v>35</v>
      </c>
      <c r="H2486" s="1" t="str" cm="1">
        <f t="array" ref="H2486">_xlfn.IFS( OR(G2486=" ",NOT(ISNUMBER(G2486))),"Unknown",G2486&lt;=33,"Low Spender",G2486&lt;=66,"Medium Spender",TRUE, "High Spender")</f>
        <v>Medium Spender</v>
      </c>
      <c r="I2486" s="1">
        <v>57</v>
      </c>
      <c r="J2486" s="1">
        <v>1800</v>
      </c>
      <c r="K2486" s="1">
        <v>17</v>
      </c>
      <c r="L2486" s="1" t="s">
        <v>35</v>
      </c>
      <c r="M2486" s="1" t="s">
        <v>32</v>
      </c>
      <c r="N2486" s="1" t="str">
        <f t="shared" si="76"/>
        <v>Higher</v>
      </c>
      <c r="O2486" s="1" t="str">
        <f t="shared" si="77"/>
        <v>Mid Career | Medium Spender | Higher</v>
      </c>
    </row>
    <row r="2487" spans="1:15" x14ac:dyDescent="0.25">
      <c r="A2487" s="1" t="s">
        <v>2517</v>
      </c>
      <c r="B2487" s="1">
        <v>48</v>
      </c>
      <c r="C2487" s="1" t="str" cm="1">
        <f t="array" ref="C2487">_xlfn.IFS(OR(B2487=" ", B2487="NA",NOT(ISNUMBER(B2487))), "Unknown",B2487&lt;18,"Underage",B2487&lt;=24,"Young Adult",B2487&lt;=34,"Early Career",B2487&lt;=44,"Mid Career",B2487&lt;=54,"Mature",B2487&lt;=65,"Pre-Senior",B2487&gt;65,"Senior")</f>
        <v>Mature</v>
      </c>
      <c r="E2487" s="1" t="s">
        <v>49</v>
      </c>
      <c r="G2487" s="1">
        <v>79</v>
      </c>
      <c r="H2487" s="1" t="str" cm="1">
        <f t="array" ref="H2487">_xlfn.IFS( OR(G2487=" ",NOT(ISNUMBER(G2487))),"Unknown",G2487&lt;=33,"Low Spender",G2487&lt;=66,"Medium Spender",TRUE, "High Spender")</f>
        <v>High Spender</v>
      </c>
      <c r="I2487" s="1">
        <v>71</v>
      </c>
      <c r="J2487" s="1">
        <v>500</v>
      </c>
      <c r="K2487" s="1">
        <v>261</v>
      </c>
      <c r="L2487" s="1" t="s">
        <v>20</v>
      </c>
      <c r="M2487" s="1" t="s">
        <v>30</v>
      </c>
      <c r="N2487" s="1" t="str">
        <f t="shared" si="76"/>
        <v>Lower</v>
      </c>
      <c r="O2487" s="1" t="str">
        <f t="shared" si="77"/>
        <v>Mature | High Spender | Lower</v>
      </c>
    </row>
    <row r="2488" spans="1:15" x14ac:dyDescent="0.25">
      <c r="A2488" s="1" t="s">
        <v>2518</v>
      </c>
      <c r="B2488" s="1">
        <v>33</v>
      </c>
      <c r="C2488" s="1" t="str" cm="1">
        <f t="array" ref="C2488">_xlfn.IFS(OR(B2488=" ", B2488="NA",NOT(ISNUMBER(B2488))), "Unknown",B2488&lt;18,"Underage",B2488&lt;=24,"Young Adult",B2488&lt;=34,"Early Career",B2488&lt;=44,"Mid Career",B2488&lt;=54,"Mature",B2488&lt;=65,"Pre-Senior",B2488&gt;65,"Senior")</f>
        <v>Early Career</v>
      </c>
      <c r="D2488" s="1" t="s">
        <v>29</v>
      </c>
      <c r="E2488" s="1" t="s">
        <v>13</v>
      </c>
      <c r="F2488" s="1">
        <v>475000</v>
      </c>
      <c r="G2488" s="1">
        <v>28</v>
      </c>
      <c r="H2488" s="1" t="str" cm="1">
        <f t="array" ref="H2488">_xlfn.IFS( OR(G2488=" ",NOT(ISNUMBER(G2488))),"Unknown",G2488&lt;=33,"Low Spender",G2488&lt;=66,"Medium Spender",TRUE, "High Spender")</f>
        <v>Low Spender</v>
      </c>
      <c r="I2488" s="1">
        <v>37</v>
      </c>
      <c r="J2488" s="1">
        <v>1100</v>
      </c>
      <c r="K2488" s="1">
        <v>213</v>
      </c>
      <c r="L2488" s="1" t="s">
        <v>35</v>
      </c>
      <c r="M2488" s="1" t="s">
        <v>21</v>
      </c>
      <c r="N2488" s="1" t="str">
        <f t="shared" si="76"/>
        <v>Higher</v>
      </c>
      <c r="O2488" s="1" t="str">
        <f t="shared" si="77"/>
        <v>Early Career | Low Spender | Higher</v>
      </c>
    </row>
    <row r="2489" spans="1:15" x14ac:dyDescent="0.25">
      <c r="A2489" s="1" t="s">
        <v>2519</v>
      </c>
      <c r="B2489" s="1">
        <v>31</v>
      </c>
      <c r="C2489" s="1" t="str" cm="1">
        <f t="array" ref="C2489">_xlfn.IFS(OR(B2489=" ", B2489="NA",NOT(ISNUMBER(B2489))), "Unknown",B2489&lt;18,"Underage",B2489&lt;=24,"Young Adult",B2489&lt;=34,"Early Career",B2489&lt;=44,"Mid Career",B2489&lt;=54,"Mature",B2489&lt;=65,"Pre-Senior",B2489&gt;65,"Senior")</f>
        <v>Early Career</v>
      </c>
      <c r="D2489" s="1" t="s">
        <v>29</v>
      </c>
      <c r="E2489" s="1" t="s">
        <v>49</v>
      </c>
      <c r="F2489" s="1">
        <v>1700000</v>
      </c>
      <c r="G2489" s="1">
        <v>99</v>
      </c>
      <c r="H2489" s="1" t="str" cm="1">
        <f t="array" ref="H2489">_xlfn.IFS( OR(G2489=" ",NOT(ISNUMBER(G2489))),"Unknown",G2489&lt;=33,"Low Spender",G2489&lt;=66,"Medium Spender",TRUE, "High Spender")</f>
        <v>High Spender</v>
      </c>
      <c r="I2489" s="1">
        <v>75</v>
      </c>
      <c r="J2489" s="1">
        <v>4900</v>
      </c>
      <c r="K2489" s="1">
        <v>313</v>
      </c>
      <c r="L2489" s="1" t="s">
        <v>37</v>
      </c>
      <c r="M2489" s="1" t="s">
        <v>21</v>
      </c>
      <c r="N2489" s="1" t="str">
        <f t="shared" si="76"/>
        <v>Higher</v>
      </c>
      <c r="O2489" s="1" t="str">
        <f t="shared" si="77"/>
        <v>Early Career | High Spender | Higher</v>
      </c>
    </row>
    <row r="2490" spans="1:15" x14ac:dyDescent="0.25">
      <c r="A2490" s="1" t="s">
        <v>2520</v>
      </c>
      <c r="C2490" s="1" t="str" cm="1">
        <f t="array" ref="C2490">_xlfn.IFS(OR(B2490=" ", B2490="NA",NOT(ISNUMBER(B2490))), "Unknown",B2490&lt;18,"Underage",B2490&lt;=24,"Young Adult",B2490&lt;=34,"Early Career",B2490&lt;=44,"Mid Career",B2490&lt;=54,"Mature",B2490&lt;=65,"Pre-Senior",B2490&gt;65,"Senior")</f>
        <v>Unknown</v>
      </c>
      <c r="F2490" s="1">
        <v>1925000</v>
      </c>
      <c r="G2490" s="1">
        <v>7</v>
      </c>
      <c r="H2490" s="1" t="str" cm="1">
        <f t="array" ref="H2490">_xlfn.IFS( OR(G2490=" ",NOT(ISNUMBER(G2490))),"Unknown",G2490&lt;=33,"Low Spender",G2490&lt;=66,"Medium Spender",TRUE, "High Spender")</f>
        <v>Low Spender</v>
      </c>
      <c r="I2490" s="1">
        <v>74</v>
      </c>
      <c r="J2490" s="1">
        <v>8700</v>
      </c>
      <c r="K2490" s="1">
        <v>256</v>
      </c>
      <c r="M2490" s="1" t="s">
        <v>21</v>
      </c>
      <c r="N2490" s="1" t="str">
        <f t="shared" si="76"/>
        <v>Lower</v>
      </c>
      <c r="O2490" s="1" t="str">
        <f t="shared" si="77"/>
        <v>Unknown | Low Spender | Lower</v>
      </c>
    </row>
    <row r="2491" spans="1:15" x14ac:dyDescent="0.25">
      <c r="A2491" s="1" t="s">
        <v>2521</v>
      </c>
      <c r="B2491" s="1">
        <v>65</v>
      </c>
      <c r="C2491" s="1" t="str" cm="1">
        <f t="array" ref="C2491">_xlfn.IFS(OR(B2491=" ", B2491="NA",NOT(ISNUMBER(B2491))), "Unknown",B2491&lt;18,"Underage",B2491&lt;=24,"Young Adult",B2491&lt;=34,"Early Career",B2491&lt;=44,"Mid Career",B2491&lt;=54,"Mature",B2491&lt;=65,"Pre-Senior",B2491&gt;65,"Senior")</f>
        <v>Pre-Senior</v>
      </c>
      <c r="D2491" s="1" t="s">
        <v>18</v>
      </c>
      <c r="F2491" s="1">
        <v>200000</v>
      </c>
      <c r="G2491" s="1">
        <v>62</v>
      </c>
      <c r="H2491" s="1" t="str" cm="1">
        <f t="array" ref="H2491">_xlfn.IFS( OR(G2491=" ",NOT(ISNUMBER(G2491))),"Unknown",G2491&lt;=33,"Low Spender",G2491&lt;=66,"Medium Spender",TRUE, "High Spender")</f>
        <v>Medium Spender</v>
      </c>
      <c r="I2491" s="1">
        <v>55</v>
      </c>
      <c r="J2491" s="1">
        <v>11600</v>
      </c>
      <c r="K2491" s="1">
        <v>216</v>
      </c>
      <c r="L2491" s="1" t="s">
        <v>35</v>
      </c>
      <c r="M2491" s="1" t="s">
        <v>21</v>
      </c>
      <c r="N2491" s="1" t="str">
        <f t="shared" si="76"/>
        <v>Higher</v>
      </c>
      <c r="O2491" s="1" t="str">
        <f t="shared" si="77"/>
        <v>Pre-Senior | Medium Spender | Higher</v>
      </c>
    </row>
    <row r="2492" spans="1:15" x14ac:dyDescent="0.25">
      <c r="A2492" s="1" t="s">
        <v>2522</v>
      </c>
      <c r="B2492" s="1">
        <v>22</v>
      </c>
      <c r="C2492" s="1" t="str" cm="1">
        <f t="array" ref="C2492">_xlfn.IFS(OR(B2492=" ", B2492="NA",NOT(ISNUMBER(B2492))), "Unknown",B2492&lt;18,"Underage",B2492&lt;=24,"Young Adult",B2492&lt;=34,"Early Career",B2492&lt;=44,"Mid Career",B2492&lt;=54,"Mature",B2492&lt;=65,"Pre-Senior",B2492&gt;65,"Senior")</f>
        <v>Young Adult</v>
      </c>
      <c r="E2492" s="1" t="s">
        <v>49</v>
      </c>
      <c r="F2492" s="1">
        <v>825000</v>
      </c>
      <c r="G2492" s="1">
        <v>51</v>
      </c>
      <c r="H2492" s="1" t="str" cm="1">
        <f t="array" ref="H2492">_xlfn.IFS( OR(G2492=" ",NOT(ISNUMBER(G2492))),"Unknown",G2492&lt;=33,"Low Spender",G2492&lt;=66,"Medium Spender",TRUE, "High Spender")</f>
        <v>Medium Spender</v>
      </c>
      <c r="I2492" s="1">
        <v>41</v>
      </c>
      <c r="J2492" s="1">
        <v>9600</v>
      </c>
      <c r="K2492" s="1">
        <v>351</v>
      </c>
      <c r="N2492" s="1" t="str">
        <f t="shared" si="76"/>
        <v>Lower</v>
      </c>
      <c r="O2492" s="1" t="str">
        <f t="shared" si="77"/>
        <v>Young Adult | Medium Spender | Lower</v>
      </c>
    </row>
    <row r="2493" spans="1:15" x14ac:dyDescent="0.25">
      <c r="A2493" s="1" t="s">
        <v>2523</v>
      </c>
      <c r="B2493" s="1">
        <v>58</v>
      </c>
      <c r="C2493" s="1" t="str" cm="1">
        <f t="array" ref="C2493">_xlfn.IFS(OR(B2493=" ", B2493="NA",NOT(ISNUMBER(B2493))), "Unknown",B2493&lt;18,"Underage",B2493&lt;=24,"Young Adult",B2493&lt;=34,"Early Career",B2493&lt;=44,"Mid Career",B2493&lt;=54,"Mature",B2493&lt;=65,"Pre-Senior",B2493&gt;65,"Senior")</f>
        <v>Pre-Senior</v>
      </c>
      <c r="D2493" s="1" t="s">
        <v>29</v>
      </c>
      <c r="E2493" s="1" t="s">
        <v>49</v>
      </c>
      <c r="F2493" s="1">
        <v>850000</v>
      </c>
      <c r="G2493" s="1">
        <v>46</v>
      </c>
      <c r="H2493" s="1" t="str" cm="1">
        <f t="array" ref="H2493">_xlfn.IFS( OR(G2493=" ",NOT(ISNUMBER(G2493))),"Unknown",G2493&lt;=33,"Low Spender",G2493&lt;=66,"Medium Spender",TRUE, "High Spender")</f>
        <v>Medium Spender</v>
      </c>
      <c r="I2493" s="1">
        <v>20</v>
      </c>
      <c r="J2493" s="1">
        <v>9600</v>
      </c>
      <c r="K2493" s="1">
        <v>286</v>
      </c>
      <c r="M2493" s="1" t="s">
        <v>30</v>
      </c>
      <c r="N2493" s="1" t="str">
        <f t="shared" si="76"/>
        <v>Higher</v>
      </c>
      <c r="O2493" s="1" t="str">
        <f t="shared" si="77"/>
        <v>Pre-Senior | Medium Spender | Higher</v>
      </c>
    </row>
    <row r="2494" spans="1:15" x14ac:dyDescent="0.25">
      <c r="A2494" s="1" t="s">
        <v>2524</v>
      </c>
      <c r="B2494" s="1">
        <v>43</v>
      </c>
      <c r="C2494" s="1" t="str" cm="1">
        <f t="array" ref="C2494">_xlfn.IFS(OR(B2494=" ", B2494="NA",NOT(ISNUMBER(B2494))), "Unknown",B2494&lt;18,"Underage",B2494&lt;=24,"Young Adult",B2494&lt;=34,"Early Career",B2494&lt;=44,"Mid Career",B2494&lt;=54,"Mature",B2494&lt;=65,"Pre-Senior",B2494&gt;65,"Senior")</f>
        <v>Mid Career</v>
      </c>
      <c r="D2494" s="1" t="s">
        <v>29</v>
      </c>
      <c r="E2494" s="1" t="s">
        <v>13</v>
      </c>
      <c r="F2494" s="1">
        <v>575000</v>
      </c>
      <c r="G2494" s="1">
        <v>20</v>
      </c>
      <c r="H2494" s="1" t="str" cm="1">
        <f t="array" ref="H2494">_xlfn.IFS( OR(G2494=" ",NOT(ISNUMBER(G2494))),"Unknown",G2494&lt;=33,"Low Spender",G2494&lt;=66,"Medium Spender",TRUE, "High Spender")</f>
        <v>Low Spender</v>
      </c>
      <c r="I2494" s="1">
        <v>33</v>
      </c>
      <c r="J2494" s="1">
        <v>4400</v>
      </c>
      <c r="K2494" s="1">
        <v>7</v>
      </c>
      <c r="M2494" s="1" t="s">
        <v>32</v>
      </c>
      <c r="N2494" s="1" t="str">
        <f t="shared" si="76"/>
        <v>Higher</v>
      </c>
      <c r="O2494" s="1" t="str">
        <f t="shared" si="77"/>
        <v>Mid Career | Low Spender | Higher</v>
      </c>
    </row>
    <row r="2495" spans="1:15" x14ac:dyDescent="0.25">
      <c r="A2495" s="1" t="s">
        <v>2525</v>
      </c>
      <c r="B2495" s="1">
        <v>45</v>
      </c>
      <c r="C2495" s="1" t="str" cm="1">
        <f t="array" ref="C2495">_xlfn.IFS(OR(B2495=" ", B2495="NA",NOT(ISNUMBER(B2495))), "Unknown",B2495&lt;18,"Underage",B2495&lt;=24,"Young Adult",B2495&lt;=34,"Early Career",B2495&lt;=44,"Mid Career",B2495&lt;=54,"Mature",B2495&lt;=65,"Pre-Senior",B2495&gt;65,"Senior")</f>
        <v>Mature</v>
      </c>
      <c r="E2495" s="1" t="s">
        <v>34</v>
      </c>
      <c r="F2495" s="1">
        <v>1000000</v>
      </c>
      <c r="G2495" s="1">
        <v>96</v>
      </c>
      <c r="H2495" s="1" t="str" cm="1">
        <f t="array" ref="H2495">_xlfn.IFS( OR(G2495=" ",NOT(ISNUMBER(G2495))),"Unknown",G2495&lt;=33,"Low Spender",G2495&lt;=66,"Medium Spender",TRUE, "High Spender")</f>
        <v>High Spender</v>
      </c>
      <c r="I2495" s="1">
        <v>40</v>
      </c>
      <c r="J2495" s="1">
        <v>4400</v>
      </c>
      <c r="K2495" s="1">
        <v>199</v>
      </c>
      <c r="M2495" s="1" t="s">
        <v>30</v>
      </c>
      <c r="N2495" s="1" t="str">
        <f t="shared" si="76"/>
        <v>Lower</v>
      </c>
      <c r="O2495" s="1" t="str">
        <f t="shared" si="77"/>
        <v>Mature | High Spender | Lower</v>
      </c>
    </row>
    <row r="2496" spans="1:15" x14ac:dyDescent="0.25">
      <c r="A2496" s="1" t="s">
        <v>2526</v>
      </c>
      <c r="B2496" s="1">
        <v>19</v>
      </c>
      <c r="C2496" s="1" t="str" cm="1">
        <f t="array" ref="C2496">_xlfn.IFS(OR(B2496=" ", B2496="NA",NOT(ISNUMBER(B2496))), "Unknown",B2496&lt;18,"Underage",B2496&lt;=24,"Young Adult",B2496&lt;=34,"Early Career",B2496&lt;=44,"Mid Career",B2496&lt;=54,"Mature",B2496&lt;=65,"Pre-Senior",B2496&gt;65,"Senior")</f>
        <v>Young Adult</v>
      </c>
      <c r="D2496" s="1" t="s">
        <v>18</v>
      </c>
      <c r="E2496" s="1" t="s">
        <v>58</v>
      </c>
      <c r="F2496" s="1" t="s">
        <v>25</v>
      </c>
      <c r="G2496" s="1">
        <v>38</v>
      </c>
      <c r="H2496" s="1" t="str" cm="1">
        <f t="array" ref="H2496">_xlfn.IFS( OR(G2496=" ",NOT(ISNUMBER(G2496))),"Unknown",G2496&lt;=33,"Low Spender",G2496&lt;=66,"Medium Spender",TRUE, "High Spender")</f>
        <v>Medium Spender</v>
      </c>
      <c r="I2496" s="1">
        <v>34</v>
      </c>
      <c r="J2496" s="1">
        <v>9800</v>
      </c>
      <c r="K2496" s="1">
        <v>91</v>
      </c>
      <c r="L2496" s="1" t="s">
        <v>37</v>
      </c>
      <c r="M2496" s="1" t="s">
        <v>32</v>
      </c>
      <c r="N2496" s="1" t="str">
        <f t="shared" si="76"/>
        <v>Higher</v>
      </c>
      <c r="O2496" s="1" t="str">
        <f t="shared" si="77"/>
        <v>Young Adult | Medium Spender | Higher</v>
      </c>
    </row>
    <row r="2497" spans="1:15" x14ac:dyDescent="0.25">
      <c r="A2497" s="1" t="s">
        <v>2527</v>
      </c>
      <c r="B2497" s="1">
        <v>67</v>
      </c>
      <c r="C2497" s="1" t="str" cm="1">
        <f t="array" ref="C2497">_xlfn.IFS(OR(B2497=" ", B2497="NA",NOT(ISNUMBER(B2497))), "Unknown",B2497&lt;18,"Underage",B2497&lt;=24,"Young Adult",B2497&lt;=34,"Early Career",B2497&lt;=44,"Mid Career",B2497&lt;=54,"Mature",B2497&lt;=65,"Pre-Senior",B2497&gt;65,"Senior")</f>
        <v>Senior</v>
      </c>
      <c r="D2497" s="1" t="s">
        <v>29</v>
      </c>
      <c r="E2497" s="1" t="s">
        <v>23</v>
      </c>
      <c r="G2497" s="1">
        <v>61</v>
      </c>
      <c r="H2497" s="1" t="str" cm="1">
        <f t="array" ref="H2497">_xlfn.IFS( OR(G2497=" ",NOT(ISNUMBER(G2497))),"Unknown",G2497&lt;=33,"Low Spender",G2497&lt;=66,"Medium Spender",TRUE, "High Spender")</f>
        <v>Medium Spender</v>
      </c>
      <c r="I2497" s="1">
        <v>62</v>
      </c>
      <c r="J2497" s="1">
        <v>2500</v>
      </c>
      <c r="K2497" s="1">
        <v>147</v>
      </c>
      <c r="L2497" s="1" t="s">
        <v>20</v>
      </c>
      <c r="M2497" s="1" t="s">
        <v>21</v>
      </c>
      <c r="N2497" s="1" t="str">
        <f t="shared" si="76"/>
        <v>Higher</v>
      </c>
      <c r="O2497" s="1" t="str">
        <f t="shared" si="77"/>
        <v>Senior | Medium Spender | Higher</v>
      </c>
    </row>
    <row r="2498" spans="1:15" x14ac:dyDescent="0.25">
      <c r="A2498" s="1" t="s">
        <v>2528</v>
      </c>
      <c r="B2498" s="1">
        <v>23</v>
      </c>
      <c r="C2498" s="1" t="str" cm="1">
        <f t="array" ref="C2498">_xlfn.IFS(OR(B2498=" ", B2498="NA",NOT(ISNUMBER(B2498))), "Unknown",B2498&lt;18,"Underage",B2498&lt;=24,"Young Adult",B2498&lt;=34,"Early Career",B2498&lt;=44,"Mid Career",B2498&lt;=54,"Mature",B2498&lt;=65,"Pre-Senior",B2498&gt;65,"Senior")</f>
        <v>Young Adult</v>
      </c>
      <c r="F2498" s="1">
        <v>1300000</v>
      </c>
      <c r="G2498" s="1">
        <v>32</v>
      </c>
      <c r="H2498" s="1" t="str" cm="1">
        <f t="array" ref="H2498">_xlfn.IFS( OR(G2498=" ",NOT(ISNUMBER(G2498))),"Unknown",G2498&lt;=33,"Low Spender",G2498&lt;=66,"Medium Spender",TRUE, "High Spender")</f>
        <v>Low Spender</v>
      </c>
      <c r="I2498" s="1">
        <v>19</v>
      </c>
      <c r="J2498" s="1">
        <v>500</v>
      </c>
      <c r="K2498" s="1">
        <v>150</v>
      </c>
      <c r="L2498" s="1" t="s">
        <v>37</v>
      </c>
      <c r="N2498" s="1" t="str">
        <f t="shared" ref="N2498:N2561" si="78">IF(OR(UPPER(TRIM(D2498))="Male",UPPER(TRIM(D2498))="Female"),"Higher","Lower")</f>
        <v>Lower</v>
      </c>
      <c r="O2498" s="1" t="str">
        <f t="shared" ref="O2498:O2561" si="79">_xlfn.TEXTJOIN(" | ", TRUE, C2498, H2498, N2498)</f>
        <v>Young Adult | Low Spender | Lower</v>
      </c>
    </row>
    <row r="2499" spans="1:15" x14ac:dyDescent="0.25">
      <c r="A2499" s="1" t="s">
        <v>2529</v>
      </c>
      <c r="B2499" s="1">
        <v>26</v>
      </c>
      <c r="C2499" s="1" t="str" cm="1">
        <f t="array" ref="C2499">_xlfn.IFS(OR(B2499=" ", B2499="NA",NOT(ISNUMBER(B2499))), "Unknown",B2499&lt;18,"Underage",B2499&lt;=24,"Young Adult",B2499&lt;=34,"Early Career",B2499&lt;=44,"Mid Career",B2499&lt;=54,"Mature",B2499&lt;=65,"Pre-Senior",B2499&gt;65,"Senior")</f>
        <v>Early Career</v>
      </c>
      <c r="D2499" s="1" t="s">
        <v>18</v>
      </c>
      <c r="E2499" s="1" t="s">
        <v>58</v>
      </c>
      <c r="F2499" s="1">
        <v>250000</v>
      </c>
      <c r="G2499" s="1">
        <v>26</v>
      </c>
      <c r="H2499" s="1" t="str" cm="1">
        <f t="array" ref="H2499">_xlfn.IFS( OR(G2499=" ",NOT(ISNUMBER(G2499))),"Unknown",G2499&lt;=33,"Low Spender",G2499&lt;=66,"Medium Spender",TRUE, "High Spender")</f>
        <v>Low Spender</v>
      </c>
      <c r="I2499" s="1">
        <v>43</v>
      </c>
      <c r="J2499" s="1">
        <v>300</v>
      </c>
      <c r="K2499" s="1">
        <v>52</v>
      </c>
      <c r="L2499" s="1" t="s">
        <v>20</v>
      </c>
      <c r="M2499" s="1" t="s">
        <v>41</v>
      </c>
      <c r="N2499" s="1" t="str">
        <f t="shared" si="78"/>
        <v>Higher</v>
      </c>
      <c r="O2499" s="1" t="str">
        <f t="shared" si="79"/>
        <v>Early Career | Low Spender | Higher</v>
      </c>
    </row>
    <row r="2500" spans="1:15" x14ac:dyDescent="0.25">
      <c r="A2500" s="1" t="s">
        <v>2530</v>
      </c>
      <c r="B2500" s="1">
        <v>50</v>
      </c>
      <c r="C2500" s="1" t="str" cm="1">
        <f t="array" ref="C2500">_xlfn.IFS(OR(B2500=" ", B2500="NA",NOT(ISNUMBER(B2500))), "Unknown",B2500&lt;18,"Underage",B2500&lt;=24,"Young Adult",B2500&lt;=34,"Early Career",B2500&lt;=44,"Mid Career",B2500&lt;=54,"Mature",B2500&lt;=65,"Pre-Senior",B2500&gt;65,"Senior")</f>
        <v>Mature</v>
      </c>
      <c r="E2500" s="1" t="s">
        <v>49</v>
      </c>
      <c r="G2500" s="1">
        <v>58</v>
      </c>
      <c r="H2500" s="1" t="str" cm="1">
        <f t="array" ref="H2500">_xlfn.IFS( OR(G2500=" ",NOT(ISNUMBER(G2500))),"Unknown",G2500&lt;=33,"Low Spender",G2500&lt;=66,"Medium Spender",TRUE, "High Spender")</f>
        <v>Medium Spender</v>
      </c>
      <c r="I2500" s="1">
        <v>69</v>
      </c>
      <c r="J2500" s="1">
        <v>6900</v>
      </c>
      <c r="K2500" s="1">
        <v>243</v>
      </c>
      <c r="L2500" s="1" t="s">
        <v>16</v>
      </c>
      <c r="M2500" s="1" t="s">
        <v>41</v>
      </c>
      <c r="N2500" s="1" t="str">
        <f t="shared" si="78"/>
        <v>Lower</v>
      </c>
      <c r="O2500" s="1" t="str">
        <f t="shared" si="79"/>
        <v>Mature | Medium Spender | Lower</v>
      </c>
    </row>
    <row r="2501" spans="1:15" x14ac:dyDescent="0.25">
      <c r="A2501" s="1" t="s">
        <v>2531</v>
      </c>
      <c r="B2501" s="1">
        <v>58</v>
      </c>
      <c r="C2501" s="1" t="str" cm="1">
        <f t="array" ref="C2501">_xlfn.IFS(OR(B2501=" ", B2501="NA",NOT(ISNUMBER(B2501))), "Unknown",B2501&lt;18,"Underage",B2501&lt;=24,"Young Adult",B2501&lt;=34,"Early Career",B2501&lt;=44,"Mid Career",B2501&lt;=54,"Mature",B2501&lt;=65,"Pre-Senior",B2501&gt;65,"Senior")</f>
        <v>Pre-Senior</v>
      </c>
      <c r="E2501" s="1" t="s">
        <v>13</v>
      </c>
      <c r="F2501" s="1">
        <v>1600000</v>
      </c>
      <c r="G2501" s="1">
        <v>39</v>
      </c>
      <c r="H2501" s="1" t="str" cm="1">
        <f t="array" ref="H2501">_xlfn.IFS( OR(G2501=" ",NOT(ISNUMBER(G2501))),"Unknown",G2501&lt;=33,"Low Spender",G2501&lt;=66,"Medium Spender",TRUE, "High Spender")</f>
        <v>Medium Spender</v>
      </c>
      <c r="I2501" s="1">
        <v>63</v>
      </c>
      <c r="J2501" s="1">
        <v>10300</v>
      </c>
      <c r="K2501" s="1">
        <v>219</v>
      </c>
      <c r="N2501" s="1" t="str">
        <f t="shared" si="78"/>
        <v>Lower</v>
      </c>
      <c r="O2501" s="1" t="str">
        <f t="shared" si="79"/>
        <v>Pre-Senior | Medium Spender | Lower</v>
      </c>
    </row>
    <row r="2502" spans="1:15" x14ac:dyDescent="0.25">
      <c r="A2502" s="1" t="s">
        <v>2532</v>
      </c>
      <c r="B2502" s="1">
        <v>42</v>
      </c>
      <c r="C2502" s="1" t="str" cm="1">
        <f t="array" ref="C2502">_xlfn.IFS(OR(B2502=" ", B2502="NA",NOT(ISNUMBER(B2502))), "Unknown",B2502&lt;18,"Underage",B2502&lt;=24,"Young Adult",B2502&lt;=34,"Early Career",B2502&lt;=44,"Mid Career",B2502&lt;=54,"Mature",B2502&lt;=65,"Pre-Senior",B2502&gt;65,"Senior")</f>
        <v>Mid Career</v>
      </c>
      <c r="D2502" s="1" t="s">
        <v>18</v>
      </c>
      <c r="E2502" s="1" t="s">
        <v>27</v>
      </c>
      <c r="G2502" s="1">
        <v>20</v>
      </c>
      <c r="H2502" s="1" t="str" cm="1">
        <f t="array" ref="H2502">_xlfn.IFS( OR(G2502=" ",NOT(ISNUMBER(G2502))),"Unknown",G2502&lt;=33,"Low Spender",G2502&lt;=66,"Medium Spender",TRUE, "High Spender")</f>
        <v>Low Spender</v>
      </c>
      <c r="I2502" s="1">
        <v>10</v>
      </c>
      <c r="J2502" s="1">
        <v>7300</v>
      </c>
      <c r="K2502" s="1">
        <v>6</v>
      </c>
      <c r="M2502" s="1" t="s">
        <v>21</v>
      </c>
      <c r="N2502" s="1" t="str">
        <f t="shared" si="78"/>
        <v>Higher</v>
      </c>
      <c r="O2502" s="1" t="str">
        <f t="shared" si="79"/>
        <v>Mid Career | Low Spender | Higher</v>
      </c>
    </row>
    <row r="2503" spans="1:15" x14ac:dyDescent="0.25">
      <c r="A2503" s="1" t="s">
        <v>2533</v>
      </c>
      <c r="B2503" s="1">
        <v>65</v>
      </c>
      <c r="C2503" s="1" t="str" cm="1">
        <f t="array" ref="C2503">_xlfn.IFS(OR(B2503=" ", B2503="NA",NOT(ISNUMBER(B2503))), "Unknown",B2503&lt;18,"Underage",B2503&lt;=24,"Young Adult",B2503&lt;=34,"Early Career",B2503&lt;=44,"Mid Career",B2503&lt;=54,"Mature",B2503&lt;=65,"Pre-Senior",B2503&gt;65,"Senior")</f>
        <v>Pre-Senior</v>
      </c>
      <c r="E2503" s="1" t="s">
        <v>13</v>
      </c>
      <c r="F2503" s="1">
        <v>1600000</v>
      </c>
      <c r="G2503" s="1">
        <v>82</v>
      </c>
      <c r="H2503" s="1" t="str" cm="1">
        <f t="array" ref="H2503">_xlfn.IFS( OR(G2503=" ",NOT(ISNUMBER(G2503))),"Unknown",G2503&lt;=33,"Low Spender",G2503&lt;=66,"Medium Spender",TRUE, "High Spender")</f>
        <v>High Spender</v>
      </c>
      <c r="I2503" s="1">
        <v>13</v>
      </c>
      <c r="J2503" s="1">
        <v>500</v>
      </c>
      <c r="K2503" s="1">
        <v>109</v>
      </c>
      <c r="M2503" s="1" t="s">
        <v>21</v>
      </c>
      <c r="N2503" s="1" t="str">
        <f t="shared" si="78"/>
        <v>Lower</v>
      </c>
      <c r="O2503" s="1" t="str">
        <f t="shared" si="79"/>
        <v>Pre-Senior | High Spender | Lower</v>
      </c>
    </row>
    <row r="2504" spans="1:15" x14ac:dyDescent="0.25">
      <c r="A2504" s="1" t="s">
        <v>2534</v>
      </c>
      <c r="B2504" s="1">
        <v>30</v>
      </c>
      <c r="C2504" s="1" t="str" cm="1">
        <f t="array" ref="C2504">_xlfn.IFS(OR(B2504=" ", B2504="NA",NOT(ISNUMBER(B2504))), "Unknown",B2504&lt;18,"Underage",B2504&lt;=24,"Young Adult",B2504&lt;=34,"Early Career",B2504&lt;=44,"Mid Career",B2504&lt;=54,"Mature",B2504&lt;=65,"Pre-Senior",B2504&gt;65,"Senior")</f>
        <v>Early Career</v>
      </c>
      <c r="D2504" s="1" t="s">
        <v>29</v>
      </c>
      <c r="E2504" s="1" t="s">
        <v>15</v>
      </c>
      <c r="F2504" s="1">
        <v>1300000</v>
      </c>
      <c r="G2504" s="1">
        <v>50</v>
      </c>
      <c r="H2504" s="1" t="str" cm="1">
        <f t="array" ref="H2504">_xlfn.IFS( OR(G2504=" ",NOT(ISNUMBER(G2504))),"Unknown",G2504&lt;=33,"Low Spender",G2504&lt;=66,"Medium Spender",TRUE, "High Spender")</f>
        <v>Medium Spender</v>
      </c>
      <c r="I2504" s="1">
        <v>5</v>
      </c>
      <c r="J2504" s="1">
        <v>10200</v>
      </c>
      <c r="K2504" s="1">
        <v>351</v>
      </c>
      <c r="M2504" s="1" t="s">
        <v>30</v>
      </c>
      <c r="N2504" s="1" t="str">
        <f t="shared" si="78"/>
        <v>Higher</v>
      </c>
      <c r="O2504" s="1" t="str">
        <f t="shared" si="79"/>
        <v>Early Career | Medium Spender | Higher</v>
      </c>
    </row>
    <row r="2505" spans="1:15" x14ac:dyDescent="0.25">
      <c r="A2505" s="1" t="s">
        <v>2535</v>
      </c>
      <c r="B2505" s="1">
        <v>26</v>
      </c>
      <c r="C2505" s="1" t="str" cm="1">
        <f t="array" ref="C2505">_xlfn.IFS(OR(B2505=" ", B2505="NA",NOT(ISNUMBER(B2505))), "Unknown",B2505&lt;18,"Underage",B2505&lt;=24,"Young Adult",B2505&lt;=34,"Early Career",B2505&lt;=44,"Mid Career",B2505&lt;=54,"Mature",B2505&lt;=65,"Pre-Senior",B2505&gt;65,"Senior")</f>
        <v>Early Career</v>
      </c>
      <c r="D2505" s="1" t="s">
        <v>12</v>
      </c>
      <c r="E2505" s="1" t="s">
        <v>15</v>
      </c>
      <c r="F2505" s="1">
        <v>450000</v>
      </c>
      <c r="G2505" s="1">
        <v>79</v>
      </c>
      <c r="H2505" s="1" t="str" cm="1">
        <f t="array" ref="H2505">_xlfn.IFS( OR(G2505=" ",NOT(ISNUMBER(G2505))),"Unknown",G2505&lt;=33,"Low Spender",G2505&lt;=66,"Medium Spender",TRUE, "High Spender")</f>
        <v>High Spender</v>
      </c>
      <c r="I2505" s="1">
        <v>58</v>
      </c>
      <c r="J2505" s="1">
        <v>5100</v>
      </c>
      <c r="K2505" s="1">
        <v>66</v>
      </c>
      <c r="N2505" s="1" t="str">
        <f t="shared" si="78"/>
        <v>Lower</v>
      </c>
      <c r="O2505" s="1" t="str">
        <f t="shared" si="79"/>
        <v>Early Career | High Spender | Lower</v>
      </c>
    </row>
    <row r="2506" spans="1:15" x14ac:dyDescent="0.25">
      <c r="A2506" s="1" t="s">
        <v>2536</v>
      </c>
      <c r="C2506" s="1" t="str" cm="1">
        <f t="array" ref="C2506">_xlfn.IFS(OR(B2506=" ", B2506="NA",NOT(ISNUMBER(B2506))), "Unknown",B2506&lt;18,"Underage",B2506&lt;=24,"Young Adult",B2506&lt;=34,"Early Career",B2506&lt;=44,"Mid Career",B2506&lt;=54,"Mature",B2506&lt;=65,"Pre-Senior",B2506&gt;65,"Senior")</f>
        <v>Unknown</v>
      </c>
      <c r="E2506" s="1" t="s">
        <v>58</v>
      </c>
      <c r="F2506" s="1">
        <v>950000</v>
      </c>
      <c r="G2506" s="1">
        <v>52</v>
      </c>
      <c r="H2506" s="1" t="str" cm="1">
        <f t="array" ref="H2506">_xlfn.IFS( OR(G2506=" ",NOT(ISNUMBER(G2506))),"Unknown",G2506&lt;=33,"Low Spender",G2506&lt;=66,"Medium Spender",TRUE, "High Spender")</f>
        <v>Medium Spender</v>
      </c>
      <c r="I2506" s="1">
        <v>59</v>
      </c>
      <c r="J2506" s="1">
        <v>6900</v>
      </c>
      <c r="K2506" s="1">
        <v>10</v>
      </c>
      <c r="N2506" s="1" t="str">
        <f t="shared" si="78"/>
        <v>Lower</v>
      </c>
      <c r="O2506" s="1" t="str">
        <f t="shared" si="79"/>
        <v>Unknown | Medium Spender | Lower</v>
      </c>
    </row>
    <row r="2507" spans="1:15" x14ac:dyDescent="0.25">
      <c r="A2507" s="1" t="s">
        <v>2537</v>
      </c>
      <c r="B2507" s="1">
        <v>30</v>
      </c>
      <c r="C2507" s="1" t="str" cm="1">
        <f t="array" ref="C2507">_xlfn.IFS(OR(B2507=" ", B2507="NA",NOT(ISNUMBER(B2507))), "Unknown",B2507&lt;18,"Underage",B2507&lt;=24,"Young Adult",B2507&lt;=34,"Early Career",B2507&lt;=44,"Mid Career",B2507&lt;=54,"Mature",B2507&lt;=65,"Pre-Senior",B2507&gt;65,"Senior")</f>
        <v>Early Career</v>
      </c>
      <c r="E2507" s="1" t="s">
        <v>19</v>
      </c>
      <c r="F2507" s="1">
        <v>1675000</v>
      </c>
      <c r="G2507" s="1">
        <v>86</v>
      </c>
      <c r="H2507" s="1" t="str" cm="1">
        <f t="array" ref="H2507">_xlfn.IFS( OR(G2507=" ",NOT(ISNUMBER(G2507))),"Unknown",G2507&lt;=33,"Low Spender",G2507&lt;=66,"Medium Spender",TRUE, "High Spender")</f>
        <v>High Spender</v>
      </c>
      <c r="I2507" s="1">
        <v>76</v>
      </c>
      <c r="J2507" s="1">
        <v>5700</v>
      </c>
      <c r="K2507" s="1">
        <v>202</v>
      </c>
      <c r="L2507" s="1" t="s">
        <v>20</v>
      </c>
      <c r="M2507" s="1" t="s">
        <v>30</v>
      </c>
      <c r="N2507" s="1" t="str">
        <f t="shared" si="78"/>
        <v>Lower</v>
      </c>
      <c r="O2507" s="1" t="str">
        <f t="shared" si="79"/>
        <v>Early Career | High Spender | Lower</v>
      </c>
    </row>
    <row r="2508" spans="1:15" x14ac:dyDescent="0.25">
      <c r="A2508" s="1" t="s">
        <v>2538</v>
      </c>
      <c r="B2508" s="1">
        <v>48</v>
      </c>
      <c r="C2508" s="1" t="str" cm="1">
        <f t="array" ref="C2508">_xlfn.IFS(OR(B2508=" ", B2508="NA",NOT(ISNUMBER(B2508))), "Unknown",B2508&lt;18,"Underage",B2508&lt;=24,"Young Adult",B2508&lt;=34,"Early Career",B2508&lt;=44,"Mid Career",B2508&lt;=54,"Mature",B2508&lt;=65,"Pre-Senior",B2508&gt;65,"Senior")</f>
        <v>Mature</v>
      </c>
      <c r="D2508" s="1" t="s">
        <v>18</v>
      </c>
      <c r="E2508" s="1" t="s">
        <v>15</v>
      </c>
      <c r="F2508" s="1">
        <v>525000</v>
      </c>
      <c r="G2508" s="1">
        <v>22</v>
      </c>
      <c r="H2508" s="1" t="str" cm="1">
        <f t="array" ref="H2508">_xlfn.IFS( OR(G2508=" ",NOT(ISNUMBER(G2508))),"Unknown",G2508&lt;=33,"Low Spender",G2508&lt;=66,"Medium Spender",TRUE, "High Spender")</f>
        <v>Low Spender</v>
      </c>
      <c r="I2508" s="1">
        <v>59</v>
      </c>
      <c r="J2508" s="1">
        <v>600</v>
      </c>
      <c r="K2508" s="1">
        <v>282</v>
      </c>
      <c r="N2508" s="1" t="str">
        <f t="shared" si="78"/>
        <v>Higher</v>
      </c>
      <c r="O2508" s="1" t="str">
        <f t="shared" si="79"/>
        <v>Mature | Low Spender | Higher</v>
      </c>
    </row>
    <row r="2509" spans="1:15" x14ac:dyDescent="0.25">
      <c r="A2509" s="1" t="s">
        <v>2539</v>
      </c>
      <c r="B2509" s="1">
        <v>58</v>
      </c>
      <c r="C2509" s="1" t="str" cm="1">
        <f t="array" ref="C2509">_xlfn.IFS(OR(B2509=" ", B2509="NA",NOT(ISNUMBER(B2509))), "Unknown",B2509&lt;18,"Underage",B2509&lt;=24,"Young Adult",B2509&lt;=34,"Early Career",B2509&lt;=44,"Mid Career",B2509&lt;=54,"Mature",B2509&lt;=65,"Pre-Senior",B2509&gt;65,"Senior")</f>
        <v>Pre-Senior</v>
      </c>
      <c r="D2509" s="1" t="s">
        <v>18</v>
      </c>
      <c r="E2509" s="1" t="s">
        <v>15</v>
      </c>
      <c r="F2509" s="1">
        <v>1225000</v>
      </c>
      <c r="G2509" s="1">
        <v>53</v>
      </c>
      <c r="H2509" s="1" t="str" cm="1">
        <f t="array" ref="H2509">_xlfn.IFS( OR(G2509=" ",NOT(ISNUMBER(G2509))),"Unknown",G2509&lt;=33,"Low Spender",G2509&lt;=66,"Medium Spender",TRUE, "High Spender")</f>
        <v>Medium Spender</v>
      </c>
      <c r="I2509" s="1">
        <v>77</v>
      </c>
      <c r="J2509" s="1">
        <v>3300</v>
      </c>
      <c r="K2509" s="1">
        <v>214</v>
      </c>
      <c r="L2509" s="1" t="s">
        <v>37</v>
      </c>
      <c r="N2509" s="1" t="str">
        <f t="shared" si="78"/>
        <v>Higher</v>
      </c>
      <c r="O2509" s="1" t="str">
        <f t="shared" si="79"/>
        <v>Pre-Senior | Medium Spender | Higher</v>
      </c>
    </row>
    <row r="2510" spans="1:15" x14ac:dyDescent="0.25">
      <c r="A2510" s="1" t="s">
        <v>2540</v>
      </c>
      <c r="B2510" s="1">
        <v>28</v>
      </c>
      <c r="C2510" s="1" t="str" cm="1">
        <f t="array" ref="C2510">_xlfn.IFS(OR(B2510=" ", B2510="NA",NOT(ISNUMBER(B2510))), "Unknown",B2510&lt;18,"Underage",B2510&lt;=24,"Young Adult",B2510&lt;=34,"Early Career",B2510&lt;=44,"Mid Career",B2510&lt;=54,"Mature",B2510&lt;=65,"Pre-Senior",B2510&gt;65,"Senior")</f>
        <v>Early Career</v>
      </c>
      <c r="D2510" s="1" t="s">
        <v>18</v>
      </c>
      <c r="E2510" s="1" t="s">
        <v>34</v>
      </c>
      <c r="F2510" s="1">
        <v>1575000</v>
      </c>
      <c r="G2510" s="1">
        <v>85</v>
      </c>
      <c r="H2510" s="1" t="str" cm="1">
        <f t="array" ref="H2510">_xlfn.IFS( OR(G2510=" ",NOT(ISNUMBER(G2510))),"Unknown",G2510&lt;=33,"Low Spender",G2510&lt;=66,"Medium Spender",TRUE, "High Spender")</f>
        <v>High Spender</v>
      </c>
      <c r="I2510" s="1">
        <v>15</v>
      </c>
      <c r="J2510" s="1">
        <v>6800</v>
      </c>
      <c r="K2510" s="1">
        <v>68</v>
      </c>
      <c r="L2510" s="1" t="s">
        <v>20</v>
      </c>
      <c r="M2510" s="1" t="s">
        <v>41</v>
      </c>
      <c r="N2510" s="1" t="str">
        <f t="shared" si="78"/>
        <v>Higher</v>
      </c>
      <c r="O2510" s="1" t="str">
        <f t="shared" si="79"/>
        <v>Early Career | High Spender | Higher</v>
      </c>
    </row>
    <row r="2511" spans="1:15" x14ac:dyDescent="0.25">
      <c r="A2511" s="1" t="s">
        <v>2541</v>
      </c>
      <c r="B2511" s="1">
        <v>21</v>
      </c>
      <c r="C2511" s="1" t="str" cm="1">
        <f t="array" ref="C2511">_xlfn.IFS(OR(B2511=" ", B2511="NA",NOT(ISNUMBER(B2511))), "Unknown",B2511&lt;18,"Underage",B2511&lt;=24,"Young Adult",B2511&lt;=34,"Early Career",B2511&lt;=44,"Mid Career",B2511&lt;=54,"Mature",B2511&lt;=65,"Pre-Senior",B2511&gt;65,"Senior")</f>
        <v>Young Adult</v>
      </c>
      <c r="D2511" s="1" t="s">
        <v>29</v>
      </c>
      <c r="E2511" s="1" t="s">
        <v>27</v>
      </c>
      <c r="F2511" s="1">
        <v>275000</v>
      </c>
      <c r="G2511" s="1">
        <v>66</v>
      </c>
      <c r="H2511" s="1" t="str" cm="1">
        <f t="array" ref="H2511">_xlfn.IFS( OR(G2511=" ",NOT(ISNUMBER(G2511))),"Unknown",G2511&lt;=33,"Low Spender",G2511&lt;=66,"Medium Spender",TRUE, "High Spender")</f>
        <v>Medium Spender</v>
      </c>
      <c r="I2511" s="1">
        <v>77</v>
      </c>
      <c r="J2511" s="1">
        <v>8000</v>
      </c>
      <c r="K2511" s="1">
        <v>247</v>
      </c>
      <c r="N2511" s="1" t="str">
        <f t="shared" si="78"/>
        <v>Higher</v>
      </c>
      <c r="O2511" s="1" t="str">
        <f t="shared" si="79"/>
        <v>Young Adult | Medium Spender | Higher</v>
      </c>
    </row>
    <row r="2512" spans="1:15" x14ac:dyDescent="0.25">
      <c r="A2512" s="1" t="s">
        <v>2542</v>
      </c>
      <c r="B2512" s="1">
        <v>51</v>
      </c>
      <c r="C2512" s="1" t="str" cm="1">
        <f t="array" ref="C2512">_xlfn.IFS(OR(B2512=" ", B2512="NA",NOT(ISNUMBER(B2512))), "Unknown",B2512&lt;18,"Underage",B2512&lt;=24,"Young Adult",B2512&lt;=34,"Early Career",B2512&lt;=44,"Mid Career",B2512&lt;=54,"Mature",B2512&lt;=65,"Pre-Senior",B2512&gt;65,"Senior")</f>
        <v>Mature</v>
      </c>
      <c r="E2512" s="1" t="s">
        <v>34</v>
      </c>
      <c r="F2512" s="1">
        <v>500000</v>
      </c>
      <c r="G2512" s="1">
        <v>43</v>
      </c>
      <c r="H2512" s="1" t="str" cm="1">
        <f t="array" ref="H2512">_xlfn.IFS( OR(G2512=" ",NOT(ISNUMBER(G2512))),"Unknown",G2512&lt;=33,"Low Spender",G2512&lt;=66,"Medium Spender",TRUE, "High Spender")</f>
        <v>Medium Spender</v>
      </c>
      <c r="I2512" s="1">
        <v>1</v>
      </c>
      <c r="J2512" s="1">
        <v>10300</v>
      </c>
      <c r="K2512" s="1">
        <v>354</v>
      </c>
      <c r="M2512" s="1" t="s">
        <v>21</v>
      </c>
      <c r="N2512" s="1" t="str">
        <f t="shared" si="78"/>
        <v>Lower</v>
      </c>
      <c r="O2512" s="1" t="str">
        <f t="shared" si="79"/>
        <v>Mature | Medium Spender | Lower</v>
      </c>
    </row>
    <row r="2513" spans="1:15" x14ac:dyDescent="0.25">
      <c r="A2513" s="1" t="s">
        <v>2543</v>
      </c>
      <c r="B2513" s="1">
        <v>55</v>
      </c>
      <c r="C2513" s="1" t="str" cm="1">
        <f t="array" ref="C2513">_xlfn.IFS(OR(B2513=" ", B2513="NA",NOT(ISNUMBER(B2513))), "Unknown",B2513&lt;18,"Underage",B2513&lt;=24,"Young Adult",B2513&lt;=34,"Early Career",B2513&lt;=44,"Mid Career",B2513&lt;=54,"Mature",B2513&lt;=65,"Pre-Senior",B2513&gt;65,"Senior")</f>
        <v>Pre-Senior</v>
      </c>
      <c r="D2513" s="1" t="s">
        <v>29</v>
      </c>
      <c r="E2513" s="1" t="s">
        <v>27</v>
      </c>
      <c r="F2513" s="1">
        <v>225000</v>
      </c>
      <c r="G2513" s="1">
        <v>82</v>
      </c>
      <c r="H2513" s="1" t="str" cm="1">
        <f t="array" ref="H2513">_xlfn.IFS( OR(G2513=" ",NOT(ISNUMBER(G2513))),"Unknown",G2513&lt;=33,"Low Spender",G2513&lt;=66,"Medium Spender",TRUE, "High Spender")</f>
        <v>High Spender</v>
      </c>
      <c r="I2513" s="1">
        <v>38</v>
      </c>
      <c r="J2513" s="1">
        <v>6600</v>
      </c>
      <c r="K2513" s="1">
        <v>327</v>
      </c>
      <c r="M2513" s="1" t="s">
        <v>41</v>
      </c>
      <c r="N2513" s="1" t="str">
        <f t="shared" si="78"/>
        <v>Higher</v>
      </c>
      <c r="O2513" s="1" t="str">
        <f t="shared" si="79"/>
        <v>Pre-Senior | High Spender | Higher</v>
      </c>
    </row>
    <row r="2514" spans="1:15" x14ac:dyDescent="0.25">
      <c r="A2514" s="1" t="s">
        <v>2544</v>
      </c>
      <c r="B2514" s="1">
        <v>63</v>
      </c>
      <c r="C2514" s="1" t="str" cm="1">
        <f t="array" ref="C2514">_xlfn.IFS(OR(B2514=" ", B2514="NA",NOT(ISNUMBER(B2514))), "Unknown",B2514&lt;18,"Underage",B2514&lt;=24,"Young Adult",B2514&lt;=34,"Early Career",B2514&lt;=44,"Mid Career",B2514&lt;=54,"Mature",B2514&lt;=65,"Pre-Senior",B2514&gt;65,"Senior")</f>
        <v>Pre-Senior</v>
      </c>
      <c r="D2514" s="1" t="s">
        <v>29</v>
      </c>
      <c r="F2514" s="1">
        <v>1525000</v>
      </c>
      <c r="G2514" s="1">
        <v>23</v>
      </c>
      <c r="H2514" s="1" t="str" cm="1">
        <f t="array" ref="H2514">_xlfn.IFS( OR(G2514=" ",NOT(ISNUMBER(G2514))),"Unknown",G2514&lt;=33,"Low Spender",G2514&lt;=66,"Medium Spender",TRUE, "High Spender")</f>
        <v>Low Spender</v>
      </c>
      <c r="I2514" s="1">
        <v>53</v>
      </c>
      <c r="J2514" s="1">
        <v>3300</v>
      </c>
      <c r="K2514" s="1">
        <v>50</v>
      </c>
      <c r="M2514" s="1" t="s">
        <v>21</v>
      </c>
      <c r="N2514" s="1" t="str">
        <f t="shared" si="78"/>
        <v>Higher</v>
      </c>
      <c r="O2514" s="1" t="str">
        <f t="shared" si="79"/>
        <v>Pre-Senior | Low Spender | Higher</v>
      </c>
    </row>
    <row r="2515" spans="1:15" x14ac:dyDescent="0.25">
      <c r="A2515" s="1" t="s">
        <v>2545</v>
      </c>
      <c r="B2515" s="1">
        <v>21</v>
      </c>
      <c r="C2515" s="1" t="str" cm="1">
        <f t="array" ref="C2515">_xlfn.IFS(OR(B2515=" ", B2515="NA",NOT(ISNUMBER(B2515))), "Unknown",B2515&lt;18,"Underage",B2515&lt;=24,"Young Adult",B2515&lt;=34,"Early Career",B2515&lt;=44,"Mid Career",B2515&lt;=54,"Mature",B2515&lt;=65,"Pre-Senior",B2515&gt;65,"Senior")</f>
        <v>Young Adult</v>
      </c>
      <c r="E2515" s="1" t="s">
        <v>23</v>
      </c>
      <c r="F2515" s="1">
        <v>1725000</v>
      </c>
      <c r="G2515" s="1">
        <v>77</v>
      </c>
      <c r="H2515" s="1" t="str" cm="1">
        <f t="array" ref="H2515">_xlfn.IFS( OR(G2515=" ",NOT(ISNUMBER(G2515))),"Unknown",G2515&lt;=33,"Low Spender",G2515&lt;=66,"Medium Spender",TRUE, "High Spender")</f>
        <v>High Spender</v>
      </c>
      <c r="I2515" s="1">
        <v>52</v>
      </c>
      <c r="J2515" s="1">
        <v>11900</v>
      </c>
      <c r="K2515" s="1">
        <v>17</v>
      </c>
      <c r="M2515" s="1" t="s">
        <v>21</v>
      </c>
      <c r="N2515" s="1" t="str">
        <f t="shared" si="78"/>
        <v>Lower</v>
      </c>
      <c r="O2515" s="1" t="str">
        <f t="shared" si="79"/>
        <v>Young Adult | High Spender | Lower</v>
      </c>
    </row>
    <row r="2516" spans="1:15" x14ac:dyDescent="0.25">
      <c r="A2516" s="1" t="s">
        <v>2546</v>
      </c>
      <c r="B2516" s="1">
        <v>55</v>
      </c>
      <c r="C2516" s="1" t="str" cm="1">
        <f t="array" ref="C2516">_xlfn.IFS(OR(B2516=" ", B2516="NA",NOT(ISNUMBER(B2516))), "Unknown",B2516&lt;18,"Underage",B2516&lt;=24,"Young Adult",B2516&lt;=34,"Early Career",B2516&lt;=44,"Mid Career",B2516&lt;=54,"Mature",B2516&lt;=65,"Pre-Senior",B2516&gt;65,"Senior")</f>
        <v>Pre-Senior</v>
      </c>
      <c r="D2516" s="1" t="s">
        <v>18</v>
      </c>
      <c r="F2516" s="1">
        <v>1825000</v>
      </c>
      <c r="G2516" s="1">
        <v>64</v>
      </c>
      <c r="H2516" s="1" t="str" cm="1">
        <f t="array" ref="H2516">_xlfn.IFS( OR(G2516=" ",NOT(ISNUMBER(G2516))),"Unknown",G2516&lt;=33,"Low Spender",G2516&lt;=66,"Medium Spender",TRUE, "High Spender")</f>
        <v>Medium Spender</v>
      </c>
      <c r="I2516" s="1">
        <v>1</v>
      </c>
      <c r="J2516" s="1">
        <v>6500</v>
      </c>
      <c r="K2516" s="1">
        <v>11</v>
      </c>
      <c r="M2516" s="1" t="s">
        <v>30</v>
      </c>
      <c r="N2516" s="1" t="str">
        <f t="shared" si="78"/>
        <v>Higher</v>
      </c>
      <c r="O2516" s="1" t="str">
        <f t="shared" si="79"/>
        <v>Pre-Senior | Medium Spender | Higher</v>
      </c>
    </row>
    <row r="2517" spans="1:15" x14ac:dyDescent="0.25">
      <c r="A2517" s="1" t="s">
        <v>2547</v>
      </c>
      <c r="B2517" s="1">
        <v>36</v>
      </c>
      <c r="C2517" s="1" t="str" cm="1">
        <f t="array" ref="C2517">_xlfn.IFS(OR(B2517=" ", B2517="NA",NOT(ISNUMBER(B2517))), "Unknown",B2517&lt;18,"Underage",B2517&lt;=24,"Young Adult",B2517&lt;=34,"Early Career",B2517&lt;=44,"Mid Career",B2517&lt;=54,"Mature",B2517&lt;=65,"Pre-Senior",B2517&gt;65,"Senior")</f>
        <v>Mid Career</v>
      </c>
      <c r="E2517" s="1" t="s">
        <v>15</v>
      </c>
      <c r="F2517" s="1">
        <v>975000</v>
      </c>
      <c r="G2517" s="1">
        <v>9</v>
      </c>
      <c r="H2517" s="1" t="str" cm="1">
        <f t="array" ref="H2517">_xlfn.IFS( OR(G2517=" ",NOT(ISNUMBER(G2517))),"Unknown",G2517&lt;=33,"Low Spender",G2517&lt;=66,"Medium Spender",TRUE, "High Spender")</f>
        <v>Low Spender</v>
      </c>
      <c r="I2517" s="1">
        <v>11</v>
      </c>
      <c r="J2517" s="1">
        <v>6800</v>
      </c>
      <c r="K2517" s="1">
        <v>309</v>
      </c>
      <c r="L2517" s="1" t="s">
        <v>16</v>
      </c>
      <c r="N2517" s="1" t="str">
        <f t="shared" si="78"/>
        <v>Lower</v>
      </c>
      <c r="O2517" s="1" t="str">
        <f t="shared" si="79"/>
        <v>Mid Career | Low Spender | Lower</v>
      </c>
    </row>
    <row r="2518" spans="1:15" x14ac:dyDescent="0.25">
      <c r="A2518" s="1" t="s">
        <v>2548</v>
      </c>
      <c r="B2518" s="1">
        <v>23</v>
      </c>
      <c r="C2518" s="1" t="str" cm="1">
        <f t="array" ref="C2518">_xlfn.IFS(OR(B2518=" ", B2518="NA",NOT(ISNUMBER(B2518))), "Unknown",B2518&lt;18,"Underage",B2518&lt;=24,"Young Adult",B2518&lt;=34,"Early Career",B2518&lt;=44,"Mid Career",B2518&lt;=54,"Mature",B2518&lt;=65,"Pre-Senior",B2518&gt;65,"Senior")</f>
        <v>Young Adult</v>
      </c>
      <c r="D2518" s="1" t="s">
        <v>18</v>
      </c>
      <c r="F2518" s="1">
        <v>1525000</v>
      </c>
      <c r="G2518" s="1">
        <v>7</v>
      </c>
      <c r="H2518" s="1" t="str" cm="1">
        <f t="array" ref="H2518">_xlfn.IFS( OR(G2518=" ",NOT(ISNUMBER(G2518))),"Unknown",G2518&lt;=33,"Low Spender",G2518&lt;=66,"Medium Spender",TRUE, "High Spender")</f>
        <v>Low Spender</v>
      </c>
      <c r="I2518" s="1">
        <v>58</v>
      </c>
      <c r="J2518" s="1">
        <v>3300</v>
      </c>
      <c r="K2518" s="1">
        <v>306</v>
      </c>
      <c r="N2518" s="1" t="str">
        <f t="shared" si="78"/>
        <v>Higher</v>
      </c>
      <c r="O2518" s="1" t="str">
        <f t="shared" si="79"/>
        <v>Young Adult | Low Spender | Higher</v>
      </c>
    </row>
    <row r="2519" spans="1:15" x14ac:dyDescent="0.25">
      <c r="A2519" s="1" t="s">
        <v>2549</v>
      </c>
      <c r="B2519" s="1">
        <v>51</v>
      </c>
      <c r="C2519" s="1" t="str" cm="1">
        <f t="array" ref="C2519">_xlfn.IFS(OR(B2519=" ", B2519="NA",NOT(ISNUMBER(B2519))), "Unknown",B2519&lt;18,"Underage",B2519&lt;=24,"Young Adult",B2519&lt;=34,"Early Career",B2519&lt;=44,"Mid Career",B2519&lt;=54,"Mature",B2519&lt;=65,"Pre-Senior",B2519&gt;65,"Senior")</f>
        <v>Mature</v>
      </c>
      <c r="E2519" s="1" t="s">
        <v>15</v>
      </c>
      <c r="F2519" s="1">
        <v>925000</v>
      </c>
      <c r="G2519" s="1">
        <v>41</v>
      </c>
      <c r="H2519" s="1" t="str" cm="1">
        <f t="array" ref="H2519">_xlfn.IFS( OR(G2519=" ",NOT(ISNUMBER(G2519))),"Unknown",G2519&lt;=33,"Low Spender",G2519&lt;=66,"Medium Spender",TRUE, "High Spender")</f>
        <v>Medium Spender</v>
      </c>
      <c r="I2519" s="1">
        <v>40</v>
      </c>
      <c r="J2519" s="1">
        <v>4900</v>
      </c>
      <c r="K2519" s="1">
        <v>124</v>
      </c>
      <c r="N2519" s="1" t="str">
        <f t="shared" si="78"/>
        <v>Lower</v>
      </c>
      <c r="O2519" s="1" t="str">
        <f t="shared" si="79"/>
        <v>Mature | Medium Spender | Lower</v>
      </c>
    </row>
    <row r="2520" spans="1:15" x14ac:dyDescent="0.25">
      <c r="A2520" s="1" t="s">
        <v>2550</v>
      </c>
      <c r="B2520" s="1">
        <v>35</v>
      </c>
      <c r="C2520" s="1" t="str" cm="1">
        <f t="array" ref="C2520">_xlfn.IFS(OR(B2520=" ", B2520="NA",NOT(ISNUMBER(B2520))), "Unknown",B2520&lt;18,"Underage",B2520&lt;=24,"Young Adult",B2520&lt;=34,"Early Career",B2520&lt;=44,"Mid Career",B2520&lt;=54,"Mature",B2520&lt;=65,"Pre-Senior",B2520&gt;65,"Senior")</f>
        <v>Mid Career</v>
      </c>
      <c r="E2520" s="1" t="s">
        <v>34</v>
      </c>
      <c r="F2520" s="1">
        <v>350000</v>
      </c>
      <c r="G2520" s="1">
        <v>54</v>
      </c>
      <c r="H2520" s="1" t="str" cm="1">
        <f t="array" ref="H2520">_xlfn.IFS( OR(G2520=" ",NOT(ISNUMBER(G2520))),"Unknown",G2520&lt;=33,"Low Spender",G2520&lt;=66,"Medium Spender",TRUE, "High Spender")</f>
        <v>Medium Spender</v>
      </c>
      <c r="I2520" s="1">
        <v>60</v>
      </c>
      <c r="J2520" s="1">
        <v>10900</v>
      </c>
      <c r="K2520" s="1">
        <v>225</v>
      </c>
      <c r="L2520" s="1" t="s">
        <v>20</v>
      </c>
      <c r="N2520" s="1" t="str">
        <f t="shared" si="78"/>
        <v>Lower</v>
      </c>
      <c r="O2520" s="1" t="str">
        <f t="shared" si="79"/>
        <v>Mid Career | Medium Spender | Lower</v>
      </c>
    </row>
    <row r="2521" spans="1:15" x14ac:dyDescent="0.25">
      <c r="A2521" s="1" t="s">
        <v>2551</v>
      </c>
      <c r="B2521" s="1">
        <v>30</v>
      </c>
      <c r="C2521" s="1" t="str" cm="1">
        <f t="array" ref="C2521">_xlfn.IFS(OR(B2521=" ", B2521="NA",NOT(ISNUMBER(B2521))), "Unknown",B2521&lt;18,"Underage",B2521&lt;=24,"Young Adult",B2521&lt;=34,"Early Career",B2521&lt;=44,"Mid Career",B2521&lt;=54,"Mature",B2521&lt;=65,"Pre-Senior",B2521&gt;65,"Senior")</f>
        <v>Early Career</v>
      </c>
      <c r="D2521" s="1" t="s">
        <v>29</v>
      </c>
      <c r="E2521" s="1" t="s">
        <v>23</v>
      </c>
      <c r="F2521" s="1">
        <v>1700000</v>
      </c>
      <c r="G2521" s="1">
        <v>65</v>
      </c>
      <c r="H2521" s="1" t="str" cm="1">
        <f t="array" ref="H2521">_xlfn.IFS( OR(G2521=" ",NOT(ISNUMBER(G2521))),"Unknown",G2521&lt;=33,"Low Spender",G2521&lt;=66,"Medium Spender",TRUE, "High Spender")</f>
        <v>Medium Spender</v>
      </c>
      <c r="I2521" s="1">
        <v>44</v>
      </c>
      <c r="J2521" s="1">
        <v>2400</v>
      </c>
      <c r="K2521" s="1">
        <v>244</v>
      </c>
      <c r="N2521" s="1" t="str">
        <f t="shared" si="78"/>
        <v>Higher</v>
      </c>
      <c r="O2521" s="1" t="str">
        <f t="shared" si="79"/>
        <v>Early Career | Medium Spender | Higher</v>
      </c>
    </row>
    <row r="2522" spans="1:15" x14ac:dyDescent="0.25">
      <c r="A2522" s="1" t="s">
        <v>2552</v>
      </c>
      <c r="B2522" s="1">
        <v>58</v>
      </c>
      <c r="C2522" s="1" t="str" cm="1">
        <f t="array" ref="C2522">_xlfn.IFS(OR(B2522=" ", B2522="NA",NOT(ISNUMBER(B2522))), "Unknown",B2522&lt;18,"Underage",B2522&lt;=24,"Young Adult",B2522&lt;=34,"Early Career",B2522&lt;=44,"Mid Career",B2522&lt;=54,"Mature",B2522&lt;=65,"Pre-Senior",B2522&gt;65,"Senior")</f>
        <v>Pre-Senior</v>
      </c>
      <c r="D2522" s="1" t="s">
        <v>18</v>
      </c>
      <c r="E2522" s="1" t="s">
        <v>34</v>
      </c>
      <c r="F2522" s="1">
        <v>1925000</v>
      </c>
      <c r="G2522" s="1">
        <v>2</v>
      </c>
      <c r="H2522" s="1" t="str" cm="1">
        <f t="array" ref="H2522">_xlfn.IFS( OR(G2522=" ",NOT(ISNUMBER(G2522))),"Unknown",G2522&lt;=33,"Low Spender",G2522&lt;=66,"Medium Spender",TRUE, "High Spender")</f>
        <v>Low Spender</v>
      </c>
      <c r="I2522" s="1">
        <v>6</v>
      </c>
      <c r="J2522" s="1">
        <v>7600</v>
      </c>
      <c r="K2522" s="1">
        <v>318</v>
      </c>
      <c r="L2522" s="1" t="s">
        <v>35</v>
      </c>
      <c r="M2522" s="1" t="s">
        <v>41</v>
      </c>
      <c r="N2522" s="1" t="str">
        <f t="shared" si="78"/>
        <v>Higher</v>
      </c>
      <c r="O2522" s="1" t="str">
        <f t="shared" si="79"/>
        <v>Pre-Senior | Low Spender | Higher</v>
      </c>
    </row>
    <row r="2523" spans="1:15" x14ac:dyDescent="0.25">
      <c r="A2523" s="1" t="s">
        <v>2553</v>
      </c>
      <c r="B2523" s="1">
        <v>40</v>
      </c>
      <c r="C2523" s="1" t="str" cm="1">
        <f t="array" ref="C2523">_xlfn.IFS(OR(B2523=" ", B2523="NA",NOT(ISNUMBER(B2523))), "Unknown",B2523&lt;18,"Underage",B2523&lt;=24,"Young Adult",B2523&lt;=34,"Early Career",B2523&lt;=44,"Mid Career",B2523&lt;=54,"Mature",B2523&lt;=65,"Pre-Senior",B2523&gt;65,"Senior")</f>
        <v>Mid Career</v>
      </c>
      <c r="D2523" s="1" t="s">
        <v>18</v>
      </c>
      <c r="E2523" s="1" t="s">
        <v>34</v>
      </c>
      <c r="F2523" s="1">
        <v>950000</v>
      </c>
      <c r="G2523" s="1">
        <v>4</v>
      </c>
      <c r="H2523" s="1" t="str" cm="1">
        <f t="array" ref="H2523">_xlfn.IFS( OR(G2523=" ",NOT(ISNUMBER(G2523))),"Unknown",G2523&lt;=33,"Low Spender",G2523&lt;=66,"Medium Spender",TRUE, "High Spender")</f>
        <v>Low Spender</v>
      </c>
      <c r="I2523" s="1">
        <v>28</v>
      </c>
      <c r="J2523" s="1">
        <v>11800</v>
      </c>
      <c r="K2523" s="1">
        <v>332</v>
      </c>
      <c r="L2523" s="1" t="s">
        <v>16</v>
      </c>
      <c r="M2523" s="1" t="s">
        <v>32</v>
      </c>
      <c r="N2523" s="1" t="str">
        <f t="shared" si="78"/>
        <v>Higher</v>
      </c>
      <c r="O2523" s="1" t="str">
        <f t="shared" si="79"/>
        <v>Mid Career | Low Spender | Higher</v>
      </c>
    </row>
    <row r="2524" spans="1:15" x14ac:dyDescent="0.25">
      <c r="A2524" s="1" t="s">
        <v>2554</v>
      </c>
      <c r="B2524" s="1">
        <v>36</v>
      </c>
      <c r="C2524" s="1" t="str" cm="1">
        <f t="array" ref="C2524">_xlfn.IFS(OR(B2524=" ", B2524="NA",NOT(ISNUMBER(B2524))), "Unknown",B2524&lt;18,"Underage",B2524&lt;=24,"Young Adult",B2524&lt;=34,"Early Career",B2524&lt;=44,"Mid Career",B2524&lt;=54,"Mature",B2524&lt;=65,"Pre-Senior",B2524&gt;65,"Senior")</f>
        <v>Mid Career</v>
      </c>
      <c r="E2524" s="1" t="s">
        <v>27</v>
      </c>
      <c r="F2524" s="1">
        <v>650000</v>
      </c>
      <c r="G2524" s="1">
        <v>78</v>
      </c>
      <c r="H2524" s="1" t="str" cm="1">
        <f t="array" ref="H2524">_xlfn.IFS( OR(G2524=" ",NOT(ISNUMBER(G2524))),"Unknown",G2524&lt;=33,"Low Spender",G2524&lt;=66,"Medium Spender",TRUE, "High Spender")</f>
        <v>High Spender</v>
      </c>
      <c r="I2524" s="1">
        <v>31</v>
      </c>
      <c r="J2524" s="1">
        <v>9600</v>
      </c>
      <c r="K2524" s="1">
        <v>346</v>
      </c>
      <c r="M2524" s="1" t="s">
        <v>21</v>
      </c>
      <c r="N2524" s="1" t="str">
        <f t="shared" si="78"/>
        <v>Lower</v>
      </c>
      <c r="O2524" s="1" t="str">
        <f t="shared" si="79"/>
        <v>Mid Career | High Spender | Lower</v>
      </c>
    </row>
    <row r="2525" spans="1:15" x14ac:dyDescent="0.25">
      <c r="A2525" s="1" t="s">
        <v>2555</v>
      </c>
      <c r="B2525" s="1">
        <v>62</v>
      </c>
      <c r="C2525" s="1" t="str" cm="1">
        <f t="array" ref="C2525">_xlfn.IFS(OR(B2525=" ", B2525="NA",NOT(ISNUMBER(B2525))), "Unknown",B2525&lt;18,"Underage",B2525&lt;=24,"Young Adult",B2525&lt;=34,"Early Career",B2525&lt;=44,"Mid Career",B2525&lt;=54,"Mature",B2525&lt;=65,"Pre-Senior",B2525&gt;65,"Senior")</f>
        <v>Pre-Senior</v>
      </c>
      <c r="D2525" s="1" t="s">
        <v>12</v>
      </c>
      <c r="E2525" s="1" t="s">
        <v>19</v>
      </c>
      <c r="F2525" s="1">
        <v>1500000</v>
      </c>
      <c r="G2525" s="1">
        <v>32</v>
      </c>
      <c r="H2525" s="1" t="str" cm="1">
        <f t="array" ref="H2525">_xlfn.IFS( OR(G2525=" ",NOT(ISNUMBER(G2525))),"Unknown",G2525&lt;=33,"Low Spender",G2525&lt;=66,"Medium Spender",TRUE, "High Spender")</f>
        <v>Low Spender</v>
      </c>
      <c r="I2525" s="1">
        <v>8</v>
      </c>
      <c r="J2525" s="1">
        <v>9900</v>
      </c>
      <c r="K2525" s="1">
        <v>29</v>
      </c>
      <c r="N2525" s="1" t="str">
        <f t="shared" si="78"/>
        <v>Lower</v>
      </c>
      <c r="O2525" s="1" t="str">
        <f t="shared" si="79"/>
        <v>Pre-Senior | Low Spender | Lower</v>
      </c>
    </row>
    <row r="2526" spans="1:15" x14ac:dyDescent="0.25">
      <c r="A2526" s="1" t="s">
        <v>2556</v>
      </c>
      <c r="B2526" s="1">
        <v>28</v>
      </c>
      <c r="C2526" s="1" t="str" cm="1">
        <f t="array" ref="C2526">_xlfn.IFS(OR(B2526=" ", B2526="NA",NOT(ISNUMBER(B2526))), "Unknown",B2526&lt;18,"Underage",B2526&lt;=24,"Young Adult",B2526&lt;=34,"Early Career",B2526&lt;=44,"Mid Career",B2526&lt;=54,"Mature",B2526&lt;=65,"Pre-Senior",B2526&gt;65,"Senior")</f>
        <v>Early Career</v>
      </c>
      <c r="D2526" s="1" t="s">
        <v>12</v>
      </c>
      <c r="E2526" s="1" t="s">
        <v>13</v>
      </c>
      <c r="G2526" s="1">
        <v>100</v>
      </c>
      <c r="H2526" s="1" t="str" cm="1">
        <f t="array" ref="H2526">_xlfn.IFS( OR(G2526=" ",NOT(ISNUMBER(G2526))),"Unknown",G2526&lt;=33,"Low Spender",G2526&lt;=66,"Medium Spender",TRUE, "High Spender")</f>
        <v>High Spender</v>
      </c>
      <c r="I2526" s="1">
        <v>5</v>
      </c>
      <c r="J2526" s="1">
        <v>8500</v>
      </c>
      <c r="K2526" s="1">
        <v>358</v>
      </c>
      <c r="L2526" s="1" t="s">
        <v>35</v>
      </c>
      <c r="N2526" s="1" t="str">
        <f t="shared" si="78"/>
        <v>Lower</v>
      </c>
      <c r="O2526" s="1" t="str">
        <f t="shared" si="79"/>
        <v>Early Career | High Spender | Lower</v>
      </c>
    </row>
    <row r="2527" spans="1:15" x14ac:dyDescent="0.25">
      <c r="A2527" s="1" t="s">
        <v>2557</v>
      </c>
      <c r="B2527" s="1">
        <v>18</v>
      </c>
      <c r="C2527" s="1" t="str" cm="1">
        <f t="array" ref="C2527">_xlfn.IFS(OR(B2527=" ", B2527="NA",NOT(ISNUMBER(B2527))), "Unknown",B2527&lt;18,"Underage",B2527&lt;=24,"Young Adult",B2527&lt;=34,"Early Career",B2527&lt;=44,"Mid Career",B2527&lt;=54,"Mature",B2527&lt;=65,"Pre-Senior",B2527&gt;65,"Senior")</f>
        <v>Young Adult</v>
      </c>
      <c r="D2527" s="1" t="s">
        <v>18</v>
      </c>
      <c r="E2527" s="1" t="s">
        <v>58</v>
      </c>
      <c r="F2527" s="1">
        <v>1550000</v>
      </c>
      <c r="G2527" s="1">
        <v>2</v>
      </c>
      <c r="H2527" s="1" t="str" cm="1">
        <f t="array" ref="H2527">_xlfn.IFS( OR(G2527=" ",NOT(ISNUMBER(G2527))),"Unknown",G2527&lt;=33,"Low Spender",G2527&lt;=66,"Medium Spender",TRUE, "High Spender")</f>
        <v>Low Spender</v>
      </c>
      <c r="I2527" s="1">
        <v>54</v>
      </c>
      <c r="J2527" s="1">
        <v>4800</v>
      </c>
      <c r="K2527" s="1">
        <v>357</v>
      </c>
      <c r="M2527" s="1" t="s">
        <v>32</v>
      </c>
      <c r="N2527" s="1" t="str">
        <f t="shared" si="78"/>
        <v>Higher</v>
      </c>
      <c r="O2527" s="1" t="str">
        <f t="shared" si="79"/>
        <v>Young Adult | Low Spender | Higher</v>
      </c>
    </row>
    <row r="2528" spans="1:15" x14ac:dyDescent="0.25">
      <c r="A2528" s="1" t="s">
        <v>2558</v>
      </c>
      <c r="B2528" s="1">
        <v>41</v>
      </c>
      <c r="C2528" s="1" t="str" cm="1">
        <f t="array" ref="C2528">_xlfn.IFS(OR(B2528=" ", B2528="NA",NOT(ISNUMBER(B2528))), "Unknown",B2528&lt;18,"Underage",B2528&lt;=24,"Young Adult",B2528&lt;=34,"Early Career",B2528&lt;=44,"Mid Career",B2528&lt;=54,"Mature",B2528&lt;=65,"Pre-Senior",B2528&gt;65,"Senior")</f>
        <v>Mid Career</v>
      </c>
      <c r="D2528" s="1" t="s">
        <v>12</v>
      </c>
      <c r="F2528" s="1">
        <v>175000</v>
      </c>
      <c r="G2528" s="1">
        <v>64</v>
      </c>
      <c r="H2528" s="1" t="str" cm="1">
        <f t="array" ref="H2528">_xlfn.IFS( OR(G2528=" ",NOT(ISNUMBER(G2528))),"Unknown",G2528&lt;=33,"Low Spender",G2528&lt;=66,"Medium Spender",TRUE, "High Spender")</f>
        <v>Medium Spender</v>
      </c>
      <c r="I2528" s="1">
        <v>17</v>
      </c>
      <c r="J2528" s="1">
        <v>9100</v>
      </c>
      <c r="L2528" s="1" t="s">
        <v>20</v>
      </c>
      <c r="M2528" s="1" t="s">
        <v>32</v>
      </c>
      <c r="N2528" s="1" t="str">
        <f t="shared" si="78"/>
        <v>Lower</v>
      </c>
      <c r="O2528" s="1" t="str">
        <f t="shared" si="79"/>
        <v>Mid Career | Medium Spender | Lower</v>
      </c>
    </row>
    <row r="2529" spans="1:15" x14ac:dyDescent="0.25">
      <c r="A2529" s="1" t="s">
        <v>2559</v>
      </c>
      <c r="C2529" s="1" t="str" cm="1">
        <f t="array" ref="C2529">_xlfn.IFS(OR(B2529=" ", B2529="NA",NOT(ISNUMBER(B2529))), "Unknown",B2529&lt;18,"Underage",B2529&lt;=24,"Young Adult",B2529&lt;=34,"Early Career",B2529&lt;=44,"Mid Career",B2529&lt;=54,"Mature",B2529&lt;=65,"Pre-Senior",B2529&gt;65,"Senior")</f>
        <v>Unknown</v>
      </c>
      <c r="D2529" s="1" t="s">
        <v>29</v>
      </c>
      <c r="F2529" s="1">
        <v>450000</v>
      </c>
      <c r="G2529" s="1">
        <v>14</v>
      </c>
      <c r="H2529" s="1" t="str" cm="1">
        <f t="array" ref="H2529">_xlfn.IFS( OR(G2529=" ",NOT(ISNUMBER(G2529))),"Unknown",G2529&lt;=33,"Low Spender",G2529&lt;=66,"Medium Spender",TRUE, "High Spender")</f>
        <v>Low Spender</v>
      </c>
      <c r="I2529" s="1">
        <v>38</v>
      </c>
      <c r="J2529" s="1">
        <v>6000</v>
      </c>
      <c r="L2529" s="1" t="s">
        <v>16</v>
      </c>
      <c r="M2529" s="1" t="s">
        <v>32</v>
      </c>
      <c r="N2529" s="1" t="str">
        <f t="shared" si="78"/>
        <v>Higher</v>
      </c>
      <c r="O2529" s="1" t="str">
        <f t="shared" si="79"/>
        <v>Unknown | Low Spender | Higher</v>
      </c>
    </row>
    <row r="2530" spans="1:15" x14ac:dyDescent="0.25">
      <c r="A2530" s="1" t="s">
        <v>2560</v>
      </c>
      <c r="B2530" s="1">
        <v>24</v>
      </c>
      <c r="C2530" s="1" t="str" cm="1">
        <f t="array" ref="C2530">_xlfn.IFS(OR(B2530=" ", B2530="NA",NOT(ISNUMBER(B2530))), "Unknown",B2530&lt;18,"Underage",B2530&lt;=24,"Young Adult",B2530&lt;=34,"Early Career",B2530&lt;=44,"Mid Career",B2530&lt;=54,"Mature",B2530&lt;=65,"Pre-Senior",B2530&gt;65,"Senior")</f>
        <v>Young Adult</v>
      </c>
      <c r="E2530" s="1" t="s">
        <v>15</v>
      </c>
      <c r="F2530" s="1">
        <v>225000</v>
      </c>
      <c r="G2530" s="1">
        <v>20</v>
      </c>
      <c r="H2530" s="1" t="str" cm="1">
        <f t="array" ref="H2530">_xlfn.IFS( OR(G2530=" ",NOT(ISNUMBER(G2530))),"Unknown",G2530&lt;=33,"Low Spender",G2530&lt;=66,"Medium Spender",TRUE, "High Spender")</f>
        <v>Low Spender</v>
      </c>
      <c r="I2530" s="1">
        <v>9</v>
      </c>
      <c r="K2530" s="1">
        <v>285</v>
      </c>
      <c r="M2530" s="1" t="s">
        <v>41</v>
      </c>
      <c r="N2530" s="1" t="str">
        <f t="shared" si="78"/>
        <v>Lower</v>
      </c>
      <c r="O2530" s="1" t="str">
        <f t="shared" si="79"/>
        <v>Young Adult | Low Spender | Lower</v>
      </c>
    </row>
    <row r="2531" spans="1:15" x14ac:dyDescent="0.25">
      <c r="A2531" s="1" t="s">
        <v>2561</v>
      </c>
      <c r="B2531" s="1">
        <v>42</v>
      </c>
      <c r="C2531" s="1" t="str" cm="1">
        <f t="array" ref="C2531">_xlfn.IFS(OR(B2531=" ", B2531="NA",NOT(ISNUMBER(B2531))), "Unknown",B2531&lt;18,"Underage",B2531&lt;=24,"Young Adult",B2531&lt;=34,"Early Career",B2531&lt;=44,"Mid Career",B2531&lt;=54,"Mature",B2531&lt;=65,"Pre-Senior",B2531&gt;65,"Senior")</f>
        <v>Mid Career</v>
      </c>
      <c r="D2531" s="1" t="s">
        <v>18</v>
      </c>
      <c r="E2531" s="1" t="s">
        <v>34</v>
      </c>
      <c r="F2531" s="1">
        <v>1375000</v>
      </c>
      <c r="G2531" s="1">
        <v>89</v>
      </c>
      <c r="H2531" s="1" t="str" cm="1">
        <f t="array" ref="H2531">_xlfn.IFS( OR(G2531=" ",NOT(ISNUMBER(G2531))),"Unknown",G2531&lt;=33,"Low Spender",G2531&lt;=66,"Medium Spender",TRUE, "High Spender")</f>
        <v>High Spender</v>
      </c>
      <c r="I2531" s="1">
        <v>74</v>
      </c>
      <c r="J2531" s="1">
        <v>6300</v>
      </c>
      <c r="K2531" s="1">
        <v>59</v>
      </c>
      <c r="L2531" s="1" t="s">
        <v>20</v>
      </c>
      <c r="M2531" s="1" t="s">
        <v>32</v>
      </c>
      <c r="N2531" s="1" t="str">
        <f t="shared" si="78"/>
        <v>Higher</v>
      </c>
      <c r="O2531" s="1" t="str">
        <f t="shared" si="79"/>
        <v>Mid Career | High Spender | Higher</v>
      </c>
    </row>
    <row r="2532" spans="1:15" x14ac:dyDescent="0.25">
      <c r="A2532" s="1" t="s">
        <v>2562</v>
      </c>
      <c r="B2532" s="1">
        <v>38</v>
      </c>
      <c r="C2532" s="1" t="str" cm="1">
        <f t="array" ref="C2532">_xlfn.IFS(OR(B2532=" ", B2532="NA",NOT(ISNUMBER(B2532))), "Unknown",B2532&lt;18,"Underage",B2532&lt;=24,"Young Adult",B2532&lt;=34,"Early Career",B2532&lt;=44,"Mid Career",B2532&lt;=54,"Mature",B2532&lt;=65,"Pre-Senior",B2532&gt;65,"Senior")</f>
        <v>Mid Career</v>
      </c>
      <c r="D2532" s="1" t="s">
        <v>18</v>
      </c>
      <c r="E2532" s="1" t="s">
        <v>19</v>
      </c>
      <c r="F2532" s="1">
        <v>1325000</v>
      </c>
      <c r="G2532" s="1">
        <v>49</v>
      </c>
      <c r="H2532" s="1" t="str" cm="1">
        <f t="array" ref="H2532">_xlfn.IFS( OR(G2532=" ",NOT(ISNUMBER(G2532))),"Unknown",G2532&lt;=33,"Low Spender",G2532&lt;=66,"Medium Spender",TRUE, "High Spender")</f>
        <v>Medium Spender</v>
      </c>
      <c r="I2532" s="1">
        <v>78</v>
      </c>
      <c r="K2532" s="1">
        <v>143</v>
      </c>
      <c r="M2532" s="1" t="s">
        <v>41</v>
      </c>
      <c r="N2532" s="1" t="str">
        <f t="shared" si="78"/>
        <v>Higher</v>
      </c>
      <c r="O2532" s="1" t="str">
        <f t="shared" si="79"/>
        <v>Mid Career | Medium Spender | Higher</v>
      </c>
    </row>
    <row r="2533" spans="1:15" x14ac:dyDescent="0.25">
      <c r="A2533" s="1" t="s">
        <v>2563</v>
      </c>
      <c r="B2533" s="1">
        <v>32</v>
      </c>
      <c r="C2533" s="1" t="str" cm="1">
        <f t="array" ref="C2533">_xlfn.IFS(OR(B2533=" ", B2533="NA",NOT(ISNUMBER(B2533))), "Unknown",B2533&lt;18,"Underage",B2533&lt;=24,"Young Adult",B2533&lt;=34,"Early Career",B2533&lt;=44,"Mid Career",B2533&lt;=54,"Mature",B2533&lt;=65,"Pre-Senior",B2533&gt;65,"Senior")</f>
        <v>Early Career</v>
      </c>
      <c r="E2533" s="1" t="s">
        <v>34</v>
      </c>
      <c r="F2533" s="1">
        <v>875000</v>
      </c>
      <c r="G2533" s="1">
        <v>8</v>
      </c>
      <c r="H2533" s="1" t="str" cm="1">
        <f t="array" ref="H2533">_xlfn.IFS( OR(G2533=" ",NOT(ISNUMBER(G2533))),"Unknown",G2533&lt;=33,"Low Spender",G2533&lt;=66,"Medium Spender",TRUE, "High Spender")</f>
        <v>Low Spender</v>
      </c>
      <c r="I2533" s="1">
        <v>14</v>
      </c>
      <c r="J2533" s="1">
        <v>4800</v>
      </c>
      <c r="K2533" s="1">
        <v>326</v>
      </c>
      <c r="L2533" s="1" t="s">
        <v>35</v>
      </c>
      <c r="M2533" s="1" t="s">
        <v>30</v>
      </c>
      <c r="N2533" s="1" t="str">
        <f t="shared" si="78"/>
        <v>Lower</v>
      </c>
      <c r="O2533" s="1" t="str">
        <f t="shared" si="79"/>
        <v>Early Career | Low Spender | Lower</v>
      </c>
    </row>
    <row r="2534" spans="1:15" x14ac:dyDescent="0.25">
      <c r="A2534" s="1" t="s">
        <v>2564</v>
      </c>
      <c r="B2534" s="1">
        <v>18</v>
      </c>
      <c r="C2534" s="1" t="str" cm="1">
        <f t="array" ref="C2534">_xlfn.IFS(OR(B2534=" ", B2534="NA",NOT(ISNUMBER(B2534))), "Unknown",B2534&lt;18,"Underage",B2534&lt;=24,"Young Adult",B2534&lt;=34,"Early Career",B2534&lt;=44,"Mid Career",B2534&lt;=54,"Mature",B2534&lt;=65,"Pre-Senior",B2534&gt;65,"Senior")</f>
        <v>Young Adult</v>
      </c>
      <c r="D2534" s="1" t="s">
        <v>18</v>
      </c>
      <c r="E2534" s="1" t="s">
        <v>23</v>
      </c>
      <c r="F2534" s="1">
        <v>850000</v>
      </c>
      <c r="G2534" s="1">
        <v>92</v>
      </c>
      <c r="H2534" s="1" t="str" cm="1">
        <f t="array" ref="H2534">_xlfn.IFS( OR(G2534=" ",NOT(ISNUMBER(G2534))),"Unknown",G2534&lt;=33,"Low Spender",G2534&lt;=66,"Medium Spender",TRUE, "High Spender")</f>
        <v>High Spender</v>
      </c>
      <c r="I2534" s="1">
        <v>26</v>
      </c>
      <c r="J2534" s="1">
        <v>300</v>
      </c>
      <c r="K2534" s="1">
        <v>352</v>
      </c>
      <c r="M2534" s="1" t="s">
        <v>30</v>
      </c>
      <c r="N2534" s="1" t="str">
        <f t="shared" si="78"/>
        <v>Higher</v>
      </c>
      <c r="O2534" s="1" t="str">
        <f t="shared" si="79"/>
        <v>Young Adult | High Spender | Higher</v>
      </c>
    </row>
    <row r="2535" spans="1:15" x14ac:dyDescent="0.25">
      <c r="A2535" s="1" t="s">
        <v>2565</v>
      </c>
      <c r="B2535" s="1">
        <v>29</v>
      </c>
      <c r="C2535" s="1" t="str" cm="1">
        <f t="array" ref="C2535">_xlfn.IFS(OR(B2535=" ", B2535="NA",NOT(ISNUMBER(B2535))), "Unknown",B2535&lt;18,"Underage",B2535&lt;=24,"Young Adult",B2535&lt;=34,"Early Career",B2535&lt;=44,"Mid Career",B2535&lt;=54,"Mature",B2535&lt;=65,"Pre-Senior",B2535&gt;65,"Senior")</f>
        <v>Early Career</v>
      </c>
      <c r="D2535" s="1" t="s">
        <v>29</v>
      </c>
      <c r="E2535" s="1" t="s">
        <v>27</v>
      </c>
      <c r="F2535" s="1">
        <v>325000</v>
      </c>
      <c r="G2535" s="1">
        <v>63</v>
      </c>
      <c r="H2535" s="1" t="str" cm="1">
        <f t="array" ref="H2535">_xlfn.IFS( OR(G2535=" ",NOT(ISNUMBER(G2535))),"Unknown",G2535&lt;=33,"Low Spender",G2535&lt;=66,"Medium Spender",TRUE, "High Spender")</f>
        <v>Medium Spender</v>
      </c>
      <c r="I2535" s="1">
        <v>62</v>
      </c>
      <c r="J2535" s="1">
        <v>9800</v>
      </c>
      <c r="K2535" s="1">
        <v>300</v>
      </c>
      <c r="N2535" s="1" t="str">
        <f t="shared" si="78"/>
        <v>Higher</v>
      </c>
      <c r="O2535" s="1" t="str">
        <f t="shared" si="79"/>
        <v>Early Career | Medium Spender | Higher</v>
      </c>
    </row>
    <row r="2536" spans="1:15" x14ac:dyDescent="0.25">
      <c r="A2536" s="1" t="s">
        <v>2566</v>
      </c>
      <c r="B2536" s="1">
        <v>24</v>
      </c>
      <c r="C2536" s="1" t="str" cm="1">
        <f t="array" ref="C2536">_xlfn.IFS(OR(B2536=" ", B2536="NA",NOT(ISNUMBER(B2536))), "Unknown",B2536&lt;18,"Underage",B2536&lt;=24,"Young Adult",B2536&lt;=34,"Early Career",B2536&lt;=44,"Mid Career",B2536&lt;=54,"Mature",B2536&lt;=65,"Pre-Senior",B2536&gt;65,"Senior")</f>
        <v>Young Adult</v>
      </c>
      <c r="D2536" s="1" t="s">
        <v>18</v>
      </c>
      <c r="F2536" s="1">
        <v>425000</v>
      </c>
      <c r="G2536" s="1">
        <v>46</v>
      </c>
      <c r="H2536" s="1" t="str" cm="1">
        <f t="array" ref="H2536">_xlfn.IFS( OR(G2536=" ",NOT(ISNUMBER(G2536))),"Unknown",G2536&lt;=33,"Low Spender",G2536&lt;=66,"Medium Spender",TRUE, "High Spender")</f>
        <v>Medium Spender</v>
      </c>
      <c r="I2536" s="1">
        <v>25</v>
      </c>
      <c r="J2536" s="1">
        <v>2700</v>
      </c>
      <c r="K2536" s="1">
        <v>226</v>
      </c>
      <c r="L2536" s="1" t="s">
        <v>16</v>
      </c>
      <c r="M2536" s="1" t="s">
        <v>30</v>
      </c>
      <c r="N2536" s="1" t="str">
        <f t="shared" si="78"/>
        <v>Higher</v>
      </c>
      <c r="O2536" s="1" t="str">
        <f t="shared" si="79"/>
        <v>Young Adult | Medium Spender | Higher</v>
      </c>
    </row>
    <row r="2537" spans="1:15" x14ac:dyDescent="0.25">
      <c r="A2537" s="1" t="s">
        <v>2567</v>
      </c>
      <c r="B2537" s="1">
        <v>32</v>
      </c>
      <c r="C2537" s="1" t="str" cm="1">
        <f t="array" ref="C2537">_xlfn.IFS(OR(B2537=" ", B2537="NA",NOT(ISNUMBER(B2537))), "Unknown",B2537&lt;18,"Underage",B2537&lt;=24,"Young Adult",B2537&lt;=34,"Early Career",B2537&lt;=44,"Mid Career",B2537&lt;=54,"Mature",B2537&lt;=65,"Pre-Senior",B2537&gt;65,"Senior")</f>
        <v>Early Career</v>
      </c>
      <c r="D2537" s="1" t="s">
        <v>29</v>
      </c>
      <c r="E2537" s="1" t="s">
        <v>13</v>
      </c>
      <c r="F2537" s="1">
        <v>1150000</v>
      </c>
      <c r="G2537" s="1">
        <v>21</v>
      </c>
      <c r="H2537" s="1" t="str" cm="1">
        <f t="array" ref="H2537">_xlfn.IFS( OR(G2537=" ",NOT(ISNUMBER(G2537))),"Unknown",G2537&lt;=33,"Low Spender",G2537&lt;=66,"Medium Spender",TRUE, "High Spender")</f>
        <v>Low Spender</v>
      </c>
      <c r="J2537" s="1">
        <v>6300</v>
      </c>
      <c r="K2537" s="1">
        <v>164</v>
      </c>
      <c r="M2537" s="1" t="s">
        <v>41</v>
      </c>
      <c r="N2537" s="1" t="str">
        <f t="shared" si="78"/>
        <v>Higher</v>
      </c>
      <c r="O2537" s="1" t="str">
        <f t="shared" si="79"/>
        <v>Early Career | Low Spender | Higher</v>
      </c>
    </row>
    <row r="2538" spans="1:15" x14ac:dyDescent="0.25">
      <c r="A2538" s="1" t="s">
        <v>2568</v>
      </c>
      <c r="B2538" s="1">
        <v>38</v>
      </c>
      <c r="C2538" s="1" t="str" cm="1">
        <f t="array" ref="C2538">_xlfn.IFS(OR(B2538=" ", B2538="NA",NOT(ISNUMBER(B2538))), "Unknown",B2538&lt;18,"Underage",B2538&lt;=24,"Young Adult",B2538&lt;=34,"Early Career",B2538&lt;=44,"Mid Career",B2538&lt;=54,"Mature",B2538&lt;=65,"Pre-Senior",B2538&gt;65,"Senior")</f>
        <v>Mid Career</v>
      </c>
      <c r="E2538" s="1" t="s">
        <v>23</v>
      </c>
      <c r="F2538" s="1">
        <v>775000</v>
      </c>
      <c r="G2538" s="1">
        <v>87</v>
      </c>
      <c r="H2538" s="1" t="str" cm="1">
        <f t="array" ref="H2538">_xlfn.IFS( OR(G2538=" ",NOT(ISNUMBER(G2538))),"Unknown",G2538&lt;=33,"Low Spender",G2538&lt;=66,"Medium Spender",TRUE, "High Spender")</f>
        <v>High Spender</v>
      </c>
      <c r="I2538" s="1">
        <v>36</v>
      </c>
      <c r="J2538" s="1">
        <v>10700</v>
      </c>
      <c r="K2538" s="1">
        <v>84</v>
      </c>
      <c r="L2538" s="1" t="s">
        <v>20</v>
      </c>
      <c r="M2538" s="1" t="s">
        <v>41</v>
      </c>
      <c r="N2538" s="1" t="str">
        <f t="shared" si="78"/>
        <v>Lower</v>
      </c>
      <c r="O2538" s="1" t="str">
        <f t="shared" si="79"/>
        <v>Mid Career | High Spender | Lower</v>
      </c>
    </row>
    <row r="2539" spans="1:15" x14ac:dyDescent="0.25">
      <c r="A2539" s="1" t="s">
        <v>2569</v>
      </c>
      <c r="B2539" s="1">
        <v>36</v>
      </c>
      <c r="C2539" s="1" t="str" cm="1">
        <f t="array" ref="C2539">_xlfn.IFS(OR(B2539=" ", B2539="NA",NOT(ISNUMBER(B2539))), "Unknown",B2539&lt;18,"Underage",B2539&lt;=24,"Young Adult",B2539&lt;=34,"Early Career",B2539&lt;=44,"Mid Career",B2539&lt;=54,"Mature",B2539&lt;=65,"Pre-Senior",B2539&gt;65,"Senior")</f>
        <v>Mid Career</v>
      </c>
      <c r="D2539" s="1" t="s">
        <v>18</v>
      </c>
      <c r="E2539" s="1" t="s">
        <v>49</v>
      </c>
      <c r="F2539" s="1">
        <v>1375000</v>
      </c>
      <c r="G2539" s="1">
        <v>32</v>
      </c>
      <c r="H2539" s="1" t="str" cm="1">
        <f t="array" ref="H2539">_xlfn.IFS( OR(G2539=" ",NOT(ISNUMBER(G2539))),"Unknown",G2539&lt;=33,"Low Spender",G2539&lt;=66,"Medium Spender",TRUE, "High Spender")</f>
        <v>Low Spender</v>
      </c>
      <c r="J2539" s="1">
        <v>8300</v>
      </c>
      <c r="K2539" s="1">
        <v>313</v>
      </c>
      <c r="L2539" s="1" t="s">
        <v>16</v>
      </c>
      <c r="M2539" s="1" t="s">
        <v>21</v>
      </c>
      <c r="N2539" s="1" t="str">
        <f t="shared" si="78"/>
        <v>Higher</v>
      </c>
      <c r="O2539" s="1" t="str">
        <f t="shared" si="79"/>
        <v>Mid Career | Low Spender | Higher</v>
      </c>
    </row>
    <row r="2540" spans="1:15" x14ac:dyDescent="0.25">
      <c r="A2540" s="1" t="s">
        <v>2570</v>
      </c>
      <c r="B2540" s="1">
        <v>46</v>
      </c>
      <c r="C2540" s="1" t="str" cm="1">
        <f t="array" ref="C2540">_xlfn.IFS(OR(B2540=" ", B2540="NA",NOT(ISNUMBER(B2540))), "Unknown",B2540&lt;18,"Underage",B2540&lt;=24,"Young Adult",B2540&lt;=34,"Early Career",B2540&lt;=44,"Mid Career",B2540&lt;=54,"Mature",B2540&lt;=65,"Pre-Senior",B2540&gt;65,"Senior")</f>
        <v>Mature</v>
      </c>
      <c r="D2540" s="1" t="s">
        <v>12</v>
      </c>
      <c r="F2540" s="1">
        <v>175000</v>
      </c>
      <c r="G2540" s="1">
        <v>8</v>
      </c>
      <c r="H2540" s="1" t="str" cm="1">
        <f t="array" ref="H2540">_xlfn.IFS( OR(G2540=" ",NOT(ISNUMBER(G2540))),"Unknown",G2540&lt;=33,"Low Spender",G2540&lt;=66,"Medium Spender",TRUE, "High Spender")</f>
        <v>Low Spender</v>
      </c>
      <c r="I2540" s="1">
        <v>33</v>
      </c>
      <c r="J2540" s="1">
        <v>1600</v>
      </c>
      <c r="K2540" s="1">
        <v>117</v>
      </c>
      <c r="L2540" s="1" t="s">
        <v>35</v>
      </c>
      <c r="M2540" s="1" t="s">
        <v>32</v>
      </c>
      <c r="N2540" s="1" t="str">
        <f t="shared" si="78"/>
        <v>Lower</v>
      </c>
      <c r="O2540" s="1" t="str">
        <f t="shared" si="79"/>
        <v>Mature | Low Spender | Lower</v>
      </c>
    </row>
    <row r="2541" spans="1:15" x14ac:dyDescent="0.25">
      <c r="A2541" s="1" t="s">
        <v>2571</v>
      </c>
      <c r="B2541" s="1">
        <v>42</v>
      </c>
      <c r="C2541" s="1" t="str" cm="1">
        <f t="array" ref="C2541">_xlfn.IFS(OR(B2541=" ", B2541="NA",NOT(ISNUMBER(B2541))), "Unknown",B2541&lt;18,"Underage",B2541&lt;=24,"Young Adult",B2541&lt;=34,"Early Career",B2541&lt;=44,"Mid Career",B2541&lt;=54,"Mature",B2541&lt;=65,"Pre-Senior",B2541&gt;65,"Senior")</f>
        <v>Mid Career</v>
      </c>
      <c r="D2541" s="1" t="s">
        <v>18</v>
      </c>
      <c r="E2541" s="1" t="s">
        <v>34</v>
      </c>
      <c r="F2541" s="1">
        <v>1500000</v>
      </c>
      <c r="G2541" s="1">
        <v>95</v>
      </c>
      <c r="H2541" s="1" t="str" cm="1">
        <f t="array" ref="H2541">_xlfn.IFS( OR(G2541=" ",NOT(ISNUMBER(G2541))),"Unknown",G2541&lt;=33,"Low Spender",G2541&lt;=66,"Medium Spender",TRUE, "High Spender")</f>
        <v>High Spender</v>
      </c>
      <c r="I2541" s="1">
        <v>3</v>
      </c>
      <c r="J2541" s="1">
        <v>4700</v>
      </c>
      <c r="K2541" s="1">
        <v>320</v>
      </c>
      <c r="N2541" s="1" t="str">
        <f t="shared" si="78"/>
        <v>Higher</v>
      </c>
      <c r="O2541" s="1" t="str">
        <f t="shared" si="79"/>
        <v>Mid Career | High Spender | Higher</v>
      </c>
    </row>
    <row r="2542" spans="1:15" x14ac:dyDescent="0.25">
      <c r="A2542" s="1" t="s">
        <v>2572</v>
      </c>
      <c r="B2542" s="1">
        <v>50</v>
      </c>
      <c r="C2542" s="1" t="str" cm="1">
        <f t="array" ref="C2542">_xlfn.IFS(OR(B2542=" ", B2542="NA",NOT(ISNUMBER(B2542))), "Unknown",B2542&lt;18,"Underage",B2542&lt;=24,"Young Adult",B2542&lt;=34,"Early Career",B2542&lt;=44,"Mid Career",B2542&lt;=54,"Mature",B2542&lt;=65,"Pre-Senior",B2542&gt;65,"Senior")</f>
        <v>Mature</v>
      </c>
      <c r="E2542" s="1" t="s">
        <v>23</v>
      </c>
      <c r="F2542" s="1">
        <v>1525000</v>
      </c>
      <c r="H2542" s="1" t="str" cm="1">
        <f t="array" ref="H2542">_xlfn.IFS( OR(G2542=" ",NOT(ISNUMBER(G2542))),"Unknown",G2542&lt;=33,"Low Spender",G2542&lt;=66,"Medium Spender",TRUE, "High Spender")</f>
        <v>Unknown</v>
      </c>
      <c r="I2542" s="1">
        <v>11</v>
      </c>
      <c r="J2542" s="1">
        <v>7900</v>
      </c>
      <c r="K2542" s="1">
        <v>204</v>
      </c>
      <c r="L2542" s="1" t="s">
        <v>16</v>
      </c>
      <c r="N2542" s="1" t="str">
        <f t="shared" si="78"/>
        <v>Lower</v>
      </c>
      <c r="O2542" s="1" t="str">
        <f t="shared" si="79"/>
        <v>Mature | Unknown | Lower</v>
      </c>
    </row>
    <row r="2543" spans="1:15" x14ac:dyDescent="0.25">
      <c r="A2543" s="1" t="s">
        <v>2573</v>
      </c>
      <c r="B2543" s="1">
        <v>66</v>
      </c>
      <c r="C2543" s="1" t="str" cm="1">
        <f t="array" ref="C2543">_xlfn.IFS(OR(B2543=" ", B2543="NA",NOT(ISNUMBER(B2543))), "Unknown",B2543&lt;18,"Underage",B2543&lt;=24,"Young Adult",B2543&lt;=34,"Early Career",B2543&lt;=44,"Mid Career",B2543&lt;=54,"Mature",B2543&lt;=65,"Pre-Senior",B2543&gt;65,"Senior")</f>
        <v>Senior</v>
      </c>
      <c r="D2543" s="1" t="s">
        <v>29</v>
      </c>
      <c r="E2543" s="1" t="s">
        <v>13</v>
      </c>
      <c r="F2543" s="1">
        <v>475000</v>
      </c>
      <c r="G2543" s="1">
        <v>16</v>
      </c>
      <c r="H2543" s="1" t="str" cm="1">
        <f t="array" ref="H2543">_xlfn.IFS( OR(G2543=" ",NOT(ISNUMBER(G2543))),"Unknown",G2543&lt;=33,"Low Spender",G2543&lt;=66,"Medium Spender",TRUE, "High Spender")</f>
        <v>Low Spender</v>
      </c>
      <c r="I2543" s="1">
        <v>58</v>
      </c>
      <c r="J2543" s="1">
        <v>10400</v>
      </c>
      <c r="K2543" s="1">
        <v>355</v>
      </c>
      <c r="L2543" s="1" t="s">
        <v>35</v>
      </c>
      <c r="M2543" s="1" t="s">
        <v>32</v>
      </c>
      <c r="N2543" s="1" t="str">
        <f t="shared" si="78"/>
        <v>Higher</v>
      </c>
      <c r="O2543" s="1" t="str">
        <f t="shared" si="79"/>
        <v>Senior | Low Spender | Higher</v>
      </c>
    </row>
    <row r="2544" spans="1:15" x14ac:dyDescent="0.25">
      <c r="A2544" s="1" t="s">
        <v>2574</v>
      </c>
      <c r="B2544" s="1">
        <v>49</v>
      </c>
      <c r="C2544" s="1" t="str" cm="1">
        <f t="array" ref="C2544">_xlfn.IFS(OR(B2544=" ", B2544="NA",NOT(ISNUMBER(B2544))), "Unknown",B2544&lt;18,"Underage",B2544&lt;=24,"Young Adult",B2544&lt;=34,"Early Career",B2544&lt;=44,"Mid Career",B2544&lt;=54,"Mature",B2544&lt;=65,"Pre-Senior",B2544&gt;65,"Senior")</f>
        <v>Mature</v>
      </c>
      <c r="D2544" s="1" t="s">
        <v>18</v>
      </c>
      <c r="E2544" s="1" t="s">
        <v>19</v>
      </c>
      <c r="F2544" s="1">
        <v>275000</v>
      </c>
      <c r="G2544" s="1">
        <v>40</v>
      </c>
      <c r="H2544" s="1" t="str" cm="1">
        <f t="array" ref="H2544">_xlfn.IFS( OR(G2544=" ",NOT(ISNUMBER(G2544))),"Unknown",G2544&lt;=33,"Low Spender",G2544&lt;=66,"Medium Spender",TRUE, "High Spender")</f>
        <v>Medium Spender</v>
      </c>
      <c r="I2544" s="1">
        <v>64</v>
      </c>
      <c r="J2544" s="1">
        <v>4100</v>
      </c>
      <c r="K2544" s="1">
        <v>294</v>
      </c>
      <c r="L2544" s="1" t="s">
        <v>35</v>
      </c>
      <c r="N2544" s="1" t="str">
        <f t="shared" si="78"/>
        <v>Higher</v>
      </c>
      <c r="O2544" s="1" t="str">
        <f t="shared" si="79"/>
        <v>Mature | Medium Spender | Higher</v>
      </c>
    </row>
    <row r="2545" spans="1:15" x14ac:dyDescent="0.25">
      <c r="A2545" s="1" t="s">
        <v>2575</v>
      </c>
      <c r="B2545" s="1">
        <v>66</v>
      </c>
      <c r="C2545" s="1" t="str" cm="1">
        <f t="array" ref="C2545">_xlfn.IFS(OR(B2545=" ", B2545="NA",NOT(ISNUMBER(B2545))), "Unknown",B2545&lt;18,"Underage",B2545&lt;=24,"Young Adult",B2545&lt;=34,"Early Career",B2545&lt;=44,"Mid Career",B2545&lt;=54,"Mature",B2545&lt;=65,"Pre-Senior",B2545&gt;65,"Senior")</f>
        <v>Senior</v>
      </c>
      <c r="D2545" s="1" t="s">
        <v>18</v>
      </c>
      <c r="E2545" s="1" t="s">
        <v>19</v>
      </c>
      <c r="F2545" s="1">
        <v>1650000</v>
      </c>
      <c r="G2545" s="1">
        <v>27</v>
      </c>
      <c r="H2545" s="1" t="str" cm="1">
        <f t="array" ref="H2545">_xlfn.IFS( OR(G2545=" ",NOT(ISNUMBER(G2545))),"Unknown",G2545&lt;=33,"Low Spender",G2545&lt;=66,"Medium Spender",TRUE, "High Spender")</f>
        <v>Low Spender</v>
      </c>
      <c r="I2545" s="1">
        <v>18</v>
      </c>
      <c r="J2545" s="1">
        <v>6800</v>
      </c>
      <c r="K2545" s="1">
        <v>145</v>
      </c>
      <c r="L2545" s="1" t="s">
        <v>20</v>
      </c>
      <c r="N2545" s="1" t="str">
        <f t="shared" si="78"/>
        <v>Higher</v>
      </c>
      <c r="O2545" s="1" t="str">
        <f t="shared" si="79"/>
        <v>Senior | Low Spender | Higher</v>
      </c>
    </row>
    <row r="2546" spans="1:15" x14ac:dyDescent="0.25">
      <c r="A2546" s="1" t="s">
        <v>2576</v>
      </c>
      <c r="B2546" s="1">
        <v>52</v>
      </c>
      <c r="C2546" s="1" t="str" cm="1">
        <f t="array" ref="C2546">_xlfn.IFS(OR(B2546=" ", B2546="NA",NOT(ISNUMBER(B2546))), "Unknown",B2546&lt;18,"Underage",B2546&lt;=24,"Young Adult",B2546&lt;=34,"Early Career",B2546&lt;=44,"Mid Career",B2546&lt;=54,"Mature",B2546&lt;=65,"Pre-Senior",B2546&gt;65,"Senior")</f>
        <v>Mature</v>
      </c>
      <c r="F2546" s="1">
        <v>425000</v>
      </c>
      <c r="G2546" s="1">
        <v>18</v>
      </c>
      <c r="H2546" s="1" t="str" cm="1">
        <f t="array" ref="H2546">_xlfn.IFS( OR(G2546=" ",NOT(ISNUMBER(G2546))),"Unknown",G2546&lt;=33,"Low Spender",G2546&lt;=66,"Medium Spender",TRUE, "High Spender")</f>
        <v>Low Spender</v>
      </c>
      <c r="I2546" s="1">
        <v>47</v>
      </c>
      <c r="J2546" s="1">
        <v>3400</v>
      </c>
      <c r="K2546" s="1">
        <v>27</v>
      </c>
      <c r="N2546" s="1" t="str">
        <f t="shared" si="78"/>
        <v>Lower</v>
      </c>
      <c r="O2546" s="1" t="str">
        <f t="shared" si="79"/>
        <v>Mature | Low Spender | Lower</v>
      </c>
    </row>
    <row r="2547" spans="1:15" x14ac:dyDescent="0.25">
      <c r="A2547" s="1" t="s">
        <v>2577</v>
      </c>
      <c r="B2547" s="1">
        <v>61</v>
      </c>
      <c r="C2547" s="1" t="str" cm="1">
        <f t="array" ref="C2547">_xlfn.IFS(OR(B2547=" ", B2547="NA",NOT(ISNUMBER(B2547))), "Unknown",B2547&lt;18,"Underage",B2547&lt;=24,"Young Adult",B2547&lt;=34,"Early Career",B2547&lt;=44,"Mid Career",B2547&lt;=54,"Mature",B2547&lt;=65,"Pre-Senior",B2547&gt;65,"Senior")</f>
        <v>Pre-Senior</v>
      </c>
      <c r="E2547" s="1" t="s">
        <v>13</v>
      </c>
      <c r="F2547" s="1">
        <v>450000</v>
      </c>
      <c r="G2547" s="1">
        <v>35</v>
      </c>
      <c r="H2547" s="1" t="str" cm="1">
        <f t="array" ref="H2547">_xlfn.IFS( OR(G2547=" ",NOT(ISNUMBER(G2547))),"Unknown",G2547&lt;=33,"Low Spender",G2547&lt;=66,"Medium Spender",TRUE, "High Spender")</f>
        <v>Medium Spender</v>
      </c>
      <c r="I2547" s="1">
        <v>44</v>
      </c>
      <c r="J2547" s="1">
        <v>9800</v>
      </c>
      <c r="K2547" s="1">
        <v>17</v>
      </c>
      <c r="L2547" s="1" t="s">
        <v>35</v>
      </c>
      <c r="N2547" s="1" t="str">
        <f t="shared" si="78"/>
        <v>Lower</v>
      </c>
      <c r="O2547" s="1" t="str">
        <f t="shared" si="79"/>
        <v>Pre-Senior | Medium Spender | Lower</v>
      </c>
    </row>
    <row r="2548" spans="1:15" x14ac:dyDescent="0.25">
      <c r="A2548" s="1" t="s">
        <v>2578</v>
      </c>
      <c r="B2548" s="1">
        <v>55</v>
      </c>
      <c r="C2548" s="1" t="str" cm="1">
        <f t="array" ref="C2548">_xlfn.IFS(OR(B2548=" ", B2548="NA",NOT(ISNUMBER(B2548))), "Unknown",B2548&lt;18,"Underage",B2548&lt;=24,"Young Adult",B2548&lt;=34,"Early Career",B2548&lt;=44,"Mid Career",B2548&lt;=54,"Mature",B2548&lt;=65,"Pre-Senior",B2548&gt;65,"Senior")</f>
        <v>Pre-Senior</v>
      </c>
      <c r="E2548" s="1" t="s">
        <v>19</v>
      </c>
      <c r="F2548" s="1">
        <v>600000</v>
      </c>
      <c r="G2548" s="1">
        <v>52</v>
      </c>
      <c r="H2548" s="1" t="str" cm="1">
        <f t="array" ref="H2548">_xlfn.IFS( OR(G2548=" ",NOT(ISNUMBER(G2548))),"Unknown",G2548&lt;=33,"Low Spender",G2548&lt;=66,"Medium Spender",TRUE, "High Spender")</f>
        <v>Medium Spender</v>
      </c>
      <c r="I2548" s="1">
        <v>59</v>
      </c>
      <c r="J2548" s="1">
        <v>6000</v>
      </c>
      <c r="K2548" s="1">
        <v>63</v>
      </c>
      <c r="L2548" s="1" t="s">
        <v>35</v>
      </c>
      <c r="M2548" s="1" t="s">
        <v>41</v>
      </c>
      <c r="N2548" s="1" t="str">
        <f t="shared" si="78"/>
        <v>Lower</v>
      </c>
      <c r="O2548" s="1" t="str">
        <f t="shared" si="79"/>
        <v>Pre-Senior | Medium Spender | Lower</v>
      </c>
    </row>
    <row r="2549" spans="1:15" x14ac:dyDescent="0.25">
      <c r="A2549" s="1" t="s">
        <v>2579</v>
      </c>
      <c r="B2549" s="1">
        <v>43</v>
      </c>
      <c r="C2549" s="1" t="str" cm="1">
        <f t="array" ref="C2549">_xlfn.IFS(OR(B2549=" ", B2549="NA",NOT(ISNUMBER(B2549))), "Unknown",B2549&lt;18,"Underage",B2549&lt;=24,"Young Adult",B2549&lt;=34,"Early Career",B2549&lt;=44,"Mid Career",B2549&lt;=54,"Mature",B2549&lt;=65,"Pre-Senior",B2549&gt;65,"Senior")</f>
        <v>Mid Career</v>
      </c>
      <c r="D2549" s="1" t="s">
        <v>29</v>
      </c>
      <c r="E2549" s="1" t="s">
        <v>23</v>
      </c>
      <c r="F2549" s="1">
        <v>1225000</v>
      </c>
      <c r="G2549" s="1">
        <v>15</v>
      </c>
      <c r="H2549" s="1" t="str" cm="1">
        <f t="array" ref="H2549">_xlfn.IFS( OR(G2549=" ",NOT(ISNUMBER(G2549))),"Unknown",G2549&lt;=33,"Low Spender",G2549&lt;=66,"Medium Spender",TRUE, "High Spender")</f>
        <v>Low Spender</v>
      </c>
      <c r="I2549" s="1">
        <v>50</v>
      </c>
      <c r="J2549" s="1">
        <v>10600</v>
      </c>
      <c r="K2549" s="1">
        <v>267</v>
      </c>
      <c r="M2549" s="1" t="s">
        <v>41</v>
      </c>
      <c r="N2549" s="1" t="str">
        <f t="shared" si="78"/>
        <v>Higher</v>
      </c>
      <c r="O2549" s="1" t="str">
        <f t="shared" si="79"/>
        <v>Mid Career | Low Spender | Higher</v>
      </c>
    </row>
    <row r="2550" spans="1:15" x14ac:dyDescent="0.25">
      <c r="A2550" s="1" t="s">
        <v>2580</v>
      </c>
      <c r="B2550" s="1">
        <v>28</v>
      </c>
      <c r="C2550" s="1" t="str" cm="1">
        <f t="array" ref="C2550">_xlfn.IFS(OR(B2550=" ", B2550="NA",NOT(ISNUMBER(B2550))), "Unknown",B2550&lt;18,"Underage",B2550&lt;=24,"Young Adult",B2550&lt;=34,"Early Career",B2550&lt;=44,"Mid Career",B2550&lt;=54,"Mature",B2550&lt;=65,"Pre-Senior",B2550&gt;65,"Senior")</f>
        <v>Early Career</v>
      </c>
      <c r="F2550" s="1">
        <v>1600000</v>
      </c>
      <c r="G2550" s="1">
        <v>63</v>
      </c>
      <c r="H2550" s="1" t="str" cm="1">
        <f t="array" ref="H2550">_xlfn.IFS( OR(G2550=" ",NOT(ISNUMBER(G2550))),"Unknown",G2550&lt;=33,"Low Spender",G2550&lt;=66,"Medium Spender",TRUE, "High Spender")</f>
        <v>Medium Spender</v>
      </c>
      <c r="I2550" s="1">
        <v>69</v>
      </c>
      <c r="J2550" s="1">
        <v>5800</v>
      </c>
      <c r="K2550" s="1">
        <v>64</v>
      </c>
      <c r="L2550" s="1" t="s">
        <v>37</v>
      </c>
      <c r="M2550" s="1" t="s">
        <v>41</v>
      </c>
      <c r="N2550" s="1" t="str">
        <f t="shared" si="78"/>
        <v>Lower</v>
      </c>
      <c r="O2550" s="1" t="str">
        <f t="shared" si="79"/>
        <v>Early Career | Medium Spender | Lower</v>
      </c>
    </row>
    <row r="2551" spans="1:15" x14ac:dyDescent="0.25">
      <c r="A2551" s="1" t="s">
        <v>2581</v>
      </c>
      <c r="B2551" s="1">
        <v>52</v>
      </c>
      <c r="C2551" s="1" t="str" cm="1">
        <f t="array" ref="C2551">_xlfn.IFS(OR(B2551=" ", B2551="NA",NOT(ISNUMBER(B2551))), "Unknown",B2551&lt;18,"Underage",B2551&lt;=24,"Young Adult",B2551&lt;=34,"Early Career",B2551&lt;=44,"Mid Career",B2551&lt;=54,"Mature",B2551&lt;=65,"Pre-Senior",B2551&gt;65,"Senior")</f>
        <v>Mature</v>
      </c>
      <c r="D2551" s="1" t="s">
        <v>12</v>
      </c>
      <c r="E2551" s="1" t="s">
        <v>19</v>
      </c>
      <c r="F2551" s="1">
        <v>1050000</v>
      </c>
      <c r="G2551" s="1">
        <v>53</v>
      </c>
      <c r="H2551" s="1" t="str" cm="1">
        <f t="array" ref="H2551">_xlfn.IFS( OR(G2551=" ",NOT(ISNUMBER(G2551))),"Unknown",G2551&lt;=33,"Low Spender",G2551&lt;=66,"Medium Spender",TRUE, "High Spender")</f>
        <v>Medium Spender</v>
      </c>
      <c r="I2551" s="1">
        <v>29</v>
      </c>
      <c r="J2551" s="1">
        <v>800</v>
      </c>
      <c r="K2551" s="1">
        <v>39</v>
      </c>
      <c r="L2551" s="1" t="s">
        <v>35</v>
      </c>
      <c r="M2551" s="1" t="s">
        <v>32</v>
      </c>
      <c r="N2551" s="1" t="str">
        <f t="shared" si="78"/>
        <v>Lower</v>
      </c>
      <c r="O2551" s="1" t="str">
        <f t="shared" si="79"/>
        <v>Mature | Medium Spender | Lower</v>
      </c>
    </row>
    <row r="2552" spans="1:15" x14ac:dyDescent="0.25">
      <c r="A2552" s="1" t="s">
        <v>2582</v>
      </c>
      <c r="B2552" s="1">
        <v>25</v>
      </c>
      <c r="C2552" s="1" t="str" cm="1">
        <f t="array" ref="C2552">_xlfn.IFS(OR(B2552=" ", B2552="NA",NOT(ISNUMBER(B2552))), "Unknown",B2552&lt;18,"Underage",B2552&lt;=24,"Young Adult",B2552&lt;=34,"Early Career",B2552&lt;=44,"Mid Career",B2552&lt;=54,"Mature",B2552&lt;=65,"Pre-Senior",B2552&gt;65,"Senior")</f>
        <v>Early Career</v>
      </c>
      <c r="D2552" s="1" t="s">
        <v>29</v>
      </c>
      <c r="F2552" s="1">
        <v>750000</v>
      </c>
      <c r="G2552" s="1">
        <v>91</v>
      </c>
      <c r="H2552" s="1" t="str" cm="1">
        <f t="array" ref="H2552">_xlfn.IFS( OR(G2552=" ",NOT(ISNUMBER(G2552))),"Unknown",G2552&lt;=33,"Low Spender",G2552&lt;=66,"Medium Spender",TRUE, "High Spender")</f>
        <v>High Spender</v>
      </c>
      <c r="I2552" s="1">
        <v>67</v>
      </c>
      <c r="J2552" s="1">
        <v>9100</v>
      </c>
      <c r="K2552" s="1">
        <v>130</v>
      </c>
      <c r="M2552" s="1" t="s">
        <v>30</v>
      </c>
      <c r="N2552" s="1" t="str">
        <f t="shared" si="78"/>
        <v>Higher</v>
      </c>
      <c r="O2552" s="1" t="str">
        <f t="shared" si="79"/>
        <v>Early Career | High Spender | Higher</v>
      </c>
    </row>
    <row r="2553" spans="1:15" x14ac:dyDescent="0.25">
      <c r="A2553" s="1" t="s">
        <v>2583</v>
      </c>
      <c r="B2553" s="1">
        <v>63</v>
      </c>
      <c r="C2553" s="1" t="str" cm="1">
        <f t="array" ref="C2553">_xlfn.IFS(OR(B2553=" ", B2553="NA",NOT(ISNUMBER(B2553))), "Unknown",B2553&lt;18,"Underage",B2553&lt;=24,"Young Adult",B2553&lt;=34,"Early Career",B2553&lt;=44,"Mid Career",B2553&lt;=54,"Mature",B2553&lt;=65,"Pre-Senior",B2553&gt;65,"Senior")</f>
        <v>Pre-Senior</v>
      </c>
      <c r="E2553" s="1" t="s">
        <v>27</v>
      </c>
      <c r="F2553" s="1">
        <v>525000</v>
      </c>
      <c r="G2553" s="1">
        <v>81</v>
      </c>
      <c r="H2553" s="1" t="str" cm="1">
        <f t="array" ref="H2553">_xlfn.IFS( OR(G2553=" ",NOT(ISNUMBER(G2553))),"Unknown",G2553&lt;=33,"Low Spender",G2553&lt;=66,"Medium Spender",TRUE, "High Spender")</f>
        <v>High Spender</v>
      </c>
      <c r="I2553" s="1">
        <v>2</v>
      </c>
      <c r="J2553" s="1">
        <v>6900</v>
      </c>
      <c r="K2553" s="1">
        <v>115</v>
      </c>
      <c r="L2553" s="1" t="s">
        <v>16</v>
      </c>
      <c r="N2553" s="1" t="str">
        <f t="shared" si="78"/>
        <v>Lower</v>
      </c>
      <c r="O2553" s="1" t="str">
        <f t="shared" si="79"/>
        <v>Pre-Senior | High Spender | Lower</v>
      </c>
    </row>
    <row r="2554" spans="1:15" x14ac:dyDescent="0.25">
      <c r="A2554" s="1" t="s">
        <v>2584</v>
      </c>
      <c r="B2554" s="1">
        <v>31</v>
      </c>
      <c r="C2554" s="1" t="str" cm="1">
        <f t="array" ref="C2554">_xlfn.IFS(OR(B2554=" ", B2554="NA",NOT(ISNUMBER(B2554))), "Unknown",B2554&lt;18,"Underage",B2554&lt;=24,"Young Adult",B2554&lt;=34,"Early Career",B2554&lt;=44,"Mid Career",B2554&lt;=54,"Mature",B2554&lt;=65,"Pre-Senior",B2554&gt;65,"Senior")</f>
        <v>Early Career</v>
      </c>
      <c r="D2554" s="1" t="s">
        <v>29</v>
      </c>
      <c r="E2554" s="1" t="s">
        <v>49</v>
      </c>
      <c r="F2554" s="1">
        <v>1075000</v>
      </c>
      <c r="G2554" s="1">
        <v>66</v>
      </c>
      <c r="H2554" s="1" t="str" cm="1">
        <f t="array" ref="H2554">_xlfn.IFS( OR(G2554=" ",NOT(ISNUMBER(G2554))),"Unknown",G2554&lt;=33,"Low Spender",G2554&lt;=66,"Medium Spender",TRUE, "High Spender")</f>
        <v>Medium Spender</v>
      </c>
      <c r="I2554" s="1">
        <v>25</v>
      </c>
      <c r="J2554" s="1">
        <v>8400</v>
      </c>
      <c r="K2554" s="1">
        <v>45</v>
      </c>
      <c r="N2554" s="1" t="str">
        <f t="shared" si="78"/>
        <v>Higher</v>
      </c>
      <c r="O2554" s="1" t="str">
        <f t="shared" si="79"/>
        <v>Early Career | Medium Spender | Higher</v>
      </c>
    </row>
    <row r="2555" spans="1:15" x14ac:dyDescent="0.25">
      <c r="A2555" s="1" t="s">
        <v>2585</v>
      </c>
      <c r="B2555" s="1">
        <v>27</v>
      </c>
      <c r="C2555" s="1" t="str" cm="1">
        <f t="array" ref="C2555">_xlfn.IFS(OR(B2555=" ", B2555="NA",NOT(ISNUMBER(B2555))), "Unknown",B2555&lt;18,"Underage",B2555&lt;=24,"Young Adult",B2555&lt;=34,"Early Career",B2555&lt;=44,"Mid Career",B2555&lt;=54,"Mature",B2555&lt;=65,"Pre-Senior",B2555&gt;65,"Senior")</f>
        <v>Early Career</v>
      </c>
      <c r="D2555" s="1" t="s">
        <v>12</v>
      </c>
      <c r="E2555" s="1" t="s">
        <v>13</v>
      </c>
      <c r="F2555" s="1">
        <v>1200000</v>
      </c>
      <c r="G2555" s="1">
        <v>31</v>
      </c>
      <c r="H2555" s="1" t="str" cm="1">
        <f t="array" ref="H2555">_xlfn.IFS( OR(G2555=" ",NOT(ISNUMBER(G2555))),"Unknown",G2555&lt;=33,"Low Spender",G2555&lt;=66,"Medium Spender",TRUE, "High Spender")</f>
        <v>Low Spender</v>
      </c>
      <c r="I2555" s="1">
        <v>19</v>
      </c>
      <c r="J2555" s="1">
        <v>5200</v>
      </c>
      <c r="K2555" s="1">
        <v>216</v>
      </c>
      <c r="N2555" s="1" t="str">
        <f t="shared" si="78"/>
        <v>Lower</v>
      </c>
      <c r="O2555" s="1" t="str">
        <f t="shared" si="79"/>
        <v>Early Career | Low Spender | Lower</v>
      </c>
    </row>
    <row r="2556" spans="1:15" x14ac:dyDescent="0.25">
      <c r="A2556" s="1" t="s">
        <v>2586</v>
      </c>
      <c r="B2556" s="1">
        <v>19</v>
      </c>
      <c r="C2556" s="1" t="str" cm="1">
        <f t="array" ref="C2556">_xlfn.IFS(OR(B2556=" ", B2556="NA",NOT(ISNUMBER(B2556))), "Unknown",B2556&lt;18,"Underage",B2556&lt;=24,"Young Adult",B2556&lt;=34,"Early Career",B2556&lt;=44,"Mid Career",B2556&lt;=54,"Mature",B2556&lt;=65,"Pre-Senior",B2556&gt;65,"Senior")</f>
        <v>Young Adult</v>
      </c>
      <c r="E2556" s="1" t="s">
        <v>23</v>
      </c>
      <c r="F2556" s="1">
        <v>475000</v>
      </c>
      <c r="G2556" s="1">
        <v>61</v>
      </c>
      <c r="H2556" s="1" t="str" cm="1">
        <f t="array" ref="H2556">_xlfn.IFS( OR(G2556=" ",NOT(ISNUMBER(G2556))),"Unknown",G2556&lt;=33,"Low Spender",G2556&lt;=66,"Medium Spender",TRUE, "High Spender")</f>
        <v>Medium Spender</v>
      </c>
      <c r="I2556" s="1">
        <v>40</v>
      </c>
      <c r="K2556" s="1">
        <v>88</v>
      </c>
      <c r="M2556" s="1" t="s">
        <v>21</v>
      </c>
      <c r="N2556" s="1" t="str">
        <f t="shared" si="78"/>
        <v>Lower</v>
      </c>
      <c r="O2556" s="1" t="str">
        <f t="shared" si="79"/>
        <v>Young Adult | Medium Spender | Lower</v>
      </c>
    </row>
    <row r="2557" spans="1:15" x14ac:dyDescent="0.25">
      <c r="A2557" s="1" t="s">
        <v>2587</v>
      </c>
      <c r="B2557" s="1">
        <v>63</v>
      </c>
      <c r="C2557" s="1" t="str" cm="1">
        <f t="array" ref="C2557">_xlfn.IFS(OR(B2557=" ", B2557="NA",NOT(ISNUMBER(B2557))), "Unknown",B2557&lt;18,"Underage",B2557&lt;=24,"Young Adult",B2557&lt;=34,"Early Career",B2557&lt;=44,"Mid Career",B2557&lt;=54,"Mature",B2557&lt;=65,"Pre-Senior",B2557&gt;65,"Senior")</f>
        <v>Pre-Senior</v>
      </c>
      <c r="E2557" s="1" t="s">
        <v>15</v>
      </c>
      <c r="F2557" s="1">
        <v>275000</v>
      </c>
      <c r="G2557" s="1">
        <v>64</v>
      </c>
      <c r="H2557" s="1" t="str" cm="1">
        <f t="array" ref="H2557">_xlfn.IFS( OR(G2557=" ",NOT(ISNUMBER(G2557))),"Unknown",G2557&lt;=33,"Low Spender",G2557&lt;=66,"Medium Spender",TRUE, "High Spender")</f>
        <v>Medium Spender</v>
      </c>
      <c r="I2557" s="1">
        <v>2</v>
      </c>
      <c r="K2557" s="1">
        <v>336</v>
      </c>
      <c r="M2557" s="1" t="s">
        <v>41</v>
      </c>
      <c r="N2557" s="1" t="str">
        <f t="shared" si="78"/>
        <v>Lower</v>
      </c>
      <c r="O2557" s="1" t="str">
        <f t="shared" si="79"/>
        <v>Pre-Senior | Medium Spender | Lower</v>
      </c>
    </row>
    <row r="2558" spans="1:15" x14ac:dyDescent="0.25">
      <c r="A2558" s="1" t="s">
        <v>2588</v>
      </c>
      <c r="B2558" s="1">
        <v>26</v>
      </c>
      <c r="C2558" s="1" t="str" cm="1">
        <f t="array" ref="C2558">_xlfn.IFS(OR(B2558=" ", B2558="NA",NOT(ISNUMBER(B2558))), "Unknown",B2558&lt;18,"Underage",B2558&lt;=24,"Young Adult",B2558&lt;=34,"Early Career",B2558&lt;=44,"Mid Career",B2558&lt;=54,"Mature",B2558&lt;=65,"Pre-Senior",B2558&gt;65,"Senior")</f>
        <v>Early Career</v>
      </c>
      <c r="D2558" s="1" t="s">
        <v>29</v>
      </c>
      <c r="E2558" s="1" t="s">
        <v>34</v>
      </c>
      <c r="F2558" s="1">
        <v>700000</v>
      </c>
      <c r="H2558" s="1" t="str" cm="1">
        <f t="array" ref="H2558">_xlfn.IFS( OR(G2558=" ",NOT(ISNUMBER(G2558))),"Unknown",G2558&lt;=33,"Low Spender",G2558&lt;=66,"Medium Spender",TRUE, "High Spender")</f>
        <v>Unknown</v>
      </c>
      <c r="I2558" s="1">
        <v>65</v>
      </c>
      <c r="J2558" s="1">
        <v>4000</v>
      </c>
      <c r="K2558" s="1">
        <v>177</v>
      </c>
      <c r="N2558" s="1" t="str">
        <f t="shared" si="78"/>
        <v>Higher</v>
      </c>
      <c r="O2558" s="1" t="str">
        <f t="shared" si="79"/>
        <v>Early Career | Unknown | Higher</v>
      </c>
    </row>
    <row r="2559" spans="1:15" x14ac:dyDescent="0.25">
      <c r="A2559" s="1" t="s">
        <v>2589</v>
      </c>
      <c r="B2559" s="1">
        <v>20</v>
      </c>
      <c r="C2559" s="1" t="str" cm="1">
        <f t="array" ref="C2559">_xlfn.IFS(OR(B2559=" ", B2559="NA",NOT(ISNUMBER(B2559))), "Unknown",B2559&lt;18,"Underage",B2559&lt;=24,"Young Adult",B2559&lt;=34,"Early Career",B2559&lt;=44,"Mid Career",B2559&lt;=54,"Mature",B2559&lt;=65,"Pre-Senior",B2559&gt;65,"Senior")</f>
        <v>Young Adult</v>
      </c>
      <c r="D2559" s="1" t="s">
        <v>29</v>
      </c>
      <c r="E2559" s="1" t="s">
        <v>23</v>
      </c>
      <c r="F2559" s="1">
        <v>1625000</v>
      </c>
      <c r="G2559" s="1">
        <v>98</v>
      </c>
      <c r="H2559" s="1" t="str" cm="1">
        <f t="array" ref="H2559">_xlfn.IFS( OR(G2559=" ",NOT(ISNUMBER(G2559))),"Unknown",G2559&lt;=33,"Low Spender",G2559&lt;=66,"Medium Spender",TRUE, "High Spender")</f>
        <v>High Spender</v>
      </c>
      <c r="I2559" s="1">
        <v>62</v>
      </c>
      <c r="J2559" s="1">
        <v>10900</v>
      </c>
      <c r="K2559" s="1">
        <v>265</v>
      </c>
      <c r="N2559" s="1" t="str">
        <f t="shared" si="78"/>
        <v>Higher</v>
      </c>
      <c r="O2559" s="1" t="str">
        <f t="shared" si="79"/>
        <v>Young Adult | High Spender | Higher</v>
      </c>
    </row>
    <row r="2560" spans="1:15" x14ac:dyDescent="0.25">
      <c r="A2560" s="1" t="s">
        <v>2590</v>
      </c>
      <c r="B2560" s="1">
        <v>38</v>
      </c>
      <c r="C2560" s="1" t="str" cm="1">
        <f t="array" ref="C2560">_xlfn.IFS(OR(B2560=" ", B2560="NA",NOT(ISNUMBER(B2560))), "Unknown",B2560&lt;18,"Underage",B2560&lt;=24,"Young Adult",B2560&lt;=34,"Early Career",B2560&lt;=44,"Mid Career",B2560&lt;=54,"Mature",B2560&lt;=65,"Pre-Senior",B2560&gt;65,"Senior")</f>
        <v>Mid Career</v>
      </c>
      <c r="D2560" s="1" t="s">
        <v>29</v>
      </c>
      <c r="E2560" s="1" t="s">
        <v>19</v>
      </c>
      <c r="F2560" s="1">
        <v>425000</v>
      </c>
      <c r="G2560" s="1">
        <v>34</v>
      </c>
      <c r="H2560" s="1" t="str" cm="1">
        <f t="array" ref="H2560">_xlfn.IFS( OR(G2560=" ",NOT(ISNUMBER(G2560))),"Unknown",G2560&lt;=33,"Low Spender",G2560&lt;=66,"Medium Spender",TRUE, "High Spender")</f>
        <v>Medium Spender</v>
      </c>
      <c r="I2560" s="1">
        <v>54</v>
      </c>
      <c r="J2560" s="1">
        <v>500</v>
      </c>
      <c r="K2560" s="1">
        <v>105</v>
      </c>
      <c r="L2560" s="1" t="s">
        <v>20</v>
      </c>
      <c r="M2560" s="1" t="s">
        <v>21</v>
      </c>
      <c r="N2560" s="1" t="str">
        <f t="shared" si="78"/>
        <v>Higher</v>
      </c>
      <c r="O2560" s="1" t="str">
        <f t="shared" si="79"/>
        <v>Mid Career | Medium Spender | Higher</v>
      </c>
    </row>
    <row r="2561" spans="1:15" x14ac:dyDescent="0.25">
      <c r="A2561" s="1" t="s">
        <v>2591</v>
      </c>
      <c r="B2561" s="1">
        <v>43</v>
      </c>
      <c r="C2561" s="1" t="str" cm="1">
        <f t="array" ref="C2561">_xlfn.IFS(OR(B2561=" ", B2561="NA",NOT(ISNUMBER(B2561))), "Unknown",B2561&lt;18,"Underage",B2561&lt;=24,"Young Adult",B2561&lt;=34,"Early Career",B2561&lt;=44,"Mid Career",B2561&lt;=54,"Mature",B2561&lt;=65,"Pre-Senior",B2561&gt;65,"Senior")</f>
        <v>Mid Career</v>
      </c>
      <c r="D2561" s="1" t="s">
        <v>18</v>
      </c>
      <c r="E2561" s="1" t="s">
        <v>23</v>
      </c>
      <c r="F2561" s="1">
        <v>450000</v>
      </c>
      <c r="G2561" s="1">
        <v>55</v>
      </c>
      <c r="H2561" s="1" t="str" cm="1">
        <f t="array" ref="H2561">_xlfn.IFS( OR(G2561=" ",NOT(ISNUMBER(G2561))),"Unknown",G2561&lt;=33,"Low Spender",G2561&lt;=66,"Medium Spender",TRUE, "High Spender")</f>
        <v>Medium Spender</v>
      </c>
      <c r="I2561" s="1">
        <v>45</v>
      </c>
      <c r="J2561" s="1">
        <v>11400</v>
      </c>
      <c r="K2561" s="1">
        <v>334</v>
      </c>
      <c r="L2561" s="1" t="s">
        <v>37</v>
      </c>
      <c r="N2561" s="1" t="str">
        <f t="shared" si="78"/>
        <v>Higher</v>
      </c>
      <c r="O2561" s="1" t="str">
        <f t="shared" si="79"/>
        <v>Mid Career | Medium Spender | Higher</v>
      </c>
    </row>
    <row r="2562" spans="1:15" x14ac:dyDescent="0.25">
      <c r="A2562" s="1" t="s">
        <v>2592</v>
      </c>
      <c r="B2562" s="1">
        <v>25</v>
      </c>
      <c r="C2562" s="1" t="str" cm="1">
        <f t="array" ref="C2562">_xlfn.IFS(OR(B2562=" ", B2562="NA",NOT(ISNUMBER(B2562))), "Unknown",B2562&lt;18,"Underage",B2562&lt;=24,"Young Adult",B2562&lt;=34,"Early Career",B2562&lt;=44,"Mid Career",B2562&lt;=54,"Mature",B2562&lt;=65,"Pre-Senior",B2562&gt;65,"Senior")</f>
        <v>Early Career</v>
      </c>
      <c r="D2562" s="1" t="s">
        <v>12</v>
      </c>
      <c r="E2562" s="1" t="s">
        <v>15</v>
      </c>
      <c r="F2562" s="1">
        <v>275000</v>
      </c>
      <c r="G2562" s="1">
        <v>59</v>
      </c>
      <c r="H2562" s="1" t="str" cm="1">
        <f t="array" ref="H2562">_xlfn.IFS( OR(G2562=" ",NOT(ISNUMBER(G2562))),"Unknown",G2562&lt;=33,"Low Spender",G2562&lt;=66,"Medium Spender",TRUE, "High Spender")</f>
        <v>Medium Spender</v>
      </c>
      <c r="I2562" s="1">
        <v>49</v>
      </c>
      <c r="J2562" s="1">
        <v>700</v>
      </c>
      <c r="K2562" s="1">
        <v>301</v>
      </c>
      <c r="N2562" s="1" t="str">
        <f t="shared" ref="N2562:N2625" si="80">IF(OR(UPPER(TRIM(D2562))="Male",UPPER(TRIM(D2562))="Female"),"Higher","Lower")</f>
        <v>Lower</v>
      </c>
      <c r="O2562" s="1" t="str">
        <f t="shared" ref="O2562:O2625" si="81">_xlfn.TEXTJOIN(" | ", TRUE, C2562, H2562, N2562)</f>
        <v>Early Career | Medium Spender | Lower</v>
      </c>
    </row>
    <row r="2563" spans="1:15" x14ac:dyDescent="0.25">
      <c r="A2563" s="1" t="s">
        <v>2593</v>
      </c>
      <c r="B2563" s="1">
        <v>65</v>
      </c>
      <c r="C2563" s="1" t="str" cm="1">
        <f t="array" ref="C2563">_xlfn.IFS(OR(B2563=" ", B2563="NA",NOT(ISNUMBER(B2563))), "Unknown",B2563&lt;18,"Underage",B2563&lt;=24,"Young Adult",B2563&lt;=34,"Early Career",B2563&lt;=44,"Mid Career",B2563&lt;=54,"Mature",B2563&lt;=65,"Pre-Senior",B2563&gt;65,"Senior")</f>
        <v>Pre-Senior</v>
      </c>
      <c r="D2563" s="1" t="s">
        <v>18</v>
      </c>
      <c r="E2563" s="1" t="s">
        <v>34</v>
      </c>
      <c r="F2563" s="1">
        <v>1700000</v>
      </c>
      <c r="G2563" s="1">
        <v>3</v>
      </c>
      <c r="H2563" s="1" t="str" cm="1">
        <f t="array" ref="H2563">_xlfn.IFS( OR(G2563=" ",NOT(ISNUMBER(G2563))),"Unknown",G2563&lt;=33,"Low Spender",G2563&lt;=66,"Medium Spender",TRUE, "High Spender")</f>
        <v>Low Spender</v>
      </c>
      <c r="I2563" s="1">
        <v>69</v>
      </c>
      <c r="J2563" s="1">
        <v>2600</v>
      </c>
      <c r="K2563" s="1">
        <v>171</v>
      </c>
      <c r="L2563" s="1" t="s">
        <v>37</v>
      </c>
      <c r="N2563" s="1" t="str">
        <f t="shared" si="80"/>
        <v>Higher</v>
      </c>
      <c r="O2563" s="1" t="str">
        <f t="shared" si="81"/>
        <v>Pre-Senior | Low Spender | Higher</v>
      </c>
    </row>
    <row r="2564" spans="1:15" x14ac:dyDescent="0.25">
      <c r="A2564" s="1" t="s">
        <v>2594</v>
      </c>
      <c r="B2564" s="1">
        <v>19</v>
      </c>
      <c r="C2564" s="1" t="str" cm="1">
        <f t="array" ref="C2564">_xlfn.IFS(OR(B2564=" ", B2564="NA",NOT(ISNUMBER(B2564))), "Unknown",B2564&lt;18,"Underage",B2564&lt;=24,"Young Adult",B2564&lt;=34,"Early Career",B2564&lt;=44,"Mid Career",B2564&lt;=54,"Mature",B2564&lt;=65,"Pre-Senior",B2564&gt;65,"Senior")</f>
        <v>Young Adult</v>
      </c>
      <c r="D2564" s="1" t="s">
        <v>29</v>
      </c>
      <c r="F2564" s="1">
        <v>1075000</v>
      </c>
      <c r="G2564" s="1">
        <v>17</v>
      </c>
      <c r="H2564" s="1" t="str" cm="1">
        <f t="array" ref="H2564">_xlfn.IFS( OR(G2564=" ",NOT(ISNUMBER(G2564))),"Unknown",G2564&lt;=33,"Low Spender",G2564&lt;=66,"Medium Spender",TRUE, "High Spender")</f>
        <v>Low Spender</v>
      </c>
      <c r="I2564" s="1">
        <v>38</v>
      </c>
      <c r="J2564" s="1">
        <v>5600</v>
      </c>
      <c r="K2564" s="1">
        <v>108</v>
      </c>
      <c r="M2564" s="1" t="s">
        <v>30</v>
      </c>
      <c r="N2564" s="1" t="str">
        <f t="shared" si="80"/>
        <v>Higher</v>
      </c>
      <c r="O2564" s="1" t="str">
        <f t="shared" si="81"/>
        <v>Young Adult | Low Spender | Higher</v>
      </c>
    </row>
    <row r="2565" spans="1:15" x14ac:dyDescent="0.25">
      <c r="A2565" s="1" t="s">
        <v>2595</v>
      </c>
      <c r="B2565" s="1">
        <v>23</v>
      </c>
      <c r="C2565" s="1" t="str" cm="1">
        <f t="array" ref="C2565">_xlfn.IFS(OR(B2565=" ", B2565="NA",NOT(ISNUMBER(B2565))), "Unknown",B2565&lt;18,"Underage",B2565&lt;=24,"Young Adult",B2565&lt;=34,"Early Career",B2565&lt;=44,"Mid Career",B2565&lt;=54,"Mature",B2565&lt;=65,"Pre-Senior",B2565&gt;65,"Senior")</f>
        <v>Young Adult</v>
      </c>
      <c r="E2565" s="1" t="s">
        <v>19</v>
      </c>
      <c r="F2565" s="1">
        <v>1375000</v>
      </c>
      <c r="G2565" s="1">
        <v>78</v>
      </c>
      <c r="H2565" s="1" t="str" cm="1">
        <f t="array" ref="H2565">_xlfn.IFS( OR(G2565=" ",NOT(ISNUMBER(G2565))),"Unknown",G2565&lt;=33,"Low Spender",G2565&lt;=66,"Medium Spender",TRUE, "High Spender")</f>
        <v>High Spender</v>
      </c>
      <c r="I2565" s="1">
        <v>4</v>
      </c>
      <c r="J2565" s="1">
        <v>3600</v>
      </c>
      <c r="K2565" s="1">
        <v>355</v>
      </c>
      <c r="M2565" s="1" t="s">
        <v>21</v>
      </c>
      <c r="N2565" s="1" t="str">
        <f t="shared" si="80"/>
        <v>Lower</v>
      </c>
      <c r="O2565" s="1" t="str">
        <f t="shared" si="81"/>
        <v>Young Adult | High Spender | Lower</v>
      </c>
    </row>
    <row r="2566" spans="1:15" x14ac:dyDescent="0.25">
      <c r="A2566" s="1" t="s">
        <v>2596</v>
      </c>
      <c r="B2566" s="1">
        <v>45</v>
      </c>
      <c r="C2566" s="1" t="str" cm="1">
        <f t="array" ref="C2566">_xlfn.IFS(OR(B2566=" ", B2566="NA",NOT(ISNUMBER(B2566))), "Unknown",B2566&lt;18,"Underage",B2566&lt;=24,"Young Adult",B2566&lt;=34,"Early Career",B2566&lt;=44,"Mid Career",B2566&lt;=54,"Mature",B2566&lt;=65,"Pre-Senior",B2566&gt;65,"Senior")</f>
        <v>Mature</v>
      </c>
      <c r="E2566" s="1" t="s">
        <v>58</v>
      </c>
      <c r="F2566" s="1">
        <v>1425000</v>
      </c>
      <c r="G2566" s="1">
        <v>78</v>
      </c>
      <c r="H2566" s="1" t="str" cm="1">
        <f t="array" ref="H2566">_xlfn.IFS( OR(G2566=" ",NOT(ISNUMBER(G2566))),"Unknown",G2566&lt;=33,"Low Spender",G2566&lt;=66,"Medium Spender",TRUE, "High Spender")</f>
        <v>High Spender</v>
      </c>
      <c r="I2566" s="1">
        <v>17</v>
      </c>
      <c r="J2566" s="1">
        <v>11300</v>
      </c>
      <c r="K2566" s="1">
        <v>161</v>
      </c>
      <c r="L2566" s="1" t="s">
        <v>16</v>
      </c>
      <c r="N2566" s="1" t="str">
        <f t="shared" si="80"/>
        <v>Lower</v>
      </c>
      <c r="O2566" s="1" t="str">
        <f t="shared" si="81"/>
        <v>Mature | High Spender | Lower</v>
      </c>
    </row>
    <row r="2567" spans="1:15" x14ac:dyDescent="0.25">
      <c r="A2567" s="1" t="s">
        <v>2597</v>
      </c>
      <c r="C2567" s="1" t="str" cm="1">
        <f t="array" ref="C2567">_xlfn.IFS(OR(B2567=" ", B2567="NA",NOT(ISNUMBER(B2567))), "Unknown",B2567&lt;18,"Underage",B2567&lt;=24,"Young Adult",B2567&lt;=34,"Early Career",B2567&lt;=44,"Mid Career",B2567&lt;=54,"Mature",B2567&lt;=65,"Pre-Senior",B2567&gt;65,"Senior")</f>
        <v>Unknown</v>
      </c>
      <c r="E2567" s="1" t="s">
        <v>19</v>
      </c>
      <c r="F2567" s="1">
        <v>1125000</v>
      </c>
      <c r="G2567" s="1">
        <v>46</v>
      </c>
      <c r="H2567" s="1" t="str" cm="1">
        <f t="array" ref="H2567">_xlfn.IFS( OR(G2567=" ",NOT(ISNUMBER(G2567))),"Unknown",G2567&lt;=33,"Low Spender",G2567&lt;=66,"Medium Spender",TRUE, "High Spender")</f>
        <v>Medium Spender</v>
      </c>
      <c r="I2567" s="1">
        <v>53</v>
      </c>
      <c r="J2567" s="1">
        <v>11400</v>
      </c>
      <c r="K2567" s="1">
        <v>283</v>
      </c>
      <c r="L2567" s="1" t="s">
        <v>37</v>
      </c>
      <c r="N2567" s="1" t="str">
        <f t="shared" si="80"/>
        <v>Lower</v>
      </c>
      <c r="O2567" s="1" t="str">
        <f t="shared" si="81"/>
        <v>Unknown | Medium Spender | Lower</v>
      </c>
    </row>
    <row r="2568" spans="1:15" x14ac:dyDescent="0.25">
      <c r="A2568" s="1" t="s">
        <v>2598</v>
      </c>
      <c r="B2568" s="1">
        <v>46</v>
      </c>
      <c r="C2568" s="1" t="str" cm="1">
        <f t="array" ref="C2568">_xlfn.IFS(OR(B2568=" ", B2568="NA",NOT(ISNUMBER(B2568))), "Unknown",B2568&lt;18,"Underage",B2568&lt;=24,"Young Adult",B2568&lt;=34,"Early Career",B2568&lt;=44,"Mid Career",B2568&lt;=54,"Mature",B2568&lt;=65,"Pre-Senior",B2568&gt;65,"Senior")</f>
        <v>Mature</v>
      </c>
      <c r="D2568" s="1" t="s">
        <v>29</v>
      </c>
      <c r="E2568" s="1" t="s">
        <v>49</v>
      </c>
      <c r="F2568" s="1">
        <v>325000</v>
      </c>
      <c r="G2568" s="1">
        <v>38</v>
      </c>
      <c r="H2568" s="1" t="str" cm="1">
        <f t="array" ref="H2568">_xlfn.IFS( OR(G2568=" ",NOT(ISNUMBER(G2568))),"Unknown",G2568&lt;=33,"Low Spender",G2568&lt;=66,"Medium Spender",TRUE, "High Spender")</f>
        <v>Medium Spender</v>
      </c>
      <c r="I2568" s="1">
        <v>53</v>
      </c>
      <c r="J2568" s="1">
        <v>4100</v>
      </c>
      <c r="K2568" s="1">
        <v>40</v>
      </c>
      <c r="L2568" s="1" t="s">
        <v>37</v>
      </c>
      <c r="M2568" s="1" t="s">
        <v>41</v>
      </c>
      <c r="N2568" s="1" t="str">
        <f t="shared" si="80"/>
        <v>Higher</v>
      </c>
      <c r="O2568" s="1" t="str">
        <f t="shared" si="81"/>
        <v>Mature | Medium Spender | Higher</v>
      </c>
    </row>
    <row r="2569" spans="1:15" x14ac:dyDescent="0.25">
      <c r="A2569" s="1" t="s">
        <v>2599</v>
      </c>
      <c r="B2569" s="1">
        <v>43</v>
      </c>
      <c r="C2569" s="1" t="str" cm="1">
        <f t="array" ref="C2569">_xlfn.IFS(OR(B2569=" ", B2569="NA",NOT(ISNUMBER(B2569))), "Unknown",B2569&lt;18,"Underage",B2569&lt;=24,"Young Adult",B2569&lt;=34,"Early Career",B2569&lt;=44,"Mid Career",B2569&lt;=54,"Mature",B2569&lt;=65,"Pre-Senior",B2569&gt;65,"Senior")</f>
        <v>Mid Career</v>
      </c>
      <c r="E2569" s="1" t="s">
        <v>58</v>
      </c>
      <c r="F2569" s="1">
        <v>1650000</v>
      </c>
      <c r="G2569" s="1">
        <v>35</v>
      </c>
      <c r="H2569" s="1" t="str" cm="1">
        <f t="array" ref="H2569">_xlfn.IFS( OR(G2569=" ",NOT(ISNUMBER(G2569))),"Unknown",G2569&lt;=33,"Low Spender",G2569&lt;=66,"Medium Spender",TRUE, "High Spender")</f>
        <v>Medium Spender</v>
      </c>
      <c r="I2569" s="1">
        <v>31</v>
      </c>
      <c r="J2569" s="1">
        <v>11400</v>
      </c>
      <c r="K2569" s="1">
        <v>26</v>
      </c>
      <c r="M2569" s="1" t="s">
        <v>30</v>
      </c>
      <c r="N2569" s="1" t="str">
        <f t="shared" si="80"/>
        <v>Lower</v>
      </c>
      <c r="O2569" s="1" t="str">
        <f t="shared" si="81"/>
        <v>Mid Career | Medium Spender | Lower</v>
      </c>
    </row>
    <row r="2570" spans="1:15" x14ac:dyDescent="0.25">
      <c r="A2570" s="1" t="s">
        <v>2600</v>
      </c>
      <c r="B2570" s="1">
        <v>42</v>
      </c>
      <c r="C2570" s="1" t="str" cm="1">
        <f t="array" ref="C2570">_xlfn.IFS(OR(B2570=" ", B2570="NA",NOT(ISNUMBER(B2570))), "Unknown",B2570&lt;18,"Underage",B2570&lt;=24,"Young Adult",B2570&lt;=34,"Early Career",B2570&lt;=44,"Mid Career",B2570&lt;=54,"Mature",B2570&lt;=65,"Pre-Senior",B2570&gt;65,"Senior")</f>
        <v>Mid Career</v>
      </c>
      <c r="E2570" s="1" t="s">
        <v>49</v>
      </c>
      <c r="F2570" s="1">
        <v>325000</v>
      </c>
      <c r="G2570" s="1">
        <v>1</v>
      </c>
      <c r="H2570" s="1" t="str" cm="1">
        <f t="array" ref="H2570">_xlfn.IFS( OR(G2570=" ",NOT(ISNUMBER(G2570))),"Unknown",G2570&lt;=33,"Low Spender",G2570&lt;=66,"Medium Spender",TRUE, "High Spender")</f>
        <v>Low Spender</v>
      </c>
      <c r="I2570" s="1">
        <v>22</v>
      </c>
      <c r="J2570" s="1">
        <v>9000</v>
      </c>
      <c r="K2570" s="1">
        <v>83</v>
      </c>
      <c r="L2570" s="1" t="s">
        <v>37</v>
      </c>
      <c r="N2570" s="1" t="str">
        <f t="shared" si="80"/>
        <v>Lower</v>
      </c>
      <c r="O2570" s="1" t="str">
        <f t="shared" si="81"/>
        <v>Mid Career | Low Spender | Lower</v>
      </c>
    </row>
    <row r="2571" spans="1:15" x14ac:dyDescent="0.25">
      <c r="A2571" s="1" t="s">
        <v>2601</v>
      </c>
      <c r="B2571" s="1">
        <v>29</v>
      </c>
      <c r="C2571" s="1" t="str" cm="1">
        <f t="array" ref="C2571">_xlfn.IFS(OR(B2571=" ", B2571="NA",NOT(ISNUMBER(B2571))), "Unknown",B2571&lt;18,"Underage",B2571&lt;=24,"Young Adult",B2571&lt;=34,"Early Career",B2571&lt;=44,"Mid Career",B2571&lt;=54,"Mature",B2571&lt;=65,"Pre-Senior",B2571&gt;65,"Senior")</f>
        <v>Early Career</v>
      </c>
      <c r="D2571" s="1" t="s">
        <v>12</v>
      </c>
      <c r="E2571" s="1" t="s">
        <v>15</v>
      </c>
      <c r="F2571" s="1">
        <v>975000</v>
      </c>
      <c r="G2571" s="1">
        <v>29</v>
      </c>
      <c r="H2571" s="1" t="str" cm="1">
        <f t="array" ref="H2571">_xlfn.IFS( OR(G2571=" ",NOT(ISNUMBER(G2571))),"Unknown",G2571&lt;=33,"Low Spender",G2571&lt;=66,"Medium Spender",TRUE, "High Spender")</f>
        <v>Low Spender</v>
      </c>
      <c r="I2571" s="1">
        <v>11</v>
      </c>
      <c r="J2571" s="1">
        <v>10200</v>
      </c>
      <c r="K2571" s="1">
        <v>173</v>
      </c>
      <c r="L2571" s="1" t="s">
        <v>20</v>
      </c>
      <c r="M2571" s="1" t="s">
        <v>30</v>
      </c>
      <c r="N2571" s="1" t="str">
        <f t="shared" si="80"/>
        <v>Lower</v>
      </c>
      <c r="O2571" s="1" t="str">
        <f t="shared" si="81"/>
        <v>Early Career | Low Spender | Lower</v>
      </c>
    </row>
    <row r="2572" spans="1:15" x14ac:dyDescent="0.25">
      <c r="A2572" s="1" t="s">
        <v>2602</v>
      </c>
      <c r="B2572" s="1">
        <v>22</v>
      </c>
      <c r="C2572" s="1" t="str" cm="1">
        <f t="array" ref="C2572">_xlfn.IFS(OR(B2572=" ", B2572="NA",NOT(ISNUMBER(B2572))), "Unknown",B2572&lt;18,"Underage",B2572&lt;=24,"Young Adult",B2572&lt;=34,"Early Career",B2572&lt;=44,"Mid Career",B2572&lt;=54,"Mature",B2572&lt;=65,"Pre-Senior",B2572&gt;65,"Senior")</f>
        <v>Young Adult</v>
      </c>
      <c r="E2572" s="1" t="s">
        <v>13</v>
      </c>
      <c r="F2572" s="1">
        <v>1625000</v>
      </c>
      <c r="G2572" s="1">
        <v>4</v>
      </c>
      <c r="H2572" s="1" t="str" cm="1">
        <f t="array" ref="H2572">_xlfn.IFS( OR(G2572=" ",NOT(ISNUMBER(G2572))),"Unknown",G2572&lt;=33,"Low Spender",G2572&lt;=66,"Medium Spender",TRUE, "High Spender")</f>
        <v>Low Spender</v>
      </c>
      <c r="I2572" s="1">
        <v>34</v>
      </c>
      <c r="J2572" s="1">
        <v>9400</v>
      </c>
      <c r="K2572" s="1">
        <v>173</v>
      </c>
      <c r="M2572" s="1" t="s">
        <v>41</v>
      </c>
      <c r="N2572" s="1" t="str">
        <f t="shared" si="80"/>
        <v>Lower</v>
      </c>
      <c r="O2572" s="1" t="str">
        <f t="shared" si="81"/>
        <v>Young Adult | Low Spender | Lower</v>
      </c>
    </row>
    <row r="2573" spans="1:15" x14ac:dyDescent="0.25">
      <c r="A2573" s="1" t="s">
        <v>2603</v>
      </c>
      <c r="B2573" s="1">
        <v>51</v>
      </c>
      <c r="C2573" s="1" t="str" cm="1">
        <f t="array" ref="C2573">_xlfn.IFS(OR(B2573=" ", B2573="NA",NOT(ISNUMBER(B2573))), "Unknown",B2573&lt;18,"Underage",B2573&lt;=24,"Young Adult",B2573&lt;=34,"Early Career",B2573&lt;=44,"Mid Career",B2573&lt;=54,"Mature",B2573&lt;=65,"Pre-Senior",B2573&gt;65,"Senior")</f>
        <v>Mature</v>
      </c>
      <c r="E2573" s="1" t="s">
        <v>34</v>
      </c>
      <c r="F2573" s="1">
        <v>1550000</v>
      </c>
      <c r="G2573" s="1">
        <v>61</v>
      </c>
      <c r="H2573" s="1" t="str" cm="1">
        <f t="array" ref="H2573">_xlfn.IFS( OR(G2573=" ",NOT(ISNUMBER(G2573))),"Unknown",G2573&lt;=33,"Low Spender",G2573&lt;=66,"Medium Spender",TRUE, "High Spender")</f>
        <v>Medium Spender</v>
      </c>
      <c r="I2573" s="1">
        <v>15</v>
      </c>
      <c r="J2573" s="1">
        <v>5000</v>
      </c>
      <c r="K2573" s="1">
        <v>282</v>
      </c>
      <c r="L2573" s="1" t="s">
        <v>37</v>
      </c>
      <c r="M2573" s="1" t="s">
        <v>21</v>
      </c>
      <c r="N2573" s="1" t="str">
        <f t="shared" si="80"/>
        <v>Lower</v>
      </c>
      <c r="O2573" s="1" t="str">
        <f t="shared" si="81"/>
        <v>Mature | Medium Spender | Lower</v>
      </c>
    </row>
    <row r="2574" spans="1:15" x14ac:dyDescent="0.25">
      <c r="A2574" s="1" t="s">
        <v>2604</v>
      </c>
      <c r="B2574" s="1">
        <v>65</v>
      </c>
      <c r="C2574" s="1" t="str" cm="1">
        <f t="array" ref="C2574">_xlfn.IFS(OR(B2574=" ", B2574="NA",NOT(ISNUMBER(B2574))), "Unknown",B2574&lt;18,"Underage",B2574&lt;=24,"Young Adult",B2574&lt;=34,"Early Career",B2574&lt;=44,"Mid Career",B2574&lt;=54,"Mature",B2574&lt;=65,"Pre-Senior",B2574&gt;65,"Senior")</f>
        <v>Pre-Senior</v>
      </c>
      <c r="D2574" s="1" t="s">
        <v>18</v>
      </c>
      <c r="E2574" s="1" t="s">
        <v>27</v>
      </c>
      <c r="F2574" s="1">
        <v>1275000</v>
      </c>
      <c r="G2574" s="1">
        <v>97</v>
      </c>
      <c r="H2574" s="1" t="str" cm="1">
        <f t="array" ref="H2574">_xlfn.IFS( OR(G2574=" ",NOT(ISNUMBER(G2574))),"Unknown",G2574&lt;=33,"Low Spender",G2574&lt;=66,"Medium Spender",TRUE, "High Spender")</f>
        <v>High Spender</v>
      </c>
      <c r="I2574" s="1">
        <v>10</v>
      </c>
      <c r="J2574" s="1">
        <v>5100</v>
      </c>
      <c r="K2574" s="1">
        <v>70</v>
      </c>
      <c r="L2574" s="1" t="s">
        <v>37</v>
      </c>
      <c r="N2574" s="1" t="str">
        <f t="shared" si="80"/>
        <v>Higher</v>
      </c>
      <c r="O2574" s="1" t="str">
        <f t="shared" si="81"/>
        <v>Pre-Senior | High Spender | Higher</v>
      </c>
    </row>
    <row r="2575" spans="1:15" x14ac:dyDescent="0.25">
      <c r="A2575" s="1" t="s">
        <v>2605</v>
      </c>
      <c r="B2575" s="1">
        <v>54</v>
      </c>
      <c r="C2575" s="1" t="str" cm="1">
        <f t="array" ref="C2575">_xlfn.IFS(OR(B2575=" ", B2575="NA",NOT(ISNUMBER(B2575))), "Unknown",B2575&lt;18,"Underage",B2575&lt;=24,"Young Adult",B2575&lt;=34,"Early Career",B2575&lt;=44,"Mid Career",B2575&lt;=54,"Mature",B2575&lt;=65,"Pre-Senior",B2575&gt;65,"Senior")</f>
        <v>Mature</v>
      </c>
      <c r="D2575" s="1" t="s">
        <v>18</v>
      </c>
      <c r="F2575" s="1">
        <v>675000</v>
      </c>
      <c r="G2575" s="1">
        <v>17</v>
      </c>
      <c r="H2575" s="1" t="str" cm="1">
        <f t="array" ref="H2575">_xlfn.IFS( OR(G2575=" ",NOT(ISNUMBER(G2575))),"Unknown",G2575&lt;=33,"Low Spender",G2575&lt;=66,"Medium Spender",TRUE, "High Spender")</f>
        <v>Low Spender</v>
      </c>
      <c r="I2575" s="1">
        <v>53</v>
      </c>
      <c r="J2575" s="1">
        <v>3600</v>
      </c>
      <c r="K2575" s="1">
        <v>323</v>
      </c>
      <c r="L2575" s="1" t="s">
        <v>37</v>
      </c>
      <c r="N2575" s="1" t="str">
        <f t="shared" si="80"/>
        <v>Higher</v>
      </c>
      <c r="O2575" s="1" t="str">
        <f t="shared" si="81"/>
        <v>Mature | Low Spender | Higher</v>
      </c>
    </row>
    <row r="2576" spans="1:15" x14ac:dyDescent="0.25">
      <c r="A2576" s="1" t="s">
        <v>2606</v>
      </c>
      <c r="B2576" s="1">
        <v>32</v>
      </c>
      <c r="C2576" s="1" t="str" cm="1">
        <f t="array" ref="C2576">_xlfn.IFS(OR(B2576=" ", B2576="NA",NOT(ISNUMBER(B2576))), "Unknown",B2576&lt;18,"Underage",B2576&lt;=24,"Young Adult",B2576&lt;=34,"Early Career",B2576&lt;=44,"Mid Career",B2576&lt;=54,"Mature",B2576&lt;=65,"Pre-Senior",B2576&gt;65,"Senior")</f>
        <v>Early Career</v>
      </c>
      <c r="E2576" s="1" t="s">
        <v>27</v>
      </c>
      <c r="F2576" s="1">
        <v>1125000</v>
      </c>
      <c r="G2576" s="1">
        <v>28</v>
      </c>
      <c r="H2576" s="1" t="str" cm="1">
        <f t="array" ref="H2576">_xlfn.IFS( OR(G2576=" ",NOT(ISNUMBER(G2576))),"Unknown",G2576&lt;=33,"Low Spender",G2576&lt;=66,"Medium Spender",TRUE, "High Spender")</f>
        <v>Low Spender</v>
      </c>
      <c r="I2576" s="1">
        <v>48</v>
      </c>
      <c r="J2576" s="1">
        <v>8200</v>
      </c>
      <c r="K2576" s="1">
        <v>6</v>
      </c>
      <c r="M2576" s="1" t="s">
        <v>32</v>
      </c>
      <c r="N2576" s="1" t="str">
        <f t="shared" si="80"/>
        <v>Lower</v>
      </c>
      <c r="O2576" s="1" t="str">
        <f t="shared" si="81"/>
        <v>Early Career | Low Spender | Lower</v>
      </c>
    </row>
    <row r="2577" spans="1:15" x14ac:dyDescent="0.25">
      <c r="A2577" s="1" t="s">
        <v>2607</v>
      </c>
      <c r="B2577" s="1">
        <v>61</v>
      </c>
      <c r="C2577" s="1" t="str" cm="1">
        <f t="array" ref="C2577">_xlfn.IFS(OR(B2577=" ", B2577="NA",NOT(ISNUMBER(B2577))), "Unknown",B2577&lt;18,"Underage",B2577&lt;=24,"Young Adult",B2577&lt;=34,"Early Career",B2577&lt;=44,"Mid Career",B2577&lt;=54,"Mature",B2577&lt;=65,"Pre-Senior",B2577&gt;65,"Senior")</f>
        <v>Pre-Senior</v>
      </c>
      <c r="D2577" s="1" t="s">
        <v>12</v>
      </c>
      <c r="F2577" s="1">
        <v>1250000</v>
      </c>
      <c r="G2577" s="1">
        <v>50</v>
      </c>
      <c r="H2577" s="1" t="str" cm="1">
        <f t="array" ref="H2577">_xlfn.IFS( OR(G2577=" ",NOT(ISNUMBER(G2577))),"Unknown",G2577&lt;=33,"Low Spender",G2577&lt;=66,"Medium Spender",TRUE, "High Spender")</f>
        <v>Medium Spender</v>
      </c>
      <c r="I2577" s="1">
        <v>31</v>
      </c>
      <c r="J2577" s="1">
        <v>10200</v>
      </c>
      <c r="K2577" s="1">
        <v>284</v>
      </c>
      <c r="L2577" s="1" t="s">
        <v>16</v>
      </c>
      <c r="M2577" s="1" t="s">
        <v>32</v>
      </c>
      <c r="N2577" s="1" t="str">
        <f t="shared" si="80"/>
        <v>Lower</v>
      </c>
      <c r="O2577" s="1" t="str">
        <f t="shared" si="81"/>
        <v>Pre-Senior | Medium Spender | Lower</v>
      </c>
    </row>
    <row r="2578" spans="1:15" x14ac:dyDescent="0.25">
      <c r="A2578" s="1" t="s">
        <v>2608</v>
      </c>
      <c r="B2578" s="1">
        <v>53</v>
      </c>
      <c r="C2578" s="1" t="str" cm="1">
        <f t="array" ref="C2578">_xlfn.IFS(OR(B2578=" ", B2578="NA",NOT(ISNUMBER(B2578))), "Unknown",B2578&lt;18,"Underage",B2578&lt;=24,"Young Adult",B2578&lt;=34,"Early Career",B2578&lt;=44,"Mid Career",B2578&lt;=54,"Mature",B2578&lt;=65,"Pre-Senior",B2578&gt;65,"Senior")</f>
        <v>Mature</v>
      </c>
      <c r="F2578" s="1">
        <v>1500000</v>
      </c>
      <c r="G2578" s="1">
        <v>90</v>
      </c>
      <c r="H2578" s="1" t="str" cm="1">
        <f t="array" ref="H2578">_xlfn.IFS( OR(G2578=" ",NOT(ISNUMBER(G2578))),"Unknown",G2578&lt;=33,"Low Spender",G2578&lt;=66,"Medium Spender",TRUE, "High Spender")</f>
        <v>High Spender</v>
      </c>
      <c r="I2578" s="1">
        <v>37</v>
      </c>
      <c r="J2578" s="1">
        <v>900</v>
      </c>
      <c r="K2578" s="1">
        <v>195</v>
      </c>
      <c r="L2578" s="1" t="s">
        <v>35</v>
      </c>
      <c r="M2578" s="1" t="s">
        <v>32</v>
      </c>
      <c r="N2578" s="1" t="str">
        <f t="shared" si="80"/>
        <v>Lower</v>
      </c>
      <c r="O2578" s="1" t="str">
        <f t="shared" si="81"/>
        <v>Mature | High Spender | Lower</v>
      </c>
    </row>
    <row r="2579" spans="1:15" x14ac:dyDescent="0.25">
      <c r="A2579" s="1" t="s">
        <v>2609</v>
      </c>
      <c r="B2579" s="1">
        <v>32</v>
      </c>
      <c r="C2579" s="1" t="str" cm="1">
        <f t="array" ref="C2579">_xlfn.IFS(OR(B2579=" ", B2579="NA",NOT(ISNUMBER(B2579))), "Unknown",B2579&lt;18,"Underage",B2579&lt;=24,"Young Adult",B2579&lt;=34,"Early Career",B2579&lt;=44,"Mid Career",B2579&lt;=54,"Mature",B2579&lt;=65,"Pre-Senior",B2579&gt;65,"Senior")</f>
        <v>Early Career</v>
      </c>
      <c r="D2579" s="1" t="s">
        <v>18</v>
      </c>
      <c r="E2579" s="1" t="s">
        <v>15</v>
      </c>
      <c r="F2579" s="1">
        <v>1400000</v>
      </c>
      <c r="G2579" s="1">
        <v>8</v>
      </c>
      <c r="H2579" s="1" t="str" cm="1">
        <f t="array" ref="H2579">_xlfn.IFS( OR(G2579=" ",NOT(ISNUMBER(G2579))),"Unknown",G2579&lt;=33,"Low Spender",G2579&lt;=66,"Medium Spender",TRUE, "High Spender")</f>
        <v>Low Spender</v>
      </c>
      <c r="I2579" s="1">
        <v>28</v>
      </c>
      <c r="J2579" s="1">
        <v>2000</v>
      </c>
      <c r="K2579" s="1">
        <v>13</v>
      </c>
      <c r="N2579" s="1" t="str">
        <f t="shared" si="80"/>
        <v>Higher</v>
      </c>
      <c r="O2579" s="1" t="str">
        <f t="shared" si="81"/>
        <v>Early Career | Low Spender | Higher</v>
      </c>
    </row>
    <row r="2580" spans="1:15" x14ac:dyDescent="0.25">
      <c r="A2580" s="1" t="s">
        <v>2610</v>
      </c>
      <c r="B2580" s="1">
        <v>60</v>
      </c>
      <c r="C2580" s="1" t="str" cm="1">
        <f t="array" ref="C2580">_xlfn.IFS(OR(B2580=" ", B2580="NA",NOT(ISNUMBER(B2580))), "Unknown",B2580&lt;18,"Underage",B2580&lt;=24,"Young Adult",B2580&lt;=34,"Early Career",B2580&lt;=44,"Mid Career",B2580&lt;=54,"Mature",B2580&lt;=65,"Pre-Senior",B2580&gt;65,"Senior")</f>
        <v>Pre-Senior</v>
      </c>
      <c r="D2580" s="1" t="s">
        <v>29</v>
      </c>
      <c r="E2580" s="1" t="s">
        <v>13</v>
      </c>
      <c r="F2580" s="1">
        <v>250000</v>
      </c>
      <c r="G2580" s="1">
        <v>34</v>
      </c>
      <c r="H2580" s="1" t="str" cm="1">
        <f t="array" ref="H2580">_xlfn.IFS( OR(G2580=" ",NOT(ISNUMBER(G2580))),"Unknown",G2580&lt;=33,"Low Spender",G2580&lt;=66,"Medium Spender",TRUE, "High Spender")</f>
        <v>Medium Spender</v>
      </c>
      <c r="I2580" s="1">
        <v>31</v>
      </c>
      <c r="J2580" s="1">
        <v>7200</v>
      </c>
      <c r="K2580" s="1">
        <v>63</v>
      </c>
      <c r="L2580" s="1" t="s">
        <v>37</v>
      </c>
      <c r="M2580" s="1" t="s">
        <v>30</v>
      </c>
      <c r="N2580" s="1" t="str">
        <f t="shared" si="80"/>
        <v>Higher</v>
      </c>
      <c r="O2580" s="1" t="str">
        <f t="shared" si="81"/>
        <v>Pre-Senior | Medium Spender | Higher</v>
      </c>
    </row>
    <row r="2581" spans="1:15" x14ac:dyDescent="0.25">
      <c r="A2581" s="1" t="s">
        <v>2611</v>
      </c>
      <c r="B2581" s="1">
        <v>65</v>
      </c>
      <c r="C2581" s="1" t="str" cm="1">
        <f t="array" ref="C2581">_xlfn.IFS(OR(B2581=" ", B2581="NA",NOT(ISNUMBER(B2581))), "Unknown",B2581&lt;18,"Underage",B2581&lt;=24,"Young Adult",B2581&lt;=34,"Early Career",B2581&lt;=44,"Mid Career",B2581&lt;=54,"Mature",B2581&lt;=65,"Pre-Senior",B2581&gt;65,"Senior")</f>
        <v>Pre-Senior</v>
      </c>
      <c r="D2581" s="1" t="s">
        <v>29</v>
      </c>
      <c r="F2581" s="1">
        <v>450000</v>
      </c>
      <c r="G2581" s="1">
        <v>59</v>
      </c>
      <c r="H2581" s="1" t="str" cm="1">
        <f t="array" ref="H2581">_xlfn.IFS( OR(G2581=" ",NOT(ISNUMBER(G2581))),"Unknown",G2581&lt;=33,"Low Spender",G2581&lt;=66,"Medium Spender",TRUE, "High Spender")</f>
        <v>Medium Spender</v>
      </c>
      <c r="I2581" s="1">
        <v>70</v>
      </c>
      <c r="J2581" s="1">
        <v>11600</v>
      </c>
      <c r="K2581" s="1">
        <v>13</v>
      </c>
      <c r="L2581" s="1" t="s">
        <v>35</v>
      </c>
      <c r="M2581" s="1" t="s">
        <v>32</v>
      </c>
      <c r="N2581" s="1" t="str">
        <f t="shared" si="80"/>
        <v>Higher</v>
      </c>
      <c r="O2581" s="1" t="str">
        <f t="shared" si="81"/>
        <v>Pre-Senior | Medium Spender | Higher</v>
      </c>
    </row>
    <row r="2582" spans="1:15" x14ac:dyDescent="0.25">
      <c r="A2582" s="1" t="s">
        <v>2612</v>
      </c>
      <c r="B2582" s="1">
        <v>40</v>
      </c>
      <c r="C2582" s="1" t="str" cm="1">
        <f t="array" ref="C2582">_xlfn.IFS(OR(B2582=" ", B2582="NA",NOT(ISNUMBER(B2582))), "Unknown",B2582&lt;18,"Underage",B2582&lt;=24,"Young Adult",B2582&lt;=34,"Early Career",B2582&lt;=44,"Mid Career",B2582&lt;=54,"Mature",B2582&lt;=65,"Pre-Senior",B2582&gt;65,"Senior")</f>
        <v>Mid Career</v>
      </c>
      <c r="D2582" s="1" t="s">
        <v>18</v>
      </c>
      <c r="E2582" s="1" t="s">
        <v>19</v>
      </c>
      <c r="F2582" s="1">
        <v>825000</v>
      </c>
      <c r="G2582" s="1">
        <v>18</v>
      </c>
      <c r="H2582" s="1" t="str" cm="1">
        <f t="array" ref="H2582">_xlfn.IFS( OR(G2582=" ",NOT(ISNUMBER(G2582))),"Unknown",G2582&lt;=33,"Low Spender",G2582&lt;=66,"Medium Spender",TRUE, "High Spender")</f>
        <v>Low Spender</v>
      </c>
      <c r="I2582" s="1">
        <v>14</v>
      </c>
      <c r="J2582" s="1">
        <v>9400</v>
      </c>
      <c r="K2582" s="1">
        <v>249</v>
      </c>
      <c r="L2582" s="1" t="s">
        <v>35</v>
      </c>
      <c r="M2582" s="1" t="s">
        <v>21</v>
      </c>
      <c r="N2582" s="1" t="str">
        <f t="shared" si="80"/>
        <v>Higher</v>
      </c>
      <c r="O2582" s="1" t="str">
        <f t="shared" si="81"/>
        <v>Mid Career | Low Spender | Higher</v>
      </c>
    </row>
    <row r="2583" spans="1:15" x14ac:dyDescent="0.25">
      <c r="A2583" s="1" t="s">
        <v>2613</v>
      </c>
      <c r="B2583" s="1">
        <v>23</v>
      </c>
      <c r="C2583" s="1" t="str" cm="1">
        <f t="array" ref="C2583">_xlfn.IFS(OR(B2583=" ", B2583="NA",NOT(ISNUMBER(B2583))), "Unknown",B2583&lt;18,"Underage",B2583&lt;=24,"Young Adult",B2583&lt;=34,"Early Career",B2583&lt;=44,"Mid Career",B2583&lt;=54,"Mature",B2583&lt;=65,"Pre-Senior",B2583&gt;65,"Senior")</f>
        <v>Young Adult</v>
      </c>
      <c r="E2583" s="1" t="s">
        <v>23</v>
      </c>
      <c r="F2583" s="1">
        <v>1675000</v>
      </c>
      <c r="G2583" s="1">
        <v>95</v>
      </c>
      <c r="H2583" s="1" t="str" cm="1">
        <f t="array" ref="H2583">_xlfn.IFS( OR(G2583=" ",NOT(ISNUMBER(G2583))),"Unknown",G2583&lt;=33,"Low Spender",G2583&lt;=66,"Medium Spender",TRUE, "High Spender")</f>
        <v>High Spender</v>
      </c>
      <c r="I2583" s="1">
        <v>16</v>
      </c>
      <c r="J2583" s="1">
        <v>10500</v>
      </c>
      <c r="K2583" s="1">
        <v>205</v>
      </c>
      <c r="L2583" s="1" t="s">
        <v>37</v>
      </c>
      <c r="N2583" s="1" t="str">
        <f t="shared" si="80"/>
        <v>Lower</v>
      </c>
      <c r="O2583" s="1" t="str">
        <f t="shared" si="81"/>
        <v>Young Adult | High Spender | Lower</v>
      </c>
    </row>
    <row r="2584" spans="1:15" x14ac:dyDescent="0.25">
      <c r="A2584" s="1" t="s">
        <v>2614</v>
      </c>
      <c r="B2584" s="1">
        <v>63</v>
      </c>
      <c r="C2584" s="1" t="str" cm="1">
        <f t="array" ref="C2584">_xlfn.IFS(OR(B2584=" ", B2584="NA",NOT(ISNUMBER(B2584))), "Unknown",B2584&lt;18,"Underage",B2584&lt;=24,"Young Adult",B2584&lt;=34,"Early Career",B2584&lt;=44,"Mid Career",B2584&lt;=54,"Mature",B2584&lt;=65,"Pre-Senior",B2584&gt;65,"Senior")</f>
        <v>Pre-Senior</v>
      </c>
      <c r="D2584" s="1" t="s">
        <v>12</v>
      </c>
      <c r="E2584" s="1" t="s">
        <v>49</v>
      </c>
      <c r="F2584" s="1">
        <v>725000</v>
      </c>
      <c r="G2584" s="1">
        <v>59</v>
      </c>
      <c r="H2584" s="1" t="str" cm="1">
        <f t="array" ref="H2584">_xlfn.IFS( OR(G2584=" ",NOT(ISNUMBER(G2584))),"Unknown",G2584&lt;=33,"Low Spender",G2584&lt;=66,"Medium Spender",TRUE, "High Spender")</f>
        <v>Medium Spender</v>
      </c>
      <c r="I2584" s="1">
        <v>25</v>
      </c>
      <c r="J2584" s="1">
        <v>3600</v>
      </c>
      <c r="K2584" s="1">
        <v>253</v>
      </c>
      <c r="L2584" s="1" t="s">
        <v>37</v>
      </c>
      <c r="M2584" s="1" t="s">
        <v>30</v>
      </c>
      <c r="N2584" s="1" t="str">
        <f t="shared" si="80"/>
        <v>Lower</v>
      </c>
      <c r="O2584" s="1" t="str">
        <f t="shared" si="81"/>
        <v>Pre-Senior | Medium Spender | Lower</v>
      </c>
    </row>
    <row r="2585" spans="1:15" x14ac:dyDescent="0.25">
      <c r="A2585" s="1" t="s">
        <v>2615</v>
      </c>
      <c r="B2585" s="1">
        <v>67</v>
      </c>
      <c r="C2585" s="1" t="str" cm="1">
        <f t="array" ref="C2585">_xlfn.IFS(OR(B2585=" ", B2585="NA",NOT(ISNUMBER(B2585))), "Unknown",B2585&lt;18,"Underage",B2585&lt;=24,"Young Adult",B2585&lt;=34,"Early Career",B2585&lt;=44,"Mid Career",B2585&lt;=54,"Mature",B2585&lt;=65,"Pre-Senior",B2585&gt;65,"Senior")</f>
        <v>Senior</v>
      </c>
      <c r="D2585" s="1" t="s">
        <v>29</v>
      </c>
      <c r="F2585" s="1">
        <v>300000</v>
      </c>
      <c r="G2585" s="1">
        <v>27</v>
      </c>
      <c r="H2585" s="1" t="str" cm="1">
        <f t="array" ref="H2585">_xlfn.IFS( OR(G2585=" ",NOT(ISNUMBER(G2585))),"Unknown",G2585&lt;=33,"Low Spender",G2585&lt;=66,"Medium Spender",TRUE, "High Spender")</f>
        <v>Low Spender</v>
      </c>
      <c r="I2585" s="1">
        <v>39</v>
      </c>
      <c r="J2585" s="1">
        <v>5300</v>
      </c>
      <c r="K2585" s="1">
        <v>40</v>
      </c>
      <c r="N2585" s="1" t="str">
        <f t="shared" si="80"/>
        <v>Higher</v>
      </c>
      <c r="O2585" s="1" t="str">
        <f t="shared" si="81"/>
        <v>Senior | Low Spender | Higher</v>
      </c>
    </row>
    <row r="2586" spans="1:15" x14ac:dyDescent="0.25">
      <c r="A2586" s="1" t="s">
        <v>2616</v>
      </c>
      <c r="B2586" s="1">
        <v>61</v>
      </c>
      <c r="C2586" s="1" t="str" cm="1">
        <f t="array" ref="C2586">_xlfn.IFS(OR(B2586=" ", B2586="NA",NOT(ISNUMBER(B2586))), "Unknown",B2586&lt;18,"Underage",B2586&lt;=24,"Young Adult",B2586&lt;=34,"Early Career",B2586&lt;=44,"Mid Career",B2586&lt;=54,"Mature",B2586&lt;=65,"Pre-Senior",B2586&gt;65,"Senior")</f>
        <v>Pre-Senior</v>
      </c>
      <c r="E2586" s="1" t="s">
        <v>15</v>
      </c>
      <c r="F2586" s="1">
        <v>1075000</v>
      </c>
      <c r="G2586" s="1">
        <v>16</v>
      </c>
      <c r="H2586" s="1" t="str" cm="1">
        <f t="array" ref="H2586">_xlfn.IFS( OR(G2586=" ",NOT(ISNUMBER(G2586))),"Unknown",G2586&lt;=33,"Low Spender",G2586&lt;=66,"Medium Spender",TRUE, "High Spender")</f>
        <v>Low Spender</v>
      </c>
      <c r="I2586" s="1">
        <v>66</v>
      </c>
      <c r="J2586" s="1">
        <v>10700</v>
      </c>
      <c r="K2586" s="1">
        <v>165</v>
      </c>
      <c r="L2586" s="1" t="s">
        <v>35</v>
      </c>
      <c r="M2586" s="1" t="s">
        <v>21</v>
      </c>
      <c r="N2586" s="1" t="str">
        <f t="shared" si="80"/>
        <v>Lower</v>
      </c>
      <c r="O2586" s="1" t="str">
        <f t="shared" si="81"/>
        <v>Pre-Senior | Low Spender | Lower</v>
      </c>
    </row>
    <row r="2587" spans="1:15" x14ac:dyDescent="0.25">
      <c r="A2587" s="1" t="s">
        <v>2617</v>
      </c>
      <c r="B2587" s="1">
        <v>60</v>
      </c>
      <c r="C2587" s="1" t="str" cm="1">
        <f t="array" ref="C2587">_xlfn.IFS(OR(B2587=" ", B2587="NA",NOT(ISNUMBER(B2587))), "Unknown",B2587&lt;18,"Underage",B2587&lt;=24,"Young Adult",B2587&lt;=34,"Early Career",B2587&lt;=44,"Mid Career",B2587&lt;=54,"Mature",B2587&lt;=65,"Pre-Senior",B2587&gt;65,"Senior")</f>
        <v>Pre-Senior</v>
      </c>
      <c r="D2587" s="1" t="s">
        <v>29</v>
      </c>
      <c r="E2587" s="1" t="s">
        <v>49</v>
      </c>
      <c r="F2587" s="1">
        <v>1050000</v>
      </c>
      <c r="G2587" s="1">
        <v>10</v>
      </c>
      <c r="H2587" s="1" t="str" cm="1">
        <f t="array" ref="H2587">_xlfn.IFS( OR(G2587=" ",NOT(ISNUMBER(G2587))),"Unknown",G2587&lt;=33,"Low Spender",G2587&lt;=66,"Medium Spender",TRUE, "High Spender")</f>
        <v>Low Spender</v>
      </c>
      <c r="I2587" s="1">
        <v>38</v>
      </c>
      <c r="J2587" s="1">
        <v>9500</v>
      </c>
      <c r="K2587" s="1">
        <v>31</v>
      </c>
      <c r="L2587" s="1" t="s">
        <v>16</v>
      </c>
      <c r="N2587" s="1" t="str">
        <f t="shared" si="80"/>
        <v>Higher</v>
      </c>
      <c r="O2587" s="1" t="str">
        <f t="shared" si="81"/>
        <v>Pre-Senior | Low Spender | Higher</v>
      </c>
    </row>
    <row r="2588" spans="1:15" x14ac:dyDescent="0.25">
      <c r="A2588" s="1" t="s">
        <v>2618</v>
      </c>
      <c r="B2588" s="1">
        <v>62</v>
      </c>
      <c r="C2588" s="1" t="str" cm="1">
        <f t="array" ref="C2588">_xlfn.IFS(OR(B2588=" ", B2588="NA",NOT(ISNUMBER(B2588))), "Unknown",B2588&lt;18,"Underage",B2588&lt;=24,"Young Adult",B2588&lt;=34,"Early Career",B2588&lt;=44,"Mid Career",B2588&lt;=54,"Mature",B2588&lt;=65,"Pre-Senior",B2588&gt;65,"Senior")</f>
        <v>Pre-Senior</v>
      </c>
      <c r="D2588" s="1" t="s">
        <v>18</v>
      </c>
      <c r="E2588" s="1" t="s">
        <v>19</v>
      </c>
      <c r="F2588" s="1">
        <v>1825000</v>
      </c>
      <c r="G2588" s="1">
        <v>76</v>
      </c>
      <c r="H2588" s="1" t="str" cm="1">
        <f t="array" ref="H2588">_xlfn.IFS( OR(G2588=" ",NOT(ISNUMBER(G2588))),"Unknown",G2588&lt;=33,"Low Spender",G2588&lt;=66,"Medium Spender",TRUE, "High Spender")</f>
        <v>High Spender</v>
      </c>
      <c r="I2588" s="1">
        <v>41</v>
      </c>
      <c r="J2588" s="1">
        <v>7000</v>
      </c>
      <c r="K2588" s="1">
        <v>17</v>
      </c>
      <c r="L2588" s="1" t="s">
        <v>35</v>
      </c>
      <c r="M2588" s="1" t="s">
        <v>30</v>
      </c>
      <c r="N2588" s="1" t="str">
        <f t="shared" si="80"/>
        <v>Higher</v>
      </c>
      <c r="O2588" s="1" t="str">
        <f t="shared" si="81"/>
        <v>Pre-Senior | High Spender | Higher</v>
      </c>
    </row>
    <row r="2589" spans="1:15" x14ac:dyDescent="0.25">
      <c r="A2589" s="1" t="s">
        <v>2619</v>
      </c>
      <c r="B2589" s="1">
        <v>38</v>
      </c>
      <c r="C2589" s="1" t="str" cm="1">
        <f t="array" ref="C2589">_xlfn.IFS(OR(B2589=" ", B2589="NA",NOT(ISNUMBER(B2589))), "Unknown",B2589&lt;18,"Underage",B2589&lt;=24,"Young Adult",B2589&lt;=34,"Early Career",B2589&lt;=44,"Mid Career",B2589&lt;=54,"Mature",B2589&lt;=65,"Pre-Senior",B2589&gt;65,"Senior")</f>
        <v>Mid Career</v>
      </c>
      <c r="D2589" s="1" t="s">
        <v>18</v>
      </c>
      <c r="E2589" s="1" t="s">
        <v>13</v>
      </c>
      <c r="F2589" s="1">
        <v>1175000</v>
      </c>
      <c r="G2589" s="1">
        <v>22</v>
      </c>
      <c r="H2589" s="1" t="str" cm="1">
        <f t="array" ref="H2589">_xlfn.IFS( OR(G2589=" ",NOT(ISNUMBER(G2589))),"Unknown",G2589&lt;=33,"Low Spender",G2589&lt;=66,"Medium Spender",TRUE, "High Spender")</f>
        <v>Low Spender</v>
      </c>
      <c r="I2589" s="1">
        <v>40</v>
      </c>
      <c r="J2589" s="1">
        <v>1600</v>
      </c>
      <c r="K2589" s="1">
        <v>137</v>
      </c>
      <c r="L2589" s="1" t="s">
        <v>16</v>
      </c>
      <c r="M2589" s="1" t="s">
        <v>30</v>
      </c>
      <c r="N2589" s="1" t="str">
        <f t="shared" si="80"/>
        <v>Higher</v>
      </c>
      <c r="O2589" s="1" t="str">
        <f t="shared" si="81"/>
        <v>Mid Career | Low Spender | Higher</v>
      </c>
    </row>
    <row r="2590" spans="1:15" x14ac:dyDescent="0.25">
      <c r="A2590" s="1" t="s">
        <v>2620</v>
      </c>
      <c r="B2590" s="1">
        <v>40</v>
      </c>
      <c r="C2590" s="1" t="str" cm="1">
        <f t="array" ref="C2590">_xlfn.IFS(OR(B2590=" ", B2590="NA",NOT(ISNUMBER(B2590))), "Unknown",B2590&lt;18,"Underage",B2590&lt;=24,"Young Adult",B2590&lt;=34,"Early Career",B2590&lt;=44,"Mid Career",B2590&lt;=54,"Mature",B2590&lt;=65,"Pre-Senior",B2590&gt;65,"Senior")</f>
        <v>Mid Career</v>
      </c>
      <c r="E2590" s="1" t="s">
        <v>34</v>
      </c>
      <c r="F2590" s="1">
        <v>250000</v>
      </c>
      <c r="G2590" s="1">
        <v>16</v>
      </c>
      <c r="H2590" s="1" t="str" cm="1">
        <f t="array" ref="H2590">_xlfn.IFS( OR(G2590=" ",NOT(ISNUMBER(G2590))),"Unknown",G2590&lt;=33,"Low Spender",G2590&lt;=66,"Medium Spender",TRUE, "High Spender")</f>
        <v>Low Spender</v>
      </c>
      <c r="I2590" s="1">
        <v>64</v>
      </c>
      <c r="J2590" s="1">
        <v>7100</v>
      </c>
      <c r="L2590" s="1" t="s">
        <v>20</v>
      </c>
      <c r="M2590" s="1" t="s">
        <v>30</v>
      </c>
      <c r="N2590" s="1" t="str">
        <f t="shared" si="80"/>
        <v>Lower</v>
      </c>
      <c r="O2590" s="1" t="str">
        <f t="shared" si="81"/>
        <v>Mid Career | Low Spender | Lower</v>
      </c>
    </row>
    <row r="2591" spans="1:15" x14ac:dyDescent="0.25">
      <c r="A2591" s="1" t="s">
        <v>2621</v>
      </c>
      <c r="B2591" s="1">
        <v>60</v>
      </c>
      <c r="C2591" s="1" t="str" cm="1">
        <f t="array" ref="C2591">_xlfn.IFS(OR(B2591=" ", B2591="NA",NOT(ISNUMBER(B2591))), "Unknown",B2591&lt;18,"Underage",B2591&lt;=24,"Young Adult",B2591&lt;=34,"Early Career",B2591&lt;=44,"Mid Career",B2591&lt;=54,"Mature",B2591&lt;=65,"Pre-Senior",B2591&gt;65,"Senior")</f>
        <v>Pre-Senior</v>
      </c>
      <c r="D2591" s="1" t="s">
        <v>18</v>
      </c>
      <c r="E2591" s="1" t="s">
        <v>27</v>
      </c>
      <c r="F2591" s="1">
        <v>1725000</v>
      </c>
      <c r="G2591" s="1">
        <v>12</v>
      </c>
      <c r="H2591" s="1" t="str" cm="1">
        <f t="array" ref="H2591">_xlfn.IFS( OR(G2591=" ",NOT(ISNUMBER(G2591))),"Unknown",G2591&lt;=33,"Low Spender",G2591&lt;=66,"Medium Spender",TRUE, "High Spender")</f>
        <v>Low Spender</v>
      </c>
      <c r="I2591" s="1">
        <v>16</v>
      </c>
      <c r="J2591" s="1">
        <v>9100</v>
      </c>
      <c r="K2591" s="1">
        <v>320</v>
      </c>
      <c r="L2591" s="1" t="s">
        <v>16</v>
      </c>
      <c r="M2591" s="1" t="s">
        <v>41</v>
      </c>
      <c r="N2591" s="1" t="str">
        <f t="shared" si="80"/>
        <v>Higher</v>
      </c>
      <c r="O2591" s="1" t="str">
        <f t="shared" si="81"/>
        <v>Pre-Senior | Low Spender | Higher</v>
      </c>
    </row>
    <row r="2592" spans="1:15" x14ac:dyDescent="0.25">
      <c r="A2592" s="1" t="s">
        <v>2622</v>
      </c>
      <c r="B2592" s="1" t="s">
        <v>73</v>
      </c>
      <c r="C2592" s="1" t="str" cm="1">
        <f t="array" ref="C2592">_xlfn.IFS(OR(B2592=" ", B2592="NA",NOT(ISNUMBER(B2592))), "Unknown",B2592&lt;18,"Underage",B2592&lt;=24,"Young Adult",B2592&lt;=34,"Early Career",B2592&lt;=44,"Mid Career",B2592&lt;=54,"Mature",B2592&lt;=65,"Pre-Senior",B2592&gt;65,"Senior")</f>
        <v>Unknown</v>
      </c>
      <c r="D2592" s="1" t="s">
        <v>18</v>
      </c>
      <c r="E2592" s="1" t="s">
        <v>19</v>
      </c>
      <c r="F2592" s="1">
        <v>1375000</v>
      </c>
      <c r="G2592" s="1">
        <v>75</v>
      </c>
      <c r="H2592" s="1" t="str" cm="1">
        <f t="array" ref="H2592">_xlfn.IFS( OR(G2592=" ",NOT(ISNUMBER(G2592))),"Unknown",G2592&lt;=33,"Low Spender",G2592&lt;=66,"Medium Spender",TRUE, "High Spender")</f>
        <v>High Spender</v>
      </c>
      <c r="I2592" s="1">
        <v>77</v>
      </c>
      <c r="J2592" s="1">
        <v>10500</v>
      </c>
      <c r="K2592" s="1">
        <v>313</v>
      </c>
      <c r="N2592" s="1" t="str">
        <f t="shared" si="80"/>
        <v>Higher</v>
      </c>
      <c r="O2592" s="1" t="str">
        <f t="shared" si="81"/>
        <v>Unknown | High Spender | Higher</v>
      </c>
    </row>
    <row r="2593" spans="1:15" x14ac:dyDescent="0.25">
      <c r="A2593" s="1" t="s">
        <v>2623</v>
      </c>
      <c r="B2593" s="1">
        <v>33</v>
      </c>
      <c r="C2593" s="1" t="str" cm="1">
        <f t="array" ref="C2593">_xlfn.IFS(OR(B2593=" ", B2593="NA",NOT(ISNUMBER(B2593))), "Unknown",B2593&lt;18,"Underage",B2593&lt;=24,"Young Adult",B2593&lt;=34,"Early Career",B2593&lt;=44,"Mid Career",B2593&lt;=54,"Mature",B2593&lt;=65,"Pre-Senior",B2593&gt;65,"Senior")</f>
        <v>Early Career</v>
      </c>
      <c r="D2593" s="1" t="s">
        <v>18</v>
      </c>
      <c r="F2593" s="1">
        <v>500000</v>
      </c>
      <c r="G2593" s="1">
        <v>84</v>
      </c>
      <c r="H2593" s="1" t="str" cm="1">
        <f t="array" ref="H2593">_xlfn.IFS( OR(G2593=" ",NOT(ISNUMBER(G2593))),"Unknown",G2593&lt;=33,"Low Spender",G2593&lt;=66,"Medium Spender",TRUE, "High Spender")</f>
        <v>High Spender</v>
      </c>
      <c r="I2593" s="1">
        <v>59</v>
      </c>
      <c r="J2593" s="1">
        <v>1000</v>
      </c>
      <c r="K2593" s="1">
        <v>165</v>
      </c>
      <c r="M2593" s="1" t="s">
        <v>32</v>
      </c>
      <c r="N2593" s="1" t="str">
        <f t="shared" si="80"/>
        <v>Higher</v>
      </c>
      <c r="O2593" s="1" t="str">
        <f t="shared" si="81"/>
        <v>Early Career | High Spender | Higher</v>
      </c>
    </row>
    <row r="2594" spans="1:15" x14ac:dyDescent="0.25">
      <c r="A2594" s="1" t="s">
        <v>2624</v>
      </c>
      <c r="B2594" s="1">
        <v>64</v>
      </c>
      <c r="C2594" s="1" t="str" cm="1">
        <f t="array" ref="C2594">_xlfn.IFS(OR(B2594=" ", B2594="NA",NOT(ISNUMBER(B2594))), "Unknown",B2594&lt;18,"Underage",B2594&lt;=24,"Young Adult",B2594&lt;=34,"Early Career",B2594&lt;=44,"Mid Career",B2594&lt;=54,"Mature",B2594&lt;=65,"Pre-Senior",B2594&gt;65,"Senior")</f>
        <v>Pre-Senior</v>
      </c>
      <c r="D2594" s="1" t="s">
        <v>29</v>
      </c>
      <c r="E2594" s="1" t="s">
        <v>58</v>
      </c>
      <c r="F2594" s="1">
        <v>1950000</v>
      </c>
      <c r="G2594" s="1">
        <v>51</v>
      </c>
      <c r="H2594" s="1" t="str" cm="1">
        <f t="array" ref="H2594">_xlfn.IFS( OR(G2594=" ",NOT(ISNUMBER(G2594))),"Unknown",G2594&lt;=33,"Low Spender",G2594&lt;=66,"Medium Spender",TRUE, "High Spender")</f>
        <v>Medium Spender</v>
      </c>
      <c r="I2594" s="1">
        <v>11</v>
      </c>
      <c r="J2594" s="1">
        <v>1700</v>
      </c>
      <c r="K2594" s="1">
        <v>281</v>
      </c>
      <c r="L2594" s="1" t="s">
        <v>37</v>
      </c>
      <c r="M2594" s="1" t="s">
        <v>41</v>
      </c>
      <c r="N2594" s="1" t="str">
        <f t="shared" si="80"/>
        <v>Higher</v>
      </c>
      <c r="O2594" s="1" t="str">
        <f t="shared" si="81"/>
        <v>Pre-Senior | Medium Spender | Higher</v>
      </c>
    </row>
    <row r="2595" spans="1:15" x14ac:dyDescent="0.25">
      <c r="A2595" s="1" t="s">
        <v>2625</v>
      </c>
      <c r="C2595" s="1" t="str" cm="1">
        <f t="array" ref="C2595">_xlfn.IFS(OR(B2595=" ", B2595="NA",NOT(ISNUMBER(B2595))), "Unknown",B2595&lt;18,"Underage",B2595&lt;=24,"Young Adult",B2595&lt;=34,"Early Career",B2595&lt;=44,"Mid Career",B2595&lt;=54,"Mature",B2595&lt;=65,"Pre-Senior",B2595&gt;65,"Senior")</f>
        <v>Unknown</v>
      </c>
      <c r="D2595" s="1" t="s">
        <v>18</v>
      </c>
      <c r="E2595" s="1" t="s">
        <v>15</v>
      </c>
      <c r="F2595" s="1">
        <v>1450000</v>
      </c>
      <c r="G2595" s="1">
        <v>1</v>
      </c>
      <c r="H2595" s="1" t="str" cm="1">
        <f t="array" ref="H2595">_xlfn.IFS( OR(G2595=" ",NOT(ISNUMBER(G2595))),"Unknown",G2595&lt;=33,"Low Spender",G2595&lt;=66,"Medium Spender",TRUE, "High Spender")</f>
        <v>Low Spender</v>
      </c>
      <c r="I2595" s="1">
        <v>1</v>
      </c>
      <c r="J2595" s="1">
        <v>8500</v>
      </c>
      <c r="K2595" s="1">
        <v>223</v>
      </c>
      <c r="L2595" s="1" t="s">
        <v>20</v>
      </c>
      <c r="N2595" s="1" t="str">
        <f t="shared" si="80"/>
        <v>Higher</v>
      </c>
      <c r="O2595" s="1" t="str">
        <f t="shared" si="81"/>
        <v>Unknown | Low Spender | Higher</v>
      </c>
    </row>
    <row r="2596" spans="1:15" x14ac:dyDescent="0.25">
      <c r="A2596" s="1" t="s">
        <v>2626</v>
      </c>
      <c r="B2596" s="1">
        <v>32</v>
      </c>
      <c r="C2596" s="1" t="str" cm="1">
        <f t="array" ref="C2596">_xlfn.IFS(OR(B2596=" ", B2596="NA",NOT(ISNUMBER(B2596))), "Unknown",B2596&lt;18,"Underage",B2596&lt;=24,"Young Adult",B2596&lt;=34,"Early Career",B2596&lt;=44,"Mid Career",B2596&lt;=54,"Mature",B2596&lt;=65,"Pre-Senior",B2596&gt;65,"Senior")</f>
        <v>Early Career</v>
      </c>
      <c r="D2596" s="1" t="s">
        <v>18</v>
      </c>
      <c r="E2596" s="1" t="s">
        <v>27</v>
      </c>
      <c r="F2596" s="1">
        <v>750000</v>
      </c>
      <c r="G2596" s="1">
        <v>27</v>
      </c>
      <c r="H2596" s="1" t="str" cm="1">
        <f t="array" ref="H2596">_xlfn.IFS( OR(G2596=" ",NOT(ISNUMBER(G2596))),"Unknown",G2596&lt;=33,"Low Spender",G2596&lt;=66,"Medium Spender",TRUE, "High Spender")</f>
        <v>Low Spender</v>
      </c>
      <c r="I2596" s="1">
        <v>13</v>
      </c>
      <c r="J2596" s="1">
        <v>6100</v>
      </c>
      <c r="K2596" s="1">
        <v>122</v>
      </c>
      <c r="L2596" s="1" t="s">
        <v>35</v>
      </c>
      <c r="N2596" s="1" t="str">
        <f t="shared" si="80"/>
        <v>Higher</v>
      </c>
      <c r="O2596" s="1" t="str">
        <f t="shared" si="81"/>
        <v>Early Career | Low Spender | Higher</v>
      </c>
    </row>
    <row r="2597" spans="1:15" x14ac:dyDescent="0.25">
      <c r="A2597" s="1" t="s">
        <v>2627</v>
      </c>
      <c r="B2597" s="1">
        <v>42</v>
      </c>
      <c r="C2597" s="1" t="str" cm="1">
        <f t="array" ref="C2597">_xlfn.IFS(OR(B2597=" ", B2597="NA",NOT(ISNUMBER(B2597))), "Unknown",B2597&lt;18,"Underage",B2597&lt;=24,"Young Adult",B2597&lt;=34,"Early Career",B2597&lt;=44,"Mid Career",B2597&lt;=54,"Mature",B2597&lt;=65,"Pre-Senior",B2597&gt;65,"Senior")</f>
        <v>Mid Career</v>
      </c>
      <c r="F2597" s="1">
        <v>350000</v>
      </c>
      <c r="G2597" s="1">
        <v>67</v>
      </c>
      <c r="H2597" s="1" t="str" cm="1">
        <f t="array" ref="H2597">_xlfn.IFS( OR(G2597=" ",NOT(ISNUMBER(G2597))),"Unknown",G2597&lt;=33,"Low Spender",G2597&lt;=66,"Medium Spender",TRUE, "High Spender")</f>
        <v>High Spender</v>
      </c>
      <c r="I2597" s="1">
        <v>30</v>
      </c>
      <c r="J2597" s="1">
        <v>1300</v>
      </c>
      <c r="K2597" s="1">
        <v>78</v>
      </c>
      <c r="L2597" s="1" t="s">
        <v>16</v>
      </c>
      <c r="M2597" s="1" t="s">
        <v>32</v>
      </c>
      <c r="N2597" s="1" t="str">
        <f t="shared" si="80"/>
        <v>Lower</v>
      </c>
      <c r="O2597" s="1" t="str">
        <f t="shared" si="81"/>
        <v>Mid Career | High Spender | Lower</v>
      </c>
    </row>
    <row r="2598" spans="1:15" x14ac:dyDescent="0.25">
      <c r="A2598" s="1" t="s">
        <v>2628</v>
      </c>
      <c r="B2598" s="1">
        <v>53</v>
      </c>
      <c r="C2598" s="1" t="str" cm="1">
        <f t="array" ref="C2598">_xlfn.IFS(OR(B2598=" ", B2598="NA",NOT(ISNUMBER(B2598))), "Unknown",B2598&lt;18,"Underage",B2598&lt;=24,"Young Adult",B2598&lt;=34,"Early Career",B2598&lt;=44,"Mid Career",B2598&lt;=54,"Mature",B2598&lt;=65,"Pre-Senior",B2598&gt;65,"Senior")</f>
        <v>Mature</v>
      </c>
      <c r="D2598" s="1" t="s">
        <v>18</v>
      </c>
      <c r="E2598" s="1" t="s">
        <v>34</v>
      </c>
      <c r="F2598" s="1">
        <v>1075000</v>
      </c>
      <c r="G2598" s="1">
        <v>12</v>
      </c>
      <c r="H2598" s="1" t="str" cm="1">
        <f t="array" ref="H2598">_xlfn.IFS( OR(G2598=" ",NOT(ISNUMBER(G2598))),"Unknown",G2598&lt;=33,"Low Spender",G2598&lt;=66,"Medium Spender",TRUE, "High Spender")</f>
        <v>Low Spender</v>
      </c>
      <c r="I2598" s="1">
        <v>69</v>
      </c>
      <c r="J2598" s="1">
        <v>2200</v>
      </c>
      <c r="K2598" s="1">
        <v>313</v>
      </c>
      <c r="L2598" s="1" t="s">
        <v>20</v>
      </c>
      <c r="M2598" s="1" t="s">
        <v>41</v>
      </c>
      <c r="N2598" s="1" t="str">
        <f t="shared" si="80"/>
        <v>Higher</v>
      </c>
      <c r="O2598" s="1" t="str">
        <f t="shared" si="81"/>
        <v>Mature | Low Spender | Higher</v>
      </c>
    </row>
    <row r="2599" spans="1:15" x14ac:dyDescent="0.25">
      <c r="A2599" s="1" t="s">
        <v>2629</v>
      </c>
      <c r="B2599" s="1">
        <v>28</v>
      </c>
      <c r="C2599" s="1" t="str" cm="1">
        <f t="array" ref="C2599">_xlfn.IFS(OR(B2599=" ", B2599="NA",NOT(ISNUMBER(B2599))), "Unknown",B2599&lt;18,"Underage",B2599&lt;=24,"Young Adult",B2599&lt;=34,"Early Career",B2599&lt;=44,"Mid Career",B2599&lt;=54,"Mature",B2599&lt;=65,"Pre-Senior",B2599&gt;65,"Senior")</f>
        <v>Early Career</v>
      </c>
      <c r="D2599" s="1" t="s">
        <v>18</v>
      </c>
      <c r="F2599" s="1">
        <v>675000</v>
      </c>
      <c r="G2599" s="1">
        <v>30</v>
      </c>
      <c r="H2599" s="1" t="str" cm="1">
        <f t="array" ref="H2599">_xlfn.IFS( OR(G2599=" ",NOT(ISNUMBER(G2599))),"Unknown",G2599&lt;=33,"Low Spender",G2599&lt;=66,"Medium Spender",TRUE, "High Spender")</f>
        <v>Low Spender</v>
      </c>
      <c r="I2599" s="1">
        <v>18</v>
      </c>
      <c r="J2599" s="1">
        <v>5700</v>
      </c>
      <c r="K2599" s="1">
        <v>327</v>
      </c>
      <c r="M2599" s="1" t="s">
        <v>41</v>
      </c>
      <c r="N2599" s="1" t="str">
        <f t="shared" si="80"/>
        <v>Higher</v>
      </c>
      <c r="O2599" s="1" t="str">
        <f t="shared" si="81"/>
        <v>Early Career | Low Spender | Higher</v>
      </c>
    </row>
    <row r="2600" spans="1:15" x14ac:dyDescent="0.25">
      <c r="A2600" s="1" t="s">
        <v>2630</v>
      </c>
      <c r="B2600" s="1">
        <v>68</v>
      </c>
      <c r="C2600" s="1" t="str" cm="1">
        <f t="array" ref="C2600">_xlfn.IFS(OR(B2600=" ", B2600="NA",NOT(ISNUMBER(B2600))), "Unknown",B2600&lt;18,"Underage",B2600&lt;=24,"Young Adult",B2600&lt;=34,"Early Career",B2600&lt;=44,"Mid Career",B2600&lt;=54,"Mature",B2600&lt;=65,"Pre-Senior",B2600&gt;65,"Senior")</f>
        <v>Senior</v>
      </c>
      <c r="E2600" s="1" t="s">
        <v>13</v>
      </c>
      <c r="F2600" s="1">
        <v>1350000</v>
      </c>
      <c r="G2600" s="1">
        <v>9</v>
      </c>
      <c r="H2600" s="1" t="str" cm="1">
        <f t="array" ref="H2600">_xlfn.IFS( OR(G2600=" ",NOT(ISNUMBER(G2600))),"Unknown",G2600&lt;=33,"Low Spender",G2600&lt;=66,"Medium Spender",TRUE, "High Spender")</f>
        <v>Low Spender</v>
      </c>
      <c r="I2600" s="1">
        <v>78</v>
      </c>
      <c r="J2600" s="1">
        <v>3800</v>
      </c>
      <c r="K2600" s="1">
        <v>88</v>
      </c>
      <c r="L2600" s="1" t="s">
        <v>16</v>
      </c>
      <c r="M2600" s="1" t="s">
        <v>21</v>
      </c>
      <c r="N2600" s="1" t="str">
        <f t="shared" si="80"/>
        <v>Lower</v>
      </c>
      <c r="O2600" s="1" t="str">
        <f t="shared" si="81"/>
        <v>Senior | Low Spender | Lower</v>
      </c>
    </row>
    <row r="2601" spans="1:15" x14ac:dyDescent="0.25">
      <c r="A2601" s="1" t="s">
        <v>2631</v>
      </c>
      <c r="B2601" s="1">
        <v>32</v>
      </c>
      <c r="C2601" s="1" t="str" cm="1">
        <f t="array" ref="C2601">_xlfn.IFS(OR(B2601=" ", B2601="NA",NOT(ISNUMBER(B2601))), "Unknown",B2601&lt;18,"Underage",B2601&lt;=24,"Young Adult",B2601&lt;=34,"Early Career",B2601&lt;=44,"Mid Career",B2601&lt;=54,"Mature",B2601&lt;=65,"Pre-Senior",B2601&gt;65,"Senior")</f>
        <v>Early Career</v>
      </c>
      <c r="D2601" s="1" t="s">
        <v>12</v>
      </c>
      <c r="E2601" s="1" t="s">
        <v>58</v>
      </c>
      <c r="F2601" s="1">
        <v>1825000</v>
      </c>
      <c r="G2601" s="1">
        <v>53</v>
      </c>
      <c r="H2601" s="1" t="str" cm="1">
        <f t="array" ref="H2601">_xlfn.IFS( OR(G2601=" ",NOT(ISNUMBER(G2601))),"Unknown",G2601&lt;=33,"Low Spender",G2601&lt;=66,"Medium Spender",TRUE, "High Spender")</f>
        <v>Medium Spender</v>
      </c>
      <c r="I2601" s="1">
        <v>13</v>
      </c>
      <c r="J2601" s="1">
        <v>8400</v>
      </c>
      <c r="K2601" s="1">
        <v>113</v>
      </c>
      <c r="M2601" s="1" t="s">
        <v>41</v>
      </c>
      <c r="N2601" s="1" t="str">
        <f t="shared" si="80"/>
        <v>Lower</v>
      </c>
      <c r="O2601" s="1" t="str">
        <f t="shared" si="81"/>
        <v>Early Career | Medium Spender | Lower</v>
      </c>
    </row>
    <row r="2602" spans="1:15" x14ac:dyDescent="0.25">
      <c r="A2602" s="1" t="s">
        <v>2632</v>
      </c>
      <c r="B2602" s="1">
        <v>21</v>
      </c>
      <c r="C2602" s="1" t="str" cm="1">
        <f t="array" ref="C2602">_xlfn.IFS(OR(B2602=" ", B2602="NA",NOT(ISNUMBER(B2602))), "Unknown",B2602&lt;18,"Underage",B2602&lt;=24,"Young Adult",B2602&lt;=34,"Early Career",B2602&lt;=44,"Mid Career",B2602&lt;=54,"Mature",B2602&lt;=65,"Pre-Senior",B2602&gt;65,"Senior")</f>
        <v>Young Adult</v>
      </c>
      <c r="D2602" s="1" t="s">
        <v>18</v>
      </c>
      <c r="E2602" s="1" t="s">
        <v>49</v>
      </c>
      <c r="F2602" s="1">
        <v>500000</v>
      </c>
      <c r="G2602" s="1">
        <v>61</v>
      </c>
      <c r="H2602" s="1" t="str" cm="1">
        <f t="array" ref="H2602">_xlfn.IFS( OR(G2602=" ",NOT(ISNUMBER(G2602))),"Unknown",G2602&lt;=33,"Low Spender",G2602&lt;=66,"Medium Spender",TRUE, "High Spender")</f>
        <v>Medium Spender</v>
      </c>
      <c r="I2602" s="1">
        <v>32</v>
      </c>
      <c r="J2602" s="1">
        <v>1600</v>
      </c>
      <c r="K2602" s="1">
        <v>100</v>
      </c>
      <c r="L2602" s="1" t="s">
        <v>35</v>
      </c>
      <c r="M2602" s="1" t="s">
        <v>30</v>
      </c>
      <c r="N2602" s="1" t="str">
        <f t="shared" si="80"/>
        <v>Higher</v>
      </c>
      <c r="O2602" s="1" t="str">
        <f t="shared" si="81"/>
        <v>Young Adult | Medium Spender | Higher</v>
      </c>
    </row>
    <row r="2603" spans="1:15" x14ac:dyDescent="0.25">
      <c r="A2603" s="1" t="s">
        <v>2633</v>
      </c>
      <c r="B2603" s="1">
        <v>38</v>
      </c>
      <c r="C2603" s="1" t="str" cm="1">
        <f t="array" ref="C2603">_xlfn.IFS(OR(B2603=" ", B2603="NA",NOT(ISNUMBER(B2603))), "Unknown",B2603&lt;18,"Underage",B2603&lt;=24,"Young Adult",B2603&lt;=34,"Early Career",B2603&lt;=44,"Mid Career",B2603&lt;=54,"Mature",B2603&lt;=65,"Pre-Senior",B2603&gt;65,"Senior")</f>
        <v>Mid Career</v>
      </c>
      <c r="D2603" s="1" t="s">
        <v>29</v>
      </c>
      <c r="E2603" s="1" t="s">
        <v>27</v>
      </c>
      <c r="F2603" s="1">
        <v>1750000</v>
      </c>
      <c r="G2603" s="1">
        <v>54</v>
      </c>
      <c r="H2603" s="1" t="str" cm="1">
        <f t="array" ref="H2603">_xlfn.IFS( OR(G2603=" ",NOT(ISNUMBER(G2603))),"Unknown",G2603&lt;=33,"Low Spender",G2603&lt;=66,"Medium Spender",TRUE, "High Spender")</f>
        <v>Medium Spender</v>
      </c>
      <c r="I2603" s="1">
        <v>71</v>
      </c>
      <c r="J2603" s="1">
        <v>6000</v>
      </c>
      <c r="K2603" s="1">
        <v>303</v>
      </c>
      <c r="L2603" s="1" t="s">
        <v>35</v>
      </c>
      <c r="N2603" s="1" t="str">
        <f t="shared" si="80"/>
        <v>Higher</v>
      </c>
      <c r="O2603" s="1" t="str">
        <f t="shared" si="81"/>
        <v>Mid Career | Medium Spender | Higher</v>
      </c>
    </row>
    <row r="2604" spans="1:15" x14ac:dyDescent="0.25">
      <c r="A2604" s="1" t="s">
        <v>2634</v>
      </c>
      <c r="B2604" s="1">
        <v>30</v>
      </c>
      <c r="C2604" s="1" t="str" cm="1">
        <f t="array" ref="C2604">_xlfn.IFS(OR(B2604=" ", B2604="NA",NOT(ISNUMBER(B2604))), "Unknown",B2604&lt;18,"Underage",B2604&lt;=24,"Young Adult",B2604&lt;=34,"Early Career",B2604&lt;=44,"Mid Career",B2604&lt;=54,"Mature",B2604&lt;=65,"Pre-Senior",B2604&gt;65,"Senior")</f>
        <v>Early Career</v>
      </c>
      <c r="D2604" s="1" t="s">
        <v>12</v>
      </c>
      <c r="E2604" s="1" t="s">
        <v>58</v>
      </c>
      <c r="F2604" s="1">
        <v>1475000</v>
      </c>
      <c r="G2604" s="1">
        <v>37</v>
      </c>
      <c r="H2604" s="1" t="str" cm="1">
        <f t="array" ref="H2604">_xlfn.IFS( OR(G2604=" ",NOT(ISNUMBER(G2604))),"Unknown",G2604&lt;=33,"Low Spender",G2604&lt;=66,"Medium Spender",TRUE, "High Spender")</f>
        <v>Medium Spender</v>
      </c>
      <c r="I2604" s="1">
        <v>72</v>
      </c>
      <c r="J2604" s="1">
        <v>4000</v>
      </c>
      <c r="K2604" s="1">
        <v>239</v>
      </c>
      <c r="L2604" s="1" t="s">
        <v>16</v>
      </c>
      <c r="M2604" s="1" t="s">
        <v>41</v>
      </c>
      <c r="N2604" s="1" t="str">
        <f t="shared" si="80"/>
        <v>Lower</v>
      </c>
      <c r="O2604" s="1" t="str">
        <f t="shared" si="81"/>
        <v>Early Career | Medium Spender | Lower</v>
      </c>
    </row>
    <row r="2605" spans="1:15" x14ac:dyDescent="0.25">
      <c r="A2605" s="1" t="s">
        <v>2635</v>
      </c>
      <c r="B2605" s="1">
        <v>39</v>
      </c>
      <c r="C2605" s="1" t="str" cm="1">
        <f t="array" ref="C2605">_xlfn.IFS(OR(B2605=" ", B2605="NA",NOT(ISNUMBER(B2605))), "Unknown",B2605&lt;18,"Underage",B2605&lt;=24,"Young Adult",B2605&lt;=34,"Early Career",B2605&lt;=44,"Mid Career",B2605&lt;=54,"Mature",B2605&lt;=65,"Pre-Senior",B2605&gt;65,"Senior")</f>
        <v>Mid Career</v>
      </c>
      <c r="E2605" s="1" t="s">
        <v>23</v>
      </c>
      <c r="F2605" s="1">
        <v>875000</v>
      </c>
      <c r="G2605" s="1">
        <v>65</v>
      </c>
      <c r="H2605" s="1" t="str" cm="1">
        <f t="array" ref="H2605">_xlfn.IFS( OR(G2605=" ",NOT(ISNUMBER(G2605))),"Unknown",G2605&lt;=33,"Low Spender",G2605&lt;=66,"Medium Spender",TRUE, "High Spender")</f>
        <v>Medium Spender</v>
      </c>
      <c r="I2605" s="1">
        <v>50</v>
      </c>
      <c r="J2605" s="1">
        <v>9100</v>
      </c>
      <c r="K2605" s="1">
        <v>346</v>
      </c>
      <c r="M2605" s="1" t="s">
        <v>30</v>
      </c>
      <c r="N2605" s="1" t="str">
        <f t="shared" si="80"/>
        <v>Lower</v>
      </c>
      <c r="O2605" s="1" t="str">
        <f t="shared" si="81"/>
        <v>Mid Career | Medium Spender | Lower</v>
      </c>
    </row>
    <row r="2606" spans="1:15" x14ac:dyDescent="0.25">
      <c r="A2606" s="1" t="s">
        <v>2636</v>
      </c>
      <c r="B2606" s="1">
        <v>36</v>
      </c>
      <c r="C2606" s="1" t="str" cm="1">
        <f t="array" ref="C2606">_xlfn.IFS(OR(B2606=" ", B2606="NA",NOT(ISNUMBER(B2606))), "Unknown",B2606&lt;18,"Underage",B2606&lt;=24,"Young Adult",B2606&lt;=34,"Early Career",B2606&lt;=44,"Mid Career",B2606&lt;=54,"Mature",B2606&lt;=65,"Pre-Senior",B2606&gt;65,"Senior")</f>
        <v>Mid Career</v>
      </c>
      <c r="D2606" s="1" t="s">
        <v>29</v>
      </c>
      <c r="E2606" s="1" t="s">
        <v>19</v>
      </c>
      <c r="F2606" s="1">
        <v>625000</v>
      </c>
      <c r="G2606" s="1">
        <v>42</v>
      </c>
      <c r="H2606" s="1" t="str" cm="1">
        <f t="array" ref="H2606">_xlfn.IFS( OR(G2606=" ",NOT(ISNUMBER(G2606))),"Unknown",G2606&lt;=33,"Low Spender",G2606&lt;=66,"Medium Spender",TRUE, "High Spender")</f>
        <v>Medium Spender</v>
      </c>
      <c r="I2606" s="1">
        <v>71</v>
      </c>
      <c r="J2606" s="1">
        <v>8200</v>
      </c>
      <c r="K2606" s="1">
        <v>111</v>
      </c>
      <c r="L2606" s="1" t="s">
        <v>37</v>
      </c>
      <c r="N2606" s="1" t="str">
        <f t="shared" si="80"/>
        <v>Higher</v>
      </c>
      <c r="O2606" s="1" t="str">
        <f t="shared" si="81"/>
        <v>Mid Career | Medium Spender | Higher</v>
      </c>
    </row>
    <row r="2607" spans="1:15" x14ac:dyDescent="0.25">
      <c r="A2607" s="1" t="s">
        <v>2637</v>
      </c>
      <c r="B2607" s="1">
        <v>51</v>
      </c>
      <c r="C2607" s="1" t="str" cm="1">
        <f t="array" ref="C2607">_xlfn.IFS(OR(B2607=" ", B2607="NA",NOT(ISNUMBER(B2607))), "Unknown",B2607&lt;18,"Underage",B2607&lt;=24,"Young Adult",B2607&lt;=34,"Early Career",B2607&lt;=44,"Mid Career",B2607&lt;=54,"Mature",B2607&lt;=65,"Pre-Senior",B2607&gt;65,"Senior")</f>
        <v>Mature</v>
      </c>
      <c r="D2607" s="1" t="s">
        <v>18</v>
      </c>
      <c r="E2607" s="1" t="s">
        <v>23</v>
      </c>
      <c r="F2607" s="1">
        <v>950000</v>
      </c>
      <c r="G2607" s="1">
        <v>49</v>
      </c>
      <c r="H2607" s="1" t="str" cm="1">
        <f t="array" ref="H2607">_xlfn.IFS( OR(G2607=" ",NOT(ISNUMBER(G2607))),"Unknown",G2607&lt;=33,"Low Spender",G2607&lt;=66,"Medium Spender",TRUE, "High Spender")</f>
        <v>Medium Spender</v>
      </c>
      <c r="J2607" s="1">
        <v>8400</v>
      </c>
      <c r="K2607" s="1">
        <v>90</v>
      </c>
      <c r="L2607" s="1" t="s">
        <v>37</v>
      </c>
      <c r="N2607" s="1" t="str">
        <f t="shared" si="80"/>
        <v>Higher</v>
      </c>
      <c r="O2607" s="1" t="str">
        <f t="shared" si="81"/>
        <v>Mature | Medium Spender | Higher</v>
      </c>
    </row>
    <row r="2608" spans="1:15" x14ac:dyDescent="0.25">
      <c r="A2608" s="1" t="s">
        <v>2638</v>
      </c>
      <c r="B2608" s="1">
        <v>31</v>
      </c>
      <c r="C2608" s="1" t="str" cm="1">
        <f t="array" ref="C2608">_xlfn.IFS(OR(B2608=" ", B2608="NA",NOT(ISNUMBER(B2608))), "Unknown",B2608&lt;18,"Underage",B2608&lt;=24,"Young Adult",B2608&lt;=34,"Early Career",B2608&lt;=44,"Mid Career",B2608&lt;=54,"Mature",B2608&lt;=65,"Pre-Senior",B2608&gt;65,"Senior")</f>
        <v>Early Career</v>
      </c>
      <c r="E2608" s="1" t="s">
        <v>19</v>
      </c>
      <c r="F2608" s="1" t="s">
        <v>25</v>
      </c>
      <c r="G2608" s="1">
        <v>4</v>
      </c>
      <c r="H2608" s="1" t="str" cm="1">
        <f t="array" ref="H2608">_xlfn.IFS( OR(G2608=" ",NOT(ISNUMBER(G2608))),"Unknown",G2608&lt;=33,"Low Spender",G2608&lt;=66,"Medium Spender",TRUE, "High Spender")</f>
        <v>Low Spender</v>
      </c>
      <c r="I2608" s="1">
        <v>31</v>
      </c>
      <c r="J2608" s="1">
        <v>300</v>
      </c>
      <c r="K2608" s="1">
        <v>139</v>
      </c>
      <c r="L2608" s="1" t="s">
        <v>35</v>
      </c>
      <c r="M2608" s="1" t="s">
        <v>30</v>
      </c>
      <c r="N2608" s="1" t="str">
        <f t="shared" si="80"/>
        <v>Lower</v>
      </c>
      <c r="O2608" s="1" t="str">
        <f t="shared" si="81"/>
        <v>Early Career | Low Spender | Lower</v>
      </c>
    </row>
    <row r="2609" spans="1:15" x14ac:dyDescent="0.25">
      <c r="A2609" s="1" t="s">
        <v>2639</v>
      </c>
      <c r="B2609" s="1">
        <v>21</v>
      </c>
      <c r="C2609" s="1" t="str" cm="1">
        <f t="array" ref="C2609">_xlfn.IFS(OR(B2609=" ", B2609="NA",NOT(ISNUMBER(B2609))), "Unknown",B2609&lt;18,"Underage",B2609&lt;=24,"Young Adult",B2609&lt;=34,"Early Career",B2609&lt;=44,"Mid Career",B2609&lt;=54,"Mature",B2609&lt;=65,"Pre-Senior",B2609&gt;65,"Senior")</f>
        <v>Young Adult</v>
      </c>
      <c r="D2609" s="1" t="s">
        <v>29</v>
      </c>
      <c r="E2609" s="1" t="s">
        <v>13</v>
      </c>
      <c r="F2609" s="1">
        <v>300000</v>
      </c>
      <c r="G2609" s="1">
        <v>64</v>
      </c>
      <c r="H2609" s="1" t="str" cm="1">
        <f t="array" ref="H2609">_xlfn.IFS( OR(G2609=" ",NOT(ISNUMBER(G2609))),"Unknown",G2609&lt;=33,"Low Spender",G2609&lt;=66,"Medium Spender",TRUE, "High Spender")</f>
        <v>Medium Spender</v>
      </c>
      <c r="I2609" s="1">
        <v>51</v>
      </c>
      <c r="J2609" s="1">
        <v>10600</v>
      </c>
      <c r="K2609" s="1">
        <v>135</v>
      </c>
      <c r="M2609" s="1" t="s">
        <v>21</v>
      </c>
      <c r="N2609" s="1" t="str">
        <f t="shared" si="80"/>
        <v>Higher</v>
      </c>
      <c r="O2609" s="1" t="str">
        <f t="shared" si="81"/>
        <v>Young Adult | Medium Spender | Higher</v>
      </c>
    </row>
    <row r="2610" spans="1:15" x14ac:dyDescent="0.25">
      <c r="A2610" s="1" t="s">
        <v>2640</v>
      </c>
      <c r="B2610" s="1">
        <v>65</v>
      </c>
      <c r="C2610" s="1" t="str" cm="1">
        <f t="array" ref="C2610">_xlfn.IFS(OR(B2610=" ", B2610="NA",NOT(ISNUMBER(B2610))), "Unknown",B2610&lt;18,"Underage",B2610&lt;=24,"Young Adult",B2610&lt;=34,"Early Career",B2610&lt;=44,"Mid Career",B2610&lt;=54,"Mature",B2610&lt;=65,"Pre-Senior",B2610&gt;65,"Senior")</f>
        <v>Pre-Senior</v>
      </c>
      <c r="E2610" s="1" t="s">
        <v>58</v>
      </c>
      <c r="F2610" s="1">
        <v>325000</v>
      </c>
      <c r="G2610" s="1">
        <v>79</v>
      </c>
      <c r="H2610" s="1" t="str" cm="1">
        <f t="array" ref="H2610">_xlfn.IFS( OR(G2610=" ",NOT(ISNUMBER(G2610))),"Unknown",G2610&lt;=33,"Low Spender",G2610&lt;=66,"Medium Spender",TRUE, "High Spender")</f>
        <v>High Spender</v>
      </c>
      <c r="I2610" s="1">
        <v>27</v>
      </c>
      <c r="J2610" s="1">
        <v>6700</v>
      </c>
      <c r="K2610" s="1">
        <v>12</v>
      </c>
      <c r="L2610" s="1" t="s">
        <v>35</v>
      </c>
      <c r="M2610" s="1" t="s">
        <v>21</v>
      </c>
      <c r="N2610" s="1" t="str">
        <f t="shared" si="80"/>
        <v>Lower</v>
      </c>
      <c r="O2610" s="1" t="str">
        <f t="shared" si="81"/>
        <v>Pre-Senior | High Spender | Lower</v>
      </c>
    </row>
    <row r="2611" spans="1:15" x14ac:dyDescent="0.25">
      <c r="A2611" s="1" t="s">
        <v>2641</v>
      </c>
      <c r="C2611" s="1" t="str" cm="1">
        <f t="array" ref="C2611">_xlfn.IFS(OR(B2611=" ", B2611="NA",NOT(ISNUMBER(B2611))), "Unknown",B2611&lt;18,"Underage",B2611&lt;=24,"Young Adult",B2611&lt;=34,"Early Career",B2611&lt;=44,"Mid Career",B2611&lt;=54,"Mature",B2611&lt;=65,"Pre-Senior",B2611&gt;65,"Senior")</f>
        <v>Unknown</v>
      </c>
      <c r="D2611" s="1" t="s">
        <v>12</v>
      </c>
      <c r="E2611" s="1" t="s">
        <v>34</v>
      </c>
      <c r="F2611" s="1">
        <v>825000</v>
      </c>
      <c r="G2611" s="1">
        <v>51</v>
      </c>
      <c r="H2611" s="1" t="str" cm="1">
        <f t="array" ref="H2611">_xlfn.IFS( OR(G2611=" ",NOT(ISNUMBER(G2611))),"Unknown",G2611&lt;=33,"Low Spender",G2611&lt;=66,"Medium Spender",TRUE, "High Spender")</f>
        <v>Medium Spender</v>
      </c>
      <c r="I2611" s="1">
        <v>60</v>
      </c>
      <c r="J2611" s="1">
        <v>300</v>
      </c>
      <c r="K2611" s="1">
        <v>244</v>
      </c>
      <c r="L2611" s="1" t="s">
        <v>37</v>
      </c>
      <c r="N2611" s="1" t="str">
        <f t="shared" si="80"/>
        <v>Lower</v>
      </c>
      <c r="O2611" s="1" t="str">
        <f t="shared" si="81"/>
        <v>Unknown | Medium Spender | Lower</v>
      </c>
    </row>
    <row r="2612" spans="1:15" x14ac:dyDescent="0.25">
      <c r="A2612" s="1" t="s">
        <v>2642</v>
      </c>
      <c r="B2612" s="1">
        <v>69</v>
      </c>
      <c r="C2612" s="1" t="str" cm="1">
        <f t="array" ref="C2612">_xlfn.IFS(OR(B2612=" ", B2612="NA",NOT(ISNUMBER(B2612))), "Unknown",B2612&lt;18,"Underage",B2612&lt;=24,"Young Adult",B2612&lt;=34,"Early Career",B2612&lt;=44,"Mid Career",B2612&lt;=54,"Mature",B2612&lt;=65,"Pre-Senior",B2612&gt;65,"Senior")</f>
        <v>Senior</v>
      </c>
      <c r="F2612" s="1">
        <v>1250000</v>
      </c>
      <c r="G2612" s="1">
        <v>91</v>
      </c>
      <c r="H2612" s="1" t="str" cm="1">
        <f t="array" ref="H2612">_xlfn.IFS( OR(G2612=" ",NOT(ISNUMBER(G2612))),"Unknown",G2612&lt;=33,"Low Spender",G2612&lt;=66,"Medium Spender",TRUE, "High Spender")</f>
        <v>High Spender</v>
      </c>
      <c r="I2612" s="1">
        <v>33</v>
      </c>
      <c r="J2612" s="1">
        <v>11700</v>
      </c>
      <c r="K2612" s="1">
        <v>182</v>
      </c>
      <c r="L2612" s="1" t="s">
        <v>35</v>
      </c>
      <c r="N2612" s="1" t="str">
        <f t="shared" si="80"/>
        <v>Lower</v>
      </c>
      <c r="O2612" s="1" t="str">
        <f t="shared" si="81"/>
        <v>Senior | High Spender | Lower</v>
      </c>
    </row>
    <row r="2613" spans="1:15" x14ac:dyDescent="0.25">
      <c r="A2613" s="1" t="s">
        <v>2643</v>
      </c>
      <c r="B2613" s="1">
        <v>63</v>
      </c>
      <c r="C2613" s="1" t="str" cm="1">
        <f t="array" ref="C2613">_xlfn.IFS(OR(B2613=" ", B2613="NA",NOT(ISNUMBER(B2613))), "Unknown",B2613&lt;18,"Underage",B2613&lt;=24,"Young Adult",B2613&lt;=34,"Early Career",B2613&lt;=44,"Mid Career",B2613&lt;=54,"Mature",B2613&lt;=65,"Pre-Senior",B2613&gt;65,"Senior")</f>
        <v>Pre-Senior</v>
      </c>
      <c r="D2613" s="1" t="s">
        <v>18</v>
      </c>
      <c r="F2613" s="1">
        <v>1950000</v>
      </c>
      <c r="G2613" s="1">
        <v>72</v>
      </c>
      <c r="H2613" s="1" t="str" cm="1">
        <f t="array" ref="H2613">_xlfn.IFS( OR(G2613=" ",NOT(ISNUMBER(G2613))),"Unknown",G2613&lt;=33,"Low Spender",G2613&lt;=66,"Medium Spender",TRUE, "High Spender")</f>
        <v>High Spender</v>
      </c>
      <c r="I2613" s="1">
        <v>53</v>
      </c>
      <c r="J2613" s="1">
        <v>8700</v>
      </c>
      <c r="K2613" s="1">
        <v>195</v>
      </c>
      <c r="L2613" s="1" t="s">
        <v>16</v>
      </c>
      <c r="M2613" s="1" t="s">
        <v>41</v>
      </c>
      <c r="N2613" s="1" t="str">
        <f t="shared" si="80"/>
        <v>Higher</v>
      </c>
      <c r="O2613" s="1" t="str">
        <f t="shared" si="81"/>
        <v>Pre-Senior | High Spender | Higher</v>
      </c>
    </row>
    <row r="2614" spans="1:15" x14ac:dyDescent="0.25">
      <c r="A2614" s="1" t="s">
        <v>2644</v>
      </c>
      <c r="B2614" s="1">
        <v>44</v>
      </c>
      <c r="C2614" s="1" t="str" cm="1">
        <f t="array" ref="C2614">_xlfn.IFS(OR(B2614=" ", B2614="NA",NOT(ISNUMBER(B2614))), "Unknown",B2614&lt;18,"Underage",B2614&lt;=24,"Young Adult",B2614&lt;=34,"Early Career",B2614&lt;=44,"Mid Career",B2614&lt;=54,"Mature",B2614&lt;=65,"Pre-Senior",B2614&gt;65,"Senior")</f>
        <v>Mid Career</v>
      </c>
      <c r="D2614" s="1" t="s">
        <v>18</v>
      </c>
      <c r="F2614" s="1">
        <v>1975000</v>
      </c>
      <c r="G2614" s="1">
        <v>60</v>
      </c>
      <c r="H2614" s="1" t="str" cm="1">
        <f t="array" ref="H2614">_xlfn.IFS( OR(G2614=" ",NOT(ISNUMBER(G2614))),"Unknown",G2614&lt;=33,"Low Spender",G2614&lt;=66,"Medium Spender",TRUE, "High Spender")</f>
        <v>Medium Spender</v>
      </c>
      <c r="I2614" s="1">
        <v>72</v>
      </c>
      <c r="J2614" s="1">
        <v>6200</v>
      </c>
      <c r="K2614" s="1">
        <v>362</v>
      </c>
      <c r="N2614" s="1" t="str">
        <f t="shared" si="80"/>
        <v>Higher</v>
      </c>
      <c r="O2614" s="1" t="str">
        <f t="shared" si="81"/>
        <v>Mid Career | Medium Spender | Higher</v>
      </c>
    </row>
    <row r="2615" spans="1:15" x14ac:dyDescent="0.25">
      <c r="A2615" s="1" t="s">
        <v>2645</v>
      </c>
      <c r="B2615" s="1">
        <v>46</v>
      </c>
      <c r="C2615" s="1" t="str" cm="1">
        <f t="array" ref="C2615">_xlfn.IFS(OR(B2615=" ", B2615="NA",NOT(ISNUMBER(B2615))), "Unknown",B2615&lt;18,"Underage",B2615&lt;=24,"Young Adult",B2615&lt;=34,"Early Career",B2615&lt;=44,"Mid Career",B2615&lt;=54,"Mature",B2615&lt;=65,"Pre-Senior",B2615&gt;65,"Senior")</f>
        <v>Mature</v>
      </c>
      <c r="E2615" s="1" t="s">
        <v>58</v>
      </c>
      <c r="F2615" s="1">
        <v>400000</v>
      </c>
      <c r="G2615" s="1">
        <v>87</v>
      </c>
      <c r="H2615" s="1" t="str" cm="1">
        <f t="array" ref="H2615">_xlfn.IFS( OR(G2615=" ",NOT(ISNUMBER(G2615))),"Unknown",G2615&lt;=33,"Low Spender",G2615&lt;=66,"Medium Spender",TRUE, "High Spender")</f>
        <v>High Spender</v>
      </c>
      <c r="I2615" s="1">
        <v>33</v>
      </c>
      <c r="J2615" s="1">
        <v>2700</v>
      </c>
      <c r="K2615" s="1">
        <v>122</v>
      </c>
      <c r="L2615" s="1" t="s">
        <v>16</v>
      </c>
      <c r="N2615" s="1" t="str">
        <f t="shared" si="80"/>
        <v>Lower</v>
      </c>
      <c r="O2615" s="1" t="str">
        <f t="shared" si="81"/>
        <v>Mature | High Spender | Lower</v>
      </c>
    </row>
    <row r="2616" spans="1:15" x14ac:dyDescent="0.25">
      <c r="A2616" s="1" t="s">
        <v>2646</v>
      </c>
      <c r="B2616" s="1">
        <v>64</v>
      </c>
      <c r="C2616" s="1" t="str" cm="1">
        <f t="array" ref="C2616">_xlfn.IFS(OR(B2616=" ", B2616="NA",NOT(ISNUMBER(B2616))), "Unknown",B2616&lt;18,"Underage",B2616&lt;=24,"Young Adult",B2616&lt;=34,"Early Career",B2616&lt;=44,"Mid Career",B2616&lt;=54,"Mature",B2616&lt;=65,"Pre-Senior",B2616&gt;65,"Senior")</f>
        <v>Pre-Senior</v>
      </c>
      <c r="D2616" s="1" t="s">
        <v>18</v>
      </c>
      <c r="E2616" s="1" t="s">
        <v>23</v>
      </c>
      <c r="F2616" s="1">
        <v>900000</v>
      </c>
      <c r="G2616" s="1">
        <v>79</v>
      </c>
      <c r="H2616" s="1" t="str" cm="1">
        <f t="array" ref="H2616">_xlfn.IFS( OR(G2616=" ",NOT(ISNUMBER(G2616))),"Unknown",G2616&lt;=33,"Low Spender",G2616&lt;=66,"Medium Spender",TRUE, "High Spender")</f>
        <v>High Spender</v>
      </c>
      <c r="I2616" s="1">
        <v>41</v>
      </c>
      <c r="J2616" s="1">
        <v>9300</v>
      </c>
      <c r="K2616" s="1">
        <v>53</v>
      </c>
      <c r="M2616" s="1" t="s">
        <v>30</v>
      </c>
      <c r="N2616" s="1" t="str">
        <f t="shared" si="80"/>
        <v>Higher</v>
      </c>
      <c r="O2616" s="1" t="str">
        <f t="shared" si="81"/>
        <v>Pre-Senior | High Spender | Higher</v>
      </c>
    </row>
    <row r="2617" spans="1:15" x14ac:dyDescent="0.25">
      <c r="A2617" s="1" t="s">
        <v>2647</v>
      </c>
      <c r="B2617" s="1">
        <v>45</v>
      </c>
      <c r="C2617" s="1" t="str" cm="1">
        <f t="array" ref="C2617">_xlfn.IFS(OR(B2617=" ", B2617="NA",NOT(ISNUMBER(B2617))), "Unknown",B2617&lt;18,"Underage",B2617&lt;=24,"Young Adult",B2617&lt;=34,"Early Career",B2617&lt;=44,"Mid Career",B2617&lt;=54,"Mature",B2617&lt;=65,"Pre-Senior",B2617&gt;65,"Senior")</f>
        <v>Mature</v>
      </c>
      <c r="D2617" s="1" t="s">
        <v>29</v>
      </c>
      <c r="F2617" s="1">
        <v>425000</v>
      </c>
      <c r="G2617" s="1">
        <v>91</v>
      </c>
      <c r="H2617" s="1" t="str" cm="1">
        <f t="array" ref="H2617">_xlfn.IFS( OR(G2617=" ",NOT(ISNUMBER(G2617))),"Unknown",G2617&lt;=33,"Low Spender",G2617&lt;=66,"Medium Spender",TRUE, "High Spender")</f>
        <v>High Spender</v>
      </c>
      <c r="I2617" s="1">
        <v>19</v>
      </c>
      <c r="J2617" s="1">
        <v>1200</v>
      </c>
      <c r="K2617" s="1">
        <v>356</v>
      </c>
      <c r="M2617" s="1" t="s">
        <v>21</v>
      </c>
      <c r="N2617" s="1" t="str">
        <f t="shared" si="80"/>
        <v>Higher</v>
      </c>
      <c r="O2617" s="1" t="str">
        <f t="shared" si="81"/>
        <v>Mature | High Spender | Higher</v>
      </c>
    </row>
    <row r="2618" spans="1:15" x14ac:dyDescent="0.25">
      <c r="A2618" s="1" t="s">
        <v>2648</v>
      </c>
      <c r="B2618" s="1">
        <v>52</v>
      </c>
      <c r="C2618" s="1" t="str" cm="1">
        <f t="array" ref="C2618">_xlfn.IFS(OR(B2618=" ", B2618="NA",NOT(ISNUMBER(B2618))), "Unknown",B2618&lt;18,"Underage",B2618&lt;=24,"Young Adult",B2618&lt;=34,"Early Career",B2618&lt;=44,"Mid Career",B2618&lt;=54,"Mature",B2618&lt;=65,"Pre-Senior",B2618&gt;65,"Senior")</f>
        <v>Mature</v>
      </c>
      <c r="D2618" s="1" t="s">
        <v>18</v>
      </c>
      <c r="E2618" s="1" t="s">
        <v>15</v>
      </c>
      <c r="F2618" s="1">
        <v>1400000</v>
      </c>
      <c r="G2618" s="1">
        <v>31</v>
      </c>
      <c r="H2618" s="1" t="str" cm="1">
        <f t="array" ref="H2618">_xlfn.IFS( OR(G2618=" ",NOT(ISNUMBER(G2618))),"Unknown",G2618&lt;=33,"Low Spender",G2618&lt;=66,"Medium Spender",TRUE, "High Spender")</f>
        <v>Low Spender</v>
      </c>
      <c r="I2618" s="1">
        <v>41</v>
      </c>
      <c r="J2618" s="1">
        <v>5200</v>
      </c>
      <c r="K2618" s="1">
        <v>173</v>
      </c>
      <c r="L2618" s="1" t="s">
        <v>37</v>
      </c>
      <c r="N2618" s="1" t="str">
        <f t="shared" si="80"/>
        <v>Higher</v>
      </c>
      <c r="O2618" s="1" t="str">
        <f t="shared" si="81"/>
        <v>Mature | Low Spender | Higher</v>
      </c>
    </row>
    <row r="2619" spans="1:15" x14ac:dyDescent="0.25">
      <c r="A2619" s="1" t="s">
        <v>2649</v>
      </c>
      <c r="B2619" s="1">
        <v>25</v>
      </c>
      <c r="C2619" s="1" t="str" cm="1">
        <f t="array" ref="C2619">_xlfn.IFS(OR(B2619=" ", B2619="NA",NOT(ISNUMBER(B2619))), "Unknown",B2619&lt;18,"Underage",B2619&lt;=24,"Young Adult",B2619&lt;=34,"Early Career",B2619&lt;=44,"Mid Career",B2619&lt;=54,"Mature",B2619&lt;=65,"Pre-Senior",B2619&gt;65,"Senior")</f>
        <v>Early Career</v>
      </c>
      <c r="D2619" s="1" t="s">
        <v>12</v>
      </c>
      <c r="F2619" s="1">
        <v>1225000</v>
      </c>
      <c r="G2619" s="1">
        <v>72</v>
      </c>
      <c r="H2619" s="1" t="str" cm="1">
        <f t="array" ref="H2619">_xlfn.IFS( OR(G2619=" ",NOT(ISNUMBER(G2619))),"Unknown",G2619&lt;=33,"Low Spender",G2619&lt;=66,"Medium Spender",TRUE, "High Spender")</f>
        <v>High Spender</v>
      </c>
      <c r="I2619" s="1">
        <v>42</v>
      </c>
      <c r="J2619" s="1">
        <v>1400</v>
      </c>
      <c r="K2619" s="1">
        <v>179</v>
      </c>
      <c r="M2619" s="1" t="s">
        <v>30</v>
      </c>
      <c r="N2619" s="1" t="str">
        <f t="shared" si="80"/>
        <v>Lower</v>
      </c>
      <c r="O2619" s="1" t="str">
        <f t="shared" si="81"/>
        <v>Early Career | High Spender | Lower</v>
      </c>
    </row>
    <row r="2620" spans="1:15" x14ac:dyDescent="0.25">
      <c r="A2620" s="1" t="s">
        <v>2650</v>
      </c>
      <c r="B2620" s="1">
        <v>33</v>
      </c>
      <c r="C2620" s="1" t="str" cm="1">
        <f t="array" ref="C2620">_xlfn.IFS(OR(B2620=" ", B2620="NA",NOT(ISNUMBER(B2620))), "Unknown",B2620&lt;18,"Underage",B2620&lt;=24,"Young Adult",B2620&lt;=34,"Early Career",B2620&lt;=44,"Mid Career",B2620&lt;=54,"Mature",B2620&lt;=65,"Pre-Senior",B2620&gt;65,"Senior")</f>
        <v>Early Career</v>
      </c>
      <c r="D2620" s="1" t="s">
        <v>12</v>
      </c>
      <c r="E2620" s="1" t="s">
        <v>19</v>
      </c>
      <c r="F2620" s="1">
        <v>1375000</v>
      </c>
      <c r="G2620" s="1">
        <v>94</v>
      </c>
      <c r="H2620" s="1" t="str" cm="1">
        <f t="array" ref="H2620">_xlfn.IFS( OR(G2620=" ",NOT(ISNUMBER(G2620))),"Unknown",G2620&lt;=33,"Low Spender",G2620&lt;=66,"Medium Spender",TRUE, "High Spender")</f>
        <v>High Spender</v>
      </c>
      <c r="I2620" s="1">
        <v>23</v>
      </c>
      <c r="J2620" s="1">
        <v>9400</v>
      </c>
      <c r="K2620" s="1">
        <v>293</v>
      </c>
      <c r="N2620" s="1" t="str">
        <f t="shared" si="80"/>
        <v>Lower</v>
      </c>
      <c r="O2620" s="1" t="str">
        <f t="shared" si="81"/>
        <v>Early Career | High Spender | Lower</v>
      </c>
    </row>
    <row r="2621" spans="1:15" x14ac:dyDescent="0.25">
      <c r="A2621" s="1" t="s">
        <v>2651</v>
      </c>
      <c r="B2621" s="1">
        <v>59</v>
      </c>
      <c r="C2621" s="1" t="str" cm="1">
        <f t="array" ref="C2621">_xlfn.IFS(OR(B2621=" ", B2621="NA",NOT(ISNUMBER(B2621))), "Unknown",B2621&lt;18,"Underage",B2621&lt;=24,"Young Adult",B2621&lt;=34,"Early Career",B2621&lt;=44,"Mid Career",B2621&lt;=54,"Mature",B2621&lt;=65,"Pre-Senior",B2621&gt;65,"Senior")</f>
        <v>Pre-Senior</v>
      </c>
      <c r="D2621" s="1" t="s">
        <v>18</v>
      </c>
      <c r="E2621" s="1" t="s">
        <v>15</v>
      </c>
      <c r="F2621" s="1">
        <v>550000</v>
      </c>
      <c r="G2621" s="1">
        <v>58</v>
      </c>
      <c r="H2621" s="1" t="str" cm="1">
        <f t="array" ref="H2621">_xlfn.IFS( OR(G2621=" ",NOT(ISNUMBER(G2621))),"Unknown",G2621&lt;=33,"Low Spender",G2621&lt;=66,"Medium Spender",TRUE, "High Spender")</f>
        <v>Medium Spender</v>
      </c>
      <c r="I2621" s="1">
        <v>75</v>
      </c>
      <c r="J2621" s="1">
        <v>11500</v>
      </c>
      <c r="K2621" s="1">
        <v>59</v>
      </c>
      <c r="L2621" s="1" t="s">
        <v>37</v>
      </c>
      <c r="M2621" s="1" t="s">
        <v>32</v>
      </c>
      <c r="N2621" s="1" t="str">
        <f t="shared" si="80"/>
        <v>Higher</v>
      </c>
      <c r="O2621" s="1" t="str">
        <f t="shared" si="81"/>
        <v>Pre-Senior | Medium Spender | Higher</v>
      </c>
    </row>
    <row r="2622" spans="1:15" x14ac:dyDescent="0.25">
      <c r="A2622" s="1" t="s">
        <v>2652</v>
      </c>
      <c r="B2622" s="1">
        <v>53</v>
      </c>
      <c r="C2622" s="1" t="str" cm="1">
        <f t="array" ref="C2622">_xlfn.IFS(OR(B2622=" ", B2622="NA",NOT(ISNUMBER(B2622))), "Unknown",B2622&lt;18,"Underage",B2622&lt;=24,"Young Adult",B2622&lt;=34,"Early Career",B2622&lt;=44,"Mid Career",B2622&lt;=54,"Mature",B2622&lt;=65,"Pre-Senior",B2622&gt;65,"Senior")</f>
        <v>Mature</v>
      </c>
      <c r="D2622" s="1" t="s">
        <v>12</v>
      </c>
      <c r="E2622" s="1" t="s">
        <v>27</v>
      </c>
      <c r="F2622" s="1">
        <v>1000000</v>
      </c>
      <c r="G2622" s="1">
        <v>82</v>
      </c>
      <c r="H2622" s="1" t="str" cm="1">
        <f t="array" ref="H2622">_xlfn.IFS( OR(G2622=" ",NOT(ISNUMBER(G2622))),"Unknown",G2622&lt;=33,"Low Spender",G2622&lt;=66,"Medium Spender",TRUE, "High Spender")</f>
        <v>High Spender</v>
      </c>
      <c r="I2622" s="1">
        <v>33</v>
      </c>
      <c r="J2622" s="1">
        <v>3400</v>
      </c>
      <c r="K2622" s="1">
        <v>54</v>
      </c>
      <c r="L2622" s="1" t="s">
        <v>20</v>
      </c>
      <c r="M2622" s="1" t="s">
        <v>41</v>
      </c>
      <c r="N2622" s="1" t="str">
        <f t="shared" si="80"/>
        <v>Lower</v>
      </c>
      <c r="O2622" s="1" t="str">
        <f t="shared" si="81"/>
        <v>Mature | High Spender | Lower</v>
      </c>
    </row>
    <row r="2623" spans="1:15" x14ac:dyDescent="0.25">
      <c r="A2623" s="1" t="s">
        <v>2653</v>
      </c>
      <c r="B2623" s="1">
        <v>47</v>
      </c>
      <c r="C2623" s="1" t="str" cm="1">
        <f t="array" ref="C2623">_xlfn.IFS(OR(B2623=" ", B2623="NA",NOT(ISNUMBER(B2623))), "Unknown",B2623&lt;18,"Underage",B2623&lt;=24,"Young Adult",B2623&lt;=34,"Early Career",B2623&lt;=44,"Mid Career",B2623&lt;=54,"Mature",B2623&lt;=65,"Pre-Senior",B2623&gt;65,"Senior")</f>
        <v>Mature</v>
      </c>
      <c r="D2623" s="1" t="s">
        <v>18</v>
      </c>
      <c r="F2623" s="1">
        <v>150000</v>
      </c>
      <c r="G2623" s="1">
        <v>4</v>
      </c>
      <c r="H2623" s="1" t="str" cm="1">
        <f t="array" ref="H2623">_xlfn.IFS( OR(G2623=" ",NOT(ISNUMBER(G2623))),"Unknown",G2623&lt;=33,"Low Spender",G2623&lt;=66,"Medium Spender",TRUE, "High Spender")</f>
        <v>Low Spender</v>
      </c>
      <c r="I2623" s="1">
        <v>20</v>
      </c>
      <c r="J2623" s="1">
        <v>3500</v>
      </c>
      <c r="K2623" s="1">
        <v>257</v>
      </c>
      <c r="L2623" s="1" t="s">
        <v>20</v>
      </c>
      <c r="N2623" s="1" t="str">
        <f t="shared" si="80"/>
        <v>Higher</v>
      </c>
      <c r="O2623" s="1" t="str">
        <f t="shared" si="81"/>
        <v>Mature | Low Spender | Higher</v>
      </c>
    </row>
    <row r="2624" spans="1:15" x14ac:dyDescent="0.25">
      <c r="A2624" s="1" t="s">
        <v>2654</v>
      </c>
      <c r="B2624" s="1">
        <v>35</v>
      </c>
      <c r="C2624" s="1" t="str" cm="1">
        <f t="array" ref="C2624">_xlfn.IFS(OR(B2624=" ", B2624="NA",NOT(ISNUMBER(B2624))), "Unknown",B2624&lt;18,"Underage",B2624&lt;=24,"Young Adult",B2624&lt;=34,"Early Career",B2624&lt;=44,"Mid Career",B2624&lt;=54,"Mature",B2624&lt;=65,"Pre-Senior",B2624&gt;65,"Senior")</f>
        <v>Mid Career</v>
      </c>
      <c r="E2624" s="1" t="s">
        <v>15</v>
      </c>
      <c r="F2624" s="1">
        <v>850000</v>
      </c>
      <c r="G2624" s="1">
        <v>22</v>
      </c>
      <c r="H2624" s="1" t="str" cm="1">
        <f t="array" ref="H2624">_xlfn.IFS( OR(G2624=" ",NOT(ISNUMBER(G2624))),"Unknown",G2624&lt;=33,"Low Spender",G2624&lt;=66,"Medium Spender",TRUE, "High Spender")</f>
        <v>Low Spender</v>
      </c>
      <c r="I2624" s="1">
        <v>25</v>
      </c>
      <c r="J2624" s="1">
        <v>7400</v>
      </c>
      <c r="K2624" s="1">
        <v>245</v>
      </c>
      <c r="L2624" s="1" t="s">
        <v>35</v>
      </c>
      <c r="M2624" s="1" t="s">
        <v>30</v>
      </c>
      <c r="N2624" s="1" t="str">
        <f t="shared" si="80"/>
        <v>Lower</v>
      </c>
      <c r="O2624" s="1" t="str">
        <f t="shared" si="81"/>
        <v>Mid Career | Low Spender | Lower</v>
      </c>
    </row>
    <row r="2625" spans="1:15" x14ac:dyDescent="0.25">
      <c r="A2625" s="1" t="s">
        <v>2655</v>
      </c>
      <c r="B2625" s="1">
        <v>19</v>
      </c>
      <c r="C2625" s="1" t="str" cm="1">
        <f t="array" ref="C2625">_xlfn.IFS(OR(B2625=" ", B2625="NA",NOT(ISNUMBER(B2625))), "Unknown",B2625&lt;18,"Underage",B2625&lt;=24,"Young Adult",B2625&lt;=34,"Early Career",B2625&lt;=44,"Mid Career",B2625&lt;=54,"Mature",B2625&lt;=65,"Pre-Senior",B2625&gt;65,"Senior")</f>
        <v>Young Adult</v>
      </c>
      <c r="D2625" s="1" t="s">
        <v>18</v>
      </c>
      <c r="E2625" s="1" t="s">
        <v>58</v>
      </c>
      <c r="F2625" s="1">
        <v>1400000</v>
      </c>
      <c r="G2625" s="1">
        <v>3</v>
      </c>
      <c r="H2625" s="1" t="str" cm="1">
        <f t="array" ref="H2625">_xlfn.IFS( OR(G2625=" ",NOT(ISNUMBER(G2625))),"Unknown",G2625&lt;=33,"Low Spender",G2625&lt;=66,"Medium Spender",TRUE, "High Spender")</f>
        <v>Low Spender</v>
      </c>
      <c r="I2625" s="1">
        <v>52</v>
      </c>
      <c r="J2625" s="1">
        <v>10800</v>
      </c>
      <c r="K2625" s="1">
        <v>149</v>
      </c>
      <c r="L2625" s="1" t="s">
        <v>20</v>
      </c>
      <c r="M2625" s="1" t="s">
        <v>32</v>
      </c>
      <c r="N2625" s="1" t="str">
        <f t="shared" si="80"/>
        <v>Higher</v>
      </c>
      <c r="O2625" s="1" t="str">
        <f t="shared" si="81"/>
        <v>Young Adult | Low Spender | Higher</v>
      </c>
    </row>
    <row r="2626" spans="1:15" x14ac:dyDescent="0.25">
      <c r="A2626" s="1" t="s">
        <v>2656</v>
      </c>
      <c r="B2626" s="1">
        <v>66</v>
      </c>
      <c r="C2626" s="1" t="str" cm="1">
        <f t="array" ref="C2626">_xlfn.IFS(OR(B2626=" ", B2626="NA",NOT(ISNUMBER(B2626))), "Unknown",B2626&lt;18,"Underage",B2626&lt;=24,"Young Adult",B2626&lt;=34,"Early Career",B2626&lt;=44,"Mid Career",B2626&lt;=54,"Mature",B2626&lt;=65,"Pre-Senior",B2626&gt;65,"Senior")</f>
        <v>Senior</v>
      </c>
      <c r="F2626" s="1">
        <v>1725000</v>
      </c>
      <c r="G2626" s="1">
        <v>79</v>
      </c>
      <c r="H2626" s="1" t="str" cm="1">
        <f t="array" ref="H2626">_xlfn.IFS( OR(G2626=" ",NOT(ISNUMBER(G2626))),"Unknown",G2626&lt;=33,"Low Spender",G2626&lt;=66,"Medium Spender",TRUE, "High Spender")</f>
        <v>High Spender</v>
      </c>
      <c r="I2626" s="1">
        <v>12</v>
      </c>
      <c r="J2626" s="1">
        <v>2800</v>
      </c>
      <c r="K2626" s="1">
        <v>284</v>
      </c>
      <c r="L2626" s="1" t="s">
        <v>16</v>
      </c>
      <c r="M2626" s="1" t="s">
        <v>32</v>
      </c>
      <c r="N2626" s="1" t="str">
        <f t="shared" ref="N2626:N2689" si="82">IF(OR(UPPER(TRIM(D2626))="Male",UPPER(TRIM(D2626))="Female"),"Higher","Lower")</f>
        <v>Lower</v>
      </c>
      <c r="O2626" s="1" t="str">
        <f t="shared" ref="O2626:O2689" si="83">_xlfn.TEXTJOIN(" | ", TRUE, C2626, H2626, N2626)</f>
        <v>Senior | High Spender | Lower</v>
      </c>
    </row>
    <row r="2627" spans="1:15" x14ac:dyDescent="0.25">
      <c r="A2627" s="1" t="s">
        <v>2657</v>
      </c>
      <c r="B2627" s="1">
        <v>30</v>
      </c>
      <c r="C2627" s="1" t="str" cm="1">
        <f t="array" ref="C2627">_xlfn.IFS(OR(B2627=" ", B2627="NA",NOT(ISNUMBER(B2627))), "Unknown",B2627&lt;18,"Underage",B2627&lt;=24,"Young Adult",B2627&lt;=34,"Early Career",B2627&lt;=44,"Mid Career",B2627&lt;=54,"Mature",B2627&lt;=65,"Pre-Senior",B2627&gt;65,"Senior")</f>
        <v>Early Career</v>
      </c>
      <c r="D2627" s="1" t="s">
        <v>18</v>
      </c>
      <c r="E2627" s="1" t="s">
        <v>27</v>
      </c>
      <c r="F2627" s="1">
        <v>225000</v>
      </c>
      <c r="G2627" s="1">
        <v>99</v>
      </c>
      <c r="H2627" s="1" t="str" cm="1">
        <f t="array" ref="H2627">_xlfn.IFS( OR(G2627=" ",NOT(ISNUMBER(G2627))),"Unknown",G2627&lt;=33,"Low Spender",G2627&lt;=66,"Medium Spender",TRUE, "High Spender")</f>
        <v>High Spender</v>
      </c>
      <c r="I2627" s="1">
        <v>32</v>
      </c>
      <c r="J2627" s="1">
        <v>4400</v>
      </c>
      <c r="K2627" s="1">
        <v>16</v>
      </c>
      <c r="N2627" s="1" t="str">
        <f t="shared" si="82"/>
        <v>Higher</v>
      </c>
      <c r="O2627" s="1" t="str">
        <f t="shared" si="83"/>
        <v>Early Career | High Spender | Higher</v>
      </c>
    </row>
    <row r="2628" spans="1:15" x14ac:dyDescent="0.25">
      <c r="A2628" s="1" t="s">
        <v>2658</v>
      </c>
      <c r="B2628" s="1">
        <v>21</v>
      </c>
      <c r="C2628" s="1" t="str" cm="1">
        <f t="array" ref="C2628">_xlfn.IFS(OR(B2628=" ", B2628="NA",NOT(ISNUMBER(B2628))), "Unknown",B2628&lt;18,"Underage",B2628&lt;=24,"Young Adult",B2628&lt;=34,"Early Career",B2628&lt;=44,"Mid Career",B2628&lt;=54,"Mature",B2628&lt;=65,"Pre-Senior",B2628&gt;65,"Senior")</f>
        <v>Young Adult</v>
      </c>
      <c r="E2628" s="1" t="s">
        <v>34</v>
      </c>
      <c r="F2628" s="1">
        <v>825000</v>
      </c>
      <c r="G2628" s="1">
        <v>47</v>
      </c>
      <c r="H2628" s="1" t="str" cm="1">
        <f t="array" ref="H2628">_xlfn.IFS( OR(G2628=" ",NOT(ISNUMBER(G2628))),"Unknown",G2628&lt;=33,"Low Spender",G2628&lt;=66,"Medium Spender",TRUE, "High Spender")</f>
        <v>Medium Spender</v>
      </c>
      <c r="I2628" s="1">
        <v>33</v>
      </c>
      <c r="J2628" s="1">
        <v>5200</v>
      </c>
      <c r="K2628" s="1">
        <v>176</v>
      </c>
      <c r="N2628" s="1" t="str">
        <f t="shared" si="82"/>
        <v>Lower</v>
      </c>
      <c r="O2628" s="1" t="str">
        <f t="shared" si="83"/>
        <v>Young Adult | Medium Spender | Lower</v>
      </c>
    </row>
    <row r="2629" spans="1:15" x14ac:dyDescent="0.25">
      <c r="A2629" s="1" t="s">
        <v>2659</v>
      </c>
      <c r="B2629" s="1">
        <v>43</v>
      </c>
      <c r="C2629" s="1" t="str" cm="1">
        <f t="array" ref="C2629">_xlfn.IFS(OR(B2629=" ", B2629="NA",NOT(ISNUMBER(B2629))), "Unknown",B2629&lt;18,"Underage",B2629&lt;=24,"Young Adult",B2629&lt;=34,"Early Career",B2629&lt;=44,"Mid Career",B2629&lt;=54,"Mature",B2629&lt;=65,"Pre-Senior",B2629&gt;65,"Senior")</f>
        <v>Mid Career</v>
      </c>
      <c r="E2629" s="1" t="s">
        <v>34</v>
      </c>
      <c r="F2629" s="1">
        <v>525000</v>
      </c>
      <c r="G2629" s="1">
        <v>38</v>
      </c>
      <c r="H2629" s="1" t="str" cm="1">
        <f t="array" ref="H2629">_xlfn.IFS( OR(G2629=" ",NOT(ISNUMBER(G2629))),"Unknown",G2629&lt;=33,"Low Spender",G2629&lt;=66,"Medium Spender",TRUE, "High Spender")</f>
        <v>Medium Spender</v>
      </c>
      <c r="I2629" s="1">
        <v>74</v>
      </c>
      <c r="J2629" s="1">
        <v>6300</v>
      </c>
      <c r="K2629" s="1">
        <v>28</v>
      </c>
      <c r="L2629" s="1" t="s">
        <v>35</v>
      </c>
      <c r="M2629" s="1" t="s">
        <v>21</v>
      </c>
      <c r="N2629" s="1" t="str">
        <f t="shared" si="82"/>
        <v>Lower</v>
      </c>
      <c r="O2629" s="1" t="str">
        <f t="shared" si="83"/>
        <v>Mid Career | Medium Spender | Lower</v>
      </c>
    </row>
    <row r="2630" spans="1:15" x14ac:dyDescent="0.25">
      <c r="A2630" s="1" t="s">
        <v>2660</v>
      </c>
      <c r="B2630" s="1">
        <v>42</v>
      </c>
      <c r="C2630" s="1" t="str" cm="1">
        <f t="array" ref="C2630">_xlfn.IFS(OR(B2630=" ", B2630="NA",NOT(ISNUMBER(B2630))), "Unknown",B2630&lt;18,"Underage",B2630&lt;=24,"Young Adult",B2630&lt;=34,"Early Career",B2630&lt;=44,"Mid Career",B2630&lt;=54,"Mature",B2630&lt;=65,"Pre-Senior",B2630&gt;65,"Senior")</f>
        <v>Mid Career</v>
      </c>
      <c r="E2630" s="1" t="s">
        <v>13</v>
      </c>
      <c r="F2630" s="1">
        <v>1700000</v>
      </c>
      <c r="G2630" s="1">
        <v>33</v>
      </c>
      <c r="H2630" s="1" t="str" cm="1">
        <f t="array" ref="H2630">_xlfn.IFS( OR(G2630=" ",NOT(ISNUMBER(G2630))),"Unknown",G2630&lt;=33,"Low Spender",G2630&lt;=66,"Medium Spender",TRUE, "High Spender")</f>
        <v>Low Spender</v>
      </c>
      <c r="I2630" s="1">
        <v>68</v>
      </c>
      <c r="J2630" s="1">
        <v>4300</v>
      </c>
      <c r="K2630" s="1">
        <v>129</v>
      </c>
      <c r="M2630" s="1" t="s">
        <v>32</v>
      </c>
      <c r="N2630" s="1" t="str">
        <f t="shared" si="82"/>
        <v>Lower</v>
      </c>
      <c r="O2630" s="1" t="str">
        <f t="shared" si="83"/>
        <v>Mid Career | Low Spender | Lower</v>
      </c>
    </row>
    <row r="2631" spans="1:15" x14ac:dyDescent="0.25">
      <c r="A2631" s="1" t="s">
        <v>2661</v>
      </c>
      <c r="B2631" s="1">
        <v>47</v>
      </c>
      <c r="C2631" s="1" t="str" cm="1">
        <f t="array" ref="C2631">_xlfn.IFS(OR(B2631=" ", B2631="NA",NOT(ISNUMBER(B2631))), "Unknown",B2631&lt;18,"Underage",B2631&lt;=24,"Young Adult",B2631&lt;=34,"Early Career",B2631&lt;=44,"Mid Career",B2631&lt;=54,"Mature",B2631&lt;=65,"Pre-Senior",B2631&gt;65,"Senior")</f>
        <v>Mature</v>
      </c>
      <c r="G2631" s="1">
        <v>78</v>
      </c>
      <c r="H2631" s="1" t="str" cm="1">
        <f t="array" ref="H2631">_xlfn.IFS( OR(G2631=" ",NOT(ISNUMBER(G2631))),"Unknown",G2631&lt;=33,"Low Spender",G2631&lt;=66,"Medium Spender",TRUE, "High Spender")</f>
        <v>High Spender</v>
      </c>
      <c r="I2631" s="1">
        <v>15</v>
      </c>
      <c r="J2631" s="1">
        <v>5900</v>
      </c>
      <c r="K2631" s="1">
        <v>223</v>
      </c>
      <c r="L2631" s="1" t="s">
        <v>37</v>
      </c>
      <c r="M2631" s="1" t="s">
        <v>41</v>
      </c>
      <c r="N2631" s="1" t="str">
        <f t="shared" si="82"/>
        <v>Lower</v>
      </c>
      <c r="O2631" s="1" t="str">
        <f t="shared" si="83"/>
        <v>Mature | High Spender | Lower</v>
      </c>
    </row>
    <row r="2632" spans="1:15" x14ac:dyDescent="0.25">
      <c r="A2632" s="1" t="s">
        <v>2662</v>
      </c>
      <c r="B2632" s="1">
        <v>28</v>
      </c>
      <c r="C2632" s="1" t="str" cm="1">
        <f t="array" ref="C2632">_xlfn.IFS(OR(B2632=" ", B2632="NA",NOT(ISNUMBER(B2632))), "Unknown",B2632&lt;18,"Underage",B2632&lt;=24,"Young Adult",B2632&lt;=34,"Early Career",B2632&lt;=44,"Mid Career",B2632&lt;=54,"Mature",B2632&lt;=65,"Pre-Senior",B2632&gt;65,"Senior")</f>
        <v>Early Career</v>
      </c>
      <c r="F2632" s="1">
        <v>1450000</v>
      </c>
      <c r="G2632" s="1">
        <v>48</v>
      </c>
      <c r="H2632" s="1" t="str" cm="1">
        <f t="array" ref="H2632">_xlfn.IFS( OR(G2632=" ",NOT(ISNUMBER(G2632))),"Unknown",G2632&lt;=33,"Low Spender",G2632&lt;=66,"Medium Spender",TRUE, "High Spender")</f>
        <v>Medium Spender</v>
      </c>
      <c r="I2632" s="1">
        <v>51</v>
      </c>
      <c r="J2632" s="1">
        <v>400</v>
      </c>
      <c r="K2632" s="1">
        <v>244</v>
      </c>
      <c r="L2632" s="1" t="s">
        <v>20</v>
      </c>
      <c r="M2632" s="1" t="s">
        <v>30</v>
      </c>
      <c r="N2632" s="1" t="str">
        <f t="shared" si="82"/>
        <v>Lower</v>
      </c>
      <c r="O2632" s="1" t="str">
        <f t="shared" si="83"/>
        <v>Early Career | Medium Spender | Lower</v>
      </c>
    </row>
    <row r="2633" spans="1:15" x14ac:dyDescent="0.25">
      <c r="A2633" s="1" t="s">
        <v>2663</v>
      </c>
      <c r="B2633" s="1">
        <v>24</v>
      </c>
      <c r="C2633" s="1" t="str" cm="1">
        <f t="array" ref="C2633">_xlfn.IFS(OR(B2633=" ", B2633="NA",NOT(ISNUMBER(B2633))), "Unknown",B2633&lt;18,"Underage",B2633&lt;=24,"Young Adult",B2633&lt;=34,"Early Career",B2633&lt;=44,"Mid Career",B2633&lt;=54,"Mature",B2633&lt;=65,"Pre-Senior",B2633&gt;65,"Senior")</f>
        <v>Young Adult</v>
      </c>
      <c r="D2633" s="1" t="s">
        <v>18</v>
      </c>
      <c r="E2633" s="1" t="s">
        <v>49</v>
      </c>
      <c r="F2633" s="1">
        <v>550000</v>
      </c>
      <c r="G2633" s="1">
        <v>65</v>
      </c>
      <c r="H2633" s="1" t="str" cm="1">
        <f t="array" ref="H2633">_xlfn.IFS( OR(G2633=" ",NOT(ISNUMBER(G2633))),"Unknown",G2633&lt;=33,"Low Spender",G2633&lt;=66,"Medium Spender",TRUE, "High Spender")</f>
        <v>Medium Spender</v>
      </c>
      <c r="I2633" s="1">
        <v>6</v>
      </c>
      <c r="J2633" s="1">
        <v>10100</v>
      </c>
      <c r="K2633" s="1">
        <v>354</v>
      </c>
      <c r="L2633" s="1" t="s">
        <v>37</v>
      </c>
      <c r="M2633" s="1" t="s">
        <v>30</v>
      </c>
      <c r="N2633" s="1" t="str">
        <f t="shared" si="82"/>
        <v>Higher</v>
      </c>
      <c r="O2633" s="1" t="str">
        <f t="shared" si="83"/>
        <v>Young Adult | Medium Spender | Higher</v>
      </c>
    </row>
    <row r="2634" spans="1:15" x14ac:dyDescent="0.25">
      <c r="A2634" s="1" t="s">
        <v>2664</v>
      </c>
      <c r="B2634" s="1">
        <v>48</v>
      </c>
      <c r="C2634" s="1" t="str" cm="1">
        <f t="array" ref="C2634">_xlfn.IFS(OR(B2634=" ", B2634="NA",NOT(ISNUMBER(B2634))), "Unknown",B2634&lt;18,"Underage",B2634&lt;=24,"Young Adult",B2634&lt;=34,"Early Career",B2634&lt;=44,"Mid Career",B2634&lt;=54,"Mature",B2634&lt;=65,"Pre-Senior",B2634&gt;65,"Senior")</f>
        <v>Mature</v>
      </c>
      <c r="E2634" s="1" t="s">
        <v>15</v>
      </c>
      <c r="F2634" s="1">
        <v>1125000</v>
      </c>
      <c r="G2634" s="1">
        <v>26</v>
      </c>
      <c r="H2634" s="1" t="str" cm="1">
        <f t="array" ref="H2634">_xlfn.IFS( OR(G2634=" ",NOT(ISNUMBER(G2634))),"Unknown",G2634&lt;=33,"Low Spender",G2634&lt;=66,"Medium Spender",TRUE, "High Spender")</f>
        <v>Low Spender</v>
      </c>
      <c r="I2634" s="1">
        <v>69</v>
      </c>
      <c r="J2634" s="1">
        <v>10000</v>
      </c>
      <c r="K2634" s="1">
        <v>238</v>
      </c>
      <c r="L2634" s="1" t="s">
        <v>35</v>
      </c>
      <c r="M2634" s="1" t="s">
        <v>30</v>
      </c>
      <c r="N2634" s="1" t="str">
        <f t="shared" si="82"/>
        <v>Lower</v>
      </c>
      <c r="O2634" s="1" t="str">
        <f t="shared" si="83"/>
        <v>Mature | Low Spender | Lower</v>
      </c>
    </row>
    <row r="2635" spans="1:15" x14ac:dyDescent="0.25">
      <c r="A2635" s="1" t="s">
        <v>2665</v>
      </c>
      <c r="B2635" s="1">
        <v>61</v>
      </c>
      <c r="C2635" s="1" t="str" cm="1">
        <f t="array" ref="C2635">_xlfn.IFS(OR(B2635=" ", B2635="NA",NOT(ISNUMBER(B2635))), "Unknown",B2635&lt;18,"Underage",B2635&lt;=24,"Young Adult",B2635&lt;=34,"Early Career",B2635&lt;=44,"Mid Career",B2635&lt;=54,"Mature",B2635&lt;=65,"Pre-Senior",B2635&gt;65,"Senior")</f>
        <v>Pre-Senior</v>
      </c>
      <c r="E2635" s="1" t="s">
        <v>27</v>
      </c>
      <c r="F2635" s="1">
        <v>450000</v>
      </c>
      <c r="G2635" s="1">
        <v>8</v>
      </c>
      <c r="H2635" s="1" t="str" cm="1">
        <f t="array" ref="H2635">_xlfn.IFS( OR(G2635=" ",NOT(ISNUMBER(G2635))),"Unknown",G2635&lt;=33,"Low Spender",G2635&lt;=66,"Medium Spender",TRUE, "High Spender")</f>
        <v>Low Spender</v>
      </c>
      <c r="I2635" s="1">
        <v>69</v>
      </c>
      <c r="J2635" s="1">
        <v>7200</v>
      </c>
      <c r="K2635" s="1">
        <v>232</v>
      </c>
      <c r="N2635" s="1" t="str">
        <f t="shared" si="82"/>
        <v>Lower</v>
      </c>
      <c r="O2635" s="1" t="str">
        <f t="shared" si="83"/>
        <v>Pre-Senior | Low Spender | Lower</v>
      </c>
    </row>
    <row r="2636" spans="1:15" x14ac:dyDescent="0.25">
      <c r="A2636" s="1" t="s">
        <v>2666</v>
      </c>
      <c r="B2636" s="1">
        <v>27</v>
      </c>
      <c r="C2636" s="1" t="str" cm="1">
        <f t="array" ref="C2636">_xlfn.IFS(OR(B2636=" ", B2636="NA",NOT(ISNUMBER(B2636))), "Unknown",B2636&lt;18,"Underage",B2636&lt;=24,"Young Adult",B2636&lt;=34,"Early Career",B2636&lt;=44,"Mid Career",B2636&lt;=54,"Mature",B2636&lt;=65,"Pre-Senior",B2636&gt;65,"Senior")</f>
        <v>Early Career</v>
      </c>
      <c r="D2636" s="1" t="s">
        <v>29</v>
      </c>
      <c r="E2636" s="1" t="s">
        <v>58</v>
      </c>
      <c r="F2636" s="1">
        <v>1425000</v>
      </c>
      <c r="G2636" s="1">
        <v>50</v>
      </c>
      <c r="H2636" s="1" t="str" cm="1">
        <f t="array" ref="H2636">_xlfn.IFS( OR(G2636=" ",NOT(ISNUMBER(G2636))),"Unknown",G2636&lt;=33,"Low Spender",G2636&lt;=66,"Medium Spender",TRUE, "High Spender")</f>
        <v>Medium Spender</v>
      </c>
      <c r="I2636" s="1">
        <v>35</v>
      </c>
      <c r="J2636" s="1">
        <v>3300</v>
      </c>
      <c r="K2636" s="1">
        <v>326</v>
      </c>
      <c r="L2636" s="1" t="s">
        <v>16</v>
      </c>
      <c r="M2636" s="1" t="s">
        <v>30</v>
      </c>
      <c r="N2636" s="1" t="str">
        <f t="shared" si="82"/>
        <v>Higher</v>
      </c>
      <c r="O2636" s="1" t="str">
        <f t="shared" si="83"/>
        <v>Early Career | Medium Spender | Higher</v>
      </c>
    </row>
    <row r="2637" spans="1:15" x14ac:dyDescent="0.25">
      <c r="A2637" s="1" t="s">
        <v>2667</v>
      </c>
      <c r="B2637" s="1">
        <v>56</v>
      </c>
      <c r="C2637" s="1" t="str" cm="1">
        <f t="array" ref="C2637">_xlfn.IFS(OR(B2637=" ", B2637="NA",NOT(ISNUMBER(B2637))), "Unknown",B2637&lt;18,"Underage",B2637&lt;=24,"Young Adult",B2637&lt;=34,"Early Career",B2637&lt;=44,"Mid Career",B2637&lt;=54,"Mature",B2637&lt;=65,"Pre-Senior",B2637&gt;65,"Senior")</f>
        <v>Pre-Senior</v>
      </c>
      <c r="D2637" s="1" t="s">
        <v>18</v>
      </c>
      <c r="F2637" s="1">
        <v>1575000</v>
      </c>
      <c r="G2637" s="1">
        <v>80</v>
      </c>
      <c r="H2637" s="1" t="str" cm="1">
        <f t="array" ref="H2637">_xlfn.IFS( OR(G2637=" ",NOT(ISNUMBER(G2637))),"Unknown",G2637&lt;=33,"Low Spender",G2637&lt;=66,"Medium Spender",TRUE, "High Spender")</f>
        <v>High Spender</v>
      </c>
      <c r="I2637" s="1">
        <v>34</v>
      </c>
      <c r="J2637" s="1">
        <v>2500</v>
      </c>
      <c r="K2637" s="1">
        <v>92</v>
      </c>
      <c r="L2637" s="1" t="s">
        <v>20</v>
      </c>
      <c r="M2637" s="1" t="s">
        <v>30</v>
      </c>
      <c r="N2637" s="1" t="str">
        <f t="shared" si="82"/>
        <v>Higher</v>
      </c>
      <c r="O2637" s="1" t="str">
        <f t="shared" si="83"/>
        <v>Pre-Senior | High Spender | Higher</v>
      </c>
    </row>
    <row r="2638" spans="1:15" x14ac:dyDescent="0.25">
      <c r="A2638" s="1" t="s">
        <v>2668</v>
      </c>
      <c r="B2638" s="1">
        <v>30</v>
      </c>
      <c r="C2638" s="1" t="str" cm="1">
        <f t="array" ref="C2638">_xlfn.IFS(OR(B2638=" ", B2638="NA",NOT(ISNUMBER(B2638))), "Unknown",B2638&lt;18,"Underage",B2638&lt;=24,"Young Adult",B2638&lt;=34,"Early Career",B2638&lt;=44,"Mid Career",B2638&lt;=54,"Mature",B2638&lt;=65,"Pre-Senior",B2638&gt;65,"Senior")</f>
        <v>Early Career</v>
      </c>
      <c r="E2638" s="1" t="s">
        <v>58</v>
      </c>
      <c r="F2638" s="1">
        <v>1050000</v>
      </c>
      <c r="G2638" s="1">
        <v>38</v>
      </c>
      <c r="H2638" s="1" t="str" cm="1">
        <f t="array" ref="H2638">_xlfn.IFS( OR(G2638=" ",NOT(ISNUMBER(G2638))),"Unknown",G2638&lt;=33,"Low Spender",G2638&lt;=66,"Medium Spender",TRUE, "High Spender")</f>
        <v>Medium Spender</v>
      </c>
      <c r="I2638" s="1">
        <v>63</v>
      </c>
      <c r="J2638" s="1">
        <v>7800</v>
      </c>
      <c r="K2638" s="1">
        <v>3</v>
      </c>
      <c r="L2638" s="1" t="s">
        <v>37</v>
      </c>
      <c r="M2638" s="1" t="s">
        <v>41</v>
      </c>
      <c r="N2638" s="1" t="str">
        <f t="shared" si="82"/>
        <v>Lower</v>
      </c>
      <c r="O2638" s="1" t="str">
        <f t="shared" si="83"/>
        <v>Early Career | Medium Spender | Lower</v>
      </c>
    </row>
    <row r="2639" spans="1:15" x14ac:dyDescent="0.25">
      <c r="A2639" s="1" t="s">
        <v>2669</v>
      </c>
      <c r="B2639" s="1">
        <v>48</v>
      </c>
      <c r="C2639" s="1" t="str" cm="1">
        <f t="array" ref="C2639">_xlfn.IFS(OR(B2639=" ", B2639="NA",NOT(ISNUMBER(B2639))), "Unknown",B2639&lt;18,"Underage",B2639&lt;=24,"Young Adult",B2639&lt;=34,"Early Career",B2639&lt;=44,"Mid Career",B2639&lt;=54,"Mature",B2639&lt;=65,"Pre-Senior",B2639&gt;65,"Senior")</f>
        <v>Mature</v>
      </c>
      <c r="E2639" s="1" t="s">
        <v>49</v>
      </c>
      <c r="G2639" s="1">
        <v>10</v>
      </c>
      <c r="H2639" s="1" t="str" cm="1">
        <f t="array" ref="H2639">_xlfn.IFS( OR(G2639=" ",NOT(ISNUMBER(G2639))),"Unknown",G2639&lt;=33,"Low Spender",G2639&lt;=66,"Medium Spender",TRUE, "High Spender")</f>
        <v>Low Spender</v>
      </c>
      <c r="I2639" s="1">
        <v>68</v>
      </c>
      <c r="J2639" s="1">
        <v>5600</v>
      </c>
      <c r="K2639" s="1">
        <v>81</v>
      </c>
      <c r="M2639" s="1" t="s">
        <v>21</v>
      </c>
      <c r="N2639" s="1" t="str">
        <f t="shared" si="82"/>
        <v>Lower</v>
      </c>
      <c r="O2639" s="1" t="str">
        <f t="shared" si="83"/>
        <v>Mature | Low Spender | Lower</v>
      </c>
    </row>
    <row r="2640" spans="1:15" x14ac:dyDescent="0.25">
      <c r="A2640" s="1" t="s">
        <v>2670</v>
      </c>
      <c r="B2640" s="1">
        <v>24</v>
      </c>
      <c r="C2640" s="1" t="str" cm="1">
        <f t="array" ref="C2640">_xlfn.IFS(OR(B2640=" ", B2640="NA",NOT(ISNUMBER(B2640))), "Unknown",B2640&lt;18,"Underage",B2640&lt;=24,"Young Adult",B2640&lt;=34,"Early Career",B2640&lt;=44,"Mid Career",B2640&lt;=54,"Mature",B2640&lt;=65,"Pre-Senior",B2640&gt;65,"Senior")</f>
        <v>Young Adult</v>
      </c>
      <c r="D2640" s="1" t="s">
        <v>12</v>
      </c>
      <c r="E2640" s="1" t="s">
        <v>13</v>
      </c>
      <c r="F2640" s="1">
        <v>1650000</v>
      </c>
      <c r="G2640" s="1">
        <v>42</v>
      </c>
      <c r="H2640" s="1" t="str" cm="1">
        <f t="array" ref="H2640">_xlfn.IFS( OR(G2640=" ",NOT(ISNUMBER(G2640))),"Unknown",G2640&lt;=33,"Low Spender",G2640&lt;=66,"Medium Spender",TRUE, "High Spender")</f>
        <v>Medium Spender</v>
      </c>
      <c r="I2640" s="1">
        <v>18</v>
      </c>
      <c r="J2640" s="1">
        <v>11700</v>
      </c>
      <c r="K2640" s="1">
        <v>44</v>
      </c>
      <c r="L2640" s="1" t="s">
        <v>20</v>
      </c>
      <c r="N2640" s="1" t="str">
        <f t="shared" si="82"/>
        <v>Lower</v>
      </c>
      <c r="O2640" s="1" t="str">
        <f t="shared" si="83"/>
        <v>Young Adult | Medium Spender | Lower</v>
      </c>
    </row>
    <row r="2641" spans="1:15" x14ac:dyDescent="0.25">
      <c r="A2641" s="1" t="s">
        <v>2671</v>
      </c>
      <c r="B2641" s="1">
        <v>66</v>
      </c>
      <c r="C2641" s="1" t="str" cm="1">
        <f t="array" ref="C2641">_xlfn.IFS(OR(B2641=" ", B2641="NA",NOT(ISNUMBER(B2641))), "Unknown",B2641&lt;18,"Underage",B2641&lt;=24,"Young Adult",B2641&lt;=34,"Early Career",B2641&lt;=44,"Mid Career",B2641&lt;=54,"Mature",B2641&lt;=65,"Pre-Senior",B2641&gt;65,"Senior")</f>
        <v>Senior</v>
      </c>
      <c r="E2641" s="1" t="s">
        <v>49</v>
      </c>
      <c r="F2641" s="1">
        <v>975000</v>
      </c>
      <c r="G2641" s="1">
        <v>37</v>
      </c>
      <c r="H2641" s="1" t="str" cm="1">
        <f t="array" ref="H2641">_xlfn.IFS( OR(G2641=" ",NOT(ISNUMBER(G2641))),"Unknown",G2641&lt;=33,"Low Spender",G2641&lt;=66,"Medium Spender",TRUE, "High Spender")</f>
        <v>Medium Spender</v>
      </c>
      <c r="I2641" s="1">
        <v>26</v>
      </c>
      <c r="J2641" s="1">
        <v>3000</v>
      </c>
      <c r="K2641" s="1">
        <v>155</v>
      </c>
      <c r="N2641" s="1" t="str">
        <f t="shared" si="82"/>
        <v>Lower</v>
      </c>
      <c r="O2641" s="1" t="str">
        <f t="shared" si="83"/>
        <v>Senior | Medium Spender | Lower</v>
      </c>
    </row>
    <row r="2642" spans="1:15" x14ac:dyDescent="0.25">
      <c r="A2642" s="1" t="s">
        <v>2672</v>
      </c>
      <c r="B2642" s="1">
        <v>59</v>
      </c>
      <c r="C2642" s="1" t="str" cm="1">
        <f t="array" ref="C2642">_xlfn.IFS(OR(B2642=" ", B2642="NA",NOT(ISNUMBER(B2642))), "Unknown",B2642&lt;18,"Underage",B2642&lt;=24,"Young Adult",B2642&lt;=34,"Early Career",B2642&lt;=44,"Mid Career",B2642&lt;=54,"Mature",B2642&lt;=65,"Pre-Senior",B2642&gt;65,"Senior")</f>
        <v>Pre-Senior</v>
      </c>
      <c r="D2642" s="1" t="s">
        <v>18</v>
      </c>
      <c r="E2642" s="1" t="s">
        <v>19</v>
      </c>
      <c r="F2642" s="1">
        <v>1875000</v>
      </c>
      <c r="G2642" s="1">
        <v>26</v>
      </c>
      <c r="H2642" s="1" t="str" cm="1">
        <f t="array" ref="H2642">_xlfn.IFS( OR(G2642=" ",NOT(ISNUMBER(G2642))),"Unknown",G2642&lt;=33,"Low Spender",G2642&lt;=66,"Medium Spender",TRUE, "High Spender")</f>
        <v>Low Spender</v>
      </c>
      <c r="I2642" s="1">
        <v>61</v>
      </c>
      <c r="J2642" s="1">
        <v>8100</v>
      </c>
      <c r="K2642" s="1">
        <v>24</v>
      </c>
      <c r="L2642" s="1" t="s">
        <v>16</v>
      </c>
      <c r="N2642" s="1" t="str">
        <f t="shared" si="82"/>
        <v>Higher</v>
      </c>
      <c r="O2642" s="1" t="str">
        <f t="shared" si="83"/>
        <v>Pre-Senior | Low Spender | Higher</v>
      </c>
    </row>
    <row r="2643" spans="1:15" x14ac:dyDescent="0.25">
      <c r="A2643" s="1" t="s">
        <v>2673</v>
      </c>
      <c r="B2643" s="1">
        <v>59</v>
      </c>
      <c r="C2643" s="1" t="str" cm="1">
        <f t="array" ref="C2643">_xlfn.IFS(OR(B2643=" ", B2643="NA",NOT(ISNUMBER(B2643))), "Unknown",B2643&lt;18,"Underage",B2643&lt;=24,"Young Adult",B2643&lt;=34,"Early Career",B2643&lt;=44,"Mid Career",B2643&lt;=54,"Mature",B2643&lt;=65,"Pre-Senior",B2643&gt;65,"Senior")</f>
        <v>Pre-Senior</v>
      </c>
      <c r="E2643" s="1" t="s">
        <v>23</v>
      </c>
      <c r="F2643" s="1">
        <v>550000</v>
      </c>
      <c r="G2643" s="1">
        <v>92</v>
      </c>
      <c r="H2643" s="1" t="str" cm="1">
        <f t="array" ref="H2643">_xlfn.IFS( OR(G2643=" ",NOT(ISNUMBER(G2643))),"Unknown",G2643&lt;=33,"Low Spender",G2643&lt;=66,"Medium Spender",TRUE, "High Spender")</f>
        <v>High Spender</v>
      </c>
      <c r="I2643" s="1">
        <v>78</v>
      </c>
      <c r="J2643" s="1">
        <v>2100</v>
      </c>
      <c r="K2643" s="1">
        <v>99</v>
      </c>
      <c r="M2643" s="1" t="s">
        <v>30</v>
      </c>
      <c r="N2643" s="1" t="str">
        <f t="shared" si="82"/>
        <v>Lower</v>
      </c>
      <c r="O2643" s="1" t="str">
        <f t="shared" si="83"/>
        <v>Pre-Senior | High Spender | Lower</v>
      </c>
    </row>
    <row r="2644" spans="1:15" x14ac:dyDescent="0.25">
      <c r="A2644" s="1" t="s">
        <v>2674</v>
      </c>
      <c r="B2644" s="1">
        <v>53</v>
      </c>
      <c r="C2644" s="1" t="str" cm="1">
        <f t="array" ref="C2644">_xlfn.IFS(OR(B2644=" ", B2644="NA",NOT(ISNUMBER(B2644))), "Unknown",B2644&lt;18,"Underage",B2644&lt;=24,"Young Adult",B2644&lt;=34,"Early Career",B2644&lt;=44,"Mid Career",B2644&lt;=54,"Mature",B2644&lt;=65,"Pre-Senior",B2644&gt;65,"Senior")</f>
        <v>Mature</v>
      </c>
      <c r="D2644" s="1" t="s">
        <v>29</v>
      </c>
      <c r="E2644" s="1" t="s">
        <v>27</v>
      </c>
      <c r="F2644" s="1">
        <v>625000</v>
      </c>
      <c r="G2644" s="1">
        <v>12</v>
      </c>
      <c r="H2644" s="1" t="str" cm="1">
        <f t="array" ref="H2644">_xlfn.IFS( OR(G2644=" ",NOT(ISNUMBER(G2644))),"Unknown",G2644&lt;=33,"Low Spender",G2644&lt;=66,"Medium Spender",TRUE, "High Spender")</f>
        <v>Low Spender</v>
      </c>
      <c r="I2644" s="1">
        <v>74</v>
      </c>
      <c r="J2644" s="1">
        <v>7800</v>
      </c>
      <c r="K2644" s="1">
        <v>171</v>
      </c>
      <c r="L2644" s="1" t="s">
        <v>20</v>
      </c>
      <c r="M2644" s="1" t="s">
        <v>41</v>
      </c>
      <c r="N2644" s="1" t="str">
        <f t="shared" si="82"/>
        <v>Higher</v>
      </c>
      <c r="O2644" s="1" t="str">
        <f t="shared" si="83"/>
        <v>Mature | Low Spender | Higher</v>
      </c>
    </row>
    <row r="2645" spans="1:15" x14ac:dyDescent="0.25">
      <c r="A2645" s="1" t="s">
        <v>2675</v>
      </c>
      <c r="B2645" s="1">
        <v>37</v>
      </c>
      <c r="C2645" s="1" t="str" cm="1">
        <f t="array" ref="C2645">_xlfn.IFS(OR(B2645=" ", B2645="NA",NOT(ISNUMBER(B2645))), "Unknown",B2645&lt;18,"Underage",B2645&lt;=24,"Young Adult",B2645&lt;=34,"Early Career",B2645&lt;=44,"Mid Career",B2645&lt;=54,"Mature",B2645&lt;=65,"Pre-Senior",B2645&gt;65,"Senior")</f>
        <v>Mid Career</v>
      </c>
      <c r="D2645" s="1" t="s">
        <v>18</v>
      </c>
      <c r="E2645" s="1" t="s">
        <v>23</v>
      </c>
      <c r="F2645" s="1">
        <v>1950000</v>
      </c>
      <c r="G2645" s="1">
        <v>84</v>
      </c>
      <c r="H2645" s="1" t="str" cm="1">
        <f t="array" ref="H2645">_xlfn.IFS( OR(G2645=" ",NOT(ISNUMBER(G2645))),"Unknown",G2645&lt;=33,"Low Spender",G2645&lt;=66,"Medium Spender",TRUE, "High Spender")</f>
        <v>High Spender</v>
      </c>
      <c r="I2645" s="1">
        <v>48</v>
      </c>
      <c r="J2645" s="1">
        <v>11600</v>
      </c>
      <c r="K2645" s="1">
        <v>148</v>
      </c>
      <c r="L2645" s="1" t="s">
        <v>16</v>
      </c>
      <c r="M2645" s="1" t="s">
        <v>32</v>
      </c>
      <c r="N2645" s="1" t="str">
        <f t="shared" si="82"/>
        <v>Higher</v>
      </c>
      <c r="O2645" s="1" t="str">
        <f t="shared" si="83"/>
        <v>Mid Career | High Spender | Higher</v>
      </c>
    </row>
    <row r="2646" spans="1:15" x14ac:dyDescent="0.25">
      <c r="A2646" s="1" t="s">
        <v>2676</v>
      </c>
      <c r="B2646" s="1">
        <v>21</v>
      </c>
      <c r="C2646" s="1" t="str" cm="1">
        <f t="array" ref="C2646">_xlfn.IFS(OR(B2646=" ", B2646="NA",NOT(ISNUMBER(B2646))), "Unknown",B2646&lt;18,"Underage",B2646&lt;=24,"Young Adult",B2646&lt;=34,"Early Career",B2646&lt;=44,"Mid Career",B2646&lt;=54,"Mature",B2646&lt;=65,"Pre-Senior",B2646&gt;65,"Senior")</f>
        <v>Young Adult</v>
      </c>
      <c r="D2646" s="1" t="s">
        <v>18</v>
      </c>
      <c r="E2646" s="1" t="s">
        <v>49</v>
      </c>
      <c r="F2646" s="1">
        <v>1600000</v>
      </c>
      <c r="G2646" s="1">
        <v>49</v>
      </c>
      <c r="H2646" s="1" t="str" cm="1">
        <f t="array" ref="H2646">_xlfn.IFS( OR(G2646=" ",NOT(ISNUMBER(G2646))),"Unknown",G2646&lt;=33,"Low Spender",G2646&lt;=66,"Medium Spender",TRUE, "High Spender")</f>
        <v>Medium Spender</v>
      </c>
      <c r="I2646" s="1">
        <v>72</v>
      </c>
      <c r="J2646" s="1">
        <v>5000</v>
      </c>
      <c r="K2646" s="1">
        <v>123</v>
      </c>
      <c r="M2646" s="1" t="s">
        <v>30</v>
      </c>
      <c r="N2646" s="1" t="str">
        <f t="shared" si="82"/>
        <v>Higher</v>
      </c>
      <c r="O2646" s="1" t="str">
        <f t="shared" si="83"/>
        <v>Young Adult | Medium Spender | Higher</v>
      </c>
    </row>
    <row r="2647" spans="1:15" x14ac:dyDescent="0.25">
      <c r="A2647" s="1" t="s">
        <v>2677</v>
      </c>
      <c r="C2647" s="1" t="str" cm="1">
        <f t="array" ref="C2647">_xlfn.IFS(OR(B2647=" ", B2647="NA",NOT(ISNUMBER(B2647))), "Unknown",B2647&lt;18,"Underage",B2647&lt;=24,"Young Adult",B2647&lt;=34,"Early Career",B2647&lt;=44,"Mid Career",B2647&lt;=54,"Mature",B2647&lt;=65,"Pre-Senior",B2647&gt;65,"Senior")</f>
        <v>Unknown</v>
      </c>
      <c r="E2647" s="1" t="s">
        <v>13</v>
      </c>
      <c r="F2647" s="1">
        <v>1850000</v>
      </c>
      <c r="G2647" s="1">
        <v>14</v>
      </c>
      <c r="H2647" s="1" t="str" cm="1">
        <f t="array" ref="H2647">_xlfn.IFS( OR(G2647=" ",NOT(ISNUMBER(G2647))),"Unknown",G2647&lt;=33,"Low Spender",G2647&lt;=66,"Medium Spender",TRUE, "High Spender")</f>
        <v>Low Spender</v>
      </c>
      <c r="I2647" s="1">
        <v>31</v>
      </c>
      <c r="J2647" s="1">
        <v>400</v>
      </c>
      <c r="K2647" s="1">
        <v>112</v>
      </c>
      <c r="M2647" s="1" t="s">
        <v>30</v>
      </c>
      <c r="N2647" s="1" t="str">
        <f t="shared" si="82"/>
        <v>Lower</v>
      </c>
      <c r="O2647" s="1" t="str">
        <f t="shared" si="83"/>
        <v>Unknown | Low Spender | Lower</v>
      </c>
    </row>
    <row r="2648" spans="1:15" x14ac:dyDescent="0.25">
      <c r="A2648" s="1" t="s">
        <v>2678</v>
      </c>
      <c r="B2648" s="1">
        <v>24</v>
      </c>
      <c r="C2648" s="1" t="str" cm="1">
        <f t="array" ref="C2648">_xlfn.IFS(OR(B2648=" ", B2648="NA",NOT(ISNUMBER(B2648))), "Unknown",B2648&lt;18,"Underage",B2648&lt;=24,"Young Adult",B2648&lt;=34,"Early Career",B2648&lt;=44,"Mid Career",B2648&lt;=54,"Mature",B2648&lt;=65,"Pre-Senior",B2648&gt;65,"Senior")</f>
        <v>Young Adult</v>
      </c>
      <c r="E2648" s="1" t="s">
        <v>13</v>
      </c>
      <c r="F2648" s="1">
        <v>950000</v>
      </c>
      <c r="G2648" s="1">
        <v>46</v>
      </c>
      <c r="H2648" s="1" t="str" cm="1">
        <f t="array" ref="H2648">_xlfn.IFS( OR(G2648=" ",NOT(ISNUMBER(G2648))),"Unknown",G2648&lt;=33,"Low Spender",G2648&lt;=66,"Medium Spender",TRUE, "High Spender")</f>
        <v>Medium Spender</v>
      </c>
      <c r="I2648" s="1">
        <v>34</v>
      </c>
      <c r="J2648" s="1">
        <v>1300</v>
      </c>
      <c r="K2648" s="1">
        <v>130</v>
      </c>
      <c r="N2648" s="1" t="str">
        <f t="shared" si="82"/>
        <v>Lower</v>
      </c>
      <c r="O2648" s="1" t="str">
        <f t="shared" si="83"/>
        <v>Young Adult | Medium Spender | Lower</v>
      </c>
    </row>
    <row r="2649" spans="1:15" x14ac:dyDescent="0.25">
      <c r="A2649" s="1" t="s">
        <v>2679</v>
      </c>
      <c r="C2649" s="1" t="str" cm="1">
        <f t="array" ref="C2649">_xlfn.IFS(OR(B2649=" ", B2649="NA",NOT(ISNUMBER(B2649))), "Unknown",B2649&lt;18,"Underage",B2649&lt;=24,"Young Adult",B2649&lt;=34,"Early Career",B2649&lt;=44,"Mid Career",B2649&lt;=54,"Mature",B2649&lt;=65,"Pre-Senior",B2649&gt;65,"Senior")</f>
        <v>Unknown</v>
      </c>
      <c r="D2649" s="1" t="s">
        <v>29</v>
      </c>
      <c r="E2649" s="1" t="s">
        <v>34</v>
      </c>
      <c r="F2649" s="1">
        <v>550000</v>
      </c>
      <c r="G2649" s="1">
        <v>35</v>
      </c>
      <c r="H2649" s="1" t="str" cm="1">
        <f t="array" ref="H2649">_xlfn.IFS( OR(G2649=" ",NOT(ISNUMBER(G2649))),"Unknown",G2649&lt;=33,"Low Spender",G2649&lt;=66,"Medium Spender",TRUE, "High Spender")</f>
        <v>Medium Spender</v>
      </c>
      <c r="I2649" s="1">
        <v>7</v>
      </c>
      <c r="J2649" s="1">
        <v>4600</v>
      </c>
      <c r="K2649" s="1">
        <v>68</v>
      </c>
      <c r="L2649" s="1" t="s">
        <v>37</v>
      </c>
      <c r="N2649" s="1" t="str">
        <f t="shared" si="82"/>
        <v>Higher</v>
      </c>
      <c r="O2649" s="1" t="str">
        <f t="shared" si="83"/>
        <v>Unknown | Medium Spender | Higher</v>
      </c>
    </row>
    <row r="2650" spans="1:15" x14ac:dyDescent="0.25">
      <c r="A2650" s="1" t="s">
        <v>2680</v>
      </c>
      <c r="B2650" s="1">
        <v>18</v>
      </c>
      <c r="C2650" s="1" t="str" cm="1">
        <f t="array" ref="C2650">_xlfn.IFS(OR(B2650=" ", B2650="NA",NOT(ISNUMBER(B2650))), "Unknown",B2650&lt;18,"Underage",B2650&lt;=24,"Young Adult",B2650&lt;=34,"Early Career",B2650&lt;=44,"Mid Career",B2650&lt;=54,"Mature",B2650&lt;=65,"Pre-Senior",B2650&gt;65,"Senior")</f>
        <v>Young Adult</v>
      </c>
      <c r="D2650" s="1" t="s">
        <v>29</v>
      </c>
      <c r="F2650" s="1">
        <v>1550000</v>
      </c>
      <c r="G2650" s="1">
        <v>29</v>
      </c>
      <c r="H2650" s="1" t="str" cm="1">
        <f t="array" ref="H2650">_xlfn.IFS( OR(G2650=" ",NOT(ISNUMBER(G2650))),"Unknown",G2650&lt;=33,"Low Spender",G2650&lt;=66,"Medium Spender",TRUE, "High Spender")</f>
        <v>Low Spender</v>
      </c>
      <c r="I2650" s="1">
        <v>7</v>
      </c>
      <c r="J2650" s="1">
        <v>10300</v>
      </c>
      <c r="K2650" s="1">
        <v>347</v>
      </c>
      <c r="L2650" s="1" t="s">
        <v>35</v>
      </c>
      <c r="M2650" s="1" t="s">
        <v>30</v>
      </c>
      <c r="N2650" s="1" t="str">
        <f t="shared" si="82"/>
        <v>Higher</v>
      </c>
      <c r="O2650" s="1" t="str">
        <f t="shared" si="83"/>
        <v>Young Adult | Low Spender | Higher</v>
      </c>
    </row>
    <row r="2651" spans="1:15" x14ac:dyDescent="0.25">
      <c r="A2651" s="1" t="s">
        <v>2681</v>
      </c>
      <c r="B2651" s="1">
        <v>61</v>
      </c>
      <c r="C2651" s="1" t="str" cm="1">
        <f t="array" ref="C2651">_xlfn.IFS(OR(B2651=" ", B2651="NA",NOT(ISNUMBER(B2651))), "Unknown",B2651&lt;18,"Underage",B2651&lt;=24,"Young Adult",B2651&lt;=34,"Early Career",B2651&lt;=44,"Mid Career",B2651&lt;=54,"Mature",B2651&lt;=65,"Pre-Senior",B2651&gt;65,"Senior")</f>
        <v>Pre-Senior</v>
      </c>
      <c r="E2651" s="1" t="s">
        <v>34</v>
      </c>
      <c r="F2651" s="1">
        <v>150000</v>
      </c>
      <c r="G2651" s="1">
        <v>12</v>
      </c>
      <c r="H2651" s="1" t="str" cm="1">
        <f t="array" ref="H2651">_xlfn.IFS( OR(G2651=" ",NOT(ISNUMBER(G2651))),"Unknown",G2651&lt;=33,"Low Spender",G2651&lt;=66,"Medium Spender",TRUE, "High Spender")</f>
        <v>Low Spender</v>
      </c>
      <c r="I2651" s="1">
        <v>47</v>
      </c>
      <c r="J2651" s="1">
        <v>6100</v>
      </c>
      <c r="K2651" s="1">
        <v>316</v>
      </c>
      <c r="L2651" s="1" t="s">
        <v>37</v>
      </c>
      <c r="N2651" s="1" t="str">
        <f t="shared" si="82"/>
        <v>Lower</v>
      </c>
      <c r="O2651" s="1" t="str">
        <f t="shared" si="83"/>
        <v>Pre-Senior | Low Spender | Lower</v>
      </c>
    </row>
    <row r="2652" spans="1:15" x14ac:dyDescent="0.25">
      <c r="A2652" s="1" t="s">
        <v>2682</v>
      </c>
      <c r="B2652" s="1">
        <v>62</v>
      </c>
      <c r="C2652" s="1" t="str" cm="1">
        <f t="array" ref="C2652">_xlfn.IFS(OR(B2652=" ", B2652="NA",NOT(ISNUMBER(B2652))), "Unknown",B2652&lt;18,"Underage",B2652&lt;=24,"Young Adult",B2652&lt;=34,"Early Career",B2652&lt;=44,"Mid Career",B2652&lt;=54,"Mature",B2652&lt;=65,"Pre-Senior",B2652&gt;65,"Senior")</f>
        <v>Pre-Senior</v>
      </c>
      <c r="E2652" s="1" t="s">
        <v>27</v>
      </c>
      <c r="F2652" s="1">
        <v>450000</v>
      </c>
      <c r="G2652" s="1">
        <v>82</v>
      </c>
      <c r="H2652" s="1" t="str" cm="1">
        <f t="array" ref="H2652">_xlfn.IFS( OR(G2652=" ",NOT(ISNUMBER(G2652))),"Unknown",G2652&lt;=33,"Low Spender",G2652&lt;=66,"Medium Spender",TRUE, "High Spender")</f>
        <v>High Spender</v>
      </c>
      <c r="I2652" s="1">
        <v>8</v>
      </c>
      <c r="J2652" s="1">
        <v>6100</v>
      </c>
      <c r="K2652" s="1">
        <v>217</v>
      </c>
      <c r="L2652" s="1" t="s">
        <v>16</v>
      </c>
      <c r="M2652" s="1" t="s">
        <v>41</v>
      </c>
      <c r="N2652" s="1" t="str">
        <f t="shared" si="82"/>
        <v>Lower</v>
      </c>
      <c r="O2652" s="1" t="str">
        <f t="shared" si="83"/>
        <v>Pre-Senior | High Spender | Lower</v>
      </c>
    </row>
    <row r="2653" spans="1:15" x14ac:dyDescent="0.25">
      <c r="A2653" s="1" t="s">
        <v>2683</v>
      </c>
      <c r="B2653" s="1">
        <v>59</v>
      </c>
      <c r="C2653" s="1" t="str" cm="1">
        <f t="array" ref="C2653">_xlfn.IFS(OR(B2653=" ", B2653="NA",NOT(ISNUMBER(B2653))), "Unknown",B2653&lt;18,"Underage",B2653&lt;=24,"Young Adult",B2653&lt;=34,"Early Career",B2653&lt;=44,"Mid Career",B2653&lt;=54,"Mature",B2653&lt;=65,"Pre-Senior",B2653&gt;65,"Senior")</f>
        <v>Pre-Senior</v>
      </c>
      <c r="E2653" s="1" t="s">
        <v>27</v>
      </c>
      <c r="F2653" s="1">
        <v>800000</v>
      </c>
      <c r="G2653" s="1">
        <v>44</v>
      </c>
      <c r="H2653" s="1" t="str" cm="1">
        <f t="array" ref="H2653">_xlfn.IFS( OR(G2653=" ",NOT(ISNUMBER(G2653))),"Unknown",G2653&lt;=33,"Low Spender",G2653&lt;=66,"Medium Spender",TRUE, "High Spender")</f>
        <v>Medium Spender</v>
      </c>
      <c r="I2653" s="1">
        <v>78</v>
      </c>
      <c r="J2653" s="1">
        <v>4000</v>
      </c>
      <c r="K2653" s="1">
        <v>96</v>
      </c>
      <c r="L2653" s="1" t="s">
        <v>37</v>
      </c>
      <c r="M2653" s="1" t="s">
        <v>32</v>
      </c>
      <c r="N2653" s="1" t="str">
        <f t="shared" si="82"/>
        <v>Lower</v>
      </c>
      <c r="O2653" s="1" t="str">
        <f t="shared" si="83"/>
        <v>Pre-Senior | Medium Spender | Lower</v>
      </c>
    </row>
    <row r="2654" spans="1:15" x14ac:dyDescent="0.25">
      <c r="A2654" s="1" t="s">
        <v>2684</v>
      </c>
      <c r="B2654" s="1">
        <v>64</v>
      </c>
      <c r="C2654" s="1" t="str" cm="1">
        <f t="array" ref="C2654">_xlfn.IFS(OR(B2654=" ", B2654="NA",NOT(ISNUMBER(B2654))), "Unknown",B2654&lt;18,"Underage",B2654&lt;=24,"Young Adult",B2654&lt;=34,"Early Career",B2654&lt;=44,"Mid Career",B2654&lt;=54,"Mature",B2654&lt;=65,"Pre-Senior",B2654&gt;65,"Senior")</f>
        <v>Pre-Senior</v>
      </c>
      <c r="D2654" s="1" t="s">
        <v>18</v>
      </c>
      <c r="E2654" s="1" t="s">
        <v>27</v>
      </c>
      <c r="F2654" s="1">
        <v>1875000</v>
      </c>
      <c r="G2654" s="1">
        <v>66</v>
      </c>
      <c r="H2654" s="1" t="str" cm="1">
        <f t="array" ref="H2654">_xlfn.IFS( OR(G2654=" ",NOT(ISNUMBER(G2654))),"Unknown",G2654&lt;=33,"Low Spender",G2654&lt;=66,"Medium Spender",TRUE, "High Spender")</f>
        <v>Medium Spender</v>
      </c>
      <c r="I2654" s="1">
        <v>1</v>
      </c>
      <c r="J2654" s="1">
        <v>2700</v>
      </c>
      <c r="K2654" s="1">
        <v>145</v>
      </c>
      <c r="M2654" s="1" t="s">
        <v>32</v>
      </c>
      <c r="N2654" s="1" t="str">
        <f t="shared" si="82"/>
        <v>Higher</v>
      </c>
      <c r="O2654" s="1" t="str">
        <f t="shared" si="83"/>
        <v>Pre-Senior | Medium Spender | Higher</v>
      </c>
    </row>
    <row r="2655" spans="1:15" x14ac:dyDescent="0.25">
      <c r="A2655" s="1" t="s">
        <v>2685</v>
      </c>
      <c r="B2655" s="1">
        <v>30</v>
      </c>
      <c r="C2655" s="1" t="str" cm="1">
        <f t="array" ref="C2655">_xlfn.IFS(OR(B2655=" ", B2655="NA",NOT(ISNUMBER(B2655))), "Unknown",B2655&lt;18,"Underage",B2655&lt;=24,"Young Adult",B2655&lt;=34,"Early Career",B2655&lt;=44,"Mid Career",B2655&lt;=54,"Mature",B2655&lt;=65,"Pre-Senior",B2655&gt;65,"Senior")</f>
        <v>Early Career</v>
      </c>
      <c r="D2655" s="1" t="s">
        <v>29</v>
      </c>
      <c r="E2655" s="1" t="s">
        <v>58</v>
      </c>
      <c r="F2655" s="1">
        <v>1600000</v>
      </c>
      <c r="G2655" s="1">
        <v>2</v>
      </c>
      <c r="H2655" s="1" t="str" cm="1">
        <f t="array" ref="H2655">_xlfn.IFS( OR(G2655=" ",NOT(ISNUMBER(G2655))),"Unknown",G2655&lt;=33,"Low Spender",G2655&lt;=66,"Medium Spender",TRUE, "High Spender")</f>
        <v>Low Spender</v>
      </c>
      <c r="I2655" s="1">
        <v>77</v>
      </c>
      <c r="J2655" s="1">
        <v>10900</v>
      </c>
      <c r="K2655" s="1">
        <v>33</v>
      </c>
      <c r="L2655" s="1" t="s">
        <v>20</v>
      </c>
      <c r="M2655" s="1" t="s">
        <v>32</v>
      </c>
      <c r="N2655" s="1" t="str">
        <f t="shared" si="82"/>
        <v>Higher</v>
      </c>
      <c r="O2655" s="1" t="str">
        <f t="shared" si="83"/>
        <v>Early Career | Low Spender | Higher</v>
      </c>
    </row>
    <row r="2656" spans="1:15" x14ac:dyDescent="0.25">
      <c r="A2656" s="1" t="s">
        <v>2686</v>
      </c>
      <c r="B2656" s="1" t="s">
        <v>73</v>
      </c>
      <c r="C2656" s="1" t="str" cm="1">
        <f t="array" ref="C2656">_xlfn.IFS(OR(B2656=" ", B2656="NA",NOT(ISNUMBER(B2656))), "Unknown",B2656&lt;18,"Underage",B2656&lt;=24,"Young Adult",B2656&lt;=34,"Early Career",B2656&lt;=44,"Mid Career",B2656&lt;=54,"Mature",B2656&lt;=65,"Pre-Senior",B2656&gt;65,"Senior")</f>
        <v>Unknown</v>
      </c>
      <c r="E2656" s="1" t="s">
        <v>34</v>
      </c>
      <c r="F2656" s="1">
        <v>275000</v>
      </c>
      <c r="G2656" s="1">
        <v>59</v>
      </c>
      <c r="H2656" s="1" t="str" cm="1">
        <f t="array" ref="H2656">_xlfn.IFS( OR(G2656=" ",NOT(ISNUMBER(G2656))),"Unknown",G2656&lt;=33,"Low Spender",G2656&lt;=66,"Medium Spender",TRUE, "High Spender")</f>
        <v>Medium Spender</v>
      </c>
      <c r="I2656" s="1">
        <v>3</v>
      </c>
      <c r="J2656" s="1">
        <v>2300</v>
      </c>
      <c r="K2656" s="1">
        <v>286</v>
      </c>
      <c r="M2656" s="1" t="s">
        <v>30</v>
      </c>
      <c r="N2656" s="1" t="str">
        <f t="shared" si="82"/>
        <v>Lower</v>
      </c>
      <c r="O2656" s="1" t="str">
        <f t="shared" si="83"/>
        <v>Unknown | Medium Spender | Lower</v>
      </c>
    </row>
    <row r="2657" spans="1:15" x14ac:dyDescent="0.25">
      <c r="A2657" s="1" t="s">
        <v>2687</v>
      </c>
      <c r="B2657" s="1">
        <v>39</v>
      </c>
      <c r="C2657" s="1" t="str" cm="1">
        <f t="array" ref="C2657">_xlfn.IFS(OR(B2657=" ", B2657="NA",NOT(ISNUMBER(B2657))), "Unknown",B2657&lt;18,"Underage",B2657&lt;=24,"Young Adult",B2657&lt;=34,"Early Career",B2657&lt;=44,"Mid Career",B2657&lt;=54,"Mature",B2657&lt;=65,"Pre-Senior",B2657&gt;65,"Senior")</f>
        <v>Mid Career</v>
      </c>
      <c r="D2657" s="1" t="s">
        <v>18</v>
      </c>
      <c r="E2657" s="1" t="s">
        <v>58</v>
      </c>
      <c r="F2657" s="1">
        <v>700000</v>
      </c>
      <c r="G2657" s="1">
        <v>17</v>
      </c>
      <c r="H2657" s="1" t="str" cm="1">
        <f t="array" ref="H2657">_xlfn.IFS( OR(G2657=" ",NOT(ISNUMBER(G2657))),"Unknown",G2657&lt;=33,"Low Spender",G2657&lt;=66,"Medium Spender",TRUE, "High Spender")</f>
        <v>Low Spender</v>
      </c>
      <c r="I2657" s="1">
        <v>53</v>
      </c>
      <c r="J2657" s="1">
        <v>4400</v>
      </c>
      <c r="K2657" s="1">
        <v>5</v>
      </c>
      <c r="L2657" s="1" t="s">
        <v>37</v>
      </c>
      <c r="N2657" s="1" t="str">
        <f t="shared" si="82"/>
        <v>Higher</v>
      </c>
      <c r="O2657" s="1" t="str">
        <f t="shared" si="83"/>
        <v>Mid Career | Low Spender | Higher</v>
      </c>
    </row>
    <row r="2658" spans="1:15" x14ac:dyDescent="0.25">
      <c r="A2658" s="1" t="s">
        <v>2688</v>
      </c>
      <c r="C2658" s="1" t="str" cm="1">
        <f t="array" ref="C2658">_xlfn.IFS(OR(B2658=" ", B2658="NA",NOT(ISNUMBER(B2658))), "Unknown",B2658&lt;18,"Underage",B2658&lt;=24,"Young Adult",B2658&lt;=34,"Early Career",B2658&lt;=44,"Mid Career",B2658&lt;=54,"Mature",B2658&lt;=65,"Pre-Senior",B2658&gt;65,"Senior")</f>
        <v>Unknown</v>
      </c>
      <c r="D2658" s="1" t="s">
        <v>12</v>
      </c>
      <c r="E2658" s="1" t="s">
        <v>23</v>
      </c>
      <c r="F2658" s="1">
        <v>375000</v>
      </c>
      <c r="G2658" s="1">
        <v>10</v>
      </c>
      <c r="H2658" s="1" t="str" cm="1">
        <f t="array" ref="H2658">_xlfn.IFS( OR(G2658=" ",NOT(ISNUMBER(G2658))),"Unknown",G2658&lt;=33,"Low Spender",G2658&lt;=66,"Medium Spender",TRUE, "High Spender")</f>
        <v>Low Spender</v>
      </c>
      <c r="I2658" s="1">
        <v>38</v>
      </c>
      <c r="J2658" s="1">
        <v>3800</v>
      </c>
      <c r="K2658" s="1">
        <v>118</v>
      </c>
      <c r="L2658" s="1" t="s">
        <v>35</v>
      </c>
      <c r="M2658" s="1" t="s">
        <v>30</v>
      </c>
      <c r="N2658" s="1" t="str">
        <f t="shared" si="82"/>
        <v>Lower</v>
      </c>
      <c r="O2658" s="1" t="str">
        <f t="shared" si="83"/>
        <v>Unknown | Low Spender | Lower</v>
      </c>
    </row>
    <row r="2659" spans="1:15" x14ac:dyDescent="0.25">
      <c r="A2659" s="1" t="s">
        <v>2689</v>
      </c>
      <c r="B2659" s="1">
        <v>38</v>
      </c>
      <c r="C2659" s="1" t="str" cm="1">
        <f t="array" ref="C2659">_xlfn.IFS(OR(B2659=" ", B2659="NA",NOT(ISNUMBER(B2659))), "Unknown",B2659&lt;18,"Underage",B2659&lt;=24,"Young Adult",B2659&lt;=34,"Early Career",B2659&lt;=44,"Mid Career",B2659&lt;=54,"Mature",B2659&lt;=65,"Pre-Senior",B2659&gt;65,"Senior")</f>
        <v>Mid Career</v>
      </c>
      <c r="D2659" s="1" t="s">
        <v>18</v>
      </c>
      <c r="F2659" s="1">
        <v>1400000</v>
      </c>
      <c r="G2659" s="1">
        <v>18</v>
      </c>
      <c r="H2659" s="1" t="str" cm="1">
        <f t="array" ref="H2659">_xlfn.IFS( OR(G2659=" ",NOT(ISNUMBER(G2659))),"Unknown",G2659&lt;=33,"Low Spender",G2659&lt;=66,"Medium Spender",TRUE, "High Spender")</f>
        <v>Low Spender</v>
      </c>
      <c r="I2659" s="1">
        <v>51</v>
      </c>
      <c r="J2659" s="1">
        <v>1100</v>
      </c>
      <c r="K2659" s="1">
        <v>140</v>
      </c>
      <c r="M2659" s="1" t="s">
        <v>30</v>
      </c>
      <c r="N2659" s="1" t="str">
        <f t="shared" si="82"/>
        <v>Higher</v>
      </c>
      <c r="O2659" s="1" t="str">
        <f t="shared" si="83"/>
        <v>Mid Career | Low Spender | Higher</v>
      </c>
    </row>
    <row r="2660" spans="1:15" x14ac:dyDescent="0.25">
      <c r="A2660" s="1" t="s">
        <v>2690</v>
      </c>
      <c r="B2660" s="1">
        <v>39</v>
      </c>
      <c r="C2660" s="1" t="str" cm="1">
        <f t="array" ref="C2660">_xlfn.IFS(OR(B2660=" ", B2660="NA",NOT(ISNUMBER(B2660))), "Unknown",B2660&lt;18,"Underage",B2660&lt;=24,"Young Adult",B2660&lt;=34,"Early Career",B2660&lt;=44,"Mid Career",B2660&lt;=54,"Mature",B2660&lt;=65,"Pre-Senior",B2660&gt;65,"Senior")</f>
        <v>Mid Career</v>
      </c>
      <c r="D2660" s="1" t="s">
        <v>29</v>
      </c>
      <c r="E2660" s="1" t="s">
        <v>49</v>
      </c>
      <c r="F2660" s="1">
        <v>600000</v>
      </c>
      <c r="G2660" s="1">
        <v>22</v>
      </c>
      <c r="H2660" s="1" t="str" cm="1">
        <f t="array" ref="H2660">_xlfn.IFS( OR(G2660=" ",NOT(ISNUMBER(G2660))),"Unknown",G2660&lt;=33,"Low Spender",G2660&lt;=66,"Medium Spender",TRUE, "High Spender")</f>
        <v>Low Spender</v>
      </c>
      <c r="I2660" s="1">
        <v>15</v>
      </c>
      <c r="J2660" s="1">
        <v>1400</v>
      </c>
      <c r="K2660" s="1">
        <v>230</v>
      </c>
      <c r="M2660" s="1" t="s">
        <v>41</v>
      </c>
      <c r="N2660" s="1" t="str">
        <f t="shared" si="82"/>
        <v>Higher</v>
      </c>
      <c r="O2660" s="1" t="str">
        <f t="shared" si="83"/>
        <v>Mid Career | Low Spender | Higher</v>
      </c>
    </row>
    <row r="2661" spans="1:15" x14ac:dyDescent="0.25">
      <c r="A2661" s="1" t="s">
        <v>2691</v>
      </c>
      <c r="B2661" s="1">
        <v>45</v>
      </c>
      <c r="C2661" s="1" t="str" cm="1">
        <f t="array" ref="C2661">_xlfn.IFS(OR(B2661=" ", B2661="NA",NOT(ISNUMBER(B2661))), "Unknown",B2661&lt;18,"Underage",B2661&lt;=24,"Young Adult",B2661&lt;=34,"Early Career",B2661&lt;=44,"Mid Career",B2661&lt;=54,"Mature",B2661&lt;=65,"Pre-Senior",B2661&gt;65,"Senior")</f>
        <v>Mature</v>
      </c>
      <c r="E2661" s="1" t="s">
        <v>15</v>
      </c>
      <c r="F2661" s="1">
        <v>1400000</v>
      </c>
      <c r="G2661" s="1">
        <v>83</v>
      </c>
      <c r="H2661" s="1" t="str" cm="1">
        <f t="array" ref="H2661">_xlfn.IFS( OR(G2661=" ",NOT(ISNUMBER(G2661))),"Unknown",G2661&lt;=33,"Low Spender",G2661&lt;=66,"Medium Spender",TRUE, "High Spender")</f>
        <v>High Spender</v>
      </c>
      <c r="I2661" s="1">
        <v>67</v>
      </c>
      <c r="J2661" s="1">
        <v>1200</v>
      </c>
      <c r="K2661" s="1">
        <v>160</v>
      </c>
      <c r="M2661" s="1" t="s">
        <v>32</v>
      </c>
      <c r="N2661" s="1" t="str">
        <f t="shared" si="82"/>
        <v>Lower</v>
      </c>
      <c r="O2661" s="1" t="str">
        <f t="shared" si="83"/>
        <v>Mature | High Spender | Lower</v>
      </c>
    </row>
    <row r="2662" spans="1:15" x14ac:dyDescent="0.25">
      <c r="A2662" s="1" t="s">
        <v>2692</v>
      </c>
      <c r="B2662" s="1">
        <v>26</v>
      </c>
      <c r="C2662" s="1" t="str" cm="1">
        <f t="array" ref="C2662">_xlfn.IFS(OR(B2662=" ", B2662="NA",NOT(ISNUMBER(B2662))), "Unknown",B2662&lt;18,"Underage",B2662&lt;=24,"Young Adult",B2662&lt;=34,"Early Career",B2662&lt;=44,"Mid Career",B2662&lt;=54,"Mature",B2662&lt;=65,"Pre-Senior",B2662&gt;65,"Senior")</f>
        <v>Early Career</v>
      </c>
      <c r="D2662" s="1" t="s">
        <v>12</v>
      </c>
      <c r="E2662" s="1" t="s">
        <v>34</v>
      </c>
      <c r="F2662" s="1">
        <v>1825000</v>
      </c>
      <c r="G2662" s="1">
        <v>58</v>
      </c>
      <c r="H2662" s="1" t="str" cm="1">
        <f t="array" ref="H2662">_xlfn.IFS( OR(G2662=" ",NOT(ISNUMBER(G2662))),"Unknown",G2662&lt;=33,"Low Spender",G2662&lt;=66,"Medium Spender",TRUE, "High Spender")</f>
        <v>Medium Spender</v>
      </c>
      <c r="I2662" s="1">
        <v>64</v>
      </c>
      <c r="J2662" s="1">
        <v>6100</v>
      </c>
      <c r="K2662" s="1">
        <v>294</v>
      </c>
      <c r="L2662" s="1" t="s">
        <v>35</v>
      </c>
      <c r="N2662" s="1" t="str">
        <f t="shared" si="82"/>
        <v>Lower</v>
      </c>
      <c r="O2662" s="1" t="str">
        <f t="shared" si="83"/>
        <v>Early Career | Medium Spender | Lower</v>
      </c>
    </row>
    <row r="2663" spans="1:15" x14ac:dyDescent="0.25">
      <c r="A2663" s="1" t="s">
        <v>2693</v>
      </c>
      <c r="B2663" s="1">
        <v>43</v>
      </c>
      <c r="C2663" s="1" t="str" cm="1">
        <f t="array" ref="C2663">_xlfn.IFS(OR(B2663=" ", B2663="NA",NOT(ISNUMBER(B2663))), "Unknown",B2663&lt;18,"Underage",B2663&lt;=24,"Young Adult",B2663&lt;=34,"Early Career",B2663&lt;=44,"Mid Career",B2663&lt;=54,"Mature",B2663&lt;=65,"Pre-Senior",B2663&gt;65,"Senior")</f>
        <v>Mid Career</v>
      </c>
      <c r="D2663" s="1" t="s">
        <v>29</v>
      </c>
      <c r="E2663" s="1" t="s">
        <v>15</v>
      </c>
      <c r="F2663" s="1">
        <v>1175000</v>
      </c>
      <c r="G2663" s="1">
        <v>53</v>
      </c>
      <c r="H2663" s="1" t="str" cm="1">
        <f t="array" ref="H2663">_xlfn.IFS( OR(G2663=" ",NOT(ISNUMBER(G2663))),"Unknown",G2663&lt;=33,"Low Spender",G2663&lt;=66,"Medium Spender",TRUE, "High Spender")</f>
        <v>Medium Spender</v>
      </c>
      <c r="I2663" s="1">
        <v>68</v>
      </c>
      <c r="J2663" s="1">
        <v>11200</v>
      </c>
      <c r="K2663" s="1">
        <v>249</v>
      </c>
      <c r="N2663" s="1" t="str">
        <f t="shared" si="82"/>
        <v>Higher</v>
      </c>
      <c r="O2663" s="1" t="str">
        <f t="shared" si="83"/>
        <v>Mid Career | Medium Spender | Higher</v>
      </c>
    </row>
    <row r="2664" spans="1:15" x14ac:dyDescent="0.25">
      <c r="A2664" s="1" t="s">
        <v>2694</v>
      </c>
      <c r="B2664" s="1">
        <v>26</v>
      </c>
      <c r="C2664" s="1" t="str" cm="1">
        <f t="array" ref="C2664">_xlfn.IFS(OR(B2664=" ", B2664="NA",NOT(ISNUMBER(B2664))), "Unknown",B2664&lt;18,"Underage",B2664&lt;=24,"Young Adult",B2664&lt;=34,"Early Career",B2664&lt;=44,"Mid Career",B2664&lt;=54,"Mature",B2664&lt;=65,"Pre-Senior",B2664&gt;65,"Senior")</f>
        <v>Early Career</v>
      </c>
      <c r="D2664" s="1" t="s">
        <v>18</v>
      </c>
      <c r="E2664" s="1" t="s">
        <v>13</v>
      </c>
      <c r="F2664" s="1">
        <v>1550000</v>
      </c>
      <c r="G2664" s="1">
        <v>1</v>
      </c>
      <c r="H2664" s="1" t="str" cm="1">
        <f t="array" ref="H2664">_xlfn.IFS( OR(G2664=" ",NOT(ISNUMBER(G2664))),"Unknown",G2664&lt;=33,"Low Spender",G2664&lt;=66,"Medium Spender",TRUE, "High Spender")</f>
        <v>Low Spender</v>
      </c>
      <c r="I2664" s="1">
        <v>5</v>
      </c>
      <c r="J2664" s="1">
        <v>700</v>
      </c>
      <c r="K2664" s="1">
        <v>273</v>
      </c>
      <c r="L2664" s="1" t="s">
        <v>16</v>
      </c>
      <c r="M2664" s="1" t="s">
        <v>21</v>
      </c>
      <c r="N2664" s="1" t="str">
        <f t="shared" si="82"/>
        <v>Higher</v>
      </c>
      <c r="O2664" s="1" t="str">
        <f t="shared" si="83"/>
        <v>Early Career | Low Spender | Higher</v>
      </c>
    </row>
    <row r="2665" spans="1:15" x14ac:dyDescent="0.25">
      <c r="A2665" s="1" t="s">
        <v>2695</v>
      </c>
      <c r="B2665" s="1">
        <v>32</v>
      </c>
      <c r="C2665" s="1" t="str" cm="1">
        <f t="array" ref="C2665">_xlfn.IFS(OR(B2665=" ", B2665="NA",NOT(ISNUMBER(B2665))), "Unknown",B2665&lt;18,"Underage",B2665&lt;=24,"Young Adult",B2665&lt;=34,"Early Career",B2665&lt;=44,"Mid Career",B2665&lt;=54,"Mature",B2665&lt;=65,"Pre-Senior",B2665&gt;65,"Senior")</f>
        <v>Early Career</v>
      </c>
      <c r="D2665" s="1" t="s">
        <v>29</v>
      </c>
      <c r="E2665" s="1" t="s">
        <v>34</v>
      </c>
      <c r="F2665" s="1">
        <v>1825000</v>
      </c>
      <c r="G2665" s="1">
        <v>88</v>
      </c>
      <c r="H2665" s="1" t="str" cm="1">
        <f t="array" ref="H2665">_xlfn.IFS( OR(G2665=" ",NOT(ISNUMBER(G2665))),"Unknown",G2665&lt;=33,"Low Spender",G2665&lt;=66,"Medium Spender",TRUE, "High Spender")</f>
        <v>High Spender</v>
      </c>
      <c r="I2665" s="1">
        <v>10</v>
      </c>
      <c r="J2665" s="1">
        <v>3500</v>
      </c>
      <c r="K2665" s="1">
        <v>186</v>
      </c>
      <c r="M2665" s="1" t="s">
        <v>21</v>
      </c>
      <c r="N2665" s="1" t="str">
        <f t="shared" si="82"/>
        <v>Higher</v>
      </c>
      <c r="O2665" s="1" t="str">
        <f t="shared" si="83"/>
        <v>Early Career | High Spender | Higher</v>
      </c>
    </row>
    <row r="2666" spans="1:15" x14ac:dyDescent="0.25">
      <c r="A2666" s="1" t="s">
        <v>2696</v>
      </c>
      <c r="B2666" s="1">
        <v>27</v>
      </c>
      <c r="C2666" s="1" t="str" cm="1">
        <f t="array" ref="C2666">_xlfn.IFS(OR(B2666=" ", B2666="NA",NOT(ISNUMBER(B2666))), "Unknown",B2666&lt;18,"Underage",B2666&lt;=24,"Young Adult",B2666&lt;=34,"Early Career",B2666&lt;=44,"Mid Career",B2666&lt;=54,"Mature",B2666&lt;=65,"Pre-Senior",B2666&gt;65,"Senior")</f>
        <v>Early Career</v>
      </c>
      <c r="D2666" s="1" t="s">
        <v>18</v>
      </c>
      <c r="E2666" s="1" t="s">
        <v>23</v>
      </c>
      <c r="F2666" s="1">
        <v>1075000</v>
      </c>
      <c r="G2666" s="1">
        <v>61</v>
      </c>
      <c r="H2666" s="1" t="str" cm="1">
        <f t="array" ref="H2666">_xlfn.IFS( OR(G2666=" ",NOT(ISNUMBER(G2666))),"Unknown",G2666&lt;=33,"Low Spender",G2666&lt;=66,"Medium Spender",TRUE, "High Spender")</f>
        <v>Medium Spender</v>
      </c>
      <c r="I2666" s="1">
        <v>8</v>
      </c>
      <c r="J2666" s="1">
        <v>7100</v>
      </c>
      <c r="L2666" s="1" t="s">
        <v>35</v>
      </c>
      <c r="N2666" s="1" t="str">
        <f t="shared" si="82"/>
        <v>Higher</v>
      </c>
      <c r="O2666" s="1" t="str">
        <f t="shared" si="83"/>
        <v>Early Career | Medium Spender | Higher</v>
      </c>
    </row>
    <row r="2667" spans="1:15" x14ac:dyDescent="0.25">
      <c r="A2667" s="1" t="s">
        <v>2697</v>
      </c>
      <c r="B2667" s="1">
        <v>41</v>
      </c>
      <c r="C2667" s="1" t="str" cm="1">
        <f t="array" ref="C2667">_xlfn.IFS(OR(B2667=" ", B2667="NA",NOT(ISNUMBER(B2667))), "Unknown",B2667&lt;18,"Underage",B2667&lt;=24,"Young Adult",B2667&lt;=34,"Early Career",B2667&lt;=44,"Mid Career",B2667&lt;=54,"Mature",B2667&lt;=65,"Pre-Senior",B2667&gt;65,"Senior")</f>
        <v>Mid Career</v>
      </c>
      <c r="D2667" s="1" t="s">
        <v>29</v>
      </c>
      <c r="E2667" s="1" t="s">
        <v>34</v>
      </c>
      <c r="F2667" s="1">
        <v>1675000</v>
      </c>
      <c r="G2667" s="1">
        <v>100</v>
      </c>
      <c r="H2667" s="1" t="str" cm="1">
        <f t="array" ref="H2667">_xlfn.IFS( OR(G2667=" ",NOT(ISNUMBER(G2667))),"Unknown",G2667&lt;=33,"Low Spender",G2667&lt;=66,"Medium Spender",TRUE, "High Spender")</f>
        <v>High Spender</v>
      </c>
      <c r="I2667" s="1">
        <v>12</v>
      </c>
      <c r="J2667" s="1">
        <v>8200</v>
      </c>
      <c r="K2667" s="1">
        <v>40</v>
      </c>
      <c r="L2667" s="1" t="s">
        <v>16</v>
      </c>
      <c r="N2667" s="1" t="str">
        <f t="shared" si="82"/>
        <v>Higher</v>
      </c>
      <c r="O2667" s="1" t="str">
        <f t="shared" si="83"/>
        <v>Mid Career | High Spender | Higher</v>
      </c>
    </row>
    <row r="2668" spans="1:15" x14ac:dyDescent="0.25">
      <c r="A2668" s="1" t="s">
        <v>2698</v>
      </c>
      <c r="B2668" s="1">
        <v>59</v>
      </c>
      <c r="C2668" s="1" t="str" cm="1">
        <f t="array" ref="C2668">_xlfn.IFS(OR(B2668=" ", B2668="NA",NOT(ISNUMBER(B2668))), "Unknown",B2668&lt;18,"Underage",B2668&lt;=24,"Young Adult",B2668&lt;=34,"Early Career",B2668&lt;=44,"Mid Career",B2668&lt;=54,"Mature",B2668&lt;=65,"Pre-Senior",B2668&gt;65,"Senior")</f>
        <v>Pre-Senior</v>
      </c>
      <c r="E2668" s="1" t="s">
        <v>58</v>
      </c>
      <c r="F2668" s="1">
        <v>300000</v>
      </c>
      <c r="G2668" s="1">
        <v>89</v>
      </c>
      <c r="H2668" s="1" t="str" cm="1">
        <f t="array" ref="H2668">_xlfn.IFS( OR(G2668=" ",NOT(ISNUMBER(G2668))),"Unknown",G2668&lt;=33,"Low Spender",G2668&lt;=66,"Medium Spender",TRUE, "High Spender")</f>
        <v>High Spender</v>
      </c>
      <c r="I2668" s="1">
        <v>64</v>
      </c>
      <c r="J2668" s="1">
        <v>6500</v>
      </c>
      <c r="K2668" s="1">
        <v>224</v>
      </c>
      <c r="L2668" s="1" t="s">
        <v>35</v>
      </c>
      <c r="M2668" s="1" t="s">
        <v>32</v>
      </c>
      <c r="N2668" s="1" t="str">
        <f t="shared" si="82"/>
        <v>Lower</v>
      </c>
      <c r="O2668" s="1" t="str">
        <f t="shared" si="83"/>
        <v>Pre-Senior | High Spender | Lower</v>
      </c>
    </row>
    <row r="2669" spans="1:15" x14ac:dyDescent="0.25">
      <c r="A2669" s="1" t="s">
        <v>2699</v>
      </c>
      <c r="B2669" s="1">
        <v>25</v>
      </c>
      <c r="C2669" s="1" t="str" cm="1">
        <f t="array" ref="C2669">_xlfn.IFS(OR(B2669=" ", B2669="NA",NOT(ISNUMBER(B2669))), "Unknown",B2669&lt;18,"Underage",B2669&lt;=24,"Young Adult",B2669&lt;=34,"Early Career",B2669&lt;=44,"Mid Career",B2669&lt;=54,"Mature",B2669&lt;=65,"Pre-Senior",B2669&gt;65,"Senior")</f>
        <v>Early Career</v>
      </c>
      <c r="D2669" s="1" t="s">
        <v>18</v>
      </c>
      <c r="F2669" s="1">
        <v>1900000</v>
      </c>
      <c r="G2669" s="1">
        <v>100</v>
      </c>
      <c r="H2669" s="1" t="str" cm="1">
        <f t="array" ref="H2669">_xlfn.IFS( OR(G2669=" ",NOT(ISNUMBER(G2669))),"Unknown",G2669&lt;=33,"Low Spender",G2669&lt;=66,"Medium Spender",TRUE, "High Spender")</f>
        <v>High Spender</v>
      </c>
      <c r="I2669" s="1">
        <v>59</v>
      </c>
      <c r="J2669" s="1">
        <v>10300</v>
      </c>
      <c r="K2669" s="1">
        <v>152</v>
      </c>
      <c r="L2669" s="1" t="s">
        <v>35</v>
      </c>
      <c r="M2669" s="1" t="s">
        <v>30</v>
      </c>
      <c r="N2669" s="1" t="str">
        <f t="shared" si="82"/>
        <v>Higher</v>
      </c>
      <c r="O2669" s="1" t="str">
        <f t="shared" si="83"/>
        <v>Early Career | High Spender | Higher</v>
      </c>
    </row>
    <row r="2670" spans="1:15" x14ac:dyDescent="0.25">
      <c r="A2670" s="1" t="s">
        <v>2700</v>
      </c>
      <c r="B2670" s="1">
        <v>41</v>
      </c>
      <c r="C2670" s="1" t="str" cm="1">
        <f t="array" ref="C2670">_xlfn.IFS(OR(B2670=" ", B2670="NA",NOT(ISNUMBER(B2670))), "Unknown",B2670&lt;18,"Underage",B2670&lt;=24,"Young Adult",B2670&lt;=34,"Early Career",B2670&lt;=44,"Mid Career",B2670&lt;=54,"Mature",B2670&lt;=65,"Pre-Senior",B2670&gt;65,"Senior")</f>
        <v>Mid Career</v>
      </c>
      <c r="E2670" s="1" t="s">
        <v>49</v>
      </c>
      <c r="F2670" s="1">
        <v>1375000</v>
      </c>
      <c r="G2670" s="1">
        <v>31</v>
      </c>
      <c r="H2670" s="1" t="str" cm="1">
        <f t="array" ref="H2670">_xlfn.IFS( OR(G2670=" ",NOT(ISNUMBER(G2670))),"Unknown",G2670&lt;=33,"Low Spender",G2670&lt;=66,"Medium Spender",TRUE, "High Spender")</f>
        <v>Low Spender</v>
      </c>
      <c r="I2670" s="1">
        <v>67</v>
      </c>
      <c r="J2670" s="1">
        <v>10300</v>
      </c>
      <c r="K2670" s="1">
        <v>140</v>
      </c>
      <c r="N2670" s="1" t="str">
        <f t="shared" si="82"/>
        <v>Lower</v>
      </c>
      <c r="O2670" s="1" t="str">
        <f t="shared" si="83"/>
        <v>Mid Career | Low Spender | Lower</v>
      </c>
    </row>
    <row r="2671" spans="1:15" x14ac:dyDescent="0.25">
      <c r="A2671" s="1" t="s">
        <v>2701</v>
      </c>
      <c r="B2671" s="1">
        <v>33</v>
      </c>
      <c r="C2671" s="1" t="str" cm="1">
        <f t="array" ref="C2671">_xlfn.IFS(OR(B2671=" ", B2671="NA",NOT(ISNUMBER(B2671))), "Unknown",B2671&lt;18,"Underage",B2671&lt;=24,"Young Adult",B2671&lt;=34,"Early Career",B2671&lt;=44,"Mid Career",B2671&lt;=54,"Mature",B2671&lt;=65,"Pre-Senior",B2671&gt;65,"Senior")</f>
        <v>Early Career</v>
      </c>
      <c r="F2671" s="1">
        <v>1425000</v>
      </c>
      <c r="G2671" s="1">
        <v>31</v>
      </c>
      <c r="H2671" s="1" t="str" cm="1">
        <f t="array" ref="H2671">_xlfn.IFS( OR(G2671=" ",NOT(ISNUMBER(G2671))),"Unknown",G2671&lt;=33,"Low Spender",G2671&lt;=66,"Medium Spender",TRUE, "High Spender")</f>
        <v>Low Spender</v>
      </c>
      <c r="I2671" s="1">
        <v>50</v>
      </c>
      <c r="J2671" s="1">
        <v>3100</v>
      </c>
      <c r="K2671" s="1">
        <v>128</v>
      </c>
      <c r="L2671" s="1" t="s">
        <v>20</v>
      </c>
      <c r="N2671" s="1" t="str">
        <f t="shared" si="82"/>
        <v>Lower</v>
      </c>
      <c r="O2671" s="1" t="str">
        <f t="shared" si="83"/>
        <v>Early Career | Low Spender | Lower</v>
      </c>
    </row>
    <row r="2672" spans="1:15" x14ac:dyDescent="0.25">
      <c r="A2672" s="1" t="s">
        <v>2702</v>
      </c>
      <c r="B2672" s="1">
        <v>66</v>
      </c>
      <c r="C2672" s="1" t="str" cm="1">
        <f t="array" ref="C2672">_xlfn.IFS(OR(B2672=" ", B2672="NA",NOT(ISNUMBER(B2672))), "Unknown",B2672&lt;18,"Underage",B2672&lt;=24,"Young Adult",B2672&lt;=34,"Early Career",B2672&lt;=44,"Mid Career",B2672&lt;=54,"Mature",B2672&lt;=65,"Pre-Senior",B2672&gt;65,"Senior")</f>
        <v>Senior</v>
      </c>
      <c r="E2672" s="1" t="s">
        <v>49</v>
      </c>
      <c r="F2672" s="1">
        <v>775000</v>
      </c>
      <c r="G2672" s="1">
        <v>66</v>
      </c>
      <c r="H2672" s="1" t="str" cm="1">
        <f t="array" ref="H2672">_xlfn.IFS( OR(G2672=" ",NOT(ISNUMBER(G2672))),"Unknown",G2672&lt;=33,"Low Spender",G2672&lt;=66,"Medium Spender",TRUE, "High Spender")</f>
        <v>Medium Spender</v>
      </c>
      <c r="I2672" s="1">
        <v>23</v>
      </c>
      <c r="J2672" s="1">
        <v>2000</v>
      </c>
      <c r="K2672" s="1">
        <v>351</v>
      </c>
      <c r="L2672" s="1" t="s">
        <v>16</v>
      </c>
      <c r="N2672" s="1" t="str">
        <f t="shared" si="82"/>
        <v>Lower</v>
      </c>
      <c r="O2672" s="1" t="str">
        <f t="shared" si="83"/>
        <v>Senior | Medium Spender | Lower</v>
      </c>
    </row>
    <row r="2673" spans="1:15" x14ac:dyDescent="0.25">
      <c r="A2673" s="1" t="s">
        <v>2703</v>
      </c>
      <c r="B2673" s="1">
        <v>43</v>
      </c>
      <c r="C2673" s="1" t="str" cm="1">
        <f t="array" ref="C2673">_xlfn.IFS(OR(B2673=" ", B2673="NA",NOT(ISNUMBER(B2673))), "Unknown",B2673&lt;18,"Underage",B2673&lt;=24,"Young Adult",B2673&lt;=34,"Early Career",B2673&lt;=44,"Mid Career",B2673&lt;=54,"Mature",B2673&lt;=65,"Pre-Senior",B2673&gt;65,"Senior")</f>
        <v>Mid Career</v>
      </c>
      <c r="E2673" s="1" t="s">
        <v>49</v>
      </c>
      <c r="F2673" s="1">
        <v>775000</v>
      </c>
      <c r="G2673" s="1">
        <v>19</v>
      </c>
      <c r="H2673" s="1" t="str" cm="1">
        <f t="array" ref="H2673">_xlfn.IFS( OR(G2673=" ",NOT(ISNUMBER(G2673))),"Unknown",G2673&lt;=33,"Low Spender",G2673&lt;=66,"Medium Spender",TRUE, "High Spender")</f>
        <v>Low Spender</v>
      </c>
      <c r="I2673" s="1">
        <v>40</v>
      </c>
      <c r="J2673" s="1">
        <v>9500</v>
      </c>
      <c r="K2673" s="1">
        <v>147</v>
      </c>
      <c r="L2673" s="1" t="s">
        <v>35</v>
      </c>
      <c r="N2673" s="1" t="str">
        <f t="shared" si="82"/>
        <v>Lower</v>
      </c>
      <c r="O2673" s="1" t="str">
        <f t="shared" si="83"/>
        <v>Mid Career | Low Spender | Lower</v>
      </c>
    </row>
    <row r="2674" spans="1:15" x14ac:dyDescent="0.25">
      <c r="A2674" s="1" t="s">
        <v>2704</v>
      </c>
      <c r="B2674" s="1">
        <v>44</v>
      </c>
      <c r="C2674" s="1" t="str" cm="1">
        <f t="array" ref="C2674">_xlfn.IFS(OR(B2674=" ", B2674="NA",NOT(ISNUMBER(B2674))), "Unknown",B2674&lt;18,"Underage",B2674&lt;=24,"Young Adult",B2674&lt;=34,"Early Career",B2674&lt;=44,"Mid Career",B2674&lt;=54,"Mature",B2674&lt;=65,"Pre-Senior",B2674&gt;65,"Senior")</f>
        <v>Mid Career</v>
      </c>
      <c r="E2674" s="1" t="s">
        <v>13</v>
      </c>
      <c r="F2674" s="1">
        <v>600000</v>
      </c>
      <c r="G2674" s="1">
        <v>53</v>
      </c>
      <c r="H2674" s="1" t="str" cm="1">
        <f t="array" ref="H2674">_xlfn.IFS( OR(G2674=" ",NOT(ISNUMBER(G2674))),"Unknown",G2674&lt;=33,"Low Spender",G2674&lt;=66,"Medium Spender",TRUE, "High Spender")</f>
        <v>Medium Spender</v>
      </c>
      <c r="I2674" s="1">
        <v>78</v>
      </c>
      <c r="J2674" s="1">
        <v>800</v>
      </c>
      <c r="K2674" s="1">
        <v>285</v>
      </c>
      <c r="L2674" s="1" t="s">
        <v>35</v>
      </c>
      <c r="M2674" s="1" t="s">
        <v>21</v>
      </c>
      <c r="N2674" s="1" t="str">
        <f t="shared" si="82"/>
        <v>Lower</v>
      </c>
      <c r="O2674" s="1" t="str">
        <f t="shared" si="83"/>
        <v>Mid Career | Medium Spender | Lower</v>
      </c>
    </row>
    <row r="2675" spans="1:15" x14ac:dyDescent="0.25">
      <c r="A2675" s="1" t="s">
        <v>2705</v>
      </c>
      <c r="B2675" s="1">
        <v>54</v>
      </c>
      <c r="C2675" s="1" t="str" cm="1">
        <f t="array" ref="C2675">_xlfn.IFS(OR(B2675=" ", B2675="NA",NOT(ISNUMBER(B2675))), "Unknown",B2675&lt;18,"Underage",B2675&lt;=24,"Young Adult",B2675&lt;=34,"Early Career",B2675&lt;=44,"Mid Career",B2675&lt;=54,"Mature",B2675&lt;=65,"Pre-Senior",B2675&gt;65,"Senior")</f>
        <v>Mature</v>
      </c>
      <c r="D2675" s="1" t="s">
        <v>12</v>
      </c>
      <c r="E2675" s="1" t="s">
        <v>23</v>
      </c>
      <c r="F2675" s="1">
        <v>350000</v>
      </c>
      <c r="G2675" s="1">
        <v>76</v>
      </c>
      <c r="H2675" s="1" t="str" cm="1">
        <f t="array" ref="H2675">_xlfn.IFS( OR(G2675=" ",NOT(ISNUMBER(G2675))),"Unknown",G2675&lt;=33,"Low Spender",G2675&lt;=66,"Medium Spender",TRUE, "High Spender")</f>
        <v>High Spender</v>
      </c>
      <c r="I2675" s="1">
        <v>77</v>
      </c>
      <c r="J2675" s="1">
        <v>5500</v>
      </c>
      <c r="K2675" s="1">
        <v>218</v>
      </c>
      <c r="L2675" s="1" t="s">
        <v>37</v>
      </c>
      <c r="M2675" s="1" t="s">
        <v>32</v>
      </c>
      <c r="N2675" s="1" t="str">
        <f t="shared" si="82"/>
        <v>Lower</v>
      </c>
      <c r="O2675" s="1" t="str">
        <f t="shared" si="83"/>
        <v>Mature | High Spender | Lower</v>
      </c>
    </row>
    <row r="2676" spans="1:15" x14ac:dyDescent="0.25">
      <c r="A2676" s="1" t="s">
        <v>2706</v>
      </c>
      <c r="B2676" s="1">
        <v>21</v>
      </c>
      <c r="C2676" s="1" t="str" cm="1">
        <f t="array" ref="C2676">_xlfn.IFS(OR(B2676=" ", B2676="NA",NOT(ISNUMBER(B2676))), "Unknown",B2676&lt;18,"Underage",B2676&lt;=24,"Young Adult",B2676&lt;=34,"Early Career",B2676&lt;=44,"Mid Career",B2676&lt;=54,"Mature",B2676&lt;=65,"Pre-Senior",B2676&gt;65,"Senior")</f>
        <v>Young Adult</v>
      </c>
      <c r="D2676" s="1" t="s">
        <v>29</v>
      </c>
      <c r="E2676" s="1" t="s">
        <v>15</v>
      </c>
      <c r="F2676" s="1">
        <v>1650000</v>
      </c>
      <c r="G2676" s="1">
        <v>74</v>
      </c>
      <c r="H2676" s="1" t="str" cm="1">
        <f t="array" ref="H2676">_xlfn.IFS( OR(G2676=" ",NOT(ISNUMBER(G2676))),"Unknown",G2676&lt;=33,"Low Spender",G2676&lt;=66,"Medium Spender",TRUE, "High Spender")</f>
        <v>High Spender</v>
      </c>
      <c r="I2676" s="1">
        <v>76</v>
      </c>
      <c r="J2676" s="1">
        <v>8400</v>
      </c>
      <c r="K2676" s="1">
        <v>220</v>
      </c>
      <c r="N2676" s="1" t="str">
        <f t="shared" si="82"/>
        <v>Higher</v>
      </c>
      <c r="O2676" s="1" t="str">
        <f t="shared" si="83"/>
        <v>Young Adult | High Spender | Higher</v>
      </c>
    </row>
    <row r="2677" spans="1:15" x14ac:dyDescent="0.25">
      <c r="A2677" s="1" t="s">
        <v>2707</v>
      </c>
      <c r="B2677" s="1">
        <v>67</v>
      </c>
      <c r="C2677" s="1" t="str" cm="1">
        <f t="array" ref="C2677">_xlfn.IFS(OR(B2677=" ", B2677="NA",NOT(ISNUMBER(B2677))), "Unknown",B2677&lt;18,"Underage",B2677&lt;=24,"Young Adult",B2677&lt;=34,"Early Career",B2677&lt;=44,"Mid Career",B2677&lt;=54,"Mature",B2677&lt;=65,"Pre-Senior",B2677&gt;65,"Senior")</f>
        <v>Senior</v>
      </c>
      <c r="D2677" s="1" t="s">
        <v>29</v>
      </c>
      <c r="E2677" s="1" t="s">
        <v>23</v>
      </c>
      <c r="F2677" s="1">
        <v>625000</v>
      </c>
      <c r="G2677" s="1">
        <v>95</v>
      </c>
      <c r="H2677" s="1" t="str" cm="1">
        <f t="array" ref="H2677">_xlfn.IFS( OR(G2677=" ",NOT(ISNUMBER(G2677))),"Unknown",G2677&lt;=33,"Low Spender",G2677&lt;=66,"Medium Spender",TRUE, "High Spender")</f>
        <v>High Spender</v>
      </c>
      <c r="I2677" s="1">
        <v>18</v>
      </c>
      <c r="J2677" s="1">
        <v>3400</v>
      </c>
      <c r="K2677" s="1">
        <v>145</v>
      </c>
      <c r="L2677" s="1" t="s">
        <v>20</v>
      </c>
      <c r="M2677" s="1" t="s">
        <v>30</v>
      </c>
      <c r="N2677" s="1" t="str">
        <f t="shared" si="82"/>
        <v>Higher</v>
      </c>
      <c r="O2677" s="1" t="str">
        <f t="shared" si="83"/>
        <v>Senior | High Spender | Higher</v>
      </c>
    </row>
    <row r="2678" spans="1:15" x14ac:dyDescent="0.25">
      <c r="A2678" s="1" t="s">
        <v>2708</v>
      </c>
      <c r="B2678" s="1">
        <v>41</v>
      </c>
      <c r="C2678" s="1" t="str" cm="1">
        <f t="array" ref="C2678">_xlfn.IFS(OR(B2678=" ", B2678="NA",NOT(ISNUMBER(B2678))), "Unknown",B2678&lt;18,"Underage",B2678&lt;=24,"Young Adult",B2678&lt;=34,"Early Career",B2678&lt;=44,"Mid Career",B2678&lt;=54,"Mature",B2678&lt;=65,"Pre-Senior",B2678&gt;65,"Senior")</f>
        <v>Mid Career</v>
      </c>
      <c r="D2678" s="1" t="s">
        <v>18</v>
      </c>
      <c r="F2678" s="1">
        <v>1375000</v>
      </c>
      <c r="G2678" s="1">
        <v>22</v>
      </c>
      <c r="H2678" s="1" t="str" cm="1">
        <f t="array" ref="H2678">_xlfn.IFS( OR(G2678=" ",NOT(ISNUMBER(G2678))),"Unknown",G2678&lt;=33,"Low Spender",G2678&lt;=66,"Medium Spender",TRUE, "High Spender")</f>
        <v>Low Spender</v>
      </c>
      <c r="I2678" s="1">
        <v>21</v>
      </c>
      <c r="J2678" s="1">
        <v>4400</v>
      </c>
      <c r="K2678" s="1">
        <v>329</v>
      </c>
      <c r="M2678" s="1" t="s">
        <v>30</v>
      </c>
      <c r="N2678" s="1" t="str">
        <f t="shared" si="82"/>
        <v>Higher</v>
      </c>
      <c r="O2678" s="1" t="str">
        <f t="shared" si="83"/>
        <v>Mid Career | Low Spender | Higher</v>
      </c>
    </row>
    <row r="2679" spans="1:15" x14ac:dyDescent="0.25">
      <c r="A2679" s="1" t="s">
        <v>2709</v>
      </c>
      <c r="B2679" s="1">
        <v>36</v>
      </c>
      <c r="C2679" s="1" t="str" cm="1">
        <f t="array" ref="C2679">_xlfn.IFS(OR(B2679=" ", B2679="NA",NOT(ISNUMBER(B2679))), "Unknown",B2679&lt;18,"Underage",B2679&lt;=24,"Young Adult",B2679&lt;=34,"Early Career",B2679&lt;=44,"Mid Career",B2679&lt;=54,"Mature",B2679&lt;=65,"Pre-Senior",B2679&gt;65,"Senior")</f>
        <v>Mid Career</v>
      </c>
      <c r="D2679" s="1" t="s">
        <v>18</v>
      </c>
      <c r="E2679" s="1" t="s">
        <v>13</v>
      </c>
      <c r="F2679" s="1">
        <v>675000</v>
      </c>
      <c r="G2679" s="1">
        <v>23</v>
      </c>
      <c r="H2679" s="1" t="str" cm="1">
        <f t="array" ref="H2679">_xlfn.IFS( OR(G2679=" ",NOT(ISNUMBER(G2679))),"Unknown",G2679&lt;=33,"Low Spender",G2679&lt;=66,"Medium Spender",TRUE, "High Spender")</f>
        <v>Low Spender</v>
      </c>
      <c r="I2679" s="1">
        <v>1</v>
      </c>
      <c r="J2679" s="1">
        <v>4900</v>
      </c>
      <c r="K2679" s="1">
        <v>277</v>
      </c>
      <c r="L2679" s="1" t="s">
        <v>16</v>
      </c>
      <c r="M2679" s="1" t="s">
        <v>41</v>
      </c>
      <c r="N2679" s="1" t="str">
        <f t="shared" si="82"/>
        <v>Higher</v>
      </c>
      <c r="O2679" s="1" t="str">
        <f t="shared" si="83"/>
        <v>Mid Career | Low Spender | Higher</v>
      </c>
    </row>
    <row r="2680" spans="1:15" x14ac:dyDescent="0.25">
      <c r="A2680" s="1" t="s">
        <v>2710</v>
      </c>
      <c r="B2680" s="1">
        <v>53</v>
      </c>
      <c r="C2680" s="1" t="str" cm="1">
        <f t="array" ref="C2680">_xlfn.IFS(OR(B2680=" ", B2680="NA",NOT(ISNUMBER(B2680))), "Unknown",B2680&lt;18,"Underage",B2680&lt;=24,"Young Adult",B2680&lt;=34,"Early Career",B2680&lt;=44,"Mid Career",B2680&lt;=54,"Mature",B2680&lt;=65,"Pre-Senior",B2680&gt;65,"Senior")</f>
        <v>Mature</v>
      </c>
      <c r="D2680" s="1" t="s">
        <v>29</v>
      </c>
      <c r="F2680" s="1">
        <v>450000</v>
      </c>
      <c r="G2680" s="1">
        <v>87</v>
      </c>
      <c r="H2680" s="1" t="str" cm="1">
        <f t="array" ref="H2680">_xlfn.IFS( OR(G2680=" ",NOT(ISNUMBER(G2680))),"Unknown",G2680&lt;=33,"Low Spender",G2680&lt;=66,"Medium Spender",TRUE, "High Spender")</f>
        <v>High Spender</v>
      </c>
      <c r="I2680" s="1">
        <v>38</v>
      </c>
      <c r="J2680" s="1">
        <v>3300</v>
      </c>
      <c r="K2680" s="1">
        <v>242</v>
      </c>
      <c r="L2680" s="1" t="s">
        <v>35</v>
      </c>
      <c r="M2680" s="1" t="s">
        <v>30</v>
      </c>
      <c r="N2680" s="1" t="str">
        <f t="shared" si="82"/>
        <v>Higher</v>
      </c>
      <c r="O2680" s="1" t="str">
        <f t="shared" si="83"/>
        <v>Mature | High Spender | Higher</v>
      </c>
    </row>
    <row r="2681" spans="1:15" x14ac:dyDescent="0.25">
      <c r="A2681" s="1" t="s">
        <v>2711</v>
      </c>
      <c r="B2681" s="1">
        <v>56</v>
      </c>
      <c r="C2681" s="1" t="str" cm="1">
        <f t="array" ref="C2681">_xlfn.IFS(OR(B2681=" ", B2681="NA",NOT(ISNUMBER(B2681))), "Unknown",B2681&lt;18,"Underage",B2681&lt;=24,"Young Adult",B2681&lt;=34,"Early Career",B2681&lt;=44,"Mid Career",B2681&lt;=54,"Mature",B2681&lt;=65,"Pre-Senior",B2681&gt;65,"Senior")</f>
        <v>Pre-Senior</v>
      </c>
      <c r="D2681" s="1" t="s">
        <v>12</v>
      </c>
      <c r="E2681" s="1" t="s">
        <v>49</v>
      </c>
      <c r="F2681" s="1">
        <v>425000</v>
      </c>
      <c r="G2681" s="1">
        <v>15</v>
      </c>
      <c r="H2681" s="1" t="str" cm="1">
        <f t="array" ref="H2681">_xlfn.IFS( OR(G2681=" ",NOT(ISNUMBER(G2681))),"Unknown",G2681&lt;=33,"Low Spender",G2681&lt;=66,"Medium Spender",TRUE, "High Spender")</f>
        <v>Low Spender</v>
      </c>
      <c r="I2681" s="1">
        <v>41</v>
      </c>
      <c r="J2681" s="1">
        <v>6400</v>
      </c>
      <c r="K2681" s="1">
        <v>60</v>
      </c>
      <c r="N2681" s="1" t="str">
        <f t="shared" si="82"/>
        <v>Lower</v>
      </c>
      <c r="O2681" s="1" t="str">
        <f t="shared" si="83"/>
        <v>Pre-Senior | Low Spender | Lower</v>
      </c>
    </row>
    <row r="2682" spans="1:15" x14ac:dyDescent="0.25">
      <c r="A2682" s="1" t="s">
        <v>2712</v>
      </c>
      <c r="B2682" s="1">
        <v>27</v>
      </c>
      <c r="C2682" s="1" t="str" cm="1">
        <f t="array" ref="C2682">_xlfn.IFS(OR(B2682=" ", B2682="NA",NOT(ISNUMBER(B2682))), "Unknown",B2682&lt;18,"Underage",B2682&lt;=24,"Young Adult",B2682&lt;=34,"Early Career",B2682&lt;=44,"Mid Career",B2682&lt;=54,"Mature",B2682&lt;=65,"Pre-Senior",B2682&gt;65,"Senior")</f>
        <v>Early Career</v>
      </c>
      <c r="D2682" s="1" t="s">
        <v>18</v>
      </c>
      <c r="E2682" s="1" t="s">
        <v>58</v>
      </c>
      <c r="F2682" s="1">
        <v>375000</v>
      </c>
      <c r="G2682" s="1">
        <v>26</v>
      </c>
      <c r="H2682" s="1" t="str" cm="1">
        <f t="array" ref="H2682">_xlfn.IFS( OR(G2682=" ",NOT(ISNUMBER(G2682))),"Unknown",G2682&lt;=33,"Low Spender",G2682&lt;=66,"Medium Spender",TRUE, "High Spender")</f>
        <v>Low Spender</v>
      </c>
      <c r="I2682" s="1">
        <v>42</v>
      </c>
      <c r="J2682" s="1">
        <v>5800</v>
      </c>
      <c r="K2682" s="1">
        <v>98</v>
      </c>
      <c r="L2682" s="1" t="s">
        <v>16</v>
      </c>
      <c r="N2682" s="1" t="str">
        <f t="shared" si="82"/>
        <v>Higher</v>
      </c>
      <c r="O2682" s="1" t="str">
        <f t="shared" si="83"/>
        <v>Early Career | Low Spender | Higher</v>
      </c>
    </row>
    <row r="2683" spans="1:15" x14ac:dyDescent="0.25">
      <c r="A2683" s="1" t="s">
        <v>2713</v>
      </c>
      <c r="B2683" s="1">
        <v>42</v>
      </c>
      <c r="C2683" s="1" t="str" cm="1">
        <f t="array" ref="C2683">_xlfn.IFS(OR(B2683=" ", B2683="NA",NOT(ISNUMBER(B2683))), "Unknown",B2683&lt;18,"Underage",B2683&lt;=24,"Young Adult",B2683&lt;=34,"Early Career",B2683&lt;=44,"Mid Career",B2683&lt;=54,"Mature",B2683&lt;=65,"Pre-Senior",B2683&gt;65,"Senior")</f>
        <v>Mid Career</v>
      </c>
      <c r="D2683" s="1" t="s">
        <v>12</v>
      </c>
      <c r="E2683" s="1" t="s">
        <v>13</v>
      </c>
      <c r="F2683" s="1">
        <v>1750000</v>
      </c>
      <c r="G2683" s="1">
        <v>3</v>
      </c>
      <c r="H2683" s="1" t="str" cm="1">
        <f t="array" ref="H2683">_xlfn.IFS( OR(G2683=" ",NOT(ISNUMBER(G2683))),"Unknown",G2683&lt;=33,"Low Spender",G2683&lt;=66,"Medium Spender",TRUE, "High Spender")</f>
        <v>Low Spender</v>
      </c>
      <c r="I2683" s="1">
        <v>9</v>
      </c>
      <c r="K2683" s="1">
        <v>331</v>
      </c>
      <c r="M2683" s="1" t="s">
        <v>30</v>
      </c>
      <c r="N2683" s="1" t="str">
        <f t="shared" si="82"/>
        <v>Lower</v>
      </c>
      <c r="O2683" s="1" t="str">
        <f t="shared" si="83"/>
        <v>Mid Career | Low Spender | Lower</v>
      </c>
    </row>
    <row r="2684" spans="1:15" x14ac:dyDescent="0.25">
      <c r="A2684" s="1" t="s">
        <v>2714</v>
      </c>
      <c r="B2684" s="1">
        <v>35</v>
      </c>
      <c r="C2684" s="1" t="str" cm="1">
        <f t="array" ref="C2684">_xlfn.IFS(OR(B2684=" ", B2684="NA",NOT(ISNUMBER(B2684))), "Unknown",B2684&lt;18,"Underage",B2684&lt;=24,"Young Adult",B2684&lt;=34,"Early Career",B2684&lt;=44,"Mid Career",B2684&lt;=54,"Mature",B2684&lt;=65,"Pre-Senior",B2684&gt;65,"Senior")</f>
        <v>Mid Career</v>
      </c>
      <c r="D2684" s="1" t="s">
        <v>29</v>
      </c>
      <c r="E2684" s="1" t="s">
        <v>27</v>
      </c>
      <c r="F2684" s="1">
        <v>875000</v>
      </c>
      <c r="G2684" s="1">
        <v>87</v>
      </c>
      <c r="H2684" s="1" t="str" cm="1">
        <f t="array" ref="H2684">_xlfn.IFS( OR(G2684=" ",NOT(ISNUMBER(G2684))),"Unknown",G2684&lt;=33,"Low Spender",G2684&lt;=66,"Medium Spender",TRUE, "High Spender")</f>
        <v>High Spender</v>
      </c>
      <c r="I2684" s="1">
        <v>23</v>
      </c>
      <c r="J2684" s="1">
        <v>1300</v>
      </c>
      <c r="K2684" s="1">
        <v>181</v>
      </c>
      <c r="L2684" s="1" t="s">
        <v>20</v>
      </c>
      <c r="M2684" s="1" t="s">
        <v>21</v>
      </c>
      <c r="N2684" s="1" t="str">
        <f t="shared" si="82"/>
        <v>Higher</v>
      </c>
      <c r="O2684" s="1" t="str">
        <f t="shared" si="83"/>
        <v>Mid Career | High Spender | Higher</v>
      </c>
    </row>
    <row r="2685" spans="1:15" x14ac:dyDescent="0.25">
      <c r="A2685" s="1" t="s">
        <v>2715</v>
      </c>
      <c r="B2685" s="1">
        <v>36</v>
      </c>
      <c r="C2685" s="1" t="str" cm="1">
        <f t="array" ref="C2685">_xlfn.IFS(OR(B2685=" ", B2685="NA",NOT(ISNUMBER(B2685))), "Unknown",B2685&lt;18,"Underage",B2685&lt;=24,"Young Adult",B2685&lt;=34,"Early Career",B2685&lt;=44,"Mid Career",B2685&lt;=54,"Mature",B2685&lt;=65,"Pre-Senior",B2685&gt;65,"Senior")</f>
        <v>Mid Career</v>
      </c>
      <c r="E2685" s="1" t="s">
        <v>34</v>
      </c>
      <c r="F2685" s="1">
        <v>325000</v>
      </c>
      <c r="G2685" s="1">
        <v>20</v>
      </c>
      <c r="H2685" s="1" t="str" cm="1">
        <f t="array" ref="H2685">_xlfn.IFS( OR(G2685=" ",NOT(ISNUMBER(G2685))),"Unknown",G2685&lt;=33,"Low Spender",G2685&lt;=66,"Medium Spender",TRUE, "High Spender")</f>
        <v>Low Spender</v>
      </c>
      <c r="I2685" s="1">
        <v>78</v>
      </c>
      <c r="J2685" s="1">
        <v>2800</v>
      </c>
      <c r="K2685" s="1">
        <v>114</v>
      </c>
      <c r="L2685" s="1" t="s">
        <v>37</v>
      </c>
      <c r="M2685" s="1" t="s">
        <v>32</v>
      </c>
      <c r="N2685" s="1" t="str">
        <f t="shared" si="82"/>
        <v>Lower</v>
      </c>
      <c r="O2685" s="1" t="str">
        <f t="shared" si="83"/>
        <v>Mid Career | Low Spender | Lower</v>
      </c>
    </row>
    <row r="2686" spans="1:15" x14ac:dyDescent="0.25">
      <c r="A2686" s="1" t="s">
        <v>2716</v>
      </c>
      <c r="B2686" s="1">
        <v>53</v>
      </c>
      <c r="C2686" s="1" t="str" cm="1">
        <f t="array" ref="C2686">_xlfn.IFS(OR(B2686=" ", B2686="NA",NOT(ISNUMBER(B2686))), "Unknown",B2686&lt;18,"Underage",B2686&lt;=24,"Young Adult",B2686&lt;=34,"Early Career",B2686&lt;=44,"Mid Career",B2686&lt;=54,"Mature",B2686&lt;=65,"Pre-Senior",B2686&gt;65,"Senior")</f>
        <v>Mature</v>
      </c>
      <c r="D2686" s="1" t="s">
        <v>18</v>
      </c>
      <c r="E2686" s="1" t="s">
        <v>23</v>
      </c>
      <c r="F2686" s="1">
        <v>650000</v>
      </c>
      <c r="G2686" s="1">
        <v>40</v>
      </c>
      <c r="H2686" s="1" t="str" cm="1">
        <f t="array" ref="H2686">_xlfn.IFS( OR(G2686=" ",NOT(ISNUMBER(G2686))),"Unknown",G2686&lt;=33,"Low Spender",G2686&lt;=66,"Medium Spender",TRUE, "High Spender")</f>
        <v>Medium Spender</v>
      </c>
      <c r="I2686" s="1">
        <v>11</v>
      </c>
      <c r="J2686" s="1">
        <v>9400</v>
      </c>
      <c r="K2686" s="1">
        <v>103</v>
      </c>
      <c r="L2686" s="1" t="s">
        <v>20</v>
      </c>
      <c r="N2686" s="1" t="str">
        <f t="shared" si="82"/>
        <v>Higher</v>
      </c>
      <c r="O2686" s="1" t="str">
        <f t="shared" si="83"/>
        <v>Mature | Medium Spender | Higher</v>
      </c>
    </row>
    <row r="2687" spans="1:15" x14ac:dyDescent="0.25">
      <c r="A2687" s="1" t="s">
        <v>2717</v>
      </c>
      <c r="B2687" s="1">
        <v>27</v>
      </c>
      <c r="C2687" s="1" t="str" cm="1">
        <f t="array" ref="C2687">_xlfn.IFS(OR(B2687=" ", B2687="NA",NOT(ISNUMBER(B2687))), "Unknown",B2687&lt;18,"Underage",B2687&lt;=24,"Young Adult",B2687&lt;=34,"Early Career",B2687&lt;=44,"Mid Career",B2687&lt;=54,"Mature",B2687&lt;=65,"Pre-Senior",B2687&gt;65,"Senior")</f>
        <v>Early Career</v>
      </c>
      <c r="D2687" s="1" t="s">
        <v>18</v>
      </c>
      <c r="E2687" s="1" t="s">
        <v>13</v>
      </c>
      <c r="F2687" s="1">
        <v>675000</v>
      </c>
      <c r="G2687" s="1">
        <v>39</v>
      </c>
      <c r="H2687" s="1" t="str" cm="1">
        <f t="array" ref="H2687">_xlfn.IFS( OR(G2687=" ",NOT(ISNUMBER(G2687))),"Unknown",G2687&lt;=33,"Low Spender",G2687&lt;=66,"Medium Spender",TRUE, "High Spender")</f>
        <v>Medium Spender</v>
      </c>
      <c r="I2687" s="1">
        <v>71</v>
      </c>
      <c r="J2687" s="1">
        <v>2900</v>
      </c>
      <c r="K2687" s="1">
        <v>336</v>
      </c>
      <c r="L2687" s="1" t="s">
        <v>37</v>
      </c>
      <c r="N2687" s="1" t="str">
        <f t="shared" si="82"/>
        <v>Higher</v>
      </c>
      <c r="O2687" s="1" t="str">
        <f t="shared" si="83"/>
        <v>Early Career | Medium Spender | Higher</v>
      </c>
    </row>
    <row r="2688" spans="1:15" x14ac:dyDescent="0.25">
      <c r="A2688" s="1" t="s">
        <v>2718</v>
      </c>
      <c r="B2688" s="1">
        <v>50</v>
      </c>
      <c r="C2688" s="1" t="str" cm="1">
        <f t="array" ref="C2688">_xlfn.IFS(OR(B2688=" ", B2688="NA",NOT(ISNUMBER(B2688))), "Unknown",B2688&lt;18,"Underage",B2688&lt;=24,"Young Adult",B2688&lt;=34,"Early Career",B2688&lt;=44,"Mid Career",B2688&lt;=54,"Mature",B2688&lt;=65,"Pre-Senior",B2688&gt;65,"Senior")</f>
        <v>Mature</v>
      </c>
      <c r="E2688" s="1" t="s">
        <v>27</v>
      </c>
      <c r="F2688" s="1">
        <v>575000</v>
      </c>
      <c r="G2688" s="1">
        <v>72</v>
      </c>
      <c r="H2688" s="1" t="str" cm="1">
        <f t="array" ref="H2688">_xlfn.IFS( OR(G2688=" ",NOT(ISNUMBER(G2688))),"Unknown",G2688&lt;=33,"Low Spender",G2688&lt;=66,"Medium Spender",TRUE, "High Spender")</f>
        <v>High Spender</v>
      </c>
      <c r="I2688" s="1">
        <v>31</v>
      </c>
      <c r="J2688" s="1">
        <v>8500</v>
      </c>
      <c r="K2688" s="1">
        <v>319</v>
      </c>
      <c r="L2688" s="1" t="s">
        <v>16</v>
      </c>
      <c r="M2688" s="1" t="s">
        <v>30</v>
      </c>
      <c r="N2688" s="1" t="str">
        <f t="shared" si="82"/>
        <v>Lower</v>
      </c>
      <c r="O2688" s="1" t="str">
        <f t="shared" si="83"/>
        <v>Mature | High Spender | Lower</v>
      </c>
    </row>
    <row r="2689" spans="1:15" x14ac:dyDescent="0.25">
      <c r="A2689" s="1" t="s">
        <v>2719</v>
      </c>
      <c r="B2689" s="1" t="s">
        <v>73</v>
      </c>
      <c r="C2689" s="1" t="str" cm="1">
        <f t="array" ref="C2689">_xlfn.IFS(OR(B2689=" ", B2689="NA",NOT(ISNUMBER(B2689))), "Unknown",B2689&lt;18,"Underage",B2689&lt;=24,"Young Adult",B2689&lt;=34,"Early Career",B2689&lt;=44,"Mid Career",B2689&lt;=54,"Mature",B2689&lt;=65,"Pre-Senior",B2689&gt;65,"Senior")</f>
        <v>Unknown</v>
      </c>
      <c r="D2689" s="1" t="s">
        <v>29</v>
      </c>
      <c r="E2689" s="1" t="s">
        <v>15</v>
      </c>
      <c r="F2689" s="1">
        <v>1775000</v>
      </c>
      <c r="G2689" s="1">
        <v>18</v>
      </c>
      <c r="H2689" s="1" t="str" cm="1">
        <f t="array" ref="H2689">_xlfn.IFS( OR(G2689=" ",NOT(ISNUMBER(G2689))),"Unknown",G2689&lt;=33,"Low Spender",G2689&lt;=66,"Medium Spender",TRUE, "High Spender")</f>
        <v>Low Spender</v>
      </c>
      <c r="I2689" s="1">
        <v>26</v>
      </c>
      <c r="J2689" s="1">
        <v>5900</v>
      </c>
      <c r="K2689" s="1">
        <v>57</v>
      </c>
      <c r="L2689" s="1" t="s">
        <v>20</v>
      </c>
      <c r="N2689" s="1" t="str">
        <f t="shared" si="82"/>
        <v>Higher</v>
      </c>
      <c r="O2689" s="1" t="str">
        <f t="shared" si="83"/>
        <v>Unknown | Low Spender | Higher</v>
      </c>
    </row>
    <row r="2690" spans="1:15" x14ac:dyDescent="0.25">
      <c r="A2690" s="1" t="s">
        <v>2720</v>
      </c>
      <c r="B2690" s="1">
        <v>67</v>
      </c>
      <c r="C2690" s="1" t="str" cm="1">
        <f t="array" ref="C2690">_xlfn.IFS(OR(B2690=" ", B2690="NA",NOT(ISNUMBER(B2690))), "Unknown",B2690&lt;18,"Underage",B2690&lt;=24,"Young Adult",B2690&lt;=34,"Early Career",B2690&lt;=44,"Mid Career",B2690&lt;=54,"Mature",B2690&lt;=65,"Pre-Senior",B2690&gt;65,"Senior")</f>
        <v>Senior</v>
      </c>
      <c r="D2690" s="1" t="s">
        <v>18</v>
      </c>
      <c r="F2690" s="1">
        <v>1325000</v>
      </c>
      <c r="G2690" s="1">
        <v>41</v>
      </c>
      <c r="H2690" s="1" t="str" cm="1">
        <f t="array" ref="H2690">_xlfn.IFS( OR(G2690=" ",NOT(ISNUMBER(G2690))),"Unknown",G2690&lt;=33,"Low Spender",G2690&lt;=66,"Medium Spender",TRUE, "High Spender")</f>
        <v>Medium Spender</v>
      </c>
      <c r="I2690" s="1">
        <v>30</v>
      </c>
      <c r="J2690" s="1">
        <v>11100</v>
      </c>
      <c r="K2690" s="1">
        <v>285</v>
      </c>
      <c r="L2690" s="1" t="s">
        <v>20</v>
      </c>
      <c r="M2690" s="1" t="s">
        <v>30</v>
      </c>
      <c r="N2690" s="1" t="str">
        <f t="shared" ref="N2690:N2753" si="84">IF(OR(UPPER(TRIM(D2690))="Male",UPPER(TRIM(D2690))="Female"),"Higher","Lower")</f>
        <v>Higher</v>
      </c>
      <c r="O2690" s="1" t="str">
        <f t="shared" ref="O2690:O2753" si="85">_xlfn.TEXTJOIN(" | ", TRUE, C2690, H2690, N2690)</f>
        <v>Senior | Medium Spender | Higher</v>
      </c>
    </row>
    <row r="2691" spans="1:15" x14ac:dyDescent="0.25">
      <c r="A2691" s="1" t="s">
        <v>2721</v>
      </c>
      <c r="B2691" s="1">
        <v>22</v>
      </c>
      <c r="C2691" s="1" t="str" cm="1">
        <f t="array" ref="C2691">_xlfn.IFS(OR(B2691=" ", B2691="NA",NOT(ISNUMBER(B2691))), "Unknown",B2691&lt;18,"Underage",B2691&lt;=24,"Young Adult",B2691&lt;=34,"Early Career",B2691&lt;=44,"Mid Career",B2691&lt;=54,"Mature",B2691&lt;=65,"Pre-Senior",B2691&gt;65,"Senior")</f>
        <v>Young Adult</v>
      </c>
      <c r="F2691" s="1">
        <v>1225000</v>
      </c>
      <c r="G2691" s="1">
        <v>70</v>
      </c>
      <c r="H2691" s="1" t="str" cm="1">
        <f t="array" ref="H2691">_xlfn.IFS( OR(G2691=" ",NOT(ISNUMBER(G2691))),"Unknown",G2691&lt;=33,"Low Spender",G2691&lt;=66,"Medium Spender",TRUE, "High Spender")</f>
        <v>High Spender</v>
      </c>
      <c r="I2691" s="1">
        <v>34</v>
      </c>
      <c r="J2691" s="1">
        <v>2900</v>
      </c>
      <c r="K2691" s="1">
        <v>129</v>
      </c>
      <c r="L2691" s="1" t="s">
        <v>20</v>
      </c>
      <c r="N2691" s="1" t="str">
        <f t="shared" si="84"/>
        <v>Lower</v>
      </c>
      <c r="O2691" s="1" t="str">
        <f t="shared" si="85"/>
        <v>Young Adult | High Spender | Lower</v>
      </c>
    </row>
    <row r="2692" spans="1:15" x14ac:dyDescent="0.25">
      <c r="A2692" s="1" t="s">
        <v>2722</v>
      </c>
      <c r="B2692" s="1">
        <v>64</v>
      </c>
      <c r="C2692" s="1" t="str" cm="1">
        <f t="array" ref="C2692">_xlfn.IFS(OR(B2692=" ", B2692="NA",NOT(ISNUMBER(B2692))), "Unknown",B2692&lt;18,"Underage",B2692&lt;=24,"Young Adult",B2692&lt;=34,"Early Career",B2692&lt;=44,"Mid Career",B2692&lt;=54,"Mature",B2692&lt;=65,"Pre-Senior",B2692&gt;65,"Senior")</f>
        <v>Pre-Senior</v>
      </c>
      <c r="D2692" s="1" t="s">
        <v>29</v>
      </c>
      <c r="E2692" s="1" t="s">
        <v>49</v>
      </c>
      <c r="F2692" s="1">
        <v>350000</v>
      </c>
      <c r="G2692" s="1">
        <v>27</v>
      </c>
      <c r="H2692" s="1" t="str" cm="1">
        <f t="array" ref="H2692">_xlfn.IFS( OR(G2692=" ",NOT(ISNUMBER(G2692))),"Unknown",G2692&lt;=33,"Low Spender",G2692&lt;=66,"Medium Spender",TRUE, "High Spender")</f>
        <v>Low Spender</v>
      </c>
      <c r="I2692" s="1">
        <v>46</v>
      </c>
      <c r="J2692" s="1">
        <v>6100</v>
      </c>
      <c r="K2692" s="1">
        <v>315</v>
      </c>
      <c r="M2692" s="1" t="s">
        <v>41</v>
      </c>
      <c r="N2692" s="1" t="str">
        <f t="shared" si="84"/>
        <v>Higher</v>
      </c>
      <c r="O2692" s="1" t="str">
        <f t="shared" si="85"/>
        <v>Pre-Senior | Low Spender | Higher</v>
      </c>
    </row>
    <row r="2693" spans="1:15" x14ac:dyDescent="0.25">
      <c r="A2693" s="1" t="s">
        <v>2723</v>
      </c>
      <c r="B2693" s="1">
        <v>66</v>
      </c>
      <c r="C2693" s="1" t="str" cm="1">
        <f t="array" ref="C2693">_xlfn.IFS(OR(B2693=" ", B2693="NA",NOT(ISNUMBER(B2693))), "Unknown",B2693&lt;18,"Underage",B2693&lt;=24,"Young Adult",B2693&lt;=34,"Early Career",B2693&lt;=44,"Mid Career",B2693&lt;=54,"Mature",B2693&lt;=65,"Pre-Senior",B2693&gt;65,"Senior")</f>
        <v>Senior</v>
      </c>
      <c r="D2693" s="1" t="s">
        <v>29</v>
      </c>
      <c r="E2693" s="1" t="s">
        <v>49</v>
      </c>
      <c r="F2693" s="1">
        <v>1800000</v>
      </c>
      <c r="G2693" s="1">
        <v>100</v>
      </c>
      <c r="H2693" s="1" t="str" cm="1">
        <f t="array" ref="H2693">_xlfn.IFS( OR(G2693=" ",NOT(ISNUMBER(G2693))),"Unknown",G2693&lt;=33,"Low Spender",G2693&lt;=66,"Medium Spender",TRUE, "High Spender")</f>
        <v>High Spender</v>
      </c>
      <c r="I2693" s="1">
        <v>69</v>
      </c>
      <c r="J2693" s="1">
        <v>6400</v>
      </c>
      <c r="K2693" s="1">
        <v>86</v>
      </c>
      <c r="L2693" s="1" t="s">
        <v>16</v>
      </c>
      <c r="M2693" s="1" t="s">
        <v>32</v>
      </c>
      <c r="N2693" s="1" t="str">
        <f t="shared" si="84"/>
        <v>Higher</v>
      </c>
      <c r="O2693" s="1" t="str">
        <f t="shared" si="85"/>
        <v>Senior | High Spender | Higher</v>
      </c>
    </row>
    <row r="2694" spans="1:15" x14ac:dyDescent="0.25">
      <c r="A2694" s="1" t="s">
        <v>2724</v>
      </c>
      <c r="B2694" s="1">
        <v>52</v>
      </c>
      <c r="C2694" s="1" t="str" cm="1">
        <f t="array" ref="C2694">_xlfn.IFS(OR(B2694=" ", B2694="NA",NOT(ISNUMBER(B2694))), "Unknown",B2694&lt;18,"Underage",B2694&lt;=24,"Young Adult",B2694&lt;=34,"Early Career",B2694&lt;=44,"Mid Career",B2694&lt;=54,"Mature",B2694&lt;=65,"Pre-Senior",B2694&gt;65,"Senior")</f>
        <v>Mature</v>
      </c>
      <c r="D2694" s="1" t="s">
        <v>18</v>
      </c>
      <c r="E2694" s="1" t="s">
        <v>13</v>
      </c>
      <c r="F2694" s="1">
        <v>1475000</v>
      </c>
      <c r="G2694" s="1">
        <v>15</v>
      </c>
      <c r="H2694" s="1" t="str" cm="1">
        <f t="array" ref="H2694">_xlfn.IFS( OR(G2694=" ",NOT(ISNUMBER(G2694))),"Unknown",G2694&lt;=33,"Low Spender",G2694&lt;=66,"Medium Spender",TRUE, "High Spender")</f>
        <v>Low Spender</v>
      </c>
      <c r="I2694" s="1">
        <v>5</v>
      </c>
      <c r="J2694" s="1">
        <v>2200</v>
      </c>
      <c r="K2694" s="1">
        <v>200</v>
      </c>
      <c r="L2694" s="1" t="s">
        <v>37</v>
      </c>
      <c r="N2694" s="1" t="str">
        <f t="shared" si="84"/>
        <v>Higher</v>
      </c>
      <c r="O2694" s="1" t="str">
        <f t="shared" si="85"/>
        <v>Mature | Low Spender | Higher</v>
      </c>
    </row>
    <row r="2695" spans="1:15" x14ac:dyDescent="0.25">
      <c r="A2695" s="1" t="s">
        <v>2725</v>
      </c>
      <c r="B2695" s="1">
        <v>61</v>
      </c>
      <c r="C2695" s="1" t="str" cm="1">
        <f t="array" ref="C2695">_xlfn.IFS(OR(B2695=" ", B2695="NA",NOT(ISNUMBER(B2695))), "Unknown",B2695&lt;18,"Underage",B2695&lt;=24,"Young Adult",B2695&lt;=34,"Early Career",B2695&lt;=44,"Mid Career",B2695&lt;=54,"Mature",B2695&lt;=65,"Pre-Senior",B2695&gt;65,"Senior")</f>
        <v>Pre-Senior</v>
      </c>
      <c r="E2695" s="1" t="s">
        <v>13</v>
      </c>
      <c r="F2695" s="1">
        <v>775000</v>
      </c>
      <c r="G2695" s="1">
        <v>37</v>
      </c>
      <c r="H2695" s="1" t="str" cm="1">
        <f t="array" ref="H2695">_xlfn.IFS( OR(G2695=" ",NOT(ISNUMBER(G2695))),"Unknown",G2695&lt;=33,"Low Spender",G2695&lt;=66,"Medium Spender",TRUE, "High Spender")</f>
        <v>Medium Spender</v>
      </c>
      <c r="I2695" s="1">
        <v>61</v>
      </c>
      <c r="J2695" s="1">
        <v>500</v>
      </c>
      <c r="K2695" s="1">
        <v>71</v>
      </c>
      <c r="L2695" s="1" t="s">
        <v>20</v>
      </c>
      <c r="N2695" s="1" t="str">
        <f t="shared" si="84"/>
        <v>Lower</v>
      </c>
      <c r="O2695" s="1" t="str">
        <f t="shared" si="85"/>
        <v>Pre-Senior | Medium Spender | Lower</v>
      </c>
    </row>
    <row r="2696" spans="1:15" x14ac:dyDescent="0.25">
      <c r="A2696" s="1" t="s">
        <v>2726</v>
      </c>
      <c r="B2696" s="1">
        <v>51</v>
      </c>
      <c r="C2696" s="1" t="str" cm="1">
        <f t="array" ref="C2696">_xlfn.IFS(OR(B2696=" ", B2696="NA",NOT(ISNUMBER(B2696))), "Unknown",B2696&lt;18,"Underage",B2696&lt;=24,"Young Adult",B2696&lt;=34,"Early Career",B2696&lt;=44,"Mid Career",B2696&lt;=54,"Mature",B2696&lt;=65,"Pre-Senior",B2696&gt;65,"Senior")</f>
        <v>Mature</v>
      </c>
      <c r="F2696" s="1">
        <v>775000</v>
      </c>
      <c r="G2696" s="1">
        <v>58</v>
      </c>
      <c r="H2696" s="1" t="str" cm="1">
        <f t="array" ref="H2696">_xlfn.IFS( OR(G2696=" ",NOT(ISNUMBER(G2696))),"Unknown",G2696&lt;=33,"Low Spender",G2696&lt;=66,"Medium Spender",TRUE, "High Spender")</f>
        <v>Medium Spender</v>
      </c>
      <c r="I2696" s="1">
        <v>38</v>
      </c>
      <c r="J2696" s="1">
        <v>1800</v>
      </c>
      <c r="K2696" s="1">
        <v>345</v>
      </c>
      <c r="L2696" s="1" t="s">
        <v>16</v>
      </c>
      <c r="M2696" s="1" t="s">
        <v>30</v>
      </c>
      <c r="N2696" s="1" t="str">
        <f t="shared" si="84"/>
        <v>Lower</v>
      </c>
      <c r="O2696" s="1" t="str">
        <f t="shared" si="85"/>
        <v>Mature | Medium Spender | Lower</v>
      </c>
    </row>
    <row r="2697" spans="1:15" x14ac:dyDescent="0.25">
      <c r="A2697" s="1" t="s">
        <v>2727</v>
      </c>
      <c r="B2697" s="1">
        <v>50</v>
      </c>
      <c r="C2697" s="1" t="str" cm="1">
        <f t="array" ref="C2697">_xlfn.IFS(OR(B2697=" ", B2697="NA",NOT(ISNUMBER(B2697))), "Unknown",B2697&lt;18,"Underage",B2697&lt;=24,"Young Adult",B2697&lt;=34,"Early Career",B2697&lt;=44,"Mid Career",B2697&lt;=54,"Mature",B2697&lt;=65,"Pre-Senior",B2697&gt;65,"Senior")</f>
        <v>Mature</v>
      </c>
      <c r="D2697" s="1" t="s">
        <v>18</v>
      </c>
      <c r="E2697" s="1" t="s">
        <v>34</v>
      </c>
      <c r="F2697" s="1">
        <v>975000</v>
      </c>
      <c r="G2697" s="1">
        <v>5</v>
      </c>
      <c r="H2697" s="1" t="str" cm="1">
        <f t="array" ref="H2697">_xlfn.IFS( OR(G2697=" ",NOT(ISNUMBER(G2697))),"Unknown",G2697&lt;=33,"Low Spender",G2697&lt;=66,"Medium Spender",TRUE, "High Spender")</f>
        <v>Low Spender</v>
      </c>
      <c r="I2697" s="1">
        <v>28</v>
      </c>
      <c r="J2697" s="1">
        <v>10500</v>
      </c>
      <c r="K2697" s="1">
        <v>98</v>
      </c>
      <c r="M2697" s="1" t="s">
        <v>41</v>
      </c>
      <c r="N2697" s="1" t="str">
        <f t="shared" si="84"/>
        <v>Higher</v>
      </c>
      <c r="O2697" s="1" t="str">
        <f t="shared" si="85"/>
        <v>Mature | Low Spender | Higher</v>
      </c>
    </row>
    <row r="2698" spans="1:15" x14ac:dyDescent="0.25">
      <c r="A2698" s="1" t="s">
        <v>2728</v>
      </c>
      <c r="B2698" s="1" t="s">
        <v>73</v>
      </c>
      <c r="C2698" s="1" t="str" cm="1">
        <f t="array" ref="C2698">_xlfn.IFS(OR(B2698=" ", B2698="NA",NOT(ISNUMBER(B2698))), "Unknown",B2698&lt;18,"Underage",B2698&lt;=24,"Young Adult",B2698&lt;=34,"Early Career",B2698&lt;=44,"Mid Career",B2698&lt;=54,"Mature",B2698&lt;=65,"Pre-Senior",B2698&gt;65,"Senior")</f>
        <v>Unknown</v>
      </c>
      <c r="D2698" s="1" t="s">
        <v>29</v>
      </c>
      <c r="E2698" s="1" t="s">
        <v>19</v>
      </c>
      <c r="F2698" s="1">
        <v>325000</v>
      </c>
      <c r="G2698" s="1">
        <v>73</v>
      </c>
      <c r="H2698" s="1" t="str" cm="1">
        <f t="array" ref="H2698">_xlfn.IFS( OR(G2698=" ",NOT(ISNUMBER(G2698))),"Unknown",G2698&lt;=33,"Low Spender",G2698&lt;=66,"Medium Spender",TRUE, "High Spender")</f>
        <v>High Spender</v>
      </c>
      <c r="I2698" s="1">
        <v>26</v>
      </c>
      <c r="J2698" s="1">
        <v>4600</v>
      </c>
      <c r="K2698" s="1">
        <v>300</v>
      </c>
      <c r="N2698" s="1" t="str">
        <f t="shared" si="84"/>
        <v>Higher</v>
      </c>
      <c r="O2698" s="1" t="str">
        <f t="shared" si="85"/>
        <v>Unknown | High Spender | Higher</v>
      </c>
    </row>
    <row r="2699" spans="1:15" x14ac:dyDescent="0.25">
      <c r="A2699" s="1" t="s">
        <v>2729</v>
      </c>
      <c r="B2699" s="1">
        <v>38</v>
      </c>
      <c r="C2699" s="1" t="str" cm="1">
        <f t="array" ref="C2699">_xlfn.IFS(OR(B2699=" ", B2699="NA",NOT(ISNUMBER(B2699))), "Unknown",B2699&lt;18,"Underage",B2699&lt;=24,"Young Adult",B2699&lt;=34,"Early Career",B2699&lt;=44,"Mid Career",B2699&lt;=54,"Mature",B2699&lt;=65,"Pre-Senior",B2699&gt;65,"Senior")</f>
        <v>Mid Career</v>
      </c>
      <c r="D2699" s="1" t="s">
        <v>29</v>
      </c>
      <c r="E2699" s="1" t="s">
        <v>15</v>
      </c>
      <c r="F2699" s="1">
        <v>375000</v>
      </c>
      <c r="G2699" s="1">
        <v>7</v>
      </c>
      <c r="H2699" s="1" t="str" cm="1">
        <f t="array" ref="H2699">_xlfn.IFS( OR(G2699=" ",NOT(ISNUMBER(G2699))),"Unknown",G2699&lt;=33,"Low Spender",G2699&lt;=66,"Medium Spender",TRUE, "High Spender")</f>
        <v>Low Spender</v>
      </c>
      <c r="I2699" s="1">
        <v>61</v>
      </c>
      <c r="J2699" s="1">
        <v>9500</v>
      </c>
      <c r="K2699" s="1">
        <v>176</v>
      </c>
      <c r="M2699" s="1" t="s">
        <v>32</v>
      </c>
      <c r="N2699" s="1" t="str">
        <f t="shared" si="84"/>
        <v>Higher</v>
      </c>
      <c r="O2699" s="1" t="str">
        <f t="shared" si="85"/>
        <v>Mid Career | Low Spender | Higher</v>
      </c>
    </row>
    <row r="2700" spans="1:15" x14ac:dyDescent="0.25">
      <c r="A2700" s="1" t="s">
        <v>2730</v>
      </c>
      <c r="B2700" s="1">
        <v>34</v>
      </c>
      <c r="C2700" s="1" t="str" cm="1">
        <f t="array" ref="C2700">_xlfn.IFS(OR(B2700=" ", B2700="NA",NOT(ISNUMBER(B2700))), "Unknown",B2700&lt;18,"Underage",B2700&lt;=24,"Young Adult",B2700&lt;=34,"Early Career",B2700&lt;=44,"Mid Career",B2700&lt;=54,"Mature",B2700&lt;=65,"Pre-Senior",B2700&gt;65,"Senior")</f>
        <v>Early Career</v>
      </c>
      <c r="E2700" s="1" t="s">
        <v>49</v>
      </c>
      <c r="F2700" s="1">
        <v>1325000</v>
      </c>
      <c r="G2700" s="1">
        <v>41</v>
      </c>
      <c r="H2700" s="1" t="str" cm="1">
        <f t="array" ref="H2700">_xlfn.IFS( OR(G2700=" ",NOT(ISNUMBER(G2700))),"Unknown",G2700&lt;=33,"Low Spender",G2700&lt;=66,"Medium Spender",TRUE, "High Spender")</f>
        <v>Medium Spender</v>
      </c>
      <c r="I2700" s="1">
        <v>23</v>
      </c>
      <c r="J2700" s="1">
        <v>8100</v>
      </c>
      <c r="K2700" s="1">
        <v>233</v>
      </c>
      <c r="M2700" s="1" t="s">
        <v>41</v>
      </c>
      <c r="N2700" s="1" t="str">
        <f t="shared" si="84"/>
        <v>Lower</v>
      </c>
      <c r="O2700" s="1" t="str">
        <f t="shared" si="85"/>
        <v>Early Career | Medium Spender | Lower</v>
      </c>
    </row>
    <row r="2701" spans="1:15" x14ac:dyDescent="0.25">
      <c r="A2701" s="1" t="s">
        <v>2731</v>
      </c>
      <c r="B2701" s="1">
        <v>39</v>
      </c>
      <c r="C2701" s="1" t="str" cm="1">
        <f t="array" ref="C2701">_xlfn.IFS(OR(B2701=" ", B2701="NA",NOT(ISNUMBER(B2701))), "Unknown",B2701&lt;18,"Underage",B2701&lt;=24,"Young Adult",B2701&lt;=34,"Early Career",B2701&lt;=44,"Mid Career",B2701&lt;=54,"Mature",B2701&lt;=65,"Pre-Senior",B2701&gt;65,"Senior")</f>
        <v>Mid Career</v>
      </c>
      <c r="D2701" s="1" t="s">
        <v>12</v>
      </c>
      <c r="E2701" s="1" t="s">
        <v>19</v>
      </c>
      <c r="F2701" s="1">
        <v>1500000</v>
      </c>
      <c r="G2701" s="1">
        <v>84</v>
      </c>
      <c r="H2701" s="1" t="str" cm="1">
        <f t="array" ref="H2701">_xlfn.IFS( OR(G2701=" ",NOT(ISNUMBER(G2701))),"Unknown",G2701&lt;=33,"Low Spender",G2701&lt;=66,"Medium Spender",TRUE, "High Spender")</f>
        <v>High Spender</v>
      </c>
      <c r="I2701" s="1">
        <v>46</v>
      </c>
      <c r="J2701" s="1">
        <v>3200</v>
      </c>
      <c r="K2701" s="1">
        <v>75</v>
      </c>
      <c r="L2701" s="1" t="s">
        <v>16</v>
      </c>
      <c r="N2701" s="1" t="str">
        <f t="shared" si="84"/>
        <v>Lower</v>
      </c>
      <c r="O2701" s="1" t="str">
        <f t="shared" si="85"/>
        <v>Mid Career | High Spender | Lower</v>
      </c>
    </row>
    <row r="2702" spans="1:15" x14ac:dyDescent="0.25">
      <c r="A2702" s="1" t="s">
        <v>2732</v>
      </c>
      <c r="B2702" s="1">
        <v>65</v>
      </c>
      <c r="C2702" s="1" t="str" cm="1">
        <f t="array" ref="C2702">_xlfn.IFS(OR(B2702=" ", B2702="NA",NOT(ISNUMBER(B2702))), "Unknown",B2702&lt;18,"Underage",B2702&lt;=24,"Young Adult",B2702&lt;=34,"Early Career",B2702&lt;=44,"Mid Career",B2702&lt;=54,"Mature",B2702&lt;=65,"Pre-Senior",B2702&gt;65,"Senior")</f>
        <v>Pre-Senior</v>
      </c>
      <c r="D2702" s="1" t="s">
        <v>12</v>
      </c>
      <c r="E2702" s="1" t="s">
        <v>19</v>
      </c>
      <c r="F2702" s="1">
        <v>1475000</v>
      </c>
      <c r="G2702" s="1">
        <v>10</v>
      </c>
      <c r="H2702" s="1" t="str" cm="1">
        <f t="array" ref="H2702">_xlfn.IFS( OR(G2702=" ",NOT(ISNUMBER(G2702))),"Unknown",G2702&lt;=33,"Low Spender",G2702&lt;=66,"Medium Spender",TRUE, "High Spender")</f>
        <v>Low Spender</v>
      </c>
      <c r="I2702" s="1">
        <v>30</v>
      </c>
      <c r="J2702" s="1">
        <v>4200</v>
      </c>
      <c r="K2702" s="1">
        <v>143</v>
      </c>
      <c r="L2702" s="1" t="s">
        <v>37</v>
      </c>
      <c r="M2702" s="1" t="s">
        <v>30</v>
      </c>
      <c r="N2702" s="1" t="str">
        <f t="shared" si="84"/>
        <v>Lower</v>
      </c>
      <c r="O2702" s="1" t="str">
        <f t="shared" si="85"/>
        <v>Pre-Senior | Low Spender | Lower</v>
      </c>
    </row>
    <row r="2703" spans="1:15" x14ac:dyDescent="0.25">
      <c r="A2703" s="1" t="s">
        <v>2733</v>
      </c>
      <c r="B2703" s="1">
        <v>54</v>
      </c>
      <c r="C2703" s="1" t="str" cm="1">
        <f t="array" ref="C2703">_xlfn.IFS(OR(B2703=" ", B2703="NA",NOT(ISNUMBER(B2703))), "Unknown",B2703&lt;18,"Underage",B2703&lt;=24,"Young Adult",B2703&lt;=34,"Early Career",B2703&lt;=44,"Mid Career",B2703&lt;=54,"Mature",B2703&lt;=65,"Pre-Senior",B2703&gt;65,"Senior")</f>
        <v>Mature</v>
      </c>
      <c r="D2703" s="1" t="s">
        <v>29</v>
      </c>
      <c r="E2703" s="1" t="s">
        <v>34</v>
      </c>
      <c r="F2703" s="1">
        <v>1125000</v>
      </c>
      <c r="G2703" s="1">
        <v>62</v>
      </c>
      <c r="H2703" s="1" t="str" cm="1">
        <f t="array" ref="H2703">_xlfn.IFS( OR(G2703=" ",NOT(ISNUMBER(G2703))),"Unknown",G2703&lt;=33,"Low Spender",G2703&lt;=66,"Medium Spender",TRUE, "High Spender")</f>
        <v>Medium Spender</v>
      </c>
      <c r="I2703" s="1">
        <v>67</v>
      </c>
      <c r="K2703" s="1">
        <v>23</v>
      </c>
      <c r="L2703" s="1" t="s">
        <v>16</v>
      </c>
      <c r="M2703" s="1" t="s">
        <v>21</v>
      </c>
      <c r="N2703" s="1" t="str">
        <f t="shared" si="84"/>
        <v>Higher</v>
      </c>
      <c r="O2703" s="1" t="str">
        <f t="shared" si="85"/>
        <v>Mature | Medium Spender | Higher</v>
      </c>
    </row>
    <row r="2704" spans="1:15" x14ac:dyDescent="0.25">
      <c r="A2704" s="1" t="s">
        <v>2734</v>
      </c>
      <c r="B2704" s="1">
        <v>32</v>
      </c>
      <c r="C2704" s="1" t="str" cm="1">
        <f t="array" ref="C2704">_xlfn.IFS(OR(B2704=" ", B2704="NA",NOT(ISNUMBER(B2704))), "Unknown",B2704&lt;18,"Underage",B2704&lt;=24,"Young Adult",B2704&lt;=34,"Early Career",B2704&lt;=44,"Mid Career",B2704&lt;=54,"Mature",B2704&lt;=65,"Pre-Senior",B2704&gt;65,"Senior")</f>
        <v>Early Career</v>
      </c>
      <c r="D2704" s="1" t="s">
        <v>29</v>
      </c>
      <c r="E2704" s="1" t="s">
        <v>58</v>
      </c>
      <c r="F2704" s="1">
        <v>500000</v>
      </c>
      <c r="G2704" s="1">
        <v>26</v>
      </c>
      <c r="H2704" s="1" t="str" cm="1">
        <f t="array" ref="H2704">_xlfn.IFS( OR(G2704=" ",NOT(ISNUMBER(G2704))),"Unknown",G2704&lt;=33,"Low Spender",G2704&lt;=66,"Medium Spender",TRUE, "High Spender")</f>
        <v>Low Spender</v>
      </c>
      <c r="I2704" s="1">
        <v>33</v>
      </c>
      <c r="J2704" s="1">
        <v>11500</v>
      </c>
      <c r="K2704" s="1">
        <v>181</v>
      </c>
      <c r="L2704" s="1" t="s">
        <v>16</v>
      </c>
      <c r="M2704" s="1" t="s">
        <v>32</v>
      </c>
      <c r="N2704" s="1" t="str">
        <f t="shared" si="84"/>
        <v>Higher</v>
      </c>
      <c r="O2704" s="1" t="str">
        <f t="shared" si="85"/>
        <v>Early Career | Low Spender | Higher</v>
      </c>
    </row>
    <row r="2705" spans="1:15" x14ac:dyDescent="0.25">
      <c r="A2705" s="1" t="s">
        <v>2735</v>
      </c>
      <c r="B2705" s="1">
        <v>52</v>
      </c>
      <c r="C2705" s="1" t="str" cm="1">
        <f t="array" ref="C2705">_xlfn.IFS(OR(B2705=" ", B2705="NA",NOT(ISNUMBER(B2705))), "Unknown",B2705&lt;18,"Underage",B2705&lt;=24,"Young Adult",B2705&lt;=34,"Early Career",B2705&lt;=44,"Mid Career",B2705&lt;=54,"Mature",B2705&lt;=65,"Pre-Senior",B2705&gt;65,"Senior")</f>
        <v>Mature</v>
      </c>
      <c r="D2705" s="1" t="s">
        <v>12</v>
      </c>
      <c r="E2705" s="1" t="s">
        <v>58</v>
      </c>
      <c r="F2705" s="1">
        <v>575000</v>
      </c>
      <c r="G2705" s="1">
        <v>68</v>
      </c>
      <c r="H2705" s="1" t="str" cm="1">
        <f t="array" ref="H2705">_xlfn.IFS( OR(G2705=" ",NOT(ISNUMBER(G2705))),"Unknown",G2705&lt;=33,"Low Spender",G2705&lt;=66,"Medium Spender",TRUE, "High Spender")</f>
        <v>High Spender</v>
      </c>
      <c r="I2705" s="1">
        <v>3</v>
      </c>
      <c r="J2705" s="1">
        <v>6700</v>
      </c>
      <c r="K2705" s="1">
        <v>45</v>
      </c>
      <c r="L2705" s="1" t="s">
        <v>35</v>
      </c>
      <c r="M2705" s="1" t="s">
        <v>41</v>
      </c>
      <c r="N2705" s="1" t="str">
        <f t="shared" si="84"/>
        <v>Lower</v>
      </c>
      <c r="O2705" s="1" t="str">
        <f t="shared" si="85"/>
        <v>Mature | High Spender | Lower</v>
      </c>
    </row>
    <row r="2706" spans="1:15" x14ac:dyDescent="0.25">
      <c r="A2706" s="1" t="s">
        <v>2736</v>
      </c>
      <c r="B2706" s="1">
        <v>45</v>
      </c>
      <c r="C2706" s="1" t="str" cm="1">
        <f t="array" ref="C2706">_xlfn.IFS(OR(B2706=" ", B2706="NA",NOT(ISNUMBER(B2706))), "Unknown",B2706&lt;18,"Underage",B2706&lt;=24,"Young Adult",B2706&lt;=34,"Early Career",B2706&lt;=44,"Mid Career",B2706&lt;=54,"Mature",B2706&lt;=65,"Pre-Senior",B2706&gt;65,"Senior")</f>
        <v>Mature</v>
      </c>
      <c r="E2706" s="1" t="s">
        <v>49</v>
      </c>
      <c r="F2706" s="1">
        <v>700000</v>
      </c>
      <c r="H2706" s="1" t="str" cm="1">
        <f t="array" ref="H2706">_xlfn.IFS( OR(G2706=" ",NOT(ISNUMBER(G2706))),"Unknown",G2706&lt;=33,"Low Spender",G2706&lt;=66,"Medium Spender",TRUE, "High Spender")</f>
        <v>Unknown</v>
      </c>
      <c r="I2706" s="1">
        <v>69</v>
      </c>
      <c r="J2706" s="1">
        <v>3100</v>
      </c>
      <c r="K2706" s="1">
        <v>92</v>
      </c>
      <c r="N2706" s="1" t="str">
        <f t="shared" si="84"/>
        <v>Lower</v>
      </c>
      <c r="O2706" s="1" t="str">
        <f t="shared" si="85"/>
        <v>Mature | Unknown | Lower</v>
      </c>
    </row>
    <row r="2707" spans="1:15" x14ac:dyDescent="0.25">
      <c r="A2707" s="1" t="s">
        <v>2737</v>
      </c>
      <c r="B2707" s="1">
        <v>24</v>
      </c>
      <c r="C2707" s="1" t="str" cm="1">
        <f t="array" ref="C2707">_xlfn.IFS(OR(B2707=" ", B2707="NA",NOT(ISNUMBER(B2707))), "Unknown",B2707&lt;18,"Underage",B2707&lt;=24,"Young Adult",B2707&lt;=34,"Early Career",B2707&lt;=44,"Mid Career",B2707&lt;=54,"Mature",B2707&lt;=65,"Pre-Senior",B2707&gt;65,"Senior")</f>
        <v>Young Adult</v>
      </c>
      <c r="D2707" s="1" t="s">
        <v>29</v>
      </c>
      <c r="E2707" s="1" t="s">
        <v>27</v>
      </c>
      <c r="F2707" s="1">
        <v>1675000</v>
      </c>
      <c r="G2707" s="1">
        <v>24</v>
      </c>
      <c r="H2707" s="1" t="str" cm="1">
        <f t="array" ref="H2707">_xlfn.IFS( OR(G2707=" ",NOT(ISNUMBER(G2707))),"Unknown",G2707&lt;=33,"Low Spender",G2707&lt;=66,"Medium Spender",TRUE, "High Spender")</f>
        <v>Low Spender</v>
      </c>
      <c r="I2707" s="1">
        <v>42</v>
      </c>
      <c r="J2707" s="1">
        <v>11900</v>
      </c>
      <c r="K2707" s="1">
        <v>269</v>
      </c>
      <c r="L2707" s="1" t="s">
        <v>37</v>
      </c>
      <c r="N2707" s="1" t="str">
        <f t="shared" si="84"/>
        <v>Higher</v>
      </c>
      <c r="O2707" s="1" t="str">
        <f t="shared" si="85"/>
        <v>Young Adult | Low Spender | Higher</v>
      </c>
    </row>
    <row r="2708" spans="1:15" x14ac:dyDescent="0.25">
      <c r="A2708" s="1" t="s">
        <v>2738</v>
      </c>
      <c r="B2708" s="1">
        <v>49</v>
      </c>
      <c r="C2708" s="1" t="str" cm="1">
        <f t="array" ref="C2708">_xlfn.IFS(OR(B2708=" ", B2708="NA",NOT(ISNUMBER(B2708))), "Unknown",B2708&lt;18,"Underage",B2708&lt;=24,"Young Adult",B2708&lt;=34,"Early Career",B2708&lt;=44,"Mid Career",B2708&lt;=54,"Mature",B2708&lt;=65,"Pre-Senior",B2708&gt;65,"Senior")</f>
        <v>Mature</v>
      </c>
      <c r="D2708" s="1" t="s">
        <v>12</v>
      </c>
      <c r="E2708" s="1" t="s">
        <v>34</v>
      </c>
      <c r="F2708" s="1">
        <v>1275000</v>
      </c>
      <c r="G2708" s="1">
        <v>78</v>
      </c>
      <c r="H2708" s="1" t="str" cm="1">
        <f t="array" ref="H2708">_xlfn.IFS( OR(G2708=" ",NOT(ISNUMBER(G2708))),"Unknown",G2708&lt;=33,"Low Spender",G2708&lt;=66,"Medium Spender",TRUE, "High Spender")</f>
        <v>High Spender</v>
      </c>
      <c r="I2708" s="1">
        <v>62</v>
      </c>
      <c r="J2708" s="1">
        <v>3200</v>
      </c>
      <c r="K2708" s="1">
        <v>34</v>
      </c>
      <c r="L2708" s="1" t="s">
        <v>35</v>
      </c>
      <c r="M2708" s="1" t="s">
        <v>41</v>
      </c>
      <c r="N2708" s="1" t="str">
        <f t="shared" si="84"/>
        <v>Lower</v>
      </c>
      <c r="O2708" s="1" t="str">
        <f t="shared" si="85"/>
        <v>Mature | High Spender | Lower</v>
      </c>
    </row>
    <row r="2709" spans="1:15" x14ac:dyDescent="0.25">
      <c r="A2709" s="1" t="s">
        <v>2739</v>
      </c>
      <c r="B2709" s="1">
        <v>28</v>
      </c>
      <c r="C2709" s="1" t="str" cm="1">
        <f t="array" ref="C2709">_xlfn.IFS(OR(B2709=" ", B2709="NA",NOT(ISNUMBER(B2709))), "Unknown",B2709&lt;18,"Underage",B2709&lt;=24,"Young Adult",B2709&lt;=34,"Early Career",B2709&lt;=44,"Mid Career",B2709&lt;=54,"Mature",B2709&lt;=65,"Pre-Senior",B2709&gt;65,"Senior")</f>
        <v>Early Career</v>
      </c>
      <c r="D2709" s="1" t="s">
        <v>29</v>
      </c>
      <c r="E2709" s="1" t="s">
        <v>34</v>
      </c>
      <c r="F2709" s="1">
        <v>1100000</v>
      </c>
      <c r="G2709" s="1">
        <v>41</v>
      </c>
      <c r="H2709" s="1" t="str" cm="1">
        <f t="array" ref="H2709">_xlfn.IFS( OR(G2709=" ",NOT(ISNUMBER(G2709))),"Unknown",G2709&lt;=33,"Low Spender",G2709&lt;=66,"Medium Spender",TRUE, "High Spender")</f>
        <v>Medium Spender</v>
      </c>
      <c r="I2709" s="1">
        <v>58</v>
      </c>
      <c r="J2709" s="1">
        <v>10600</v>
      </c>
      <c r="K2709" s="1">
        <v>166</v>
      </c>
      <c r="N2709" s="1" t="str">
        <f t="shared" si="84"/>
        <v>Higher</v>
      </c>
      <c r="O2709" s="1" t="str">
        <f t="shared" si="85"/>
        <v>Early Career | Medium Spender | Higher</v>
      </c>
    </row>
    <row r="2710" spans="1:15" x14ac:dyDescent="0.25">
      <c r="A2710" s="1" t="s">
        <v>2740</v>
      </c>
      <c r="B2710" s="1">
        <v>27</v>
      </c>
      <c r="C2710" s="1" t="str" cm="1">
        <f t="array" ref="C2710">_xlfn.IFS(OR(B2710=" ", B2710="NA",NOT(ISNUMBER(B2710))), "Unknown",B2710&lt;18,"Underage",B2710&lt;=24,"Young Adult",B2710&lt;=34,"Early Career",B2710&lt;=44,"Mid Career",B2710&lt;=54,"Mature",B2710&lt;=65,"Pre-Senior",B2710&gt;65,"Senior")</f>
        <v>Early Career</v>
      </c>
      <c r="D2710" s="1" t="s">
        <v>18</v>
      </c>
      <c r="E2710" s="1" t="s">
        <v>23</v>
      </c>
      <c r="F2710" s="1">
        <v>500000</v>
      </c>
      <c r="G2710" s="1">
        <v>65</v>
      </c>
      <c r="H2710" s="1" t="str" cm="1">
        <f t="array" ref="H2710">_xlfn.IFS( OR(G2710=" ",NOT(ISNUMBER(G2710))),"Unknown",G2710&lt;=33,"Low Spender",G2710&lt;=66,"Medium Spender",TRUE, "High Spender")</f>
        <v>Medium Spender</v>
      </c>
      <c r="I2710" s="1">
        <v>57</v>
      </c>
      <c r="J2710" s="1">
        <v>11200</v>
      </c>
      <c r="K2710" s="1">
        <v>70</v>
      </c>
      <c r="L2710" s="1" t="s">
        <v>16</v>
      </c>
      <c r="M2710" s="1" t="s">
        <v>41</v>
      </c>
      <c r="N2710" s="1" t="str">
        <f t="shared" si="84"/>
        <v>Higher</v>
      </c>
      <c r="O2710" s="1" t="str">
        <f t="shared" si="85"/>
        <v>Early Career | Medium Spender | Higher</v>
      </c>
    </row>
    <row r="2711" spans="1:15" x14ac:dyDescent="0.25">
      <c r="A2711" s="1" t="s">
        <v>2741</v>
      </c>
      <c r="B2711" s="1">
        <v>26</v>
      </c>
      <c r="C2711" s="1" t="str" cm="1">
        <f t="array" ref="C2711">_xlfn.IFS(OR(B2711=" ", B2711="NA",NOT(ISNUMBER(B2711))), "Unknown",B2711&lt;18,"Underage",B2711&lt;=24,"Young Adult",B2711&lt;=34,"Early Career",B2711&lt;=44,"Mid Career",B2711&lt;=54,"Mature",B2711&lt;=65,"Pre-Senior",B2711&gt;65,"Senior")</f>
        <v>Early Career</v>
      </c>
      <c r="D2711" s="1" t="s">
        <v>18</v>
      </c>
      <c r="E2711" s="1" t="s">
        <v>19</v>
      </c>
      <c r="F2711" s="1">
        <v>1450000</v>
      </c>
      <c r="G2711" s="1">
        <v>17</v>
      </c>
      <c r="H2711" s="1" t="str" cm="1">
        <f t="array" ref="H2711">_xlfn.IFS( OR(G2711=" ",NOT(ISNUMBER(G2711))),"Unknown",G2711&lt;=33,"Low Spender",G2711&lt;=66,"Medium Spender",TRUE, "High Spender")</f>
        <v>Low Spender</v>
      </c>
      <c r="I2711" s="1">
        <v>1</v>
      </c>
      <c r="J2711" s="1">
        <v>3400</v>
      </c>
      <c r="K2711" s="1">
        <v>364</v>
      </c>
      <c r="M2711" s="1" t="s">
        <v>32</v>
      </c>
      <c r="N2711" s="1" t="str">
        <f t="shared" si="84"/>
        <v>Higher</v>
      </c>
      <c r="O2711" s="1" t="str">
        <f t="shared" si="85"/>
        <v>Early Career | Low Spender | Higher</v>
      </c>
    </row>
    <row r="2712" spans="1:15" x14ac:dyDescent="0.25">
      <c r="A2712" s="1" t="s">
        <v>2742</v>
      </c>
      <c r="B2712" s="1">
        <v>31</v>
      </c>
      <c r="C2712" s="1" t="str" cm="1">
        <f t="array" ref="C2712">_xlfn.IFS(OR(B2712=" ", B2712="NA",NOT(ISNUMBER(B2712))), "Unknown",B2712&lt;18,"Underage",B2712&lt;=24,"Young Adult",B2712&lt;=34,"Early Career",B2712&lt;=44,"Mid Career",B2712&lt;=54,"Mature",B2712&lt;=65,"Pre-Senior",B2712&gt;65,"Senior")</f>
        <v>Early Career</v>
      </c>
      <c r="E2712" s="1" t="s">
        <v>23</v>
      </c>
      <c r="F2712" s="1">
        <v>1725000</v>
      </c>
      <c r="G2712" s="1">
        <v>24</v>
      </c>
      <c r="H2712" s="1" t="str" cm="1">
        <f t="array" ref="H2712">_xlfn.IFS( OR(G2712=" ",NOT(ISNUMBER(G2712))),"Unknown",G2712&lt;=33,"Low Spender",G2712&lt;=66,"Medium Spender",TRUE, "High Spender")</f>
        <v>Low Spender</v>
      </c>
      <c r="I2712" s="1">
        <v>73</v>
      </c>
      <c r="J2712" s="1">
        <v>1200</v>
      </c>
      <c r="K2712" s="1">
        <v>196</v>
      </c>
      <c r="N2712" s="1" t="str">
        <f t="shared" si="84"/>
        <v>Lower</v>
      </c>
      <c r="O2712" s="1" t="str">
        <f t="shared" si="85"/>
        <v>Early Career | Low Spender | Lower</v>
      </c>
    </row>
    <row r="2713" spans="1:15" x14ac:dyDescent="0.25">
      <c r="A2713" s="1" t="s">
        <v>2743</v>
      </c>
      <c r="B2713" s="1">
        <v>30</v>
      </c>
      <c r="C2713" s="1" t="str" cm="1">
        <f t="array" ref="C2713">_xlfn.IFS(OR(B2713=" ", B2713="NA",NOT(ISNUMBER(B2713))), "Unknown",B2713&lt;18,"Underage",B2713&lt;=24,"Young Adult",B2713&lt;=34,"Early Career",B2713&lt;=44,"Mid Career",B2713&lt;=54,"Mature",B2713&lt;=65,"Pre-Senior",B2713&gt;65,"Senior")</f>
        <v>Early Career</v>
      </c>
      <c r="E2713" s="1" t="s">
        <v>19</v>
      </c>
      <c r="F2713" s="1">
        <v>1700000</v>
      </c>
      <c r="G2713" s="1">
        <v>27</v>
      </c>
      <c r="H2713" s="1" t="str" cm="1">
        <f t="array" ref="H2713">_xlfn.IFS( OR(G2713=" ",NOT(ISNUMBER(G2713))),"Unknown",G2713&lt;=33,"Low Spender",G2713&lt;=66,"Medium Spender",TRUE, "High Spender")</f>
        <v>Low Spender</v>
      </c>
      <c r="I2713" s="1">
        <v>60</v>
      </c>
      <c r="J2713" s="1">
        <v>9300</v>
      </c>
      <c r="K2713" s="1">
        <v>133</v>
      </c>
      <c r="L2713" s="1" t="s">
        <v>35</v>
      </c>
      <c r="M2713" s="1" t="s">
        <v>32</v>
      </c>
      <c r="N2713" s="1" t="str">
        <f t="shared" si="84"/>
        <v>Lower</v>
      </c>
      <c r="O2713" s="1" t="str">
        <f t="shared" si="85"/>
        <v>Early Career | Low Spender | Lower</v>
      </c>
    </row>
    <row r="2714" spans="1:15" x14ac:dyDescent="0.25">
      <c r="A2714" s="1" t="s">
        <v>2744</v>
      </c>
      <c r="B2714" s="1">
        <v>42</v>
      </c>
      <c r="C2714" s="1" t="str" cm="1">
        <f t="array" ref="C2714">_xlfn.IFS(OR(B2714=" ", B2714="NA",NOT(ISNUMBER(B2714))), "Unknown",B2714&lt;18,"Underage",B2714&lt;=24,"Young Adult",B2714&lt;=34,"Early Career",B2714&lt;=44,"Mid Career",B2714&lt;=54,"Mature",B2714&lt;=65,"Pre-Senior",B2714&gt;65,"Senior")</f>
        <v>Mid Career</v>
      </c>
      <c r="E2714" s="1" t="s">
        <v>58</v>
      </c>
      <c r="F2714" s="1">
        <v>525000</v>
      </c>
      <c r="G2714" s="1">
        <v>7</v>
      </c>
      <c r="H2714" s="1" t="str" cm="1">
        <f t="array" ref="H2714">_xlfn.IFS( OR(G2714=" ",NOT(ISNUMBER(G2714))),"Unknown",G2714&lt;=33,"Low Spender",G2714&lt;=66,"Medium Spender",TRUE, "High Spender")</f>
        <v>Low Spender</v>
      </c>
      <c r="I2714" s="1">
        <v>69</v>
      </c>
      <c r="J2714" s="1">
        <v>5300</v>
      </c>
      <c r="K2714" s="1">
        <v>247</v>
      </c>
      <c r="L2714" s="1" t="s">
        <v>35</v>
      </c>
      <c r="M2714" s="1" t="s">
        <v>30</v>
      </c>
      <c r="N2714" s="1" t="str">
        <f t="shared" si="84"/>
        <v>Lower</v>
      </c>
      <c r="O2714" s="1" t="str">
        <f t="shared" si="85"/>
        <v>Mid Career | Low Spender | Lower</v>
      </c>
    </row>
    <row r="2715" spans="1:15" x14ac:dyDescent="0.25">
      <c r="A2715" s="1" t="s">
        <v>2745</v>
      </c>
      <c r="B2715" s="1">
        <v>19</v>
      </c>
      <c r="C2715" s="1" t="str" cm="1">
        <f t="array" ref="C2715">_xlfn.IFS(OR(B2715=" ", B2715="NA",NOT(ISNUMBER(B2715))), "Unknown",B2715&lt;18,"Underage",B2715&lt;=24,"Young Adult",B2715&lt;=34,"Early Career",B2715&lt;=44,"Mid Career",B2715&lt;=54,"Mature",B2715&lt;=65,"Pre-Senior",B2715&gt;65,"Senior")</f>
        <v>Young Adult</v>
      </c>
      <c r="D2715" s="1" t="s">
        <v>18</v>
      </c>
      <c r="E2715" s="1" t="s">
        <v>49</v>
      </c>
      <c r="F2715" s="1">
        <v>1875000</v>
      </c>
      <c r="G2715" s="1">
        <v>73</v>
      </c>
      <c r="H2715" s="1" t="str" cm="1">
        <f t="array" ref="H2715">_xlfn.IFS( OR(G2715=" ",NOT(ISNUMBER(G2715))),"Unknown",G2715&lt;=33,"Low Spender",G2715&lt;=66,"Medium Spender",TRUE, "High Spender")</f>
        <v>High Spender</v>
      </c>
      <c r="I2715" s="1">
        <v>59</v>
      </c>
      <c r="J2715" s="1">
        <v>1000</v>
      </c>
      <c r="K2715" s="1">
        <v>168</v>
      </c>
      <c r="L2715" s="1" t="s">
        <v>37</v>
      </c>
      <c r="M2715" s="1" t="s">
        <v>30</v>
      </c>
      <c r="N2715" s="1" t="str">
        <f t="shared" si="84"/>
        <v>Higher</v>
      </c>
      <c r="O2715" s="1" t="str">
        <f t="shared" si="85"/>
        <v>Young Adult | High Spender | Higher</v>
      </c>
    </row>
    <row r="2716" spans="1:15" x14ac:dyDescent="0.25">
      <c r="A2716" s="1" t="s">
        <v>2746</v>
      </c>
      <c r="B2716" s="1">
        <v>52</v>
      </c>
      <c r="C2716" s="1" t="str" cm="1">
        <f t="array" ref="C2716">_xlfn.IFS(OR(B2716=" ", B2716="NA",NOT(ISNUMBER(B2716))), "Unknown",B2716&lt;18,"Underage",B2716&lt;=24,"Young Adult",B2716&lt;=34,"Early Career",B2716&lt;=44,"Mid Career",B2716&lt;=54,"Mature",B2716&lt;=65,"Pre-Senior",B2716&gt;65,"Senior")</f>
        <v>Mature</v>
      </c>
      <c r="D2716" s="1" t="s">
        <v>18</v>
      </c>
      <c r="E2716" s="1" t="s">
        <v>15</v>
      </c>
      <c r="F2716" s="1">
        <v>1775000</v>
      </c>
      <c r="G2716" s="1">
        <v>99</v>
      </c>
      <c r="H2716" s="1" t="str" cm="1">
        <f t="array" ref="H2716">_xlfn.IFS( OR(G2716=" ",NOT(ISNUMBER(G2716))),"Unknown",G2716&lt;=33,"Low Spender",G2716&lt;=66,"Medium Spender",TRUE, "High Spender")</f>
        <v>High Spender</v>
      </c>
      <c r="I2716" s="1">
        <v>46</v>
      </c>
      <c r="J2716" s="1">
        <v>5300</v>
      </c>
      <c r="K2716" s="1">
        <v>277</v>
      </c>
      <c r="L2716" s="1" t="s">
        <v>16</v>
      </c>
      <c r="M2716" s="1" t="s">
        <v>30</v>
      </c>
      <c r="N2716" s="1" t="str">
        <f t="shared" si="84"/>
        <v>Higher</v>
      </c>
      <c r="O2716" s="1" t="str">
        <f t="shared" si="85"/>
        <v>Mature | High Spender | Higher</v>
      </c>
    </row>
    <row r="2717" spans="1:15" x14ac:dyDescent="0.25">
      <c r="A2717" s="1" t="s">
        <v>2747</v>
      </c>
      <c r="B2717" s="1">
        <v>24</v>
      </c>
      <c r="C2717" s="1" t="str" cm="1">
        <f t="array" ref="C2717">_xlfn.IFS(OR(B2717=" ", B2717="NA",NOT(ISNUMBER(B2717))), "Unknown",B2717&lt;18,"Underage",B2717&lt;=24,"Young Adult",B2717&lt;=34,"Early Career",B2717&lt;=44,"Mid Career",B2717&lt;=54,"Mature",B2717&lt;=65,"Pre-Senior",B2717&gt;65,"Senior")</f>
        <v>Young Adult</v>
      </c>
      <c r="E2717" s="1" t="s">
        <v>58</v>
      </c>
      <c r="F2717" s="1">
        <v>450000</v>
      </c>
      <c r="G2717" s="1">
        <v>12</v>
      </c>
      <c r="H2717" s="1" t="str" cm="1">
        <f t="array" ref="H2717">_xlfn.IFS( OR(G2717=" ",NOT(ISNUMBER(G2717))),"Unknown",G2717&lt;=33,"Low Spender",G2717&lt;=66,"Medium Spender",TRUE, "High Spender")</f>
        <v>Low Spender</v>
      </c>
      <c r="I2717" s="1">
        <v>34</v>
      </c>
      <c r="J2717" s="1">
        <v>3800</v>
      </c>
      <c r="K2717" s="1">
        <v>156</v>
      </c>
      <c r="L2717" s="1" t="s">
        <v>37</v>
      </c>
      <c r="M2717" s="1" t="s">
        <v>30</v>
      </c>
      <c r="N2717" s="1" t="str">
        <f t="shared" si="84"/>
        <v>Lower</v>
      </c>
      <c r="O2717" s="1" t="str">
        <f t="shared" si="85"/>
        <v>Young Adult | Low Spender | Lower</v>
      </c>
    </row>
    <row r="2718" spans="1:15" x14ac:dyDescent="0.25">
      <c r="A2718" s="1" t="s">
        <v>2748</v>
      </c>
      <c r="B2718" s="1">
        <v>38</v>
      </c>
      <c r="C2718" s="1" t="str" cm="1">
        <f t="array" ref="C2718">_xlfn.IFS(OR(B2718=" ", B2718="NA",NOT(ISNUMBER(B2718))), "Unknown",B2718&lt;18,"Underage",B2718&lt;=24,"Young Adult",B2718&lt;=34,"Early Career",B2718&lt;=44,"Mid Career",B2718&lt;=54,"Mature",B2718&lt;=65,"Pre-Senior",B2718&gt;65,"Senior")</f>
        <v>Mid Career</v>
      </c>
      <c r="D2718" s="1" t="s">
        <v>29</v>
      </c>
      <c r="E2718" s="1" t="s">
        <v>34</v>
      </c>
      <c r="F2718" s="1">
        <v>1300000</v>
      </c>
      <c r="G2718" s="1">
        <v>85</v>
      </c>
      <c r="H2718" s="1" t="str" cm="1">
        <f t="array" ref="H2718">_xlfn.IFS( OR(G2718=" ",NOT(ISNUMBER(G2718))),"Unknown",G2718&lt;=33,"Low Spender",G2718&lt;=66,"Medium Spender",TRUE, "High Spender")</f>
        <v>High Spender</v>
      </c>
      <c r="I2718" s="1">
        <v>25</v>
      </c>
      <c r="J2718" s="1">
        <v>10800</v>
      </c>
      <c r="K2718" s="1">
        <v>23</v>
      </c>
      <c r="L2718" s="1" t="s">
        <v>35</v>
      </c>
      <c r="N2718" s="1" t="str">
        <f t="shared" si="84"/>
        <v>Higher</v>
      </c>
      <c r="O2718" s="1" t="str">
        <f t="shared" si="85"/>
        <v>Mid Career | High Spender | Higher</v>
      </c>
    </row>
    <row r="2719" spans="1:15" x14ac:dyDescent="0.25">
      <c r="A2719" s="1" t="s">
        <v>2749</v>
      </c>
      <c r="B2719" s="1">
        <v>35</v>
      </c>
      <c r="C2719" s="1" t="str" cm="1">
        <f t="array" ref="C2719">_xlfn.IFS(OR(B2719=" ", B2719="NA",NOT(ISNUMBER(B2719))), "Unknown",B2719&lt;18,"Underage",B2719&lt;=24,"Young Adult",B2719&lt;=34,"Early Career",B2719&lt;=44,"Mid Career",B2719&lt;=54,"Mature",B2719&lt;=65,"Pre-Senior",B2719&gt;65,"Senior")</f>
        <v>Mid Career</v>
      </c>
      <c r="D2719" s="1" t="s">
        <v>12</v>
      </c>
      <c r="E2719" s="1" t="s">
        <v>15</v>
      </c>
      <c r="F2719" s="1">
        <v>350000</v>
      </c>
      <c r="G2719" s="1">
        <v>3</v>
      </c>
      <c r="H2719" s="1" t="str" cm="1">
        <f t="array" ref="H2719">_xlfn.IFS( OR(G2719=" ",NOT(ISNUMBER(G2719))),"Unknown",G2719&lt;=33,"Low Spender",G2719&lt;=66,"Medium Spender",TRUE, "High Spender")</f>
        <v>Low Spender</v>
      </c>
      <c r="I2719" s="1">
        <v>42</v>
      </c>
      <c r="J2719" s="1">
        <v>5700</v>
      </c>
      <c r="K2719" s="1">
        <v>200</v>
      </c>
      <c r="L2719" s="1" t="s">
        <v>35</v>
      </c>
      <c r="M2719" s="1" t="s">
        <v>41</v>
      </c>
      <c r="N2719" s="1" t="str">
        <f t="shared" si="84"/>
        <v>Lower</v>
      </c>
      <c r="O2719" s="1" t="str">
        <f t="shared" si="85"/>
        <v>Mid Career | Low Spender | Lower</v>
      </c>
    </row>
    <row r="2720" spans="1:15" x14ac:dyDescent="0.25">
      <c r="A2720" s="1" t="s">
        <v>2750</v>
      </c>
      <c r="B2720" s="1">
        <v>20</v>
      </c>
      <c r="C2720" s="1" t="str" cm="1">
        <f t="array" ref="C2720">_xlfn.IFS(OR(B2720=" ", B2720="NA",NOT(ISNUMBER(B2720))), "Unknown",B2720&lt;18,"Underage",B2720&lt;=24,"Young Adult",B2720&lt;=34,"Early Career",B2720&lt;=44,"Mid Career",B2720&lt;=54,"Mature",B2720&lt;=65,"Pre-Senior",B2720&gt;65,"Senior")</f>
        <v>Young Adult</v>
      </c>
      <c r="D2720" s="1" t="s">
        <v>29</v>
      </c>
      <c r="E2720" s="1" t="s">
        <v>13</v>
      </c>
      <c r="F2720" s="1">
        <v>1700000</v>
      </c>
      <c r="G2720" s="1">
        <v>79</v>
      </c>
      <c r="H2720" s="1" t="str" cm="1">
        <f t="array" ref="H2720">_xlfn.IFS( OR(G2720=" ",NOT(ISNUMBER(G2720))),"Unknown",G2720&lt;=33,"Low Spender",G2720&lt;=66,"Medium Spender",TRUE, "High Spender")</f>
        <v>High Spender</v>
      </c>
      <c r="I2720" s="1">
        <v>29</v>
      </c>
      <c r="J2720" s="1">
        <v>3700</v>
      </c>
      <c r="K2720" s="1">
        <v>275</v>
      </c>
      <c r="L2720" s="1" t="s">
        <v>37</v>
      </c>
      <c r="N2720" s="1" t="str">
        <f t="shared" si="84"/>
        <v>Higher</v>
      </c>
      <c r="O2720" s="1" t="str">
        <f t="shared" si="85"/>
        <v>Young Adult | High Spender | Higher</v>
      </c>
    </row>
    <row r="2721" spans="1:15" x14ac:dyDescent="0.25">
      <c r="A2721" s="1" t="s">
        <v>2751</v>
      </c>
      <c r="B2721" s="1">
        <v>59</v>
      </c>
      <c r="C2721" s="1" t="str" cm="1">
        <f t="array" ref="C2721">_xlfn.IFS(OR(B2721=" ", B2721="NA",NOT(ISNUMBER(B2721))), "Unknown",B2721&lt;18,"Underage",B2721&lt;=24,"Young Adult",B2721&lt;=34,"Early Career",B2721&lt;=44,"Mid Career",B2721&lt;=54,"Mature",B2721&lt;=65,"Pre-Senior",B2721&gt;65,"Senior")</f>
        <v>Pre-Senior</v>
      </c>
      <c r="E2721" s="1" t="s">
        <v>15</v>
      </c>
      <c r="F2721" s="1">
        <v>975000</v>
      </c>
      <c r="G2721" s="1">
        <v>85</v>
      </c>
      <c r="H2721" s="1" t="str" cm="1">
        <f t="array" ref="H2721">_xlfn.IFS( OR(G2721=" ",NOT(ISNUMBER(G2721))),"Unknown",G2721&lt;=33,"Low Spender",G2721&lt;=66,"Medium Spender",TRUE, "High Spender")</f>
        <v>High Spender</v>
      </c>
      <c r="I2721" s="1">
        <v>25</v>
      </c>
      <c r="J2721" s="1">
        <v>3800</v>
      </c>
      <c r="K2721" s="1">
        <v>50</v>
      </c>
      <c r="L2721" s="1" t="s">
        <v>35</v>
      </c>
      <c r="N2721" s="1" t="str">
        <f t="shared" si="84"/>
        <v>Lower</v>
      </c>
      <c r="O2721" s="1" t="str">
        <f t="shared" si="85"/>
        <v>Pre-Senior | High Spender | Lower</v>
      </c>
    </row>
    <row r="2722" spans="1:15" x14ac:dyDescent="0.25">
      <c r="A2722" s="1" t="s">
        <v>2752</v>
      </c>
      <c r="C2722" s="1" t="str" cm="1">
        <f t="array" ref="C2722">_xlfn.IFS(OR(B2722=" ", B2722="NA",NOT(ISNUMBER(B2722))), "Unknown",B2722&lt;18,"Underage",B2722&lt;=24,"Young Adult",B2722&lt;=34,"Early Career",B2722&lt;=44,"Mid Career",B2722&lt;=54,"Mature",B2722&lt;=65,"Pre-Senior",B2722&gt;65,"Senior")</f>
        <v>Unknown</v>
      </c>
      <c r="E2722" s="1" t="s">
        <v>15</v>
      </c>
      <c r="F2722" s="1">
        <v>850000</v>
      </c>
      <c r="G2722" s="1">
        <v>10</v>
      </c>
      <c r="H2722" s="1" t="str" cm="1">
        <f t="array" ref="H2722">_xlfn.IFS( OR(G2722=" ",NOT(ISNUMBER(G2722))),"Unknown",G2722&lt;=33,"Low Spender",G2722&lt;=66,"Medium Spender",TRUE, "High Spender")</f>
        <v>Low Spender</v>
      </c>
      <c r="I2722" s="1">
        <v>54</v>
      </c>
      <c r="J2722" s="1">
        <v>11400</v>
      </c>
      <c r="K2722" s="1">
        <v>186</v>
      </c>
      <c r="L2722" s="1" t="s">
        <v>20</v>
      </c>
      <c r="N2722" s="1" t="str">
        <f t="shared" si="84"/>
        <v>Lower</v>
      </c>
      <c r="O2722" s="1" t="str">
        <f t="shared" si="85"/>
        <v>Unknown | Low Spender | Lower</v>
      </c>
    </row>
    <row r="2723" spans="1:15" x14ac:dyDescent="0.25">
      <c r="A2723" s="1" t="s">
        <v>2753</v>
      </c>
      <c r="B2723" s="1">
        <v>56</v>
      </c>
      <c r="C2723" s="1" t="str" cm="1">
        <f t="array" ref="C2723">_xlfn.IFS(OR(B2723=" ", B2723="NA",NOT(ISNUMBER(B2723))), "Unknown",B2723&lt;18,"Underage",B2723&lt;=24,"Young Adult",B2723&lt;=34,"Early Career",B2723&lt;=44,"Mid Career",B2723&lt;=54,"Mature",B2723&lt;=65,"Pre-Senior",B2723&gt;65,"Senior")</f>
        <v>Pre-Senior</v>
      </c>
      <c r="E2723" s="1" t="s">
        <v>58</v>
      </c>
      <c r="F2723" s="1">
        <v>1050000</v>
      </c>
      <c r="G2723" s="1">
        <v>33</v>
      </c>
      <c r="H2723" s="1" t="str" cm="1">
        <f t="array" ref="H2723">_xlfn.IFS( OR(G2723=" ",NOT(ISNUMBER(G2723))),"Unknown",G2723&lt;=33,"Low Spender",G2723&lt;=66,"Medium Spender",TRUE, "High Spender")</f>
        <v>Low Spender</v>
      </c>
      <c r="I2723" s="1">
        <v>73</v>
      </c>
      <c r="J2723" s="1">
        <v>5800</v>
      </c>
      <c r="K2723" s="1">
        <v>20</v>
      </c>
      <c r="M2723" s="1" t="s">
        <v>32</v>
      </c>
      <c r="N2723" s="1" t="str">
        <f t="shared" si="84"/>
        <v>Lower</v>
      </c>
      <c r="O2723" s="1" t="str">
        <f t="shared" si="85"/>
        <v>Pre-Senior | Low Spender | Lower</v>
      </c>
    </row>
    <row r="2724" spans="1:15" x14ac:dyDescent="0.25">
      <c r="A2724" s="1" t="s">
        <v>2754</v>
      </c>
      <c r="B2724" s="1">
        <v>58</v>
      </c>
      <c r="C2724" s="1" t="str" cm="1">
        <f t="array" ref="C2724">_xlfn.IFS(OR(B2724=" ", B2724="NA",NOT(ISNUMBER(B2724))), "Unknown",B2724&lt;18,"Underage",B2724&lt;=24,"Young Adult",B2724&lt;=34,"Early Career",B2724&lt;=44,"Mid Career",B2724&lt;=54,"Mature",B2724&lt;=65,"Pre-Senior",B2724&gt;65,"Senior")</f>
        <v>Pre-Senior</v>
      </c>
      <c r="D2724" s="1" t="s">
        <v>18</v>
      </c>
      <c r="E2724" s="1" t="s">
        <v>34</v>
      </c>
      <c r="F2724" s="1">
        <v>1200000</v>
      </c>
      <c r="G2724" s="1">
        <v>46</v>
      </c>
      <c r="H2724" s="1" t="str" cm="1">
        <f t="array" ref="H2724">_xlfn.IFS( OR(G2724=" ",NOT(ISNUMBER(G2724))),"Unknown",G2724&lt;=33,"Low Spender",G2724&lt;=66,"Medium Spender",TRUE, "High Spender")</f>
        <v>Medium Spender</v>
      </c>
      <c r="I2724" s="1">
        <v>67</v>
      </c>
      <c r="J2724" s="1">
        <v>3800</v>
      </c>
      <c r="K2724" s="1">
        <v>116</v>
      </c>
      <c r="L2724" s="1" t="s">
        <v>16</v>
      </c>
      <c r="M2724" s="1" t="s">
        <v>41</v>
      </c>
      <c r="N2724" s="1" t="str">
        <f t="shared" si="84"/>
        <v>Higher</v>
      </c>
      <c r="O2724" s="1" t="str">
        <f t="shared" si="85"/>
        <v>Pre-Senior | Medium Spender | Higher</v>
      </c>
    </row>
    <row r="2725" spans="1:15" x14ac:dyDescent="0.25">
      <c r="A2725" s="1" t="s">
        <v>2755</v>
      </c>
      <c r="B2725" s="1">
        <v>66</v>
      </c>
      <c r="C2725" s="1" t="str" cm="1">
        <f t="array" ref="C2725">_xlfn.IFS(OR(B2725=" ", B2725="NA",NOT(ISNUMBER(B2725))), "Unknown",B2725&lt;18,"Underage",B2725&lt;=24,"Young Adult",B2725&lt;=34,"Early Career",B2725&lt;=44,"Mid Career",B2725&lt;=54,"Mature",B2725&lt;=65,"Pre-Senior",B2725&gt;65,"Senior")</f>
        <v>Senior</v>
      </c>
      <c r="D2725" s="1" t="s">
        <v>12</v>
      </c>
      <c r="E2725" s="1" t="s">
        <v>15</v>
      </c>
      <c r="F2725" s="1">
        <v>1725000</v>
      </c>
      <c r="G2725" s="1">
        <v>59</v>
      </c>
      <c r="H2725" s="1" t="str" cm="1">
        <f t="array" ref="H2725">_xlfn.IFS( OR(G2725=" ",NOT(ISNUMBER(G2725))),"Unknown",G2725&lt;=33,"Low Spender",G2725&lt;=66,"Medium Spender",TRUE, "High Spender")</f>
        <v>Medium Spender</v>
      </c>
      <c r="I2725" s="1">
        <v>15</v>
      </c>
      <c r="J2725" s="1">
        <v>9100</v>
      </c>
      <c r="K2725" s="1">
        <v>92</v>
      </c>
      <c r="M2725" s="1" t="s">
        <v>21</v>
      </c>
      <c r="N2725" s="1" t="str">
        <f t="shared" si="84"/>
        <v>Lower</v>
      </c>
      <c r="O2725" s="1" t="str">
        <f t="shared" si="85"/>
        <v>Senior | Medium Spender | Lower</v>
      </c>
    </row>
    <row r="2726" spans="1:15" x14ac:dyDescent="0.25">
      <c r="A2726" s="1" t="s">
        <v>2756</v>
      </c>
      <c r="B2726" s="1">
        <v>28</v>
      </c>
      <c r="C2726" s="1" t="str" cm="1">
        <f t="array" ref="C2726">_xlfn.IFS(OR(B2726=" ", B2726="NA",NOT(ISNUMBER(B2726))), "Unknown",B2726&lt;18,"Underage",B2726&lt;=24,"Young Adult",B2726&lt;=34,"Early Career",B2726&lt;=44,"Mid Career",B2726&lt;=54,"Mature",B2726&lt;=65,"Pre-Senior",B2726&gt;65,"Senior")</f>
        <v>Early Career</v>
      </c>
      <c r="E2726" s="1" t="s">
        <v>58</v>
      </c>
      <c r="F2726" s="1">
        <v>725000</v>
      </c>
      <c r="G2726" s="1">
        <v>52</v>
      </c>
      <c r="H2726" s="1" t="str" cm="1">
        <f t="array" ref="H2726">_xlfn.IFS( OR(G2726=" ",NOT(ISNUMBER(G2726))),"Unknown",G2726&lt;=33,"Low Spender",G2726&lt;=66,"Medium Spender",TRUE, "High Spender")</f>
        <v>Medium Spender</v>
      </c>
      <c r="I2726" s="1">
        <v>4</v>
      </c>
      <c r="J2726" s="1">
        <v>8600</v>
      </c>
      <c r="K2726" s="1">
        <v>349</v>
      </c>
      <c r="L2726" s="1" t="s">
        <v>16</v>
      </c>
      <c r="M2726" s="1" t="s">
        <v>21</v>
      </c>
      <c r="N2726" s="1" t="str">
        <f t="shared" si="84"/>
        <v>Lower</v>
      </c>
      <c r="O2726" s="1" t="str">
        <f t="shared" si="85"/>
        <v>Early Career | Medium Spender | Lower</v>
      </c>
    </row>
    <row r="2727" spans="1:15" x14ac:dyDescent="0.25">
      <c r="A2727" s="1" t="s">
        <v>2757</v>
      </c>
      <c r="B2727" s="1">
        <v>56</v>
      </c>
      <c r="C2727" s="1" t="str" cm="1">
        <f t="array" ref="C2727">_xlfn.IFS(OR(B2727=" ", B2727="NA",NOT(ISNUMBER(B2727))), "Unknown",B2727&lt;18,"Underage",B2727&lt;=24,"Young Adult",B2727&lt;=34,"Early Career",B2727&lt;=44,"Mid Career",B2727&lt;=54,"Mature",B2727&lt;=65,"Pre-Senior",B2727&gt;65,"Senior")</f>
        <v>Pre-Senior</v>
      </c>
      <c r="D2727" s="1" t="s">
        <v>29</v>
      </c>
      <c r="E2727" s="1" t="s">
        <v>58</v>
      </c>
      <c r="F2727" s="1">
        <v>1900000</v>
      </c>
      <c r="G2727" s="1">
        <v>6</v>
      </c>
      <c r="H2727" s="1" t="str" cm="1">
        <f t="array" ref="H2727">_xlfn.IFS( OR(G2727=" ",NOT(ISNUMBER(G2727))),"Unknown",G2727&lt;=33,"Low Spender",G2727&lt;=66,"Medium Spender",TRUE, "High Spender")</f>
        <v>Low Spender</v>
      </c>
      <c r="I2727" s="1">
        <v>38</v>
      </c>
      <c r="J2727" s="1">
        <v>6300</v>
      </c>
      <c r="K2727" s="1">
        <v>339</v>
      </c>
      <c r="L2727" s="1" t="s">
        <v>35</v>
      </c>
      <c r="M2727" s="1" t="s">
        <v>41</v>
      </c>
      <c r="N2727" s="1" t="str">
        <f t="shared" si="84"/>
        <v>Higher</v>
      </c>
      <c r="O2727" s="1" t="str">
        <f t="shared" si="85"/>
        <v>Pre-Senior | Low Spender | Higher</v>
      </c>
    </row>
    <row r="2728" spans="1:15" x14ac:dyDescent="0.25">
      <c r="A2728" s="1" t="s">
        <v>2758</v>
      </c>
      <c r="B2728" s="1">
        <v>41</v>
      </c>
      <c r="C2728" s="1" t="str" cm="1">
        <f t="array" ref="C2728">_xlfn.IFS(OR(B2728=" ", B2728="NA",NOT(ISNUMBER(B2728))), "Unknown",B2728&lt;18,"Underage",B2728&lt;=24,"Young Adult",B2728&lt;=34,"Early Career",B2728&lt;=44,"Mid Career",B2728&lt;=54,"Mature",B2728&lt;=65,"Pre-Senior",B2728&gt;65,"Senior")</f>
        <v>Mid Career</v>
      </c>
      <c r="D2728" s="1" t="s">
        <v>18</v>
      </c>
      <c r="E2728" s="1" t="s">
        <v>15</v>
      </c>
      <c r="F2728" s="1">
        <v>975000</v>
      </c>
      <c r="G2728" s="1">
        <v>2</v>
      </c>
      <c r="H2728" s="1" t="str" cm="1">
        <f t="array" ref="H2728">_xlfn.IFS( OR(G2728=" ",NOT(ISNUMBER(G2728))),"Unknown",G2728&lt;=33,"Low Spender",G2728&lt;=66,"Medium Spender",TRUE, "High Spender")</f>
        <v>Low Spender</v>
      </c>
      <c r="I2728" s="1">
        <v>20</v>
      </c>
      <c r="J2728" s="1">
        <v>6400</v>
      </c>
      <c r="K2728" s="1">
        <v>53</v>
      </c>
      <c r="L2728" s="1" t="s">
        <v>37</v>
      </c>
      <c r="M2728" s="1" t="s">
        <v>21</v>
      </c>
      <c r="N2728" s="1" t="str">
        <f t="shared" si="84"/>
        <v>Higher</v>
      </c>
      <c r="O2728" s="1" t="str">
        <f t="shared" si="85"/>
        <v>Mid Career | Low Spender | Higher</v>
      </c>
    </row>
    <row r="2729" spans="1:15" x14ac:dyDescent="0.25">
      <c r="A2729" s="1" t="s">
        <v>2759</v>
      </c>
      <c r="B2729" s="1">
        <v>63</v>
      </c>
      <c r="C2729" s="1" t="str" cm="1">
        <f t="array" ref="C2729">_xlfn.IFS(OR(B2729=" ", B2729="NA",NOT(ISNUMBER(B2729))), "Unknown",B2729&lt;18,"Underage",B2729&lt;=24,"Young Adult",B2729&lt;=34,"Early Career",B2729&lt;=44,"Mid Career",B2729&lt;=54,"Mature",B2729&lt;=65,"Pre-Senior",B2729&gt;65,"Senior")</f>
        <v>Pre-Senior</v>
      </c>
      <c r="D2729" s="1" t="s">
        <v>29</v>
      </c>
      <c r="E2729" s="1" t="s">
        <v>19</v>
      </c>
      <c r="F2729" s="1">
        <v>1325000</v>
      </c>
      <c r="G2729" s="1">
        <v>29</v>
      </c>
      <c r="H2729" s="1" t="str" cm="1">
        <f t="array" ref="H2729">_xlfn.IFS( OR(G2729=" ",NOT(ISNUMBER(G2729))),"Unknown",G2729&lt;=33,"Low Spender",G2729&lt;=66,"Medium Spender",TRUE, "High Spender")</f>
        <v>Low Spender</v>
      </c>
      <c r="I2729" s="1">
        <v>23</v>
      </c>
      <c r="J2729" s="1">
        <v>11800</v>
      </c>
      <c r="K2729" s="1">
        <v>123</v>
      </c>
      <c r="L2729" s="1" t="s">
        <v>37</v>
      </c>
      <c r="M2729" s="1" t="s">
        <v>41</v>
      </c>
      <c r="N2729" s="1" t="str">
        <f t="shared" si="84"/>
        <v>Higher</v>
      </c>
      <c r="O2729" s="1" t="str">
        <f t="shared" si="85"/>
        <v>Pre-Senior | Low Spender | Higher</v>
      </c>
    </row>
    <row r="2730" spans="1:15" x14ac:dyDescent="0.25">
      <c r="A2730" s="1" t="s">
        <v>2760</v>
      </c>
      <c r="B2730" s="1">
        <v>36</v>
      </c>
      <c r="C2730" s="1" t="str" cm="1">
        <f t="array" ref="C2730">_xlfn.IFS(OR(B2730=" ", B2730="NA",NOT(ISNUMBER(B2730))), "Unknown",B2730&lt;18,"Underage",B2730&lt;=24,"Young Adult",B2730&lt;=34,"Early Career",B2730&lt;=44,"Mid Career",B2730&lt;=54,"Mature",B2730&lt;=65,"Pre-Senior",B2730&gt;65,"Senior")</f>
        <v>Mid Career</v>
      </c>
      <c r="D2730" s="1" t="s">
        <v>12</v>
      </c>
      <c r="E2730" s="1" t="s">
        <v>34</v>
      </c>
      <c r="F2730" s="1">
        <v>425000</v>
      </c>
      <c r="G2730" s="1">
        <v>40</v>
      </c>
      <c r="H2730" s="1" t="str" cm="1">
        <f t="array" ref="H2730">_xlfn.IFS( OR(G2730=" ",NOT(ISNUMBER(G2730))),"Unknown",G2730&lt;=33,"Low Spender",G2730&lt;=66,"Medium Spender",TRUE, "High Spender")</f>
        <v>Medium Spender</v>
      </c>
      <c r="I2730" s="1">
        <v>37</v>
      </c>
      <c r="J2730" s="1">
        <v>11100</v>
      </c>
      <c r="K2730" s="1">
        <v>341</v>
      </c>
      <c r="L2730" s="1" t="s">
        <v>35</v>
      </c>
      <c r="M2730" s="1" t="s">
        <v>32</v>
      </c>
      <c r="N2730" s="1" t="str">
        <f t="shared" si="84"/>
        <v>Lower</v>
      </c>
      <c r="O2730" s="1" t="str">
        <f t="shared" si="85"/>
        <v>Mid Career | Medium Spender | Lower</v>
      </c>
    </row>
    <row r="2731" spans="1:15" x14ac:dyDescent="0.25">
      <c r="A2731" s="1" t="s">
        <v>2761</v>
      </c>
      <c r="B2731" s="1">
        <v>21</v>
      </c>
      <c r="C2731" s="1" t="str" cm="1">
        <f t="array" ref="C2731">_xlfn.IFS(OR(B2731=" ", B2731="NA",NOT(ISNUMBER(B2731))), "Unknown",B2731&lt;18,"Underage",B2731&lt;=24,"Young Adult",B2731&lt;=34,"Early Career",B2731&lt;=44,"Mid Career",B2731&lt;=54,"Mature",B2731&lt;=65,"Pre-Senior",B2731&gt;65,"Senior")</f>
        <v>Young Adult</v>
      </c>
      <c r="F2731" s="1">
        <v>700000</v>
      </c>
      <c r="G2731" s="1">
        <v>97</v>
      </c>
      <c r="H2731" s="1" t="str" cm="1">
        <f t="array" ref="H2731">_xlfn.IFS( OR(G2731=" ",NOT(ISNUMBER(G2731))),"Unknown",G2731&lt;=33,"Low Spender",G2731&lt;=66,"Medium Spender",TRUE, "High Spender")</f>
        <v>High Spender</v>
      </c>
      <c r="I2731" s="1">
        <v>62</v>
      </c>
      <c r="J2731" s="1">
        <v>11900</v>
      </c>
      <c r="K2731" s="1">
        <v>338</v>
      </c>
      <c r="L2731" s="1" t="s">
        <v>16</v>
      </c>
      <c r="M2731" s="1" t="s">
        <v>32</v>
      </c>
      <c r="N2731" s="1" t="str">
        <f t="shared" si="84"/>
        <v>Lower</v>
      </c>
      <c r="O2731" s="1" t="str">
        <f t="shared" si="85"/>
        <v>Young Adult | High Spender | Lower</v>
      </c>
    </row>
    <row r="2732" spans="1:15" x14ac:dyDescent="0.25">
      <c r="A2732" s="1" t="s">
        <v>2762</v>
      </c>
      <c r="B2732" s="1">
        <v>43</v>
      </c>
      <c r="C2732" s="1" t="str" cm="1">
        <f t="array" ref="C2732">_xlfn.IFS(OR(B2732=" ", B2732="NA",NOT(ISNUMBER(B2732))), "Unknown",B2732&lt;18,"Underage",B2732&lt;=24,"Young Adult",B2732&lt;=34,"Early Career",B2732&lt;=44,"Mid Career",B2732&lt;=54,"Mature",B2732&lt;=65,"Pre-Senior",B2732&gt;65,"Senior")</f>
        <v>Mid Career</v>
      </c>
      <c r="D2732" s="1" t="s">
        <v>18</v>
      </c>
      <c r="E2732" s="1" t="s">
        <v>15</v>
      </c>
      <c r="F2732" s="1">
        <v>450000</v>
      </c>
      <c r="G2732" s="1">
        <v>61</v>
      </c>
      <c r="H2732" s="1" t="str" cm="1">
        <f t="array" ref="H2732">_xlfn.IFS( OR(G2732=" ",NOT(ISNUMBER(G2732))),"Unknown",G2732&lt;=33,"Low Spender",G2732&lt;=66,"Medium Spender",TRUE, "High Spender")</f>
        <v>Medium Spender</v>
      </c>
      <c r="I2732" s="1">
        <v>8</v>
      </c>
      <c r="J2732" s="1">
        <v>8300</v>
      </c>
      <c r="K2732" s="1">
        <v>265</v>
      </c>
      <c r="L2732" s="1" t="s">
        <v>35</v>
      </c>
      <c r="N2732" s="1" t="str">
        <f t="shared" si="84"/>
        <v>Higher</v>
      </c>
      <c r="O2732" s="1" t="str">
        <f t="shared" si="85"/>
        <v>Mid Career | Medium Spender | Higher</v>
      </c>
    </row>
    <row r="2733" spans="1:15" x14ac:dyDescent="0.25">
      <c r="A2733" s="1" t="s">
        <v>2763</v>
      </c>
      <c r="B2733" s="1">
        <v>55</v>
      </c>
      <c r="C2733" s="1" t="str" cm="1">
        <f t="array" ref="C2733">_xlfn.IFS(OR(B2733=" ", B2733="NA",NOT(ISNUMBER(B2733))), "Unknown",B2733&lt;18,"Underage",B2733&lt;=24,"Young Adult",B2733&lt;=34,"Early Career",B2733&lt;=44,"Mid Career",B2733&lt;=54,"Mature",B2733&lt;=65,"Pre-Senior",B2733&gt;65,"Senior")</f>
        <v>Pre-Senior</v>
      </c>
      <c r="E2733" s="1" t="s">
        <v>23</v>
      </c>
      <c r="F2733" s="1">
        <v>1250000</v>
      </c>
      <c r="G2733" s="1">
        <v>68</v>
      </c>
      <c r="H2733" s="1" t="str" cm="1">
        <f t="array" ref="H2733">_xlfn.IFS( OR(G2733=" ",NOT(ISNUMBER(G2733))),"Unknown",G2733&lt;=33,"Low Spender",G2733&lt;=66,"Medium Spender",TRUE, "High Spender")</f>
        <v>High Spender</v>
      </c>
      <c r="I2733" s="1">
        <v>37</v>
      </c>
      <c r="J2733" s="1">
        <v>8900</v>
      </c>
      <c r="K2733" s="1">
        <v>4</v>
      </c>
      <c r="L2733" s="1" t="s">
        <v>16</v>
      </c>
      <c r="M2733" s="1" t="s">
        <v>21</v>
      </c>
      <c r="N2733" s="1" t="str">
        <f t="shared" si="84"/>
        <v>Lower</v>
      </c>
      <c r="O2733" s="1" t="str">
        <f t="shared" si="85"/>
        <v>Pre-Senior | High Spender | Lower</v>
      </c>
    </row>
    <row r="2734" spans="1:15" x14ac:dyDescent="0.25">
      <c r="A2734" s="1" t="s">
        <v>2764</v>
      </c>
      <c r="B2734" s="1">
        <v>59</v>
      </c>
      <c r="C2734" s="1" t="str" cm="1">
        <f t="array" ref="C2734">_xlfn.IFS(OR(B2734=" ", B2734="NA",NOT(ISNUMBER(B2734))), "Unknown",B2734&lt;18,"Underage",B2734&lt;=24,"Young Adult",B2734&lt;=34,"Early Career",B2734&lt;=44,"Mid Career",B2734&lt;=54,"Mature",B2734&lt;=65,"Pre-Senior",B2734&gt;65,"Senior")</f>
        <v>Pre-Senior</v>
      </c>
      <c r="D2734" s="1" t="s">
        <v>12</v>
      </c>
      <c r="E2734" s="1" t="s">
        <v>23</v>
      </c>
      <c r="F2734" s="1">
        <v>1750000</v>
      </c>
      <c r="G2734" s="1">
        <v>68</v>
      </c>
      <c r="H2734" s="1" t="str" cm="1">
        <f t="array" ref="H2734">_xlfn.IFS( OR(G2734=" ",NOT(ISNUMBER(G2734))),"Unknown",G2734&lt;=33,"Low Spender",G2734&lt;=66,"Medium Spender",TRUE, "High Spender")</f>
        <v>High Spender</v>
      </c>
      <c r="I2734" s="1">
        <v>45</v>
      </c>
      <c r="J2734" s="1">
        <v>2700</v>
      </c>
      <c r="K2734" s="1">
        <v>169</v>
      </c>
      <c r="L2734" s="1" t="s">
        <v>35</v>
      </c>
      <c r="M2734" s="1" t="s">
        <v>41</v>
      </c>
      <c r="N2734" s="1" t="str">
        <f t="shared" si="84"/>
        <v>Lower</v>
      </c>
      <c r="O2734" s="1" t="str">
        <f t="shared" si="85"/>
        <v>Pre-Senior | High Spender | Lower</v>
      </c>
    </row>
    <row r="2735" spans="1:15" x14ac:dyDescent="0.25">
      <c r="A2735" s="1" t="s">
        <v>2765</v>
      </c>
      <c r="B2735" s="1">
        <v>49</v>
      </c>
      <c r="C2735" s="1" t="str" cm="1">
        <f t="array" ref="C2735">_xlfn.IFS(OR(B2735=" ", B2735="NA",NOT(ISNUMBER(B2735))), "Unknown",B2735&lt;18,"Underage",B2735&lt;=24,"Young Adult",B2735&lt;=34,"Early Career",B2735&lt;=44,"Mid Career",B2735&lt;=54,"Mature",B2735&lt;=65,"Pre-Senior",B2735&gt;65,"Senior")</f>
        <v>Mature</v>
      </c>
      <c r="E2735" s="1" t="s">
        <v>13</v>
      </c>
      <c r="F2735" s="1">
        <v>1300000</v>
      </c>
      <c r="G2735" s="1">
        <v>29</v>
      </c>
      <c r="H2735" s="1" t="str" cm="1">
        <f t="array" ref="H2735">_xlfn.IFS( OR(G2735=" ",NOT(ISNUMBER(G2735))),"Unknown",G2735&lt;=33,"Low Spender",G2735&lt;=66,"Medium Spender",TRUE, "High Spender")</f>
        <v>Low Spender</v>
      </c>
      <c r="I2735" s="1">
        <v>33</v>
      </c>
      <c r="J2735" s="1">
        <v>11400</v>
      </c>
      <c r="K2735" s="1">
        <v>281</v>
      </c>
      <c r="L2735" s="1" t="s">
        <v>35</v>
      </c>
      <c r="M2735" s="1" t="s">
        <v>32</v>
      </c>
      <c r="N2735" s="1" t="str">
        <f t="shared" si="84"/>
        <v>Lower</v>
      </c>
      <c r="O2735" s="1" t="str">
        <f t="shared" si="85"/>
        <v>Mature | Low Spender | Lower</v>
      </c>
    </row>
    <row r="2736" spans="1:15" x14ac:dyDescent="0.25">
      <c r="A2736" s="1" t="s">
        <v>2766</v>
      </c>
      <c r="B2736" s="1">
        <v>56</v>
      </c>
      <c r="C2736" s="1" t="str" cm="1">
        <f t="array" ref="C2736">_xlfn.IFS(OR(B2736=" ", B2736="NA",NOT(ISNUMBER(B2736))), "Unknown",B2736&lt;18,"Underage",B2736&lt;=24,"Young Adult",B2736&lt;=34,"Early Career",B2736&lt;=44,"Mid Career",B2736&lt;=54,"Mature",B2736&lt;=65,"Pre-Senior",B2736&gt;65,"Senior")</f>
        <v>Pre-Senior</v>
      </c>
      <c r="E2736" s="1" t="s">
        <v>34</v>
      </c>
      <c r="F2736" s="1">
        <v>1575000</v>
      </c>
      <c r="H2736" s="1" t="str" cm="1">
        <f t="array" ref="H2736">_xlfn.IFS( OR(G2736=" ",NOT(ISNUMBER(G2736))),"Unknown",G2736&lt;=33,"Low Spender",G2736&lt;=66,"Medium Spender",TRUE, "High Spender")</f>
        <v>Unknown</v>
      </c>
      <c r="I2736" s="1">
        <v>7</v>
      </c>
      <c r="J2736" s="1">
        <v>6600</v>
      </c>
      <c r="K2736" s="1">
        <v>290</v>
      </c>
      <c r="L2736" s="1" t="s">
        <v>35</v>
      </c>
      <c r="N2736" s="1" t="str">
        <f t="shared" si="84"/>
        <v>Lower</v>
      </c>
      <c r="O2736" s="1" t="str">
        <f t="shared" si="85"/>
        <v>Pre-Senior | Unknown | Lower</v>
      </c>
    </row>
    <row r="2737" spans="1:15" x14ac:dyDescent="0.25">
      <c r="A2737" s="1" t="s">
        <v>2767</v>
      </c>
      <c r="B2737" s="1">
        <v>62</v>
      </c>
      <c r="C2737" s="1" t="str" cm="1">
        <f t="array" ref="C2737">_xlfn.IFS(OR(B2737=" ", B2737="NA",NOT(ISNUMBER(B2737))), "Unknown",B2737&lt;18,"Underage",B2737&lt;=24,"Young Adult",B2737&lt;=34,"Early Career",B2737&lt;=44,"Mid Career",B2737&lt;=54,"Mature",B2737&lt;=65,"Pre-Senior",B2737&gt;65,"Senior")</f>
        <v>Pre-Senior</v>
      </c>
      <c r="E2737" s="1" t="s">
        <v>58</v>
      </c>
      <c r="F2737" s="1">
        <v>250000</v>
      </c>
      <c r="G2737" s="1">
        <v>62</v>
      </c>
      <c r="H2737" s="1" t="str" cm="1">
        <f t="array" ref="H2737">_xlfn.IFS( OR(G2737=" ",NOT(ISNUMBER(G2737))),"Unknown",G2737&lt;=33,"Low Spender",G2737&lt;=66,"Medium Spender",TRUE, "High Spender")</f>
        <v>Medium Spender</v>
      </c>
      <c r="I2737" s="1">
        <v>22</v>
      </c>
      <c r="J2737" s="1">
        <v>6200</v>
      </c>
      <c r="K2737" s="1">
        <v>73</v>
      </c>
      <c r="L2737" s="1" t="s">
        <v>37</v>
      </c>
      <c r="M2737" s="1" t="s">
        <v>21</v>
      </c>
      <c r="N2737" s="1" t="str">
        <f t="shared" si="84"/>
        <v>Lower</v>
      </c>
      <c r="O2737" s="1" t="str">
        <f t="shared" si="85"/>
        <v>Pre-Senior | Medium Spender | Lower</v>
      </c>
    </row>
    <row r="2738" spans="1:15" x14ac:dyDescent="0.25">
      <c r="A2738" s="1" t="s">
        <v>2768</v>
      </c>
      <c r="B2738" s="1">
        <v>63</v>
      </c>
      <c r="C2738" s="1" t="str" cm="1">
        <f t="array" ref="C2738">_xlfn.IFS(OR(B2738=" ", B2738="NA",NOT(ISNUMBER(B2738))), "Unknown",B2738&lt;18,"Underage",B2738&lt;=24,"Young Adult",B2738&lt;=34,"Early Career",B2738&lt;=44,"Mid Career",B2738&lt;=54,"Mature",B2738&lt;=65,"Pre-Senior",B2738&gt;65,"Senior")</f>
        <v>Pre-Senior</v>
      </c>
      <c r="D2738" s="1" t="s">
        <v>29</v>
      </c>
      <c r="F2738" s="1" t="s">
        <v>25</v>
      </c>
      <c r="G2738" s="1">
        <v>60</v>
      </c>
      <c r="H2738" s="1" t="str" cm="1">
        <f t="array" ref="H2738">_xlfn.IFS( OR(G2738=" ",NOT(ISNUMBER(G2738))),"Unknown",G2738&lt;=33,"Low Spender",G2738&lt;=66,"Medium Spender",TRUE, "High Spender")</f>
        <v>Medium Spender</v>
      </c>
      <c r="I2738" s="1">
        <v>5</v>
      </c>
      <c r="J2738" s="1">
        <v>5900</v>
      </c>
      <c r="K2738" s="1">
        <v>137</v>
      </c>
      <c r="L2738" s="1" t="s">
        <v>16</v>
      </c>
      <c r="M2738" s="1" t="s">
        <v>21</v>
      </c>
      <c r="N2738" s="1" t="str">
        <f t="shared" si="84"/>
        <v>Higher</v>
      </c>
      <c r="O2738" s="1" t="str">
        <f t="shared" si="85"/>
        <v>Pre-Senior | Medium Spender | Higher</v>
      </c>
    </row>
    <row r="2739" spans="1:15" x14ac:dyDescent="0.25">
      <c r="A2739" s="1" t="s">
        <v>2769</v>
      </c>
      <c r="B2739" s="1">
        <v>53</v>
      </c>
      <c r="C2739" s="1" t="str" cm="1">
        <f t="array" ref="C2739">_xlfn.IFS(OR(B2739=" ", B2739="NA",NOT(ISNUMBER(B2739))), "Unknown",B2739&lt;18,"Underage",B2739&lt;=24,"Young Adult",B2739&lt;=34,"Early Career",B2739&lt;=44,"Mid Career",B2739&lt;=54,"Mature",B2739&lt;=65,"Pre-Senior",B2739&gt;65,"Senior")</f>
        <v>Mature</v>
      </c>
      <c r="E2739" s="1" t="s">
        <v>49</v>
      </c>
      <c r="F2739" s="1">
        <v>250000</v>
      </c>
      <c r="G2739" s="1">
        <v>84</v>
      </c>
      <c r="H2739" s="1" t="str" cm="1">
        <f t="array" ref="H2739">_xlfn.IFS( OR(G2739=" ",NOT(ISNUMBER(G2739))),"Unknown",G2739&lt;=33,"Low Spender",G2739&lt;=66,"Medium Spender",TRUE, "High Spender")</f>
        <v>High Spender</v>
      </c>
      <c r="I2739" s="1">
        <v>15</v>
      </c>
      <c r="J2739" s="1">
        <v>11500</v>
      </c>
      <c r="K2739" s="1">
        <v>338</v>
      </c>
      <c r="M2739" s="1" t="s">
        <v>21</v>
      </c>
      <c r="N2739" s="1" t="str">
        <f t="shared" si="84"/>
        <v>Lower</v>
      </c>
      <c r="O2739" s="1" t="str">
        <f t="shared" si="85"/>
        <v>Mature | High Spender | Lower</v>
      </c>
    </row>
    <row r="2740" spans="1:15" x14ac:dyDescent="0.25">
      <c r="A2740" s="1" t="s">
        <v>2770</v>
      </c>
      <c r="B2740" s="1">
        <v>57</v>
      </c>
      <c r="C2740" s="1" t="str" cm="1">
        <f t="array" ref="C2740">_xlfn.IFS(OR(B2740=" ", B2740="NA",NOT(ISNUMBER(B2740))), "Unknown",B2740&lt;18,"Underage",B2740&lt;=24,"Young Adult",B2740&lt;=34,"Early Career",B2740&lt;=44,"Mid Career",B2740&lt;=54,"Mature",B2740&lt;=65,"Pre-Senior",B2740&gt;65,"Senior")</f>
        <v>Pre-Senior</v>
      </c>
      <c r="E2740" s="1" t="s">
        <v>27</v>
      </c>
      <c r="F2740" s="1">
        <v>1625000</v>
      </c>
      <c r="G2740" s="1">
        <v>41</v>
      </c>
      <c r="H2740" s="1" t="str" cm="1">
        <f t="array" ref="H2740">_xlfn.IFS( OR(G2740=" ",NOT(ISNUMBER(G2740))),"Unknown",G2740&lt;=33,"Low Spender",G2740&lt;=66,"Medium Spender",TRUE, "High Spender")</f>
        <v>Medium Spender</v>
      </c>
      <c r="I2740" s="1">
        <v>21</v>
      </c>
      <c r="J2740" s="1">
        <v>9700</v>
      </c>
      <c r="K2740" s="1">
        <v>256</v>
      </c>
      <c r="L2740" s="1" t="s">
        <v>35</v>
      </c>
      <c r="M2740" s="1" t="s">
        <v>32</v>
      </c>
      <c r="N2740" s="1" t="str">
        <f t="shared" si="84"/>
        <v>Lower</v>
      </c>
      <c r="O2740" s="1" t="str">
        <f t="shared" si="85"/>
        <v>Pre-Senior | Medium Spender | Lower</v>
      </c>
    </row>
    <row r="2741" spans="1:15" x14ac:dyDescent="0.25">
      <c r="A2741" s="1" t="s">
        <v>2771</v>
      </c>
      <c r="B2741" s="1">
        <v>54</v>
      </c>
      <c r="C2741" s="1" t="str" cm="1">
        <f t="array" ref="C2741">_xlfn.IFS(OR(B2741=" ", B2741="NA",NOT(ISNUMBER(B2741))), "Unknown",B2741&lt;18,"Underage",B2741&lt;=24,"Young Adult",B2741&lt;=34,"Early Career",B2741&lt;=44,"Mid Career",B2741&lt;=54,"Mature",B2741&lt;=65,"Pre-Senior",B2741&gt;65,"Senior")</f>
        <v>Mature</v>
      </c>
      <c r="D2741" s="1" t="s">
        <v>29</v>
      </c>
      <c r="F2741" s="1">
        <v>650000</v>
      </c>
      <c r="G2741" s="1">
        <v>87</v>
      </c>
      <c r="H2741" s="1" t="str" cm="1">
        <f t="array" ref="H2741">_xlfn.IFS( OR(G2741=" ",NOT(ISNUMBER(G2741))),"Unknown",G2741&lt;=33,"Low Spender",G2741&lt;=66,"Medium Spender",TRUE, "High Spender")</f>
        <v>High Spender</v>
      </c>
      <c r="I2741" s="1">
        <v>17</v>
      </c>
      <c r="J2741" s="1">
        <v>7200</v>
      </c>
      <c r="K2741" s="1">
        <v>141</v>
      </c>
      <c r="M2741" s="1" t="s">
        <v>32</v>
      </c>
      <c r="N2741" s="1" t="str">
        <f t="shared" si="84"/>
        <v>Higher</v>
      </c>
      <c r="O2741" s="1" t="str">
        <f t="shared" si="85"/>
        <v>Mature | High Spender | Higher</v>
      </c>
    </row>
    <row r="2742" spans="1:15" x14ac:dyDescent="0.25">
      <c r="A2742" s="1" t="s">
        <v>2772</v>
      </c>
      <c r="B2742" s="1">
        <v>50</v>
      </c>
      <c r="C2742" s="1" t="str" cm="1">
        <f t="array" ref="C2742">_xlfn.IFS(OR(B2742=" ", B2742="NA",NOT(ISNUMBER(B2742))), "Unknown",B2742&lt;18,"Underage",B2742&lt;=24,"Young Adult",B2742&lt;=34,"Early Career",B2742&lt;=44,"Mid Career",B2742&lt;=54,"Mature",B2742&lt;=65,"Pre-Senior",B2742&gt;65,"Senior")</f>
        <v>Mature</v>
      </c>
      <c r="D2742" s="1" t="s">
        <v>18</v>
      </c>
      <c r="E2742" s="1" t="s">
        <v>34</v>
      </c>
      <c r="F2742" s="1">
        <v>725000</v>
      </c>
      <c r="G2742" s="1">
        <v>82</v>
      </c>
      <c r="H2742" s="1" t="str" cm="1">
        <f t="array" ref="H2742">_xlfn.IFS( OR(G2742=" ",NOT(ISNUMBER(G2742))),"Unknown",G2742&lt;=33,"Low Spender",G2742&lt;=66,"Medium Spender",TRUE, "High Spender")</f>
        <v>High Spender</v>
      </c>
      <c r="I2742" s="1">
        <v>56</v>
      </c>
      <c r="J2742" s="1">
        <v>10100</v>
      </c>
      <c r="K2742" s="1">
        <v>208</v>
      </c>
      <c r="M2742" s="1" t="s">
        <v>21</v>
      </c>
      <c r="N2742" s="1" t="str">
        <f t="shared" si="84"/>
        <v>Higher</v>
      </c>
      <c r="O2742" s="1" t="str">
        <f t="shared" si="85"/>
        <v>Mature | High Spender | Higher</v>
      </c>
    </row>
    <row r="2743" spans="1:15" x14ac:dyDescent="0.25">
      <c r="A2743" s="1" t="s">
        <v>2773</v>
      </c>
      <c r="B2743" s="1">
        <v>53</v>
      </c>
      <c r="C2743" s="1" t="str" cm="1">
        <f t="array" ref="C2743">_xlfn.IFS(OR(B2743=" ", B2743="NA",NOT(ISNUMBER(B2743))), "Unknown",B2743&lt;18,"Underage",B2743&lt;=24,"Young Adult",B2743&lt;=34,"Early Career",B2743&lt;=44,"Mid Career",B2743&lt;=54,"Mature",B2743&lt;=65,"Pre-Senior",B2743&gt;65,"Senior")</f>
        <v>Mature</v>
      </c>
      <c r="D2743" s="1" t="s">
        <v>29</v>
      </c>
      <c r="E2743" s="1" t="s">
        <v>34</v>
      </c>
      <c r="F2743" s="1">
        <v>575000</v>
      </c>
      <c r="G2743" s="1">
        <v>89</v>
      </c>
      <c r="H2743" s="1" t="str" cm="1">
        <f t="array" ref="H2743">_xlfn.IFS( OR(G2743=" ",NOT(ISNUMBER(G2743))),"Unknown",G2743&lt;=33,"Low Spender",G2743&lt;=66,"Medium Spender",TRUE, "High Spender")</f>
        <v>High Spender</v>
      </c>
      <c r="I2743" s="1">
        <v>50</v>
      </c>
      <c r="J2743" s="1">
        <v>5400</v>
      </c>
      <c r="K2743" s="1">
        <v>260</v>
      </c>
      <c r="L2743" s="1" t="s">
        <v>37</v>
      </c>
      <c r="M2743" s="1" t="s">
        <v>32</v>
      </c>
      <c r="N2743" s="1" t="str">
        <f t="shared" si="84"/>
        <v>Higher</v>
      </c>
      <c r="O2743" s="1" t="str">
        <f t="shared" si="85"/>
        <v>Mature | High Spender | Higher</v>
      </c>
    </row>
    <row r="2744" spans="1:15" x14ac:dyDescent="0.25">
      <c r="A2744" s="1" t="s">
        <v>2774</v>
      </c>
      <c r="B2744" s="1">
        <v>20</v>
      </c>
      <c r="C2744" s="1" t="str" cm="1">
        <f t="array" ref="C2744">_xlfn.IFS(OR(B2744=" ", B2744="NA",NOT(ISNUMBER(B2744))), "Unknown",B2744&lt;18,"Underage",B2744&lt;=24,"Young Adult",B2744&lt;=34,"Early Career",B2744&lt;=44,"Mid Career",B2744&lt;=54,"Mature",B2744&lt;=65,"Pre-Senior",B2744&gt;65,"Senior")</f>
        <v>Young Adult</v>
      </c>
      <c r="D2744" s="1" t="s">
        <v>29</v>
      </c>
      <c r="E2744" s="1" t="s">
        <v>15</v>
      </c>
      <c r="F2744" s="1">
        <v>650000</v>
      </c>
      <c r="G2744" s="1">
        <v>65</v>
      </c>
      <c r="H2744" s="1" t="str" cm="1">
        <f t="array" ref="H2744">_xlfn.IFS( OR(G2744=" ",NOT(ISNUMBER(G2744))),"Unknown",G2744&lt;=33,"Low Spender",G2744&lt;=66,"Medium Spender",TRUE, "High Spender")</f>
        <v>Medium Spender</v>
      </c>
      <c r="I2744" s="1">
        <v>7</v>
      </c>
      <c r="J2744" s="1">
        <v>5800</v>
      </c>
      <c r="K2744" s="1">
        <v>263</v>
      </c>
      <c r="L2744" s="1" t="s">
        <v>20</v>
      </c>
      <c r="M2744" s="1" t="s">
        <v>21</v>
      </c>
      <c r="N2744" s="1" t="str">
        <f t="shared" si="84"/>
        <v>Higher</v>
      </c>
      <c r="O2744" s="1" t="str">
        <f t="shared" si="85"/>
        <v>Young Adult | Medium Spender | Higher</v>
      </c>
    </row>
    <row r="2745" spans="1:15" x14ac:dyDescent="0.25">
      <c r="A2745" s="1" t="s">
        <v>2775</v>
      </c>
      <c r="B2745" s="1">
        <v>26</v>
      </c>
      <c r="C2745" s="1" t="str" cm="1">
        <f t="array" ref="C2745">_xlfn.IFS(OR(B2745=" ", B2745="NA",NOT(ISNUMBER(B2745))), "Unknown",B2745&lt;18,"Underage",B2745&lt;=24,"Young Adult",B2745&lt;=34,"Early Career",B2745&lt;=44,"Mid Career",B2745&lt;=54,"Mature",B2745&lt;=65,"Pre-Senior",B2745&gt;65,"Senior")</f>
        <v>Early Career</v>
      </c>
      <c r="D2745" s="1" t="s">
        <v>18</v>
      </c>
      <c r="E2745" s="1" t="s">
        <v>15</v>
      </c>
      <c r="F2745" s="1">
        <v>1475000</v>
      </c>
      <c r="G2745" s="1">
        <v>64</v>
      </c>
      <c r="H2745" s="1" t="str" cm="1">
        <f t="array" ref="H2745">_xlfn.IFS( OR(G2745=" ",NOT(ISNUMBER(G2745))),"Unknown",G2745&lt;=33,"Low Spender",G2745&lt;=66,"Medium Spender",TRUE, "High Spender")</f>
        <v>Medium Spender</v>
      </c>
      <c r="I2745" s="1">
        <v>50</v>
      </c>
      <c r="J2745" s="1">
        <v>6500</v>
      </c>
      <c r="K2745" s="1">
        <v>271</v>
      </c>
      <c r="M2745" s="1" t="s">
        <v>30</v>
      </c>
      <c r="N2745" s="1" t="str">
        <f t="shared" si="84"/>
        <v>Higher</v>
      </c>
      <c r="O2745" s="1" t="str">
        <f t="shared" si="85"/>
        <v>Early Career | Medium Spender | Higher</v>
      </c>
    </row>
    <row r="2746" spans="1:15" x14ac:dyDescent="0.25">
      <c r="A2746" s="1" t="s">
        <v>2776</v>
      </c>
      <c r="B2746" s="1">
        <v>25</v>
      </c>
      <c r="C2746" s="1" t="str" cm="1">
        <f t="array" ref="C2746">_xlfn.IFS(OR(B2746=" ", B2746="NA",NOT(ISNUMBER(B2746))), "Unknown",B2746&lt;18,"Underage",B2746&lt;=24,"Young Adult",B2746&lt;=34,"Early Career",B2746&lt;=44,"Mid Career",B2746&lt;=54,"Mature",B2746&lt;=65,"Pre-Senior",B2746&gt;65,"Senior")</f>
        <v>Early Career</v>
      </c>
      <c r="D2746" s="1" t="s">
        <v>29</v>
      </c>
      <c r="F2746" s="1">
        <v>375000</v>
      </c>
      <c r="G2746" s="1">
        <v>79</v>
      </c>
      <c r="H2746" s="1" t="str" cm="1">
        <f t="array" ref="H2746">_xlfn.IFS( OR(G2746=" ",NOT(ISNUMBER(G2746))),"Unknown",G2746&lt;=33,"Low Spender",G2746&lt;=66,"Medium Spender",TRUE, "High Spender")</f>
        <v>High Spender</v>
      </c>
      <c r="I2746" s="1">
        <v>60</v>
      </c>
      <c r="J2746" s="1">
        <v>7000</v>
      </c>
      <c r="K2746" s="1">
        <v>38</v>
      </c>
      <c r="L2746" s="1" t="s">
        <v>37</v>
      </c>
      <c r="M2746" s="1" t="s">
        <v>32</v>
      </c>
      <c r="N2746" s="1" t="str">
        <f t="shared" si="84"/>
        <v>Higher</v>
      </c>
      <c r="O2746" s="1" t="str">
        <f t="shared" si="85"/>
        <v>Early Career | High Spender | Higher</v>
      </c>
    </row>
    <row r="2747" spans="1:15" x14ac:dyDescent="0.25">
      <c r="A2747" s="1" t="s">
        <v>2777</v>
      </c>
      <c r="B2747" s="1">
        <v>50</v>
      </c>
      <c r="C2747" s="1" t="str" cm="1">
        <f t="array" ref="C2747">_xlfn.IFS(OR(B2747=" ", B2747="NA",NOT(ISNUMBER(B2747))), "Unknown",B2747&lt;18,"Underage",B2747&lt;=24,"Young Adult",B2747&lt;=34,"Early Career",B2747&lt;=44,"Mid Career",B2747&lt;=54,"Mature",B2747&lt;=65,"Pre-Senior",B2747&gt;65,"Senior")</f>
        <v>Mature</v>
      </c>
      <c r="D2747" s="1" t="s">
        <v>29</v>
      </c>
      <c r="E2747" s="1" t="s">
        <v>58</v>
      </c>
      <c r="F2747" s="1">
        <v>725000</v>
      </c>
      <c r="G2747" s="1">
        <v>63</v>
      </c>
      <c r="H2747" s="1" t="str" cm="1">
        <f t="array" ref="H2747">_xlfn.IFS( OR(G2747=" ",NOT(ISNUMBER(G2747))),"Unknown",G2747&lt;=33,"Low Spender",G2747&lt;=66,"Medium Spender",TRUE, "High Spender")</f>
        <v>Medium Spender</v>
      </c>
      <c r="I2747" s="1">
        <v>7</v>
      </c>
      <c r="J2747" s="1">
        <v>10600</v>
      </c>
      <c r="K2747" s="1">
        <v>203</v>
      </c>
      <c r="L2747" s="1" t="s">
        <v>20</v>
      </c>
      <c r="M2747" s="1" t="s">
        <v>41</v>
      </c>
      <c r="N2747" s="1" t="str">
        <f t="shared" si="84"/>
        <v>Higher</v>
      </c>
      <c r="O2747" s="1" t="str">
        <f t="shared" si="85"/>
        <v>Mature | Medium Spender | Higher</v>
      </c>
    </row>
    <row r="2748" spans="1:15" x14ac:dyDescent="0.25">
      <c r="A2748" s="1" t="s">
        <v>2778</v>
      </c>
      <c r="B2748" s="1">
        <v>23</v>
      </c>
      <c r="C2748" s="1" t="str" cm="1">
        <f t="array" ref="C2748">_xlfn.IFS(OR(B2748=" ", B2748="NA",NOT(ISNUMBER(B2748))), "Unknown",B2748&lt;18,"Underage",B2748&lt;=24,"Young Adult",B2748&lt;=34,"Early Career",B2748&lt;=44,"Mid Career",B2748&lt;=54,"Mature",B2748&lt;=65,"Pre-Senior",B2748&gt;65,"Senior")</f>
        <v>Young Adult</v>
      </c>
      <c r="E2748" s="1" t="s">
        <v>13</v>
      </c>
      <c r="F2748" s="1">
        <v>1625000</v>
      </c>
      <c r="G2748" s="1">
        <v>98</v>
      </c>
      <c r="H2748" s="1" t="str" cm="1">
        <f t="array" ref="H2748">_xlfn.IFS( OR(G2748=" ",NOT(ISNUMBER(G2748))),"Unknown",G2748&lt;=33,"Low Spender",G2748&lt;=66,"Medium Spender",TRUE, "High Spender")</f>
        <v>High Spender</v>
      </c>
      <c r="I2748" s="1">
        <v>40</v>
      </c>
      <c r="J2748" s="1">
        <v>2200</v>
      </c>
      <c r="K2748" s="1">
        <v>224</v>
      </c>
      <c r="L2748" s="1" t="s">
        <v>37</v>
      </c>
      <c r="M2748" s="1" t="s">
        <v>32</v>
      </c>
      <c r="N2748" s="1" t="str">
        <f t="shared" si="84"/>
        <v>Lower</v>
      </c>
      <c r="O2748" s="1" t="str">
        <f t="shared" si="85"/>
        <v>Young Adult | High Spender | Lower</v>
      </c>
    </row>
    <row r="2749" spans="1:15" x14ac:dyDescent="0.25">
      <c r="A2749" s="1" t="s">
        <v>2779</v>
      </c>
      <c r="B2749" s="1">
        <v>58</v>
      </c>
      <c r="C2749" s="1" t="str" cm="1">
        <f t="array" ref="C2749">_xlfn.IFS(OR(B2749=" ", B2749="NA",NOT(ISNUMBER(B2749))), "Unknown",B2749&lt;18,"Underage",B2749&lt;=24,"Young Adult",B2749&lt;=34,"Early Career",B2749&lt;=44,"Mid Career",B2749&lt;=54,"Mature",B2749&lt;=65,"Pre-Senior",B2749&gt;65,"Senior")</f>
        <v>Pre-Senior</v>
      </c>
      <c r="D2749" s="1" t="s">
        <v>12</v>
      </c>
      <c r="E2749" s="1" t="s">
        <v>15</v>
      </c>
      <c r="F2749" s="1">
        <v>1550000</v>
      </c>
      <c r="G2749" s="1">
        <v>48</v>
      </c>
      <c r="H2749" s="1" t="str" cm="1">
        <f t="array" ref="H2749">_xlfn.IFS( OR(G2749=" ",NOT(ISNUMBER(G2749))),"Unknown",G2749&lt;=33,"Low Spender",G2749&lt;=66,"Medium Spender",TRUE, "High Spender")</f>
        <v>Medium Spender</v>
      </c>
      <c r="I2749" s="1">
        <v>45</v>
      </c>
      <c r="J2749" s="1">
        <v>10700</v>
      </c>
      <c r="K2749" s="1">
        <v>347</v>
      </c>
      <c r="M2749" s="1" t="s">
        <v>21</v>
      </c>
      <c r="N2749" s="1" t="str">
        <f t="shared" si="84"/>
        <v>Lower</v>
      </c>
      <c r="O2749" s="1" t="str">
        <f t="shared" si="85"/>
        <v>Pre-Senior | Medium Spender | Lower</v>
      </c>
    </row>
    <row r="2750" spans="1:15" x14ac:dyDescent="0.25">
      <c r="A2750" s="1" t="s">
        <v>2780</v>
      </c>
      <c r="B2750" s="1">
        <v>56</v>
      </c>
      <c r="C2750" s="1" t="str" cm="1">
        <f t="array" ref="C2750">_xlfn.IFS(OR(B2750=" ", B2750="NA",NOT(ISNUMBER(B2750))), "Unknown",B2750&lt;18,"Underage",B2750&lt;=24,"Young Adult",B2750&lt;=34,"Early Career",B2750&lt;=44,"Mid Career",B2750&lt;=54,"Mature",B2750&lt;=65,"Pre-Senior",B2750&gt;65,"Senior")</f>
        <v>Pre-Senior</v>
      </c>
      <c r="E2750" s="1" t="s">
        <v>27</v>
      </c>
      <c r="F2750" s="1">
        <v>700000</v>
      </c>
      <c r="G2750" s="1">
        <v>20</v>
      </c>
      <c r="H2750" s="1" t="str" cm="1">
        <f t="array" ref="H2750">_xlfn.IFS( OR(G2750=" ",NOT(ISNUMBER(G2750))),"Unknown",G2750&lt;=33,"Low Spender",G2750&lt;=66,"Medium Spender",TRUE, "High Spender")</f>
        <v>Low Spender</v>
      </c>
      <c r="I2750" s="1">
        <v>59</v>
      </c>
      <c r="J2750" s="1">
        <v>5600</v>
      </c>
      <c r="K2750" s="1">
        <v>52</v>
      </c>
      <c r="L2750" s="1" t="s">
        <v>35</v>
      </c>
      <c r="M2750" s="1" t="s">
        <v>41</v>
      </c>
      <c r="N2750" s="1" t="str">
        <f t="shared" si="84"/>
        <v>Lower</v>
      </c>
      <c r="O2750" s="1" t="str">
        <f t="shared" si="85"/>
        <v>Pre-Senior | Low Spender | Lower</v>
      </c>
    </row>
    <row r="2751" spans="1:15" x14ac:dyDescent="0.25">
      <c r="A2751" s="1" t="s">
        <v>2781</v>
      </c>
      <c r="B2751" s="1">
        <v>21</v>
      </c>
      <c r="C2751" s="1" t="str" cm="1">
        <f t="array" ref="C2751">_xlfn.IFS(OR(B2751=" ", B2751="NA",NOT(ISNUMBER(B2751))), "Unknown",B2751&lt;18,"Underage",B2751&lt;=24,"Young Adult",B2751&lt;=34,"Early Career",B2751&lt;=44,"Mid Career",B2751&lt;=54,"Mature",B2751&lt;=65,"Pre-Senior",B2751&gt;65,"Senior")</f>
        <v>Young Adult</v>
      </c>
      <c r="D2751" s="1" t="s">
        <v>12</v>
      </c>
      <c r="E2751" s="1" t="s">
        <v>27</v>
      </c>
      <c r="F2751" s="1">
        <v>675000</v>
      </c>
      <c r="G2751" s="1">
        <v>37</v>
      </c>
      <c r="H2751" s="1" t="str" cm="1">
        <f t="array" ref="H2751">_xlfn.IFS( OR(G2751=" ",NOT(ISNUMBER(G2751))),"Unknown",G2751&lt;=33,"Low Spender",G2751&lt;=66,"Medium Spender",TRUE, "High Spender")</f>
        <v>Medium Spender</v>
      </c>
      <c r="I2751" s="1">
        <v>75</v>
      </c>
      <c r="J2751" s="1">
        <v>300</v>
      </c>
      <c r="K2751" s="1">
        <v>81</v>
      </c>
      <c r="L2751" s="1" t="s">
        <v>16</v>
      </c>
      <c r="N2751" s="1" t="str">
        <f t="shared" si="84"/>
        <v>Lower</v>
      </c>
      <c r="O2751" s="1" t="str">
        <f t="shared" si="85"/>
        <v>Young Adult | Medium Spender | Lower</v>
      </c>
    </row>
    <row r="2752" spans="1:15" x14ac:dyDescent="0.25">
      <c r="A2752" s="1" t="s">
        <v>2782</v>
      </c>
      <c r="B2752" s="1">
        <v>30</v>
      </c>
      <c r="C2752" s="1" t="str" cm="1">
        <f t="array" ref="C2752">_xlfn.IFS(OR(B2752=" ", B2752="NA",NOT(ISNUMBER(B2752))), "Unknown",B2752&lt;18,"Underage",B2752&lt;=24,"Young Adult",B2752&lt;=34,"Early Career",B2752&lt;=44,"Mid Career",B2752&lt;=54,"Mature",B2752&lt;=65,"Pre-Senior",B2752&gt;65,"Senior")</f>
        <v>Early Career</v>
      </c>
      <c r="E2752" s="1" t="s">
        <v>13</v>
      </c>
      <c r="F2752" s="1">
        <v>1825000</v>
      </c>
      <c r="G2752" s="1">
        <v>64</v>
      </c>
      <c r="H2752" s="1" t="str" cm="1">
        <f t="array" ref="H2752">_xlfn.IFS( OR(G2752=" ",NOT(ISNUMBER(G2752))),"Unknown",G2752&lt;=33,"Low Spender",G2752&lt;=66,"Medium Spender",TRUE, "High Spender")</f>
        <v>Medium Spender</v>
      </c>
      <c r="I2752" s="1">
        <v>55</v>
      </c>
      <c r="J2752" s="1">
        <v>11100</v>
      </c>
      <c r="K2752" s="1">
        <v>356</v>
      </c>
      <c r="L2752" s="1" t="s">
        <v>35</v>
      </c>
      <c r="M2752" s="1" t="s">
        <v>41</v>
      </c>
      <c r="N2752" s="1" t="str">
        <f t="shared" si="84"/>
        <v>Lower</v>
      </c>
      <c r="O2752" s="1" t="str">
        <f t="shared" si="85"/>
        <v>Early Career | Medium Spender | Lower</v>
      </c>
    </row>
    <row r="2753" spans="1:15" x14ac:dyDescent="0.25">
      <c r="A2753" s="1" t="s">
        <v>2783</v>
      </c>
      <c r="B2753" s="1">
        <v>66</v>
      </c>
      <c r="C2753" s="1" t="str" cm="1">
        <f t="array" ref="C2753">_xlfn.IFS(OR(B2753=" ", B2753="NA",NOT(ISNUMBER(B2753))), "Unknown",B2753&lt;18,"Underage",B2753&lt;=24,"Young Adult",B2753&lt;=34,"Early Career",B2753&lt;=44,"Mid Career",B2753&lt;=54,"Mature",B2753&lt;=65,"Pre-Senior",B2753&gt;65,"Senior")</f>
        <v>Senior</v>
      </c>
      <c r="D2753" s="1" t="s">
        <v>18</v>
      </c>
      <c r="E2753" s="1" t="s">
        <v>19</v>
      </c>
      <c r="F2753" s="1">
        <v>975000</v>
      </c>
      <c r="G2753" s="1">
        <v>91</v>
      </c>
      <c r="H2753" s="1" t="str" cm="1">
        <f t="array" ref="H2753">_xlfn.IFS( OR(G2753=" ",NOT(ISNUMBER(G2753))),"Unknown",G2753&lt;=33,"Low Spender",G2753&lt;=66,"Medium Spender",TRUE, "High Spender")</f>
        <v>High Spender</v>
      </c>
      <c r="I2753" s="1">
        <v>64</v>
      </c>
      <c r="J2753" s="1">
        <v>9200</v>
      </c>
      <c r="K2753" s="1">
        <v>211</v>
      </c>
      <c r="M2753" s="1" t="s">
        <v>41</v>
      </c>
      <c r="N2753" s="1" t="str">
        <f t="shared" si="84"/>
        <v>Higher</v>
      </c>
      <c r="O2753" s="1" t="str">
        <f t="shared" si="85"/>
        <v>Senior | High Spender | Higher</v>
      </c>
    </row>
    <row r="2754" spans="1:15" x14ac:dyDescent="0.25">
      <c r="A2754" s="1" t="s">
        <v>2784</v>
      </c>
      <c r="B2754" s="1">
        <v>19</v>
      </c>
      <c r="C2754" s="1" t="str" cm="1">
        <f t="array" ref="C2754">_xlfn.IFS(OR(B2754=" ", B2754="NA",NOT(ISNUMBER(B2754))), "Unknown",B2754&lt;18,"Underage",B2754&lt;=24,"Young Adult",B2754&lt;=34,"Early Career",B2754&lt;=44,"Mid Career",B2754&lt;=54,"Mature",B2754&lt;=65,"Pre-Senior",B2754&gt;65,"Senior")</f>
        <v>Young Adult</v>
      </c>
      <c r="D2754" s="1" t="s">
        <v>29</v>
      </c>
      <c r="E2754" s="1" t="s">
        <v>19</v>
      </c>
      <c r="F2754" s="1">
        <v>1875000</v>
      </c>
      <c r="G2754" s="1">
        <v>86</v>
      </c>
      <c r="H2754" s="1" t="str" cm="1">
        <f t="array" ref="H2754">_xlfn.IFS( OR(G2754=" ",NOT(ISNUMBER(G2754))),"Unknown",G2754&lt;=33,"Low Spender",G2754&lt;=66,"Medium Spender",TRUE, "High Spender")</f>
        <v>High Spender</v>
      </c>
      <c r="I2754" s="1">
        <v>65</v>
      </c>
      <c r="J2754" s="1">
        <v>10000</v>
      </c>
      <c r="K2754" s="1">
        <v>7</v>
      </c>
      <c r="L2754" s="1" t="s">
        <v>16</v>
      </c>
      <c r="M2754" s="1" t="s">
        <v>32</v>
      </c>
      <c r="N2754" s="1" t="str">
        <f t="shared" ref="N2754:N2817" si="86">IF(OR(UPPER(TRIM(D2754))="Male",UPPER(TRIM(D2754))="Female"),"Higher","Lower")</f>
        <v>Higher</v>
      </c>
      <c r="O2754" s="1" t="str">
        <f t="shared" ref="O2754:O2817" si="87">_xlfn.TEXTJOIN(" | ", TRUE, C2754, H2754, N2754)</f>
        <v>Young Adult | High Spender | Higher</v>
      </c>
    </row>
    <row r="2755" spans="1:15" x14ac:dyDescent="0.25">
      <c r="A2755" s="1" t="s">
        <v>2785</v>
      </c>
      <c r="B2755" s="1">
        <v>22</v>
      </c>
      <c r="C2755" s="1" t="str" cm="1">
        <f t="array" ref="C2755">_xlfn.IFS(OR(B2755=" ", B2755="NA",NOT(ISNUMBER(B2755))), "Unknown",B2755&lt;18,"Underage",B2755&lt;=24,"Young Adult",B2755&lt;=34,"Early Career",B2755&lt;=44,"Mid Career",B2755&lt;=54,"Mature",B2755&lt;=65,"Pre-Senior",B2755&gt;65,"Senior")</f>
        <v>Young Adult</v>
      </c>
      <c r="E2755" s="1" t="s">
        <v>34</v>
      </c>
      <c r="F2755" s="1">
        <v>825000</v>
      </c>
      <c r="G2755" s="1">
        <v>5</v>
      </c>
      <c r="H2755" s="1" t="str" cm="1">
        <f t="array" ref="H2755">_xlfn.IFS( OR(G2755=" ",NOT(ISNUMBER(G2755))),"Unknown",G2755&lt;=33,"Low Spender",G2755&lt;=66,"Medium Spender",TRUE, "High Spender")</f>
        <v>Low Spender</v>
      </c>
      <c r="I2755" s="1">
        <v>54</v>
      </c>
      <c r="K2755" s="1">
        <v>363</v>
      </c>
      <c r="L2755" s="1" t="s">
        <v>20</v>
      </c>
      <c r="N2755" s="1" t="str">
        <f t="shared" si="86"/>
        <v>Lower</v>
      </c>
      <c r="O2755" s="1" t="str">
        <f t="shared" si="87"/>
        <v>Young Adult | Low Spender | Lower</v>
      </c>
    </row>
    <row r="2756" spans="1:15" x14ac:dyDescent="0.25">
      <c r="A2756" s="1" t="s">
        <v>2786</v>
      </c>
      <c r="B2756" s="1">
        <v>61</v>
      </c>
      <c r="C2756" s="1" t="str" cm="1">
        <f t="array" ref="C2756">_xlfn.IFS(OR(B2756=" ", B2756="NA",NOT(ISNUMBER(B2756))), "Unknown",B2756&lt;18,"Underage",B2756&lt;=24,"Young Adult",B2756&lt;=34,"Early Career",B2756&lt;=44,"Mid Career",B2756&lt;=54,"Mature",B2756&lt;=65,"Pre-Senior",B2756&gt;65,"Senior")</f>
        <v>Pre-Senior</v>
      </c>
      <c r="D2756" s="1" t="s">
        <v>29</v>
      </c>
      <c r="E2756" s="1" t="s">
        <v>15</v>
      </c>
      <c r="F2756" s="1">
        <v>1100000</v>
      </c>
      <c r="G2756" s="1">
        <v>34</v>
      </c>
      <c r="H2756" s="1" t="str" cm="1">
        <f t="array" ref="H2756">_xlfn.IFS( OR(G2756=" ",NOT(ISNUMBER(G2756))),"Unknown",G2756&lt;=33,"Low Spender",G2756&lt;=66,"Medium Spender",TRUE, "High Spender")</f>
        <v>Medium Spender</v>
      </c>
      <c r="I2756" s="1">
        <v>40</v>
      </c>
      <c r="J2756" s="1">
        <v>1200</v>
      </c>
      <c r="K2756" s="1">
        <v>45</v>
      </c>
      <c r="L2756" s="1" t="s">
        <v>20</v>
      </c>
      <c r="M2756" s="1" t="s">
        <v>41</v>
      </c>
      <c r="N2756" s="1" t="str">
        <f t="shared" si="86"/>
        <v>Higher</v>
      </c>
      <c r="O2756" s="1" t="str">
        <f t="shared" si="87"/>
        <v>Pre-Senior | Medium Spender | Higher</v>
      </c>
    </row>
    <row r="2757" spans="1:15" x14ac:dyDescent="0.25">
      <c r="A2757" s="1" t="s">
        <v>2787</v>
      </c>
      <c r="B2757" s="1">
        <v>44</v>
      </c>
      <c r="C2757" s="1" t="str" cm="1">
        <f t="array" ref="C2757">_xlfn.IFS(OR(B2757=" ", B2757="NA",NOT(ISNUMBER(B2757))), "Unknown",B2757&lt;18,"Underage",B2757&lt;=24,"Young Adult",B2757&lt;=34,"Early Career",B2757&lt;=44,"Mid Career",B2757&lt;=54,"Mature",B2757&lt;=65,"Pre-Senior",B2757&gt;65,"Senior")</f>
        <v>Mid Career</v>
      </c>
      <c r="E2757" s="1" t="s">
        <v>23</v>
      </c>
      <c r="F2757" s="1">
        <v>1175000</v>
      </c>
      <c r="G2757" s="1">
        <v>39</v>
      </c>
      <c r="H2757" s="1" t="str" cm="1">
        <f t="array" ref="H2757">_xlfn.IFS( OR(G2757=" ",NOT(ISNUMBER(G2757))),"Unknown",G2757&lt;=33,"Low Spender",G2757&lt;=66,"Medium Spender",TRUE, "High Spender")</f>
        <v>Medium Spender</v>
      </c>
      <c r="I2757" s="1">
        <v>53</v>
      </c>
      <c r="J2757" s="1">
        <v>2500</v>
      </c>
      <c r="K2757" s="1">
        <v>315</v>
      </c>
      <c r="M2757" s="1" t="s">
        <v>41</v>
      </c>
      <c r="N2757" s="1" t="str">
        <f t="shared" si="86"/>
        <v>Lower</v>
      </c>
      <c r="O2757" s="1" t="str">
        <f t="shared" si="87"/>
        <v>Mid Career | Medium Spender | Lower</v>
      </c>
    </row>
    <row r="2758" spans="1:15" x14ac:dyDescent="0.25">
      <c r="A2758" s="1" t="s">
        <v>2788</v>
      </c>
      <c r="B2758" s="1">
        <v>49</v>
      </c>
      <c r="C2758" s="1" t="str" cm="1">
        <f t="array" ref="C2758">_xlfn.IFS(OR(B2758=" ", B2758="NA",NOT(ISNUMBER(B2758))), "Unknown",B2758&lt;18,"Underage",B2758&lt;=24,"Young Adult",B2758&lt;=34,"Early Career",B2758&lt;=44,"Mid Career",B2758&lt;=54,"Mature",B2758&lt;=65,"Pre-Senior",B2758&gt;65,"Senior")</f>
        <v>Mature</v>
      </c>
      <c r="F2758" s="1">
        <v>700000</v>
      </c>
      <c r="G2758" s="1">
        <v>67</v>
      </c>
      <c r="H2758" s="1" t="str" cm="1">
        <f t="array" ref="H2758">_xlfn.IFS( OR(G2758=" ",NOT(ISNUMBER(G2758))),"Unknown",G2758&lt;=33,"Low Spender",G2758&lt;=66,"Medium Spender",TRUE, "High Spender")</f>
        <v>High Spender</v>
      </c>
      <c r="I2758" s="1">
        <v>44</v>
      </c>
      <c r="J2758" s="1">
        <v>5300</v>
      </c>
      <c r="K2758" s="1">
        <v>277</v>
      </c>
      <c r="L2758" s="1" t="s">
        <v>16</v>
      </c>
      <c r="M2758" s="1" t="s">
        <v>21</v>
      </c>
      <c r="N2758" s="1" t="str">
        <f t="shared" si="86"/>
        <v>Lower</v>
      </c>
      <c r="O2758" s="1" t="str">
        <f t="shared" si="87"/>
        <v>Mature | High Spender | Lower</v>
      </c>
    </row>
    <row r="2759" spans="1:15" x14ac:dyDescent="0.25">
      <c r="A2759" s="1" t="s">
        <v>2789</v>
      </c>
      <c r="B2759" s="1">
        <v>38</v>
      </c>
      <c r="C2759" s="1" t="str" cm="1">
        <f t="array" ref="C2759">_xlfn.IFS(OR(B2759=" ", B2759="NA",NOT(ISNUMBER(B2759))), "Unknown",B2759&lt;18,"Underage",B2759&lt;=24,"Young Adult",B2759&lt;=34,"Early Career",B2759&lt;=44,"Mid Career",B2759&lt;=54,"Mature",B2759&lt;=65,"Pre-Senior",B2759&gt;65,"Senior")</f>
        <v>Mid Career</v>
      </c>
      <c r="D2759" s="1" t="s">
        <v>12</v>
      </c>
      <c r="F2759" s="1">
        <v>1875000</v>
      </c>
      <c r="G2759" s="1">
        <v>81</v>
      </c>
      <c r="H2759" s="1" t="str" cm="1">
        <f t="array" ref="H2759">_xlfn.IFS( OR(G2759=" ",NOT(ISNUMBER(G2759))),"Unknown",G2759&lt;=33,"Low Spender",G2759&lt;=66,"Medium Spender",TRUE, "High Spender")</f>
        <v>High Spender</v>
      </c>
      <c r="I2759" s="1">
        <v>63</v>
      </c>
      <c r="J2759" s="1">
        <v>11500</v>
      </c>
      <c r="K2759" s="1">
        <v>259</v>
      </c>
      <c r="L2759" s="1" t="s">
        <v>35</v>
      </c>
      <c r="M2759" s="1" t="s">
        <v>32</v>
      </c>
      <c r="N2759" s="1" t="str">
        <f t="shared" si="86"/>
        <v>Lower</v>
      </c>
      <c r="O2759" s="1" t="str">
        <f t="shared" si="87"/>
        <v>Mid Career | High Spender | Lower</v>
      </c>
    </row>
    <row r="2760" spans="1:15" x14ac:dyDescent="0.25">
      <c r="A2760" s="1" t="s">
        <v>2790</v>
      </c>
      <c r="B2760" s="1">
        <v>25</v>
      </c>
      <c r="C2760" s="1" t="str" cm="1">
        <f t="array" ref="C2760">_xlfn.IFS(OR(B2760=" ", B2760="NA",NOT(ISNUMBER(B2760))), "Unknown",B2760&lt;18,"Underage",B2760&lt;=24,"Young Adult",B2760&lt;=34,"Early Career",B2760&lt;=44,"Mid Career",B2760&lt;=54,"Mature",B2760&lt;=65,"Pre-Senior",B2760&gt;65,"Senior")</f>
        <v>Early Career</v>
      </c>
      <c r="D2760" s="1" t="s">
        <v>18</v>
      </c>
      <c r="E2760" s="1" t="s">
        <v>13</v>
      </c>
      <c r="F2760" s="1">
        <v>175000</v>
      </c>
      <c r="G2760" s="1">
        <v>62</v>
      </c>
      <c r="H2760" s="1" t="str" cm="1">
        <f t="array" ref="H2760">_xlfn.IFS( OR(G2760=" ",NOT(ISNUMBER(G2760))),"Unknown",G2760&lt;=33,"Low Spender",G2760&lt;=66,"Medium Spender",TRUE, "High Spender")</f>
        <v>Medium Spender</v>
      </c>
      <c r="I2760" s="1">
        <v>2</v>
      </c>
      <c r="J2760" s="1">
        <v>2600</v>
      </c>
      <c r="K2760" s="1">
        <v>142</v>
      </c>
      <c r="M2760" s="1" t="s">
        <v>21</v>
      </c>
      <c r="N2760" s="1" t="str">
        <f t="shared" si="86"/>
        <v>Higher</v>
      </c>
      <c r="O2760" s="1" t="str">
        <f t="shared" si="87"/>
        <v>Early Career | Medium Spender | Higher</v>
      </c>
    </row>
    <row r="2761" spans="1:15" x14ac:dyDescent="0.25">
      <c r="A2761" s="1" t="s">
        <v>2791</v>
      </c>
      <c r="B2761" s="1">
        <v>55</v>
      </c>
      <c r="C2761" s="1" t="str" cm="1">
        <f t="array" ref="C2761">_xlfn.IFS(OR(B2761=" ", B2761="NA",NOT(ISNUMBER(B2761))), "Unknown",B2761&lt;18,"Underage",B2761&lt;=24,"Young Adult",B2761&lt;=34,"Early Career",B2761&lt;=44,"Mid Career",B2761&lt;=54,"Mature",B2761&lt;=65,"Pre-Senior",B2761&gt;65,"Senior")</f>
        <v>Pre-Senior</v>
      </c>
      <c r="D2761" s="1" t="s">
        <v>18</v>
      </c>
      <c r="E2761" s="1" t="s">
        <v>34</v>
      </c>
      <c r="F2761" s="1">
        <v>725000</v>
      </c>
      <c r="G2761" s="1">
        <v>88</v>
      </c>
      <c r="H2761" s="1" t="str" cm="1">
        <f t="array" ref="H2761">_xlfn.IFS( OR(G2761=" ",NOT(ISNUMBER(G2761))),"Unknown",G2761&lt;=33,"Low Spender",G2761&lt;=66,"Medium Spender",TRUE, "High Spender")</f>
        <v>High Spender</v>
      </c>
      <c r="I2761" s="1">
        <v>79</v>
      </c>
      <c r="J2761" s="1">
        <v>1500</v>
      </c>
      <c r="K2761" s="1">
        <v>258</v>
      </c>
      <c r="L2761" s="1" t="s">
        <v>20</v>
      </c>
      <c r="M2761" s="1" t="s">
        <v>32</v>
      </c>
      <c r="N2761" s="1" t="str">
        <f t="shared" si="86"/>
        <v>Higher</v>
      </c>
      <c r="O2761" s="1" t="str">
        <f t="shared" si="87"/>
        <v>Pre-Senior | High Spender | Higher</v>
      </c>
    </row>
    <row r="2762" spans="1:15" x14ac:dyDescent="0.25">
      <c r="A2762" s="1" t="s">
        <v>2792</v>
      </c>
      <c r="B2762" s="1">
        <v>25</v>
      </c>
      <c r="C2762" s="1" t="str" cm="1">
        <f t="array" ref="C2762">_xlfn.IFS(OR(B2762=" ", B2762="NA",NOT(ISNUMBER(B2762))), "Unknown",B2762&lt;18,"Underage",B2762&lt;=24,"Young Adult",B2762&lt;=34,"Early Career",B2762&lt;=44,"Mid Career",B2762&lt;=54,"Mature",B2762&lt;=65,"Pre-Senior",B2762&gt;65,"Senior")</f>
        <v>Early Career</v>
      </c>
      <c r="E2762" s="1" t="s">
        <v>23</v>
      </c>
      <c r="F2762" s="1">
        <v>550000</v>
      </c>
      <c r="G2762" s="1">
        <v>24</v>
      </c>
      <c r="H2762" s="1" t="str" cm="1">
        <f t="array" ref="H2762">_xlfn.IFS( OR(G2762=" ",NOT(ISNUMBER(G2762))),"Unknown",G2762&lt;=33,"Low Spender",G2762&lt;=66,"Medium Spender",TRUE, "High Spender")</f>
        <v>Low Spender</v>
      </c>
      <c r="I2762" s="1">
        <v>21</v>
      </c>
      <c r="J2762" s="1">
        <v>3100</v>
      </c>
      <c r="K2762" s="1">
        <v>285</v>
      </c>
      <c r="N2762" s="1" t="str">
        <f t="shared" si="86"/>
        <v>Lower</v>
      </c>
      <c r="O2762" s="1" t="str">
        <f t="shared" si="87"/>
        <v>Early Career | Low Spender | Lower</v>
      </c>
    </row>
    <row r="2763" spans="1:15" x14ac:dyDescent="0.25">
      <c r="A2763" s="1" t="s">
        <v>2793</v>
      </c>
      <c r="B2763" s="1">
        <v>67</v>
      </c>
      <c r="C2763" s="1" t="str" cm="1">
        <f t="array" ref="C2763">_xlfn.IFS(OR(B2763=" ", B2763="NA",NOT(ISNUMBER(B2763))), "Unknown",B2763&lt;18,"Underage",B2763&lt;=24,"Young Adult",B2763&lt;=34,"Early Career",B2763&lt;=44,"Mid Career",B2763&lt;=54,"Mature",B2763&lt;=65,"Pre-Senior",B2763&gt;65,"Senior")</f>
        <v>Senior</v>
      </c>
      <c r="E2763" s="1" t="s">
        <v>15</v>
      </c>
      <c r="F2763" s="1">
        <v>1750000</v>
      </c>
      <c r="G2763" s="1">
        <v>3</v>
      </c>
      <c r="H2763" s="1" t="str" cm="1">
        <f t="array" ref="H2763">_xlfn.IFS( OR(G2763=" ",NOT(ISNUMBER(G2763))),"Unknown",G2763&lt;=33,"Low Spender",G2763&lt;=66,"Medium Spender",TRUE, "High Spender")</f>
        <v>Low Spender</v>
      </c>
      <c r="I2763" s="1">
        <v>50</v>
      </c>
      <c r="J2763" s="1">
        <v>6000</v>
      </c>
      <c r="K2763" s="1">
        <v>37</v>
      </c>
      <c r="L2763" s="1" t="s">
        <v>35</v>
      </c>
      <c r="N2763" s="1" t="str">
        <f t="shared" si="86"/>
        <v>Lower</v>
      </c>
      <c r="O2763" s="1" t="str">
        <f t="shared" si="87"/>
        <v>Senior | Low Spender | Lower</v>
      </c>
    </row>
    <row r="2764" spans="1:15" x14ac:dyDescent="0.25">
      <c r="A2764" s="1" t="s">
        <v>2794</v>
      </c>
      <c r="B2764" s="1">
        <v>20</v>
      </c>
      <c r="C2764" s="1" t="str" cm="1">
        <f t="array" ref="C2764">_xlfn.IFS(OR(B2764=" ", B2764="NA",NOT(ISNUMBER(B2764))), "Unknown",B2764&lt;18,"Underage",B2764&lt;=24,"Young Adult",B2764&lt;=34,"Early Career",B2764&lt;=44,"Mid Career",B2764&lt;=54,"Mature",B2764&lt;=65,"Pre-Senior",B2764&gt;65,"Senior")</f>
        <v>Young Adult</v>
      </c>
      <c r="E2764" s="1" t="s">
        <v>23</v>
      </c>
      <c r="F2764" s="1">
        <v>1875000</v>
      </c>
      <c r="G2764" s="1">
        <v>71</v>
      </c>
      <c r="H2764" s="1" t="str" cm="1">
        <f t="array" ref="H2764">_xlfn.IFS( OR(G2764=" ",NOT(ISNUMBER(G2764))),"Unknown",G2764&lt;=33,"Low Spender",G2764&lt;=66,"Medium Spender",TRUE, "High Spender")</f>
        <v>High Spender</v>
      </c>
      <c r="J2764" s="1">
        <v>11200</v>
      </c>
      <c r="K2764" s="1">
        <v>45</v>
      </c>
      <c r="L2764" s="1" t="s">
        <v>37</v>
      </c>
      <c r="M2764" s="1" t="s">
        <v>41</v>
      </c>
      <c r="N2764" s="1" t="str">
        <f t="shared" si="86"/>
        <v>Lower</v>
      </c>
      <c r="O2764" s="1" t="str">
        <f t="shared" si="87"/>
        <v>Young Adult | High Spender | Lower</v>
      </c>
    </row>
    <row r="2765" spans="1:15" x14ac:dyDescent="0.25">
      <c r="A2765" s="1" t="s">
        <v>2795</v>
      </c>
      <c r="C2765" s="1" t="str" cm="1">
        <f t="array" ref="C2765">_xlfn.IFS(OR(B2765=" ", B2765="NA",NOT(ISNUMBER(B2765))), "Unknown",B2765&lt;18,"Underage",B2765&lt;=24,"Young Adult",B2765&lt;=34,"Early Career",B2765&lt;=44,"Mid Career",B2765&lt;=54,"Mature",B2765&lt;=65,"Pre-Senior",B2765&gt;65,"Senior")</f>
        <v>Unknown</v>
      </c>
      <c r="D2765" s="1" t="s">
        <v>18</v>
      </c>
      <c r="E2765" s="1" t="s">
        <v>23</v>
      </c>
      <c r="F2765" s="1">
        <v>1850000</v>
      </c>
      <c r="G2765" s="1">
        <v>89</v>
      </c>
      <c r="H2765" s="1" t="str" cm="1">
        <f t="array" ref="H2765">_xlfn.IFS( OR(G2765=" ",NOT(ISNUMBER(G2765))),"Unknown",G2765&lt;=33,"Low Spender",G2765&lt;=66,"Medium Spender",TRUE, "High Spender")</f>
        <v>High Spender</v>
      </c>
      <c r="I2765" s="1">
        <v>52</v>
      </c>
      <c r="J2765" s="1">
        <v>9300</v>
      </c>
      <c r="K2765" s="1">
        <v>120</v>
      </c>
      <c r="M2765" s="1" t="s">
        <v>32</v>
      </c>
      <c r="N2765" s="1" t="str">
        <f t="shared" si="86"/>
        <v>Higher</v>
      </c>
      <c r="O2765" s="1" t="str">
        <f t="shared" si="87"/>
        <v>Unknown | High Spender | Higher</v>
      </c>
    </row>
    <row r="2766" spans="1:15" x14ac:dyDescent="0.25">
      <c r="A2766" s="1" t="s">
        <v>2796</v>
      </c>
      <c r="B2766" s="1">
        <v>61</v>
      </c>
      <c r="C2766" s="1" t="str" cm="1">
        <f t="array" ref="C2766">_xlfn.IFS(OR(B2766=" ", B2766="NA",NOT(ISNUMBER(B2766))), "Unknown",B2766&lt;18,"Underage",B2766&lt;=24,"Young Adult",B2766&lt;=34,"Early Career",B2766&lt;=44,"Mid Career",B2766&lt;=54,"Mature",B2766&lt;=65,"Pre-Senior",B2766&gt;65,"Senior")</f>
        <v>Pre-Senior</v>
      </c>
      <c r="D2766" s="1" t="s">
        <v>12</v>
      </c>
      <c r="E2766" s="1" t="s">
        <v>13</v>
      </c>
      <c r="F2766" s="1">
        <v>1625000</v>
      </c>
      <c r="G2766" s="1">
        <v>67</v>
      </c>
      <c r="H2766" s="1" t="str" cm="1">
        <f t="array" ref="H2766">_xlfn.IFS( OR(G2766=" ",NOT(ISNUMBER(G2766))),"Unknown",G2766&lt;=33,"Low Spender",G2766&lt;=66,"Medium Spender",TRUE, "High Spender")</f>
        <v>High Spender</v>
      </c>
      <c r="I2766" s="1">
        <v>9</v>
      </c>
      <c r="J2766" s="1">
        <v>9700</v>
      </c>
      <c r="K2766" s="1">
        <v>46</v>
      </c>
      <c r="M2766" s="1" t="s">
        <v>41</v>
      </c>
      <c r="N2766" s="1" t="str">
        <f t="shared" si="86"/>
        <v>Lower</v>
      </c>
      <c r="O2766" s="1" t="str">
        <f t="shared" si="87"/>
        <v>Pre-Senior | High Spender | Lower</v>
      </c>
    </row>
    <row r="2767" spans="1:15" x14ac:dyDescent="0.25">
      <c r="A2767" s="1" t="s">
        <v>2797</v>
      </c>
      <c r="B2767" s="1">
        <v>20</v>
      </c>
      <c r="C2767" s="1" t="str" cm="1">
        <f t="array" ref="C2767">_xlfn.IFS(OR(B2767=" ", B2767="NA",NOT(ISNUMBER(B2767))), "Unknown",B2767&lt;18,"Underage",B2767&lt;=24,"Young Adult",B2767&lt;=34,"Early Career",B2767&lt;=44,"Mid Career",B2767&lt;=54,"Mature",B2767&lt;=65,"Pre-Senior",B2767&gt;65,"Senior")</f>
        <v>Young Adult</v>
      </c>
      <c r="D2767" s="1" t="s">
        <v>12</v>
      </c>
      <c r="E2767" s="1" t="s">
        <v>34</v>
      </c>
      <c r="F2767" s="1">
        <v>1375000</v>
      </c>
      <c r="G2767" s="1">
        <v>79</v>
      </c>
      <c r="H2767" s="1" t="str" cm="1">
        <f t="array" ref="H2767">_xlfn.IFS( OR(G2767=" ",NOT(ISNUMBER(G2767))),"Unknown",G2767&lt;=33,"Low Spender",G2767&lt;=66,"Medium Spender",TRUE, "High Spender")</f>
        <v>High Spender</v>
      </c>
      <c r="I2767" s="1">
        <v>20</v>
      </c>
      <c r="J2767" s="1">
        <v>4500</v>
      </c>
      <c r="K2767" s="1">
        <v>140</v>
      </c>
      <c r="M2767" s="1" t="s">
        <v>41</v>
      </c>
      <c r="N2767" s="1" t="str">
        <f t="shared" si="86"/>
        <v>Lower</v>
      </c>
      <c r="O2767" s="1" t="str">
        <f t="shared" si="87"/>
        <v>Young Adult | High Spender | Lower</v>
      </c>
    </row>
    <row r="2768" spans="1:15" x14ac:dyDescent="0.25">
      <c r="A2768" s="1" t="s">
        <v>2798</v>
      </c>
      <c r="B2768" s="1">
        <v>39</v>
      </c>
      <c r="C2768" s="1" t="str" cm="1">
        <f t="array" ref="C2768">_xlfn.IFS(OR(B2768=" ", B2768="NA",NOT(ISNUMBER(B2768))), "Unknown",B2768&lt;18,"Underage",B2768&lt;=24,"Young Adult",B2768&lt;=34,"Early Career",B2768&lt;=44,"Mid Career",B2768&lt;=54,"Mature",B2768&lt;=65,"Pre-Senior",B2768&gt;65,"Senior")</f>
        <v>Mid Career</v>
      </c>
      <c r="E2768" s="1" t="s">
        <v>58</v>
      </c>
      <c r="F2768" s="1">
        <v>425000</v>
      </c>
      <c r="G2768" s="1">
        <v>93</v>
      </c>
      <c r="H2768" s="1" t="str" cm="1">
        <f t="array" ref="H2768">_xlfn.IFS( OR(G2768=" ",NOT(ISNUMBER(G2768))),"Unknown",G2768&lt;=33,"Low Spender",G2768&lt;=66,"Medium Spender",TRUE, "High Spender")</f>
        <v>High Spender</v>
      </c>
      <c r="I2768" s="1">
        <v>18</v>
      </c>
      <c r="J2768" s="1">
        <v>1200</v>
      </c>
      <c r="K2768" s="1">
        <v>53</v>
      </c>
      <c r="L2768" s="1" t="s">
        <v>37</v>
      </c>
      <c r="M2768" s="1" t="s">
        <v>30</v>
      </c>
      <c r="N2768" s="1" t="str">
        <f t="shared" si="86"/>
        <v>Lower</v>
      </c>
      <c r="O2768" s="1" t="str">
        <f t="shared" si="87"/>
        <v>Mid Career | High Spender | Lower</v>
      </c>
    </row>
    <row r="2769" spans="1:15" x14ac:dyDescent="0.25">
      <c r="A2769" s="1" t="s">
        <v>2799</v>
      </c>
      <c r="B2769" s="1">
        <v>23</v>
      </c>
      <c r="C2769" s="1" t="str" cm="1">
        <f t="array" ref="C2769">_xlfn.IFS(OR(B2769=" ", B2769="NA",NOT(ISNUMBER(B2769))), "Unknown",B2769&lt;18,"Underage",B2769&lt;=24,"Young Adult",B2769&lt;=34,"Early Career",B2769&lt;=44,"Mid Career",B2769&lt;=54,"Mature",B2769&lt;=65,"Pre-Senior",B2769&gt;65,"Senior")</f>
        <v>Young Adult</v>
      </c>
      <c r="D2769" s="1" t="s">
        <v>18</v>
      </c>
      <c r="E2769" s="1" t="s">
        <v>27</v>
      </c>
      <c r="F2769" s="1">
        <v>1300000</v>
      </c>
      <c r="G2769" s="1">
        <v>50</v>
      </c>
      <c r="H2769" s="1" t="str" cm="1">
        <f t="array" ref="H2769">_xlfn.IFS( OR(G2769=" ",NOT(ISNUMBER(G2769))),"Unknown",G2769&lt;=33,"Low Spender",G2769&lt;=66,"Medium Spender",TRUE, "High Spender")</f>
        <v>Medium Spender</v>
      </c>
      <c r="I2769" s="1">
        <v>30</v>
      </c>
      <c r="J2769" s="1">
        <v>3300</v>
      </c>
      <c r="K2769" s="1">
        <v>301</v>
      </c>
      <c r="L2769" s="1" t="s">
        <v>35</v>
      </c>
      <c r="M2769" s="1" t="s">
        <v>21</v>
      </c>
      <c r="N2769" s="1" t="str">
        <f t="shared" si="86"/>
        <v>Higher</v>
      </c>
      <c r="O2769" s="1" t="str">
        <f t="shared" si="87"/>
        <v>Young Adult | Medium Spender | Higher</v>
      </c>
    </row>
    <row r="2770" spans="1:15" x14ac:dyDescent="0.25">
      <c r="A2770" s="1" t="s">
        <v>2800</v>
      </c>
      <c r="B2770" s="1">
        <v>19</v>
      </c>
      <c r="C2770" s="1" t="str" cm="1">
        <f t="array" ref="C2770">_xlfn.IFS(OR(B2770=" ", B2770="NA",NOT(ISNUMBER(B2770))), "Unknown",B2770&lt;18,"Underage",B2770&lt;=24,"Young Adult",B2770&lt;=34,"Early Career",B2770&lt;=44,"Mid Career",B2770&lt;=54,"Mature",B2770&lt;=65,"Pre-Senior",B2770&gt;65,"Senior")</f>
        <v>Young Adult</v>
      </c>
      <c r="D2770" s="1" t="s">
        <v>18</v>
      </c>
      <c r="F2770" s="1">
        <v>1800000</v>
      </c>
      <c r="G2770" s="1">
        <v>29</v>
      </c>
      <c r="H2770" s="1" t="str" cm="1">
        <f t="array" ref="H2770">_xlfn.IFS( OR(G2770=" ",NOT(ISNUMBER(G2770))),"Unknown",G2770&lt;=33,"Low Spender",G2770&lt;=66,"Medium Spender",TRUE, "High Spender")</f>
        <v>Low Spender</v>
      </c>
      <c r="I2770" s="1">
        <v>65</v>
      </c>
      <c r="J2770" s="1">
        <v>10500</v>
      </c>
      <c r="K2770" s="1">
        <v>288</v>
      </c>
      <c r="L2770" s="1" t="s">
        <v>16</v>
      </c>
      <c r="N2770" s="1" t="str">
        <f t="shared" si="86"/>
        <v>Higher</v>
      </c>
      <c r="O2770" s="1" t="str">
        <f t="shared" si="87"/>
        <v>Young Adult | Low Spender | Higher</v>
      </c>
    </row>
    <row r="2771" spans="1:15" x14ac:dyDescent="0.25">
      <c r="A2771" s="1" t="s">
        <v>2801</v>
      </c>
      <c r="B2771" s="1">
        <v>40</v>
      </c>
      <c r="C2771" s="1" t="str" cm="1">
        <f t="array" ref="C2771">_xlfn.IFS(OR(B2771=" ", B2771="NA",NOT(ISNUMBER(B2771))), "Unknown",B2771&lt;18,"Underage",B2771&lt;=24,"Young Adult",B2771&lt;=34,"Early Career",B2771&lt;=44,"Mid Career",B2771&lt;=54,"Mature",B2771&lt;=65,"Pre-Senior",B2771&gt;65,"Senior")</f>
        <v>Mid Career</v>
      </c>
      <c r="D2771" s="1" t="s">
        <v>29</v>
      </c>
      <c r="E2771" s="1" t="s">
        <v>34</v>
      </c>
      <c r="F2771" s="1">
        <v>1750000</v>
      </c>
      <c r="G2771" s="1">
        <v>74</v>
      </c>
      <c r="H2771" s="1" t="str" cm="1">
        <f t="array" ref="H2771">_xlfn.IFS( OR(G2771=" ",NOT(ISNUMBER(G2771))),"Unknown",G2771&lt;=33,"Low Spender",G2771&lt;=66,"Medium Spender",TRUE, "High Spender")</f>
        <v>High Spender</v>
      </c>
      <c r="I2771" s="1">
        <v>24</v>
      </c>
      <c r="J2771" s="1">
        <v>7600</v>
      </c>
      <c r="K2771" s="1">
        <v>274</v>
      </c>
      <c r="M2771" s="1" t="s">
        <v>32</v>
      </c>
      <c r="N2771" s="1" t="str">
        <f t="shared" si="86"/>
        <v>Higher</v>
      </c>
      <c r="O2771" s="1" t="str">
        <f t="shared" si="87"/>
        <v>Mid Career | High Spender | Higher</v>
      </c>
    </row>
    <row r="2772" spans="1:15" x14ac:dyDescent="0.25">
      <c r="A2772" s="1" t="s">
        <v>2802</v>
      </c>
      <c r="B2772" s="1">
        <v>61</v>
      </c>
      <c r="C2772" s="1" t="str" cm="1">
        <f t="array" ref="C2772">_xlfn.IFS(OR(B2772=" ", B2772="NA",NOT(ISNUMBER(B2772))), "Unknown",B2772&lt;18,"Underage",B2772&lt;=24,"Young Adult",B2772&lt;=34,"Early Career",B2772&lt;=44,"Mid Career",B2772&lt;=54,"Mature",B2772&lt;=65,"Pre-Senior",B2772&gt;65,"Senior")</f>
        <v>Pre-Senior</v>
      </c>
      <c r="D2772" s="1" t="s">
        <v>18</v>
      </c>
      <c r="F2772" s="1">
        <v>800000</v>
      </c>
      <c r="G2772" s="1">
        <v>32</v>
      </c>
      <c r="H2772" s="1" t="str" cm="1">
        <f t="array" ref="H2772">_xlfn.IFS( OR(G2772=" ",NOT(ISNUMBER(G2772))),"Unknown",G2772&lt;=33,"Low Spender",G2772&lt;=66,"Medium Spender",TRUE, "High Spender")</f>
        <v>Low Spender</v>
      </c>
      <c r="I2772" s="1">
        <v>47</v>
      </c>
      <c r="J2772" s="1">
        <v>9000</v>
      </c>
      <c r="K2772" s="1">
        <v>269</v>
      </c>
      <c r="L2772" s="1" t="s">
        <v>35</v>
      </c>
      <c r="N2772" s="1" t="str">
        <f t="shared" si="86"/>
        <v>Higher</v>
      </c>
      <c r="O2772" s="1" t="str">
        <f t="shared" si="87"/>
        <v>Pre-Senior | Low Spender | Higher</v>
      </c>
    </row>
    <row r="2773" spans="1:15" x14ac:dyDescent="0.25">
      <c r="A2773" s="1" t="s">
        <v>2803</v>
      </c>
      <c r="B2773" s="1">
        <v>19</v>
      </c>
      <c r="C2773" s="1" t="str" cm="1">
        <f t="array" ref="C2773">_xlfn.IFS(OR(B2773=" ", B2773="NA",NOT(ISNUMBER(B2773))), "Unknown",B2773&lt;18,"Underage",B2773&lt;=24,"Young Adult",B2773&lt;=34,"Early Career",B2773&lt;=44,"Mid Career",B2773&lt;=54,"Mature",B2773&lt;=65,"Pre-Senior",B2773&gt;65,"Senior")</f>
        <v>Young Adult</v>
      </c>
      <c r="D2773" s="1" t="s">
        <v>18</v>
      </c>
      <c r="E2773" s="1" t="s">
        <v>23</v>
      </c>
      <c r="F2773" s="1">
        <v>1325000</v>
      </c>
      <c r="G2773" s="1">
        <v>87</v>
      </c>
      <c r="H2773" s="1" t="str" cm="1">
        <f t="array" ref="H2773">_xlfn.IFS( OR(G2773=" ",NOT(ISNUMBER(G2773))),"Unknown",G2773&lt;=33,"Low Spender",G2773&lt;=66,"Medium Spender",TRUE, "High Spender")</f>
        <v>High Spender</v>
      </c>
      <c r="I2773" s="1">
        <v>44</v>
      </c>
      <c r="J2773" s="1">
        <v>9900</v>
      </c>
      <c r="K2773" s="1">
        <v>279</v>
      </c>
      <c r="L2773" s="1" t="s">
        <v>37</v>
      </c>
      <c r="N2773" s="1" t="str">
        <f t="shared" si="86"/>
        <v>Higher</v>
      </c>
      <c r="O2773" s="1" t="str">
        <f t="shared" si="87"/>
        <v>Young Adult | High Spender | Higher</v>
      </c>
    </row>
    <row r="2774" spans="1:15" x14ac:dyDescent="0.25">
      <c r="A2774" s="1" t="s">
        <v>2804</v>
      </c>
      <c r="B2774" s="1">
        <v>55</v>
      </c>
      <c r="C2774" s="1" t="str" cm="1">
        <f t="array" ref="C2774">_xlfn.IFS(OR(B2774=" ", B2774="NA",NOT(ISNUMBER(B2774))), "Unknown",B2774&lt;18,"Underage",B2774&lt;=24,"Young Adult",B2774&lt;=34,"Early Career",B2774&lt;=44,"Mid Career",B2774&lt;=54,"Mature",B2774&lt;=65,"Pre-Senior",B2774&gt;65,"Senior")</f>
        <v>Pre-Senior</v>
      </c>
      <c r="D2774" s="1" t="s">
        <v>12</v>
      </c>
      <c r="E2774" s="1" t="s">
        <v>58</v>
      </c>
      <c r="F2774" s="1">
        <v>1675000</v>
      </c>
      <c r="G2774" s="1">
        <v>39</v>
      </c>
      <c r="H2774" s="1" t="str" cm="1">
        <f t="array" ref="H2774">_xlfn.IFS( OR(G2774=" ",NOT(ISNUMBER(G2774))),"Unknown",G2774&lt;=33,"Low Spender",G2774&lt;=66,"Medium Spender",TRUE, "High Spender")</f>
        <v>Medium Spender</v>
      </c>
      <c r="I2774" s="1">
        <v>29</v>
      </c>
      <c r="J2774" s="1">
        <v>1600</v>
      </c>
      <c r="K2774" s="1">
        <v>62</v>
      </c>
      <c r="L2774" s="1" t="s">
        <v>20</v>
      </c>
      <c r="M2774" s="1" t="s">
        <v>30</v>
      </c>
      <c r="N2774" s="1" t="str">
        <f t="shared" si="86"/>
        <v>Lower</v>
      </c>
      <c r="O2774" s="1" t="str">
        <f t="shared" si="87"/>
        <v>Pre-Senior | Medium Spender | Lower</v>
      </c>
    </row>
    <row r="2775" spans="1:15" x14ac:dyDescent="0.25">
      <c r="A2775" s="1" t="s">
        <v>2805</v>
      </c>
      <c r="B2775" s="1">
        <v>34</v>
      </c>
      <c r="C2775" s="1" t="str" cm="1">
        <f t="array" ref="C2775">_xlfn.IFS(OR(B2775=" ", B2775="NA",NOT(ISNUMBER(B2775))), "Unknown",B2775&lt;18,"Underage",B2775&lt;=24,"Young Adult",B2775&lt;=34,"Early Career",B2775&lt;=44,"Mid Career",B2775&lt;=54,"Mature",B2775&lt;=65,"Pre-Senior",B2775&gt;65,"Senior")</f>
        <v>Early Career</v>
      </c>
      <c r="D2775" s="1" t="s">
        <v>29</v>
      </c>
      <c r="E2775" s="1" t="s">
        <v>13</v>
      </c>
      <c r="F2775" s="1">
        <v>1225000</v>
      </c>
      <c r="G2775" s="1">
        <v>9</v>
      </c>
      <c r="H2775" s="1" t="str" cm="1">
        <f t="array" ref="H2775">_xlfn.IFS( OR(G2775=" ",NOT(ISNUMBER(G2775))),"Unknown",G2775&lt;=33,"Low Spender",G2775&lt;=66,"Medium Spender",TRUE, "High Spender")</f>
        <v>Low Spender</v>
      </c>
      <c r="I2775" s="1">
        <v>77</v>
      </c>
      <c r="J2775" s="1">
        <v>10100</v>
      </c>
      <c r="K2775" s="1">
        <v>54</v>
      </c>
      <c r="M2775" s="1" t="s">
        <v>21</v>
      </c>
      <c r="N2775" s="1" t="str">
        <f t="shared" si="86"/>
        <v>Higher</v>
      </c>
      <c r="O2775" s="1" t="str">
        <f t="shared" si="87"/>
        <v>Early Career | Low Spender | Higher</v>
      </c>
    </row>
    <row r="2776" spans="1:15" x14ac:dyDescent="0.25">
      <c r="A2776" s="1" t="s">
        <v>2806</v>
      </c>
      <c r="B2776" s="1">
        <v>52</v>
      </c>
      <c r="C2776" s="1" t="str" cm="1">
        <f t="array" ref="C2776">_xlfn.IFS(OR(B2776=" ", B2776="NA",NOT(ISNUMBER(B2776))), "Unknown",B2776&lt;18,"Underage",B2776&lt;=24,"Young Adult",B2776&lt;=34,"Early Career",B2776&lt;=44,"Mid Career",B2776&lt;=54,"Mature",B2776&lt;=65,"Pre-Senior",B2776&gt;65,"Senior")</f>
        <v>Mature</v>
      </c>
      <c r="E2776" s="1" t="s">
        <v>49</v>
      </c>
      <c r="F2776" s="1">
        <v>600000</v>
      </c>
      <c r="H2776" s="1" t="str" cm="1">
        <f t="array" ref="H2776">_xlfn.IFS( OR(G2776=" ",NOT(ISNUMBER(G2776))),"Unknown",G2776&lt;=33,"Low Spender",G2776&lt;=66,"Medium Spender",TRUE, "High Spender")</f>
        <v>Unknown</v>
      </c>
      <c r="I2776" s="1">
        <v>68</v>
      </c>
      <c r="J2776" s="1">
        <v>11100</v>
      </c>
      <c r="K2776" s="1">
        <v>69</v>
      </c>
      <c r="N2776" s="1" t="str">
        <f t="shared" si="86"/>
        <v>Lower</v>
      </c>
      <c r="O2776" s="1" t="str">
        <f t="shared" si="87"/>
        <v>Mature | Unknown | Lower</v>
      </c>
    </row>
    <row r="2777" spans="1:15" x14ac:dyDescent="0.25">
      <c r="A2777" s="1" t="s">
        <v>2807</v>
      </c>
      <c r="B2777" s="1">
        <v>51</v>
      </c>
      <c r="C2777" s="1" t="str" cm="1">
        <f t="array" ref="C2777">_xlfn.IFS(OR(B2777=" ", B2777="NA",NOT(ISNUMBER(B2777))), "Unknown",B2777&lt;18,"Underage",B2777&lt;=24,"Young Adult",B2777&lt;=34,"Early Career",B2777&lt;=44,"Mid Career",B2777&lt;=54,"Mature",B2777&lt;=65,"Pre-Senior",B2777&gt;65,"Senior")</f>
        <v>Mature</v>
      </c>
      <c r="D2777" s="1" t="s">
        <v>18</v>
      </c>
      <c r="F2777" s="1">
        <v>1600000</v>
      </c>
      <c r="G2777" s="1">
        <v>14</v>
      </c>
      <c r="H2777" s="1" t="str" cm="1">
        <f t="array" ref="H2777">_xlfn.IFS( OR(G2777=" ",NOT(ISNUMBER(G2777))),"Unknown",G2777&lt;=33,"Low Spender",G2777&lt;=66,"Medium Spender",TRUE, "High Spender")</f>
        <v>Low Spender</v>
      </c>
      <c r="I2777" s="1">
        <v>17</v>
      </c>
      <c r="J2777" s="1">
        <v>3600</v>
      </c>
      <c r="K2777" s="1">
        <v>242</v>
      </c>
      <c r="L2777" s="1" t="s">
        <v>35</v>
      </c>
      <c r="N2777" s="1" t="str">
        <f t="shared" si="86"/>
        <v>Higher</v>
      </c>
      <c r="O2777" s="1" t="str">
        <f t="shared" si="87"/>
        <v>Mature | Low Spender | Higher</v>
      </c>
    </row>
    <row r="2778" spans="1:15" x14ac:dyDescent="0.25">
      <c r="A2778" s="1" t="s">
        <v>2808</v>
      </c>
      <c r="B2778" s="1">
        <v>40</v>
      </c>
      <c r="C2778" s="1" t="str" cm="1">
        <f t="array" ref="C2778">_xlfn.IFS(OR(B2778=" ", B2778="NA",NOT(ISNUMBER(B2778))), "Unknown",B2778&lt;18,"Underage",B2778&lt;=24,"Young Adult",B2778&lt;=34,"Early Career",B2778&lt;=44,"Mid Career",B2778&lt;=54,"Mature",B2778&lt;=65,"Pre-Senior",B2778&gt;65,"Senior")</f>
        <v>Mid Career</v>
      </c>
      <c r="D2778" s="1" t="s">
        <v>29</v>
      </c>
      <c r="F2778" s="1">
        <v>325000</v>
      </c>
      <c r="G2778" s="1">
        <v>68</v>
      </c>
      <c r="H2778" s="1" t="str" cm="1">
        <f t="array" ref="H2778">_xlfn.IFS( OR(G2778=" ",NOT(ISNUMBER(G2778))),"Unknown",G2778&lt;=33,"Low Spender",G2778&lt;=66,"Medium Spender",TRUE, "High Spender")</f>
        <v>High Spender</v>
      </c>
      <c r="I2778" s="1">
        <v>5</v>
      </c>
      <c r="J2778" s="1">
        <v>1900</v>
      </c>
      <c r="K2778" s="1">
        <v>270</v>
      </c>
      <c r="M2778" s="1" t="s">
        <v>41</v>
      </c>
      <c r="N2778" s="1" t="str">
        <f t="shared" si="86"/>
        <v>Higher</v>
      </c>
      <c r="O2778" s="1" t="str">
        <f t="shared" si="87"/>
        <v>Mid Career | High Spender | Higher</v>
      </c>
    </row>
    <row r="2779" spans="1:15" x14ac:dyDescent="0.25">
      <c r="A2779" s="1" t="s">
        <v>2809</v>
      </c>
      <c r="B2779" s="1">
        <v>47</v>
      </c>
      <c r="C2779" s="1" t="str" cm="1">
        <f t="array" ref="C2779">_xlfn.IFS(OR(B2779=" ", B2779="NA",NOT(ISNUMBER(B2779))), "Unknown",B2779&lt;18,"Underage",B2779&lt;=24,"Young Adult",B2779&lt;=34,"Early Career",B2779&lt;=44,"Mid Career",B2779&lt;=54,"Mature",B2779&lt;=65,"Pre-Senior",B2779&gt;65,"Senior")</f>
        <v>Mature</v>
      </c>
      <c r="D2779" s="1" t="s">
        <v>29</v>
      </c>
      <c r="E2779" s="1" t="s">
        <v>27</v>
      </c>
      <c r="F2779" s="1">
        <v>1500000</v>
      </c>
      <c r="G2779" s="1">
        <v>64</v>
      </c>
      <c r="H2779" s="1" t="str" cm="1">
        <f t="array" ref="H2779">_xlfn.IFS( OR(G2779=" ",NOT(ISNUMBER(G2779))),"Unknown",G2779&lt;=33,"Low Spender",G2779&lt;=66,"Medium Spender",TRUE, "High Spender")</f>
        <v>Medium Spender</v>
      </c>
      <c r="J2779" s="1">
        <v>2300</v>
      </c>
      <c r="K2779" s="1">
        <v>252</v>
      </c>
      <c r="M2779" s="1" t="s">
        <v>21</v>
      </c>
      <c r="N2779" s="1" t="str">
        <f t="shared" si="86"/>
        <v>Higher</v>
      </c>
      <c r="O2779" s="1" t="str">
        <f t="shared" si="87"/>
        <v>Mature | Medium Spender | Higher</v>
      </c>
    </row>
    <row r="2780" spans="1:15" x14ac:dyDescent="0.25">
      <c r="A2780" s="1" t="s">
        <v>2810</v>
      </c>
      <c r="B2780" s="1">
        <v>69</v>
      </c>
      <c r="C2780" s="1" t="str" cm="1">
        <f t="array" ref="C2780">_xlfn.IFS(OR(B2780=" ", B2780="NA",NOT(ISNUMBER(B2780))), "Unknown",B2780&lt;18,"Underage",B2780&lt;=24,"Young Adult",B2780&lt;=34,"Early Career",B2780&lt;=44,"Mid Career",B2780&lt;=54,"Mature",B2780&lt;=65,"Pre-Senior",B2780&gt;65,"Senior")</f>
        <v>Senior</v>
      </c>
      <c r="E2780" s="1" t="s">
        <v>49</v>
      </c>
      <c r="F2780" s="1">
        <v>1300000</v>
      </c>
      <c r="G2780" s="1">
        <v>20</v>
      </c>
      <c r="H2780" s="1" t="str" cm="1">
        <f t="array" ref="H2780">_xlfn.IFS( OR(G2780=" ",NOT(ISNUMBER(G2780))),"Unknown",G2780&lt;=33,"Low Spender",G2780&lt;=66,"Medium Spender",TRUE, "High Spender")</f>
        <v>Low Spender</v>
      </c>
      <c r="I2780" s="1">
        <v>50</v>
      </c>
      <c r="J2780" s="1">
        <v>9800</v>
      </c>
      <c r="K2780" s="1">
        <v>354</v>
      </c>
      <c r="L2780" s="1" t="s">
        <v>35</v>
      </c>
      <c r="M2780" s="1" t="s">
        <v>30</v>
      </c>
      <c r="N2780" s="1" t="str">
        <f t="shared" si="86"/>
        <v>Lower</v>
      </c>
      <c r="O2780" s="1" t="str">
        <f t="shared" si="87"/>
        <v>Senior | Low Spender | Lower</v>
      </c>
    </row>
    <row r="2781" spans="1:15" x14ac:dyDescent="0.25">
      <c r="A2781" s="1" t="s">
        <v>2811</v>
      </c>
      <c r="B2781" s="1">
        <v>25</v>
      </c>
      <c r="C2781" s="1" t="str" cm="1">
        <f t="array" ref="C2781">_xlfn.IFS(OR(B2781=" ", B2781="NA",NOT(ISNUMBER(B2781))), "Unknown",B2781&lt;18,"Underage",B2781&lt;=24,"Young Adult",B2781&lt;=34,"Early Career",B2781&lt;=44,"Mid Career",B2781&lt;=54,"Mature",B2781&lt;=65,"Pre-Senior",B2781&gt;65,"Senior")</f>
        <v>Early Career</v>
      </c>
      <c r="D2781" s="1" t="s">
        <v>12</v>
      </c>
      <c r="E2781" s="1" t="s">
        <v>15</v>
      </c>
      <c r="F2781" s="1">
        <v>175000</v>
      </c>
      <c r="G2781" s="1">
        <v>28</v>
      </c>
      <c r="H2781" s="1" t="str" cm="1">
        <f t="array" ref="H2781">_xlfn.IFS( OR(G2781=" ",NOT(ISNUMBER(G2781))),"Unknown",G2781&lt;=33,"Low Spender",G2781&lt;=66,"Medium Spender",TRUE, "High Spender")</f>
        <v>Low Spender</v>
      </c>
      <c r="I2781" s="1">
        <v>40</v>
      </c>
      <c r="J2781" s="1">
        <v>6900</v>
      </c>
      <c r="K2781" s="1">
        <v>284</v>
      </c>
      <c r="L2781" s="1" t="s">
        <v>35</v>
      </c>
      <c r="M2781" s="1" t="s">
        <v>32</v>
      </c>
      <c r="N2781" s="1" t="str">
        <f t="shared" si="86"/>
        <v>Lower</v>
      </c>
      <c r="O2781" s="1" t="str">
        <f t="shared" si="87"/>
        <v>Early Career | Low Spender | Lower</v>
      </c>
    </row>
    <row r="2782" spans="1:15" x14ac:dyDescent="0.25">
      <c r="A2782" s="1" t="s">
        <v>2812</v>
      </c>
      <c r="B2782" s="1">
        <v>39</v>
      </c>
      <c r="C2782" s="1" t="str" cm="1">
        <f t="array" ref="C2782">_xlfn.IFS(OR(B2782=" ", B2782="NA",NOT(ISNUMBER(B2782))), "Unknown",B2782&lt;18,"Underage",B2782&lt;=24,"Young Adult",B2782&lt;=34,"Early Career",B2782&lt;=44,"Mid Career",B2782&lt;=54,"Mature",B2782&lt;=65,"Pre-Senior",B2782&gt;65,"Senior")</f>
        <v>Mid Career</v>
      </c>
      <c r="D2782" s="1" t="s">
        <v>29</v>
      </c>
      <c r="E2782" s="1" t="s">
        <v>49</v>
      </c>
      <c r="F2782" s="1">
        <v>1100000</v>
      </c>
      <c r="G2782" s="1">
        <v>14</v>
      </c>
      <c r="H2782" s="1" t="str" cm="1">
        <f t="array" ref="H2782">_xlfn.IFS( OR(G2782=" ",NOT(ISNUMBER(G2782))),"Unknown",G2782&lt;=33,"Low Spender",G2782&lt;=66,"Medium Spender",TRUE, "High Spender")</f>
        <v>Low Spender</v>
      </c>
      <c r="I2782" s="1">
        <v>46</v>
      </c>
      <c r="J2782" s="1">
        <v>6000</v>
      </c>
      <c r="K2782" s="1">
        <v>351</v>
      </c>
      <c r="L2782" s="1" t="s">
        <v>37</v>
      </c>
      <c r="M2782" s="1" t="s">
        <v>32</v>
      </c>
      <c r="N2782" s="1" t="str">
        <f t="shared" si="86"/>
        <v>Higher</v>
      </c>
      <c r="O2782" s="1" t="str">
        <f t="shared" si="87"/>
        <v>Mid Career | Low Spender | Higher</v>
      </c>
    </row>
    <row r="2783" spans="1:15" x14ac:dyDescent="0.25">
      <c r="A2783" s="1" t="s">
        <v>2813</v>
      </c>
      <c r="B2783" s="1">
        <v>61</v>
      </c>
      <c r="C2783" s="1" t="str" cm="1">
        <f t="array" ref="C2783">_xlfn.IFS(OR(B2783=" ", B2783="NA",NOT(ISNUMBER(B2783))), "Unknown",B2783&lt;18,"Underage",B2783&lt;=24,"Young Adult",B2783&lt;=34,"Early Career",B2783&lt;=44,"Mid Career",B2783&lt;=54,"Mature",B2783&lt;=65,"Pre-Senior",B2783&gt;65,"Senior")</f>
        <v>Pre-Senior</v>
      </c>
      <c r="D2783" s="1" t="s">
        <v>18</v>
      </c>
      <c r="E2783" s="1" t="s">
        <v>23</v>
      </c>
      <c r="F2783" s="1">
        <v>1250000</v>
      </c>
      <c r="G2783" s="1">
        <v>44</v>
      </c>
      <c r="H2783" s="1" t="str" cm="1">
        <f t="array" ref="H2783">_xlfn.IFS( OR(G2783=" ",NOT(ISNUMBER(G2783))),"Unknown",G2783&lt;=33,"Low Spender",G2783&lt;=66,"Medium Spender",TRUE, "High Spender")</f>
        <v>Medium Spender</v>
      </c>
      <c r="I2783" s="1">
        <v>51</v>
      </c>
      <c r="J2783" s="1">
        <v>8100</v>
      </c>
      <c r="K2783" s="1">
        <v>71</v>
      </c>
      <c r="L2783" s="1" t="s">
        <v>37</v>
      </c>
      <c r="M2783" s="1" t="s">
        <v>30</v>
      </c>
      <c r="N2783" s="1" t="str">
        <f t="shared" si="86"/>
        <v>Higher</v>
      </c>
      <c r="O2783" s="1" t="str">
        <f t="shared" si="87"/>
        <v>Pre-Senior | Medium Spender | Higher</v>
      </c>
    </row>
    <row r="2784" spans="1:15" x14ac:dyDescent="0.25">
      <c r="A2784" s="1" t="s">
        <v>2814</v>
      </c>
      <c r="B2784" s="1">
        <v>53</v>
      </c>
      <c r="C2784" s="1" t="str" cm="1">
        <f t="array" ref="C2784">_xlfn.IFS(OR(B2784=" ", B2784="NA",NOT(ISNUMBER(B2784))), "Unknown",B2784&lt;18,"Underage",B2784&lt;=24,"Young Adult",B2784&lt;=34,"Early Career",B2784&lt;=44,"Mid Career",B2784&lt;=54,"Mature",B2784&lt;=65,"Pre-Senior",B2784&gt;65,"Senior")</f>
        <v>Mature</v>
      </c>
      <c r="D2784" s="1" t="s">
        <v>18</v>
      </c>
      <c r="E2784" s="1" t="s">
        <v>23</v>
      </c>
      <c r="F2784" s="1">
        <v>925000</v>
      </c>
      <c r="G2784" s="1">
        <v>98</v>
      </c>
      <c r="H2784" s="1" t="str" cm="1">
        <f t="array" ref="H2784">_xlfn.IFS( OR(G2784=" ",NOT(ISNUMBER(G2784))),"Unknown",G2784&lt;=33,"Low Spender",G2784&lt;=66,"Medium Spender",TRUE, "High Spender")</f>
        <v>High Spender</v>
      </c>
      <c r="I2784" s="1">
        <v>11</v>
      </c>
      <c r="J2784" s="1">
        <v>1000</v>
      </c>
      <c r="K2784" s="1">
        <v>323</v>
      </c>
      <c r="M2784" s="1" t="s">
        <v>41</v>
      </c>
      <c r="N2784" s="1" t="str">
        <f t="shared" si="86"/>
        <v>Higher</v>
      </c>
      <c r="O2784" s="1" t="str">
        <f t="shared" si="87"/>
        <v>Mature | High Spender | Higher</v>
      </c>
    </row>
    <row r="2785" spans="1:15" x14ac:dyDescent="0.25">
      <c r="A2785" s="1" t="s">
        <v>2815</v>
      </c>
      <c r="B2785" s="1">
        <v>22</v>
      </c>
      <c r="C2785" s="1" t="str" cm="1">
        <f t="array" ref="C2785">_xlfn.IFS(OR(B2785=" ", B2785="NA",NOT(ISNUMBER(B2785))), "Unknown",B2785&lt;18,"Underage",B2785&lt;=24,"Young Adult",B2785&lt;=34,"Early Career",B2785&lt;=44,"Mid Career",B2785&lt;=54,"Mature",B2785&lt;=65,"Pre-Senior",B2785&gt;65,"Senior")</f>
        <v>Young Adult</v>
      </c>
      <c r="D2785" s="1" t="s">
        <v>29</v>
      </c>
      <c r="E2785" s="1" t="s">
        <v>23</v>
      </c>
      <c r="F2785" s="1">
        <v>1750000</v>
      </c>
      <c r="G2785" s="1">
        <v>77</v>
      </c>
      <c r="H2785" s="1" t="str" cm="1">
        <f t="array" ref="H2785">_xlfn.IFS( OR(G2785=" ",NOT(ISNUMBER(G2785))),"Unknown",G2785&lt;=33,"Low Spender",G2785&lt;=66,"Medium Spender",TRUE, "High Spender")</f>
        <v>High Spender</v>
      </c>
      <c r="I2785" s="1">
        <v>12</v>
      </c>
      <c r="J2785" s="1">
        <v>9800</v>
      </c>
      <c r="K2785" s="1">
        <v>100</v>
      </c>
      <c r="L2785" s="1" t="s">
        <v>35</v>
      </c>
      <c r="M2785" s="1" t="s">
        <v>41</v>
      </c>
      <c r="N2785" s="1" t="str">
        <f t="shared" si="86"/>
        <v>Higher</v>
      </c>
      <c r="O2785" s="1" t="str">
        <f t="shared" si="87"/>
        <v>Young Adult | High Spender | Higher</v>
      </c>
    </row>
    <row r="2786" spans="1:15" x14ac:dyDescent="0.25">
      <c r="A2786" s="1" t="s">
        <v>2816</v>
      </c>
      <c r="B2786" s="1">
        <v>30</v>
      </c>
      <c r="C2786" s="1" t="str" cm="1">
        <f t="array" ref="C2786">_xlfn.IFS(OR(B2786=" ", B2786="NA",NOT(ISNUMBER(B2786))), "Unknown",B2786&lt;18,"Underage",B2786&lt;=24,"Young Adult",B2786&lt;=34,"Early Career",B2786&lt;=44,"Mid Career",B2786&lt;=54,"Mature",B2786&lt;=65,"Pre-Senior",B2786&gt;65,"Senior")</f>
        <v>Early Career</v>
      </c>
      <c r="D2786" s="1" t="s">
        <v>12</v>
      </c>
      <c r="E2786" s="1" t="s">
        <v>23</v>
      </c>
      <c r="F2786" s="1">
        <v>1075000</v>
      </c>
      <c r="G2786" s="1">
        <v>95</v>
      </c>
      <c r="H2786" s="1" t="str" cm="1">
        <f t="array" ref="H2786">_xlfn.IFS( OR(G2786=" ",NOT(ISNUMBER(G2786))),"Unknown",G2786&lt;=33,"Low Spender",G2786&lt;=66,"Medium Spender",TRUE, "High Spender")</f>
        <v>High Spender</v>
      </c>
      <c r="I2786" s="1">
        <v>13</v>
      </c>
      <c r="J2786" s="1">
        <v>4000</v>
      </c>
      <c r="K2786" s="1">
        <v>61</v>
      </c>
      <c r="L2786" s="1" t="s">
        <v>35</v>
      </c>
      <c r="N2786" s="1" t="str">
        <f t="shared" si="86"/>
        <v>Lower</v>
      </c>
      <c r="O2786" s="1" t="str">
        <f t="shared" si="87"/>
        <v>Early Career | High Spender | Lower</v>
      </c>
    </row>
    <row r="2787" spans="1:15" x14ac:dyDescent="0.25">
      <c r="A2787" s="1" t="s">
        <v>2817</v>
      </c>
      <c r="B2787" s="1">
        <v>46</v>
      </c>
      <c r="C2787" s="1" t="str" cm="1">
        <f t="array" ref="C2787">_xlfn.IFS(OR(B2787=" ", B2787="NA",NOT(ISNUMBER(B2787))), "Unknown",B2787&lt;18,"Underage",B2787&lt;=24,"Young Adult",B2787&lt;=34,"Early Career",B2787&lt;=44,"Mid Career",B2787&lt;=54,"Mature",B2787&lt;=65,"Pre-Senior",B2787&gt;65,"Senior")</f>
        <v>Mature</v>
      </c>
      <c r="E2787" s="1" t="s">
        <v>34</v>
      </c>
      <c r="F2787" s="1" t="s">
        <v>25</v>
      </c>
      <c r="G2787" s="1">
        <v>97</v>
      </c>
      <c r="H2787" s="1" t="str" cm="1">
        <f t="array" ref="H2787">_xlfn.IFS( OR(G2787=" ",NOT(ISNUMBER(G2787))),"Unknown",G2787&lt;=33,"Low Spender",G2787&lt;=66,"Medium Spender",TRUE, "High Spender")</f>
        <v>High Spender</v>
      </c>
      <c r="I2787" s="1">
        <v>64</v>
      </c>
      <c r="J2787" s="1">
        <v>2800</v>
      </c>
      <c r="K2787" s="1">
        <v>103</v>
      </c>
      <c r="M2787" s="1" t="s">
        <v>21</v>
      </c>
      <c r="N2787" s="1" t="str">
        <f t="shared" si="86"/>
        <v>Lower</v>
      </c>
      <c r="O2787" s="1" t="str">
        <f t="shared" si="87"/>
        <v>Mature | High Spender | Lower</v>
      </c>
    </row>
    <row r="2788" spans="1:15" x14ac:dyDescent="0.25">
      <c r="A2788" s="1" t="s">
        <v>2818</v>
      </c>
      <c r="B2788" s="1">
        <v>48</v>
      </c>
      <c r="C2788" s="1" t="str" cm="1">
        <f t="array" ref="C2788">_xlfn.IFS(OR(B2788=" ", B2788="NA",NOT(ISNUMBER(B2788))), "Unknown",B2788&lt;18,"Underage",B2788&lt;=24,"Young Adult",B2788&lt;=34,"Early Career",B2788&lt;=44,"Mid Career",B2788&lt;=54,"Mature",B2788&lt;=65,"Pre-Senior",B2788&gt;65,"Senior")</f>
        <v>Mature</v>
      </c>
      <c r="F2788" s="1">
        <v>400000</v>
      </c>
      <c r="G2788" s="1">
        <v>39</v>
      </c>
      <c r="H2788" s="1" t="str" cm="1">
        <f t="array" ref="H2788">_xlfn.IFS( OR(G2788=" ",NOT(ISNUMBER(G2788))),"Unknown",G2788&lt;=33,"Low Spender",G2788&lt;=66,"Medium Spender",TRUE, "High Spender")</f>
        <v>Medium Spender</v>
      </c>
      <c r="I2788" s="1">
        <v>8</v>
      </c>
      <c r="J2788" s="1">
        <v>6600</v>
      </c>
      <c r="K2788" s="1">
        <v>119</v>
      </c>
      <c r="L2788" s="1" t="s">
        <v>16</v>
      </c>
      <c r="N2788" s="1" t="str">
        <f t="shared" si="86"/>
        <v>Lower</v>
      </c>
      <c r="O2788" s="1" t="str">
        <f t="shared" si="87"/>
        <v>Mature | Medium Spender | Lower</v>
      </c>
    </row>
    <row r="2789" spans="1:15" x14ac:dyDescent="0.25">
      <c r="A2789" s="1" t="s">
        <v>2819</v>
      </c>
      <c r="B2789" s="1">
        <v>64</v>
      </c>
      <c r="C2789" s="1" t="str" cm="1">
        <f t="array" ref="C2789">_xlfn.IFS(OR(B2789=" ", B2789="NA",NOT(ISNUMBER(B2789))), "Unknown",B2789&lt;18,"Underage",B2789&lt;=24,"Young Adult",B2789&lt;=34,"Early Career",B2789&lt;=44,"Mid Career",B2789&lt;=54,"Mature",B2789&lt;=65,"Pre-Senior",B2789&gt;65,"Senior")</f>
        <v>Pre-Senior</v>
      </c>
      <c r="D2789" s="1" t="s">
        <v>29</v>
      </c>
      <c r="E2789" s="1" t="s">
        <v>49</v>
      </c>
      <c r="F2789" s="1">
        <v>375000</v>
      </c>
      <c r="G2789" s="1">
        <v>28</v>
      </c>
      <c r="H2789" s="1" t="str" cm="1">
        <f t="array" ref="H2789">_xlfn.IFS( OR(G2789=" ",NOT(ISNUMBER(G2789))),"Unknown",G2789&lt;=33,"Low Spender",G2789&lt;=66,"Medium Spender",TRUE, "High Spender")</f>
        <v>Low Spender</v>
      </c>
      <c r="I2789" s="1">
        <v>65</v>
      </c>
      <c r="J2789" s="1">
        <v>3200</v>
      </c>
      <c r="K2789" s="1">
        <v>17</v>
      </c>
      <c r="L2789" s="1" t="s">
        <v>20</v>
      </c>
      <c r="M2789" s="1" t="s">
        <v>32</v>
      </c>
      <c r="N2789" s="1" t="str">
        <f t="shared" si="86"/>
        <v>Higher</v>
      </c>
      <c r="O2789" s="1" t="str">
        <f t="shared" si="87"/>
        <v>Pre-Senior | Low Spender | Higher</v>
      </c>
    </row>
    <row r="2790" spans="1:15" x14ac:dyDescent="0.25">
      <c r="A2790" s="1" t="s">
        <v>2820</v>
      </c>
      <c r="B2790" s="1" t="s">
        <v>73</v>
      </c>
      <c r="C2790" s="1" t="str" cm="1">
        <f t="array" ref="C2790">_xlfn.IFS(OR(B2790=" ", B2790="NA",NOT(ISNUMBER(B2790))), "Unknown",B2790&lt;18,"Underage",B2790&lt;=24,"Young Adult",B2790&lt;=34,"Early Career",B2790&lt;=44,"Mid Career",B2790&lt;=54,"Mature",B2790&lt;=65,"Pre-Senior",B2790&gt;65,"Senior")</f>
        <v>Unknown</v>
      </c>
      <c r="D2790" s="1" t="s">
        <v>18</v>
      </c>
      <c r="F2790" s="1">
        <v>1600000</v>
      </c>
      <c r="G2790" s="1">
        <v>64</v>
      </c>
      <c r="H2790" s="1" t="str" cm="1">
        <f t="array" ref="H2790">_xlfn.IFS( OR(G2790=" ",NOT(ISNUMBER(G2790))),"Unknown",G2790&lt;=33,"Low Spender",G2790&lt;=66,"Medium Spender",TRUE, "High Spender")</f>
        <v>Medium Spender</v>
      </c>
      <c r="I2790" s="1">
        <v>9</v>
      </c>
      <c r="J2790" s="1">
        <v>1100</v>
      </c>
      <c r="K2790" s="1">
        <v>305</v>
      </c>
      <c r="M2790" s="1" t="s">
        <v>30</v>
      </c>
      <c r="N2790" s="1" t="str">
        <f t="shared" si="86"/>
        <v>Higher</v>
      </c>
      <c r="O2790" s="1" t="str">
        <f t="shared" si="87"/>
        <v>Unknown | Medium Spender | Higher</v>
      </c>
    </row>
    <row r="2791" spans="1:15" x14ac:dyDescent="0.25">
      <c r="A2791" s="1" t="s">
        <v>2821</v>
      </c>
      <c r="B2791" s="1">
        <v>33</v>
      </c>
      <c r="C2791" s="1" t="str" cm="1">
        <f t="array" ref="C2791">_xlfn.IFS(OR(B2791=" ", B2791="NA",NOT(ISNUMBER(B2791))), "Unknown",B2791&lt;18,"Underage",B2791&lt;=24,"Young Adult",B2791&lt;=34,"Early Career",B2791&lt;=44,"Mid Career",B2791&lt;=54,"Mature",B2791&lt;=65,"Pre-Senior",B2791&gt;65,"Senior")</f>
        <v>Early Career</v>
      </c>
      <c r="F2791" s="1">
        <v>1500000</v>
      </c>
      <c r="G2791" s="1">
        <v>89</v>
      </c>
      <c r="H2791" s="1" t="str" cm="1">
        <f t="array" ref="H2791">_xlfn.IFS( OR(G2791=" ",NOT(ISNUMBER(G2791))),"Unknown",G2791&lt;=33,"Low Spender",G2791&lt;=66,"Medium Spender",TRUE, "High Spender")</f>
        <v>High Spender</v>
      </c>
      <c r="I2791" s="1">
        <v>2</v>
      </c>
      <c r="J2791" s="1">
        <v>3400</v>
      </c>
      <c r="K2791" s="1">
        <v>191</v>
      </c>
      <c r="M2791" s="1" t="s">
        <v>21</v>
      </c>
      <c r="N2791" s="1" t="str">
        <f t="shared" si="86"/>
        <v>Lower</v>
      </c>
      <c r="O2791" s="1" t="str">
        <f t="shared" si="87"/>
        <v>Early Career | High Spender | Lower</v>
      </c>
    </row>
    <row r="2792" spans="1:15" x14ac:dyDescent="0.25">
      <c r="A2792" s="1" t="s">
        <v>2822</v>
      </c>
      <c r="B2792" s="1">
        <v>59</v>
      </c>
      <c r="C2792" s="1" t="str" cm="1">
        <f t="array" ref="C2792">_xlfn.IFS(OR(B2792=" ", B2792="NA",NOT(ISNUMBER(B2792))), "Unknown",B2792&lt;18,"Underage",B2792&lt;=24,"Young Adult",B2792&lt;=34,"Early Career",B2792&lt;=44,"Mid Career",B2792&lt;=54,"Mature",B2792&lt;=65,"Pre-Senior",B2792&gt;65,"Senior")</f>
        <v>Pre-Senior</v>
      </c>
      <c r="D2792" s="1" t="s">
        <v>29</v>
      </c>
      <c r="E2792" s="1" t="s">
        <v>49</v>
      </c>
      <c r="F2792" s="1">
        <v>625000</v>
      </c>
      <c r="G2792" s="1">
        <v>32</v>
      </c>
      <c r="H2792" s="1" t="str" cm="1">
        <f t="array" ref="H2792">_xlfn.IFS( OR(G2792=" ",NOT(ISNUMBER(G2792))),"Unknown",G2792&lt;=33,"Low Spender",G2792&lt;=66,"Medium Spender",TRUE, "High Spender")</f>
        <v>Low Spender</v>
      </c>
      <c r="I2792" s="1">
        <v>78</v>
      </c>
      <c r="J2792" s="1">
        <v>1300</v>
      </c>
      <c r="K2792" s="1">
        <v>212</v>
      </c>
      <c r="M2792" s="1" t="s">
        <v>30</v>
      </c>
      <c r="N2792" s="1" t="str">
        <f t="shared" si="86"/>
        <v>Higher</v>
      </c>
      <c r="O2792" s="1" t="str">
        <f t="shared" si="87"/>
        <v>Pre-Senior | Low Spender | Higher</v>
      </c>
    </row>
    <row r="2793" spans="1:15" x14ac:dyDescent="0.25">
      <c r="A2793" s="1" t="s">
        <v>2823</v>
      </c>
      <c r="B2793" s="1">
        <v>47</v>
      </c>
      <c r="C2793" s="1" t="str" cm="1">
        <f t="array" ref="C2793">_xlfn.IFS(OR(B2793=" ", B2793="NA",NOT(ISNUMBER(B2793))), "Unknown",B2793&lt;18,"Underage",B2793&lt;=24,"Young Adult",B2793&lt;=34,"Early Career",B2793&lt;=44,"Mid Career",B2793&lt;=54,"Mature",B2793&lt;=65,"Pre-Senior",B2793&gt;65,"Senior")</f>
        <v>Mature</v>
      </c>
      <c r="D2793" s="1" t="s">
        <v>12</v>
      </c>
      <c r="E2793" s="1" t="s">
        <v>34</v>
      </c>
      <c r="F2793" s="1">
        <v>550000</v>
      </c>
      <c r="G2793" s="1">
        <v>9</v>
      </c>
      <c r="H2793" s="1" t="str" cm="1">
        <f t="array" ref="H2793">_xlfn.IFS( OR(G2793=" ",NOT(ISNUMBER(G2793))),"Unknown",G2793&lt;=33,"Low Spender",G2793&lt;=66,"Medium Spender",TRUE, "High Spender")</f>
        <v>Low Spender</v>
      </c>
      <c r="I2793" s="1">
        <v>13</v>
      </c>
      <c r="J2793" s="1">
        <v>8800</v>
      </c>
      <c r="K2793" s="1">
        <v>78</v>
      </c>
      <c r="M2793" s="1" t="s">
        <v>21</v>
      </c>
      <c r="N2793" s="1" t="str">
        <f t="shared" si="86"/>
        <v>Lower</v>
      </c>
      <c r="O2793" s="1" t="str">
        <f t="shared" si="87"/>
        <v>Mature | Low Spender | Lower</v>
      </c>
    </row>
    <row r="2794" spans="1:15" x14ac:dyDescent="0.25">
      <c r="A2794" s="1" t="s">
        <v>2824</v>
      </c>
      <c r="B2794" s="1" t="s">
        <v>73</v>
      </c>
      <c r="C2794" s="1" t="str" cm="1">
        <f t="array" ref="C2794">_xlfn.IFS(OR(B2794=" ", B2794="NA",NOT(ISNUMBER(B2794))), "Unknown",B2794&lt;18,"Underage",B2794&lt;=24,"Young Adult",B2794&lt;=34,"Early Career",B2794&lt;=44,"Mid Career",B2794&lt;=54,"Mature",B2794&lt;=65,"Pre-Senior",B2794&gt;65,"Senior")</f>
        <v>Unknown</v>
      </c>
      <c r="F2794" s="1">
        <v>1825000</v>
      </c>
      <c r="G2794" s="1">
        <v>28</v>
      </c>
      <c r="H2794" s="1" t="str" cm="1">
        <f t="array" ref="H2794">_xlfn.IFS( OR(G2794=" ",NOT(ISNUMBER(G2794))),"Unknown",G2794&lt;=33,"Low Spender",G2794&lt;=66,"Medium Spender",TRUE, "High Spender")</f>
        <v>Low Spender</v>
      </c>
      <c r="I2794" s="1">
        <v>2</v>
      </c>
      <c r="J2794" s="1">
        <v>3600</v>
      </c>
      <c r="K2794" s="1">
        <v>46</v>
      </c>
      <c r="L2794" s="1" t="s">
        <v>37</v>
      </c>
      <c r="N2794" s="1" t="str">
        <f t="shared" si="86"/>
        <v>Lower</v>
      </c>
      <c r="O2794" s="1" t="str">
        <f t="shared" si="87"/>
        <v>Unknown | Low Spender | Lower</v>
      </c>
    </row>
    <row r="2795" spans="1:15" x14ac:dyDescent="0.25">
      <c r="A2795" s="1" t="s">
        <v>2825</v>
      </c>
      <c r="B2795" s="1">
        <v>33</v>
      </c>
      <c r="C2795" s="1" t="str" cm="1">
        <f t="array" ref="C2795">_xlfn.IFS(OR(B2795=" ", B2795="NA",NOT(ISNUMBER(B2795))), "Unknown",B2795&lt;18,"Underage",B2795&lt;=24,"Young Adult",B2795&lt;=34,"Early Career",B2795&lt;=44,"Mid Career",B2795&lt;=54,"Mature",B2795&lt;=65,"Pre-Senior",B2795&gt;65,"Senior")</f>
        <v>Early Career</v>
      </c>
      <c r="D2795" s="1" t="s">
        <v>12</v>
      </c>
      <c r="F2795" s="1">
        <v>250000</v>
      </c>
      <c r="G2795" s="1">
        <v>95</v>
      </c>
      <c r="H2795" s="1" t="str" cm="1">
        <f t="array" ref="H2795">_xlfn.IFS( OR(G2795=" ",NOT(ISNUMBER(G2795))),"Unknown",G2795&lt;=33,"Low Spender",G2795&lt;=66,"Medium Spender",TRUE, "High Spender")</f>
        <v>High Spender</v>
      </c>
      <c r="I2795" s="1">
        <v>68</v>
      </c>
      <c r="J2795" s="1">
        <v>10700</v>
      </c>
      <c r="K2795" s="1">
        <v>93</v>
      </c>
      <c r="L2795" s="1" t="s">
        <v>37</v>
      </c>
      <c r="M2795" s="1" t="s">
        <v>32</v>
      </c>
      <c r="N2795" s="1" t="str">
        <f t="shared" si="86"/>
        <v>Lower</v>
      </c>
      <c r="O2795" s="1" t="str">
        <f t="shared" si="87"/>
        <v>Early Career | High Spender | Lower</v>
      </c>
    </row>
    <row r="2796" spans="1:15" x14ac:dyDescent="0.25">
      <c r="A2796" s="1" t="s">
        <v>2826</v>
      </c>
      <c r="B2796" s="1">
        <v>29</v>
      </c>
      <c r="C2796" s="1" t="str" cm="1">
        <f t="array" ref="C2796">_xlfn.IFS(OR(B2796=" ", B2796="NA",NOT(ISNUMBER(B2796))), "Unknown",B2796&lt;18,"Underage",B2796&lt;=24,"Young Adult",B2796&lt;=34,"Early Career",B2796&lt;=44,"Mid Career",B2796&lt;=54,"Mature",B2796&lt;=65,"Pre-Senior",B2796&gt;65,"Senior")</f>
        <v>Early Career</v>
      </c>
      <c r="D2796" s="1" t="s">
        <v>29</v>
      </c>
      <c r="F2796" s="1">
        <v>1625000</v>
      </c>
      <c r="G2796" s="1">
        <v>17</v>
      </c>
      <c r="H2796" s="1" t="str" cm="1">
        <f t="array" ref="H2796">_xlfn.IFS( OR(G2796=" ",NOT(ISNUMBER(G2796))),"Unknown",G2796&lt;=33,"Low Spender",G2796&lt;=66,"Medium Spender",TRUE, "High Spender")</f>
        <v>Low Spender</v>
      </c>
      <c r="I2796" s="1">
        <v>76</v>
      </c>
      <c r="J2796" s="1">
        <v>2000</v>
      </c>
      <c r="K2796" s="1">
        <v>13</v>
      </c>
      <c r="L2796" s="1" t="s">
        <v>16</v>
      </c>
      <c r="M2796" s="1" t="s">
        <v>32</v>
      </c>
      <c r="N2796" s="1" t="str">
        <f t="shared" si="86"/>
        <v>Higher</v>
      </c>
      <c r="O2796" s="1" t="str">
        <f t="shared" si="87"/>
        <v>Early Career | Low Spender | Higher</v>
      </c>
    </row>
    <row r="2797" spans="1:15" x14ac:dyDescent="0.25">
      <c r="A2797" s="1" t="s">
        <v>2827</v>
      </c>
      <c r="B2797" s="1">
        <v>34</v>
      </c>
      <c r="C2797" s="1" t="str" cm="1">
        <f t="array" ref="C2797">_xlfn.IFS(OR(B2797=" ", B2797="NA",NOT(ISNUMBER(B2797))), "Unknown",B2797&lt;18,"Underage",B2797&lt;=24,"Young Adult",B2797&lt;=34,"Early Career",B2797&lt;=44,"Mid Career",B2797&lt;=54,"Mature",B2797&lt;=65,"Pre-Senior",B2797&gt;65,"Senior")</f>
        <v>Early Career</v>
      </c>
      <c r="D2797" s="1" t="s">
        <v>18</v>
      </c>
      <c r="E2797" s="1" t="s">
        <v>27</v>
      </c>
      <c r="F2797" s="1">
        <v>700000</v>
      </c>
      <c r="G2797" s="1">
        <v>87</v>
      </c>
      <c r="H2797" s="1" t="str" cm="1">
        <f t="array" ref="H2797">_xlfn.IFS( OR(G2797=" ",NOT(ISNUMBER(G2797))),"Unknown",G2797&lt;=33,"Low Spender",G2797&lt;=66,"Medium Spender",TRUE, "High Spender")</f>
        <v>High Spender</v>
      </c>
      <c r="I2797" s="1">
        <v>48</v>
      </c>
      <c r="J2797" s="1">
        <v>2100</v>
      </c>
      <c r="K2797" s="1">
        <v>228</v>
      </c>
      <c r="N2797" s="1" t="str">
        <f t="shared" si="86"/>
        <v>Higher</v>
      </c>
      <c r="O2797" s="1" t="str">
        <f t="shared" si="87"/>
        <v>Early Career | High Spender | Higher</v>
      </c>
    </row>
    <row r="2798" spans="1:15" x14ac:dyDescent="0.25">
      <c r="A2798" s="1" t="s">
        <v>2828</v>
      </c>
      <c r="B2798" s="1">
        <v>33</v>
      </c>
      <c r="C2798" s="1" t="str" cm="1">
        <f t="array" ref="C2798">_xlfn.IFS(OR(B2798=" ", B2798="NA",NOT(ISNUMBER(B2798))), "Unknown",B2798&lt;18,"Underage",B2798&lt;=24,"Young Adult",B2798&lt;=34,"Early Career",B2798&lt;=44,"Mid Career",B2798&lt;=54,"Mature",B2798&lt;=65,"Pre-Senior",B2798&gt;65,"Senior")</f>
        <v>Early Career</v>
      </c>
      <c r="D2798" s="1" t="s">
        <v>29</v>
      </c>
      <c r="F2798" s="1">
        <v>1275000</v>
      </c>
      <c r="G2798" s="1">
        <v>77</v>
      </c>
      <c r="H2798" s="1" t="str" cm="1">
        <f t="array" ref="H2798">_xlfn.IFS( OR(G2798=" ",NOT(ISNUMBER(G2798))),"Unknown",G2798&lt;=33,"Low Spender",G2798&lt;=66,"Medium Spender",TRUE, "High Spender")</f>
        <v>High Spender</v>
      </c>
      <c r="I2798" s="1">
        <v>74</v>
      </c>
      <c r="J2798" s="1">
        <v>5600</v>
      </c>
      <c r="K2798" s="1">
        <v>301</v>
      </c>
      <c r="L2798" s="1" t="s">
        <v>37</v>
      </c>
      <c r="M2798" s="1" t="s">
        <v>21</v>
      </c>
      <c r="N2798" s="1" t="str">
        <f t="shared" si="86"/>
        <v>Higher</v>
      </c>
      <c r="O2798" s="1" t="str">
        <f t="shared" si="87"/>
        <v>Early Career | High Spender | Higher</v>
      </c>
    </row>
    <row r="2799" spans="1:15" x14ac:dyDescent="0.25">
      <c r="A2799" s="1" t="s">
        <v>2829</v>
      </c>
      <c r="B2799" s="1">
        <v>29</v>
      </c>
      <c r="C2799" s="1" t="str" cm="1">
        <f t="array" ref="C2799">_xlfn.IFS(OR(B2799=" ", B2799="NA",NOT(ISNUMBER(B2799))), "Unknown",B2799&lt;18,"Underage",B2799&lt;=24,"Young Adult",B2799&lt;=34,"Early Career",B2799&lt;=44,"Mid Career",B2799&lt;=54,"Mature",B2799&lt;=65,"Pre-Senior",B2799&gt;65,"Senior")</f>
        <v>Early Career</v>
      </c>
      <c r="D2799" s="1" t="s">
        <v>12</v>
      </c>
      <c r="E2799" s="1" t="s">
        <v>49</v>
      </c>
      <c r="F2799" s="1">
        <v>1425000</v>
      </c>
      <c r="G2799" s="1">
        <v>55</v>
      </c>
      <c r="H2799" s="1" t="str" cm="1">
        <f t="array" ref="H2799">_xlfn.IFS( OR(G2799=" ",NOT(ISNUMBER(G2799))),"Unknown",G2799&lt;=33,"Low Spender",G2799&lt;=66,"Medium Spender",TRUE, "High Spender")</f>
        <v>Medium Spender</v>
      </c>
      <c r="I2799" s="1">
        <v>3</v>
      </c>
      <c r="J2799" s="1">
        <v>8400</v>
      </c>
      <c r="K2799" s="1">
        <v>17</v>
      </c>
      <c r="M2799" s="1" t="s">
        <v>41</v>
      </c>
      <c r="N2799" s="1" t="str">
        <f t="shared" si="86"/>
        <v>Lower</v>
      </c>
      <c r="O2799" s="1" t="str">
        <f t="shared" si="87"/>
        <v>Early Career | Medium Spender | Lower</v>
      </c>
    </row>
    <row r="2800" spans="1:15" x14ac:dyDescent="0.25">
      <c r="A2800" s="1" t="s">
        <v>2830</v>
      </c>
      <c r="B2800" s="1">
        <v>25</v>
      </c>
      <c r="C2800" s="1" t="str" cm="1">
        <f t="array" ref="C2800">_xlfn.IFS(OR(B2800=" ", B2800="NA",NOT(ISNUMBER(B2800))), "Unknown",B2800&lt;18,"Underage",B2800&lt;=24,"Young Adult",B2800&lt;=34,"Early Career",B2800&lt;=44,"Mid Career",B2800&lt;=54,"Mature",B2800&lt;=65,"Pre-Senior",B2800&gt;65,"Senior")</f>
        <v>Early Career</v>
      </c>
      <c r="E2800" s="1" t="s">
        <v>23</v>
      </c>
      <c r="F2800" s="1">
        <v>375000</v>
      </c>
      <c r="G2800" s="1">
        <v>10</v>
      </c>
      <c r="H2800" s="1" t="str" cm="1">
        <f t="array" ref="H2800">_xlfn.IFS( OR(G2800=" ",NOT(ISNUMBER(G2800))),"Unknown",G2800&lt;=33,"Low Spender",G2800&lt;=66,"Medium Spender",TRUE, "High Spender")</f>
        <v>Low Spender</v>
      </c>
      <c r="I2800" s="1">
        <v>68</v>
      </c>
      <c r="J2800" s="1">
        <v>3900</v>
      </c>
      <c r="K2800" s="1">
        <v>303</v>
      </c>
      <c r="M2800" s="1" t="s">
        <v>21</v>
      </c>
      <c r="N2800" s="1" t="str">
        <f t="shared" si="86"/>
        <v>Lower</v>
      </c>
      <c r="O2800" s="1" t="str">
        <f t="shared" si="87"/>
        <v>Early Career | Low Spender | Lower</v>
      </c>
    </row>
    <row r="2801" spans="1:15" x14ac:dyDescent="0.25">
      <c r="A2801" s="1" t="s">
        <v>2831</v>
      </c>
      <c r="B2801" s="1">
        <v>37</v>
      </c>
      <c r="C2801" s="1" t="str" cm="1">
        <f t="array" ref="C2801">_xlfn.IFS(OR(B2801=" ", B2801="NA",NOT(ISNUMBER(B2801))), "Unknown",B2801&lt;18,"Underage",B2801&lt;=24,"Young Adult",B2801&lt;=34,"Early Career",B2801&lt;=44,"Mid Career",B2801&lt;=54,"Mature",B2801&lt;=65,"Pre-Senior",B2801&gt;65,"Senior")</f>
        <v>Mid Career</v>
      </c>
      <c r="D2801" s="1" t="s">
        <v>18</v>
      </c>
      <c r="E2801" s="1" t="s">
        <v>23</v>
      </c>
      <c r="F2801" s="1">
        <v>1275000</v>
      </c>
      <c r="G2801" s="1">
        <v>80</v>
      </c>
      <c r="H2801" s="1" t="str" cm="1">
        <f t="array" ref="H2801">_xlfn.IFS( OR(G2801=" ",NOT(ISNUMBER(G2801))),"Unknown",G2801&lt;=33,"Low Spender",G2801&lt;=66,"Medium Spender",TRUE, "High Spender")</f>
        <v>High Spender</v>
      </c>
      <c r="I2801" s="1">
        <v>6</v>
      </c>
      <c r="J2801" s="1">
        <v>8400</v>
      </c>
      <c r="K2801" s="1">
        <v>62</v>
      </c>
      <c r="L2801" s="1" t="s">
        <v>35</v>
      </c>
      <c r="M2801" s="1" t="s">
        <v>32</v>
      </c>
      <c r="N2801" s="1" t="str">
        <f t="shared" si="86"/>
        <v>Higher</v>
      </c>
      <c r="O2801" s="1" t="str">
        <f t="shared" si="87"/>
        <v>Mid Career | High Spender | Higher</v>
      </c>
    </row>
    <row r="2802" spans="1:15" x14ac:dyDescent="0.25">
      <c r="A2802" s="1" t="s">
        <v>2832</v>
      </c>
      <c r="B2802" s="1">
        <v>20</v>
      </c>
      <c r="C2802" s="1" t="str" cm="1">
        <f t="array" ref="C2802">_xlfn.IFS(OR(B2802=" ", B2802="NA",NOT(ISNUMBER(B2802))), "Unknown",B2802&lt;18,"Underage",B2802&lt;=24,"Young Adult",B2802&lt;=34,"Early Career",B2802&lt;=44,"Mid Career",B2802&lt;=54,"Mature",B2802&lt;=65,"Pre-Senior",B2802&gt;65,"Senior")</f>
        <v>Young Adult</v>
      </c>
      <c r="E2802" s="1" t="s">
        <v>15</v>
      </c>
      <c r="F2802" s="1">
        <v>825000</v>
      </c>
      <c r="G2802" s="1">
        <v>6</v>
      </c>
      <c r="H2802" s="1" t="str" cm="1">
        <f t="array" ref="H2802">_xlfn.IFS( OR(G2802=" ",NOT(ISNUMBER(G2802))),"Unknown",G2802&lt;=33,"Low Spender",G2802&lt;=66,"Medium Spender",TRUE, "High Spender")</f>
        <v>Low Spender</v>
      </c>
      <c r="I2802" s="1">
        <v>5</v>
      </c>
      <c r="J2802" s="1">
        <v>1400</v>
      </c>
      <c r="K2802" s="1">
        <v>43</v>
      </c>
      <c r="L2802" s="1" t="s">
        <v>20</v>
      </c>
      <c r="M2802" s="1" t="s">
        <v>30</v>
      </c>
      <c r="N2802" s="1" t="str">
        <f t="shared" si="86"/>
        <v>Lower</v>
      </c>
      <c r="O2802" s="1" t="str">
        <f t="shared" si="87"/>
        <v>Young Adult | Low Spender | Lower</v>
      </c>
    </row>
    <row r="2803" spans="1:15" x14ac:dyDescent="0.25">
      <c r="A2803" s="1" t="s">
        <v>2833</v>
      </c>
      <c r="B2803" s="1">
        <v>33</v>
      </c>
      <c r="C2803" s="1" t="str" cm="1">
        <f t="array" ref="C2803">_xlfn.IFS(OR(B2803=" ", B2803="NA",NOT(ISNUMBER(B2803))), "Unknown",B2803&lt;18,"Underage",B2803&lt;=24,"Young Adult",B2803&lt;=34,"Early Career",B2803&lt;=44,"Mid Career",B2803&lt;=54,"Mature",B2803&lt;=65,"Pre-Senior",B2803&gt;65,"Senior")</f>
        <v>Early Career</v>
      </c>
      <c r="D2803" s="1" t="s">
        <v>18</v>
      </c>
      <c r="F2803" s="1">
        <v>1200000</v>
      </c>
      <c r="G2803" s="1">
        <v>48</v>
      </c>
      <c r="H2803" s="1" t="str" cm="1">
        <f t="array" ref="H2803">_xlfn.IFS( OR(G2803=" ",NOT(ISNUMBER(G2803))),"Unknown",G2803&lt;=33,"Low Spender",G2803&lt;=66,"Medium Spender",TRUE, "High Spender")</f>
        <v>Medium Spender</v>
      </c>
      <c r="I2803" s="1">
        <v>3</v>
      </c>
      <c r="J2803" s="1">
        <v>600</v>
      </c>
      <c r="K2803" s="1">
        <v>68</v>
      </c>
      <c r="L2803" s="1" t="s">
        <v>20</v>
      </c>
      <c r="N2803" s="1" t="str">
        <f t="shared" si="86"/>
        <v>Higher</v>
      </c>
      <c r="O2803" s="1" t="str">
        <f t="shared" si="87"/>
        <v>Early Career | Medium Spender | Higher</v>
      </c>
    </row>
    <row r="2804" spans="1:15" x14ac:dyDescent="0.25">
      <c r="A2804" s="1" t="s">
        <v>2834</v>
      </c>
      <c r="B2804" s="1">
        <v>47</v>
      </c>
      <c r="C2804" s="1" t="str" cm="1">
        <f t="array" ref="C2804">_xlfn.IFS(OR(B2804=" ", B2804="NA",NOT(ISNUMBER(B2804))), "Unknown",B2804&lt;18,"Underage",B2804&lt;=24,"Young Adult",B2804&lt;=34,"Early Career",B2804&lt;=44,"Mid Career",B2804&lt;=54,"Mature",B2804&lt;=65,"Pre-Senior",B2804&gt;65,"Senior")</f>
        <v>Mature</v>
      </c>
      <c r="E2804" s="1" t="s">
        <v>27</v>
      </c>
      <c r="F2804" s="1">
        <v>775000</v>
      </c>
      <c r="G2804" s="1">
        <v>75</v>
      </c>
      <c r="H2804" s="1" t="str" cm="1">
        <f t="array" ref="H2804">_xlfn.IFS( OR(G2804=" ",NOT(ISNUMBER(G2804))),"Unknown",G2804&lt;=33,"Low Spender",G2804&lt;=66,"Medium Spender",TRUE, "High Spender")</f>
        <v>High Spender</v>
      </c>
      <c r="I2804" s="1">
        <v>10</v>
      </c>
      <c r="J2804" s="1">
        <v>11300</v>
      </c>
      <c r="K2804" s="1">
        <v>212</v>
      </c>
      <c r="M2804" s="1" t="s">
        <v>30</v>
      </c>
      <c r="N2804" s="1" t="str">
        <f t="shared" si="86"/>
        <v>Lower</v>
      </c>
      <c r="O2804" s="1" t="str">
        <f t="shared" si="87"/>
        <v>Mature | High Spender | Lower</v>
      </c>
    </row>
    <row r="2805" spans="1:15" x14ac:dyDescent="0.25">
      <c r="A2805" s="1" t="s">
        <v>2835</v>
      </c>
      <c r="B2805" s="1">
        <v>62</v>
      </c>
      <c r="C2805" s="1" t="str" cm="1">
        <f t="array" ref="C2805">_xlfn.IFS(OR(B2805=" ", B2805="NA",NOT(ISNUMBER(B2805))), "Unknown",B2805&lt;18,"Underage",B2805&lt;=24,"Young Adult",B2805&lt;=34,"Early Career",B2805&lt;=44,"Mid Career",B2805&lt;=54,"Mature",B2805&lt;=65,"Pre-Senior",B2805&gt;65,"Senior")</f>
        <v>Pre-Senior</v>
      </c>
      <c r="D2805" s="1" t="s">
        <v>29</v>
      </c>
      <c r="E2805" s="1" t="s">
        <v>49</v>
      </c>
      <c r="F2805" s="1">
        <v>1500000</v>
      </c>
      <c r="G2805" s="1">
        <v>67</v>
      </c>
      <c r="H2805" s="1" t="str" cm="1">
        <f t="array" ref="H2805">_xlfn.IFS( OR(G2805=" ",NOT(ISNUMBER(G2805))),"Unknown",G2805&lt;=33,"Low Spender",G2805&lt;=66,"Medium Spender",TRUE, "High Spender")</f>
        <v>High Spender</v>
      </c>
      <c r="I2805" s="1">
        <v>43</v>
      </c>
      <c r="J2805" s="1">
        <v>4500</v>
      </c>
      <c r="K2805" s="1">
        <v>203</v>
      </c>
      <c r="L2805" s="1" t="s">
        <v>20</v>
      </c>
      <c r="M2805" s="1" t="s">
        <v>32</v>
      </c>
      <c r="N2805" s="1" t="str">
        <f t="shared" si="86"/>
        <v>Higher</v>
      </c>
      <c r="O2805" s="1" t="str">
        <f t="shared" si="87"/>
        <v>Pre-Senior | High Spender | Higher</v>
      </c>
    </row>
    <row r="2806" spans="1:15" x14ac:dyDescent="0.25">
      <c r="A2806" s="1" t="s">
        <v>2836</v>
      </c>
      <c r="B2806" s="1">
        <v>40</v>
      </c>
      <c r="C2806" s="1" t="str" cm="1">
        <f t="array" ref="C2806">_xlfn.IFS(OR(B2806=" ", B2806="NA",NOT(ISNUMBER(B2806))), "Unknown",B2806&lt;18,"Underage",B2806&lt;=24,"Young Adult",B2806&lt;=34,"Early Career",B2806&lt;=44,"Mid Career",B2806&lt;=54,"Mature",B2806&lt;=65,"Pre-Senior",B2806&gt;65,"Senior")</f>
        <v>Mid Career</v>
      </c>
      <c r="E2806" s="1" t="s">
        <v>49</v>
      </c>
      <c r="F2806" s="1">
        <v>1325000</v>
      </c>
      <c r="G2806" s="1">
        <v>92</v>
      </c>
      <c r="H2806" s="1" t="str" cm="1">
        <f t="array" ref="H2806">_xlfn.IFS( OR(G2806=" ",NOT(ISNUMBER(G2806))),"Unknown",G2806&lt;=33,"Low Spender",G2806&lt;=66,"Medium Spender",TRUE, "High Spender")</f>
        <v>High Spender</v>
      </c>
      <c r="I2806" s="1">
        <v>19</v>
      </c>
      <c r="J2806" s="1">
        <v>2900</v>
      </c>
      <c r="K2806" s="1">
        <v>214</v>
      </c>
      <c r="L2806" s="1" t="s">
        <v>20</v>
      </c>
      <c r="M2806" s="1" t="s">
        <v>30</v>
      </c>
      <c r="N2806" s="1" t="str">
        <f t="shared" si="86"/>
        <v>Lower</v>
      </c>
      <c r="O2806" s="1" t="str">
        <f t="shared" si="87"/>
        <v>Mid Career | High Spender | Lower</v>
      </c>
    </row>
    <row r="2807" spans="1:15" x14ac:dyDescent="0.25">
      <c r="A2807" s="1" t="s">
        <v>2837</v>
      </c>
      <c r="B2807" s="1">
        <v>45</v>
      </c>
      <c r="C2807" s="1" t="str" cm="1">
        <f t="array" ref="C2807">_xlfn.IFS(OR(B2807=" ", B2807="NA",NOT(ISNUMBER(B2807))), "Unknown",B2807&lt;18,"Underage",B2807&lt;=24,"Young Adult",B2807&lt;=34,"Early Career",B2807&lt;=44,"Mid Career",B2807&lt;=54,"Mature",B2807&lt;=65,"Pre-Senior",B2807&gt;65,"Senior")</f>
        <v>Mature</v>
      </c>
      <c r="E2807" s="1" t="s">
        <v>13</v>
      </c>
      <c r="F2807" s="1">
        <v>850000</v>
      </c>
      <c r="G2807" s="1">
        <v>41</v>
      </c>
      <c r="H2807" s="1" t="str" cm="1">
        <f t="array" ref="H2807">_xlfn.IFS( OR(G2807=" ",NOT(ISNUMBER(G2807))),"Unknown",G2807&lt;=33,"Low Spender",G2807&lt;=66,"Medium Spender",TRUE, "High Spender")</f>
        <v>Medium Spender</v>
      </c>
      <c r="I2807" s="1">
        <v>14</v>
      </c>
      <c r="J2807" s="1">
        <v>5300</v>
      </c>
      <c r="K2807" s="1">
        <v>109</v>
      </c>
      <c r="M2807" s="1" t="s">
        <v>41</v>
      </c>
      <c r="N2807" s="1" t="str">
        <f t="shared" si="86"/>
        <v>Lower</v>
      </c>
      <c r="O2807" s="1" t="str">
        <f t="shared" si="87"/>
        <v>Mature | Medium Spender | Lower</v>
      </c>
    </row>
    <row r="2808" spans="1:15" x14ac:dyDescent="0.25">
      <c r="A2808" s="1" t="s">
        <v>2838</v>
      </c>
      <c r="B2808" s="1">
        <v>68</v>
      </c>
      <c r="C2808" s="1" t="str" cm="1">
        <f t="array" ref="C2808">_xlfn.IFS(OR(B2808=" ", B2808="NA",NOT(ISNUMBER(B2808))), "Unknown",B2808&lt;18,"Underage",B2808&lt;=24,"Young Adult",B2808&lt;=34,"Early Career",B2808&lt;=44,"Mid Career",B2808&lt;=54,"Mature",B2808&lt;=65,"Pre-Senior",B2808&gt;65,"Senior")</f>
        <v>Senior</v>
      </c>
      <c r="D2808" s="1" t="s">
        <v>12</v>
      </c>
      <c r="E2808" s="1" t="s">
        <v>19</v>
      </c>
      <c r="F2808" s="1">
        <v>800000</v>
      </c>
      <c r="G2808" s="1">
        <v>79</v>
      </c>
      <c r="H2808" s="1" t="str" cm="1">
        <f t="array" ref="H2808">_xlfn.IFS( OR(G2808=" ",NOT(ISNUMBER(G2808))),"Unknown",G2808&lt;=33,"Low Spender",G2808&lt;=66,"Medium Spender",TRUE, "High Spender")</f>
        <v>High Spender</v>
      </c>
      <c r="I2808" s="1">
        <v>21</v>
      </c>
      <c r="J2808" s="1">
        <v>700</v>
      </c>
      <c r="K2808" s="1">
        <v>284</v>
      </c>
      <c r="M2808" s="1" t="s">
        <v>41</v>
      </c>
      <c r="N2808" s="1" t="str">
        <f t="shared" si="86"/>
        <v>Lower</v>
      </c>
      <c r="O2808" s="1" t="str">
        <f t="shared" si="87"/>
        <v>Senior | High Spender | Lower</v>
      </c>
    </row>
    <row r="2809" spans="1:15" x14ac:dyDescent="0.25">
      <c r="A2809" s="1" t="s">
        <v>2839</v>
      </c>
      <c r="B2809" s="1">
        <v>57</v>
      </c>
      <c r="C2809" s="1" t="str" cm="1">
        <f t="array" ref="C2809">_xlfn.IFS(OR(B2809=" ", B2809="NA",NOT(ISNUMBER(B2809))), "Unknown",B2809&lt;18,"Underage",B2809&lt;=24,"Young Adult",B2809&lt;=34,"Early Career",B2809&lt;=44,"Mid Career",B2809&lt;=54,"Mature",B2809&lt;=65,"Pre-Senior",B2809&gt;65,"Senior")</f>
        <v>Pre-Senior</v>
      </c>
      <c r="D2809" s="1" t="s">
        <v>18</v>
      </c>
      <c r="F2809" s="1">
        <v>575000</v>
      </c>
      <c r="G2809" s="1">
        <v>60</v>
      </c>
      <c r="H2809" s="1" t="str" cm="1">
        <f t="array" ref="H2809">_xlfn.IFS( OR(G2809=" ",NOT(ISNUMBER(G2809))),"Unknown",G2809&lt;=33,"Low Spender",G2809&lt;=66,"Medium Spender",TRUE, "High Spender")</f>
        <v>Medium Spender</v>
      </c>
      <c r="I2809" s="1">
        <v>43</v>
      </c>
      <c r="J2809" s="1">
        <v>800</v>
      </c>
      <c r="K2809" s="1">
        <v>94</v>
      </c>
      <c r="L2809" s="1" t="s">
        <v>35</v>
      </c>
      <c r="M2809" s="1" t="s">
        <v>21</v>
      </c>
      <c r="N2809" s="1" t="str">
        <f t="shared" si="86"/>
        <v>Higher</v>
      </c>
      <c r="O2809" s="1" t="str">
        <f t="shared" si="87"/>
        <v>Pre-Senior | Medium Spender | Higher</v>
      </c>
    </row>
    <row r="2810" spans="1:15" x14ac:dyDescent="0.25">
      <c r="A2810" s="1" t="s">
        <v>2840</v>
      </c>
      <c r="C2810" s="1" t="str" cm="1">
        <f t="array" ref="C2810">_xlfn.IFS(OR(B2810=" ", B2810="NA",NOT(ISNUMBER(B2810))), "Unknown",B2810&lt;18,"Underage",B2810&lt;=24,"Young Adult",B2810&lt;=34,"Early Career",B2810&lt;=44,"Mid Career",B2810&lt;=54,"Mature",B2810&lt;=65,"Pre-Senior",B2810&gt;65,"Senior")</f>
        <v>Unknown</v>
      </c>
      <c r="D2810" s="1" t="s">
        <v>12</v>
      </c>
      <c r="E2810" s="1" t="s">
        <v>49</v>
      </c>
      <c r="F2810" s="1">
        <v>1625000</v>
      </c>
      <c r="G2810" s="1">
        <v>77</v>
      </c>
      <c r="H2810" s="1" t="str" cm="1">
        <f t="array" ref="H2810">_xlfn.IFS( OR(G2810=" ",NOT(ISNUMBER(G2810))),"Unknown",G2810&lt;=33,"Low Spender",G2810&lt;=66,"Medium Spender",TRUE, "High Spender")</f>
        <v>High Spender</v>
      </c>
      <c r="I2810" s="1">
        <v>28</v>
      </c>
      <c r="J2810" s="1">
        <v>7900</v>
      </c>
      <c r="K2810" s="1">
        <v>225</v>
      </c>
      <c r="L2810" s="1" t="s">
        <v>16</v>
      </c>
      <c r="M2810" s="1" t="s">
        <v>30</v>
      </c>
      <c r="N2810" s="1" t="str">
        <f t="shared" si="86"/>
        <v>Lower</v>
      </c>
      <c r="O2810" s="1" t="str">
        <f t="shared" si="87"/>
        <v>Unknown | High Spender | Lower</v>
      </c>
    </row>
    <row r="2811" spans="1:15" x14ac:dyDescent="0.25">
      <c r="A2811" s="1" t="s">
        <v>2841</v>
      </c>
      <c r="B2811" s="1">
        <v>22</v>
      </c>
      <c r="C2811" s="1" t="str" cm="1">
        <f t="array" ref="C2811">_xlfn.IFS(OR(B2811=" ", B2811="NA",NOT(ISNUMBER(B2811))), "Unknown",B2811&lt;18,"Underage",B2811&lt;=24,"Young Adult",B2811&lt;=34,"Early Career",B2811&lt;=44,"Mid Career",B2811&lt;=54,"Mature",B2811&lt;=65,"Pre-Senior",B2811&gt;65,"Senior")</f>
        <v>Young Adult</v>
      </c>
      <c r="E2811" s="1" t="s">
        <v>58</v>
      </c>
      <c r="F2811" s="1">
        <v>1975000</v>
      </c>
      <c r="G2811" s="1">
        <v>42</v>
      </c>
      <c r="H2811" s="1" t="str" cm="1">
        <f t="array" ref="H2811">_xlfn.IFS( OR(G2811=" ",NOT(ISNUMBER(G2811))),"Unknown",G2811&lt;=33,"Low Spender",G2811&lt;=66,"Medium Spender",TRUE, "High Spender")</f>
        <v>Medium Spender</v>
      </c>
      <c r="I2811" s="1">
        <v>21</v>
      </c>
      <c r="J2811" s="1">
        <v>8900</v>
      </c>
      <c r="K2811" s="1">
        <v>225</v>
      </c>
      <c r="L2811" s="1" t="s">
        <v>37</v>
      </c>
      <c r="M2811" s="1" t="s">
        <v>30</v>
      </c>
      <c r="N2811" s="1" t="str">
        <f t="shared" si="86"/>
        <v>Lower</v>
      </c>
      <c r="O2811" s="1" t="str">
        <f t="shared" si="87"/>
        <v>Young Adult | Medium Spender | Lower</v>
      </c>
    </row>
    <row r="2812" spans="1:15" x14ac:dyDescent="0.25">
      <c r="A2812" s="1" t="s">
        <v>2842</v>
      </c>
      <c r="B2812" s="1">
        <v>37</v>
      </c>
      <c r="C2812" s="1" t="str" cm="1">
        <f t="array" ref="C2812">_xlfn.IFS(OR(B2812=" ", B2812="NA",NOT(ISNUMBER(B2812))), "Unknown",B2812&lt;18,"Underage",B2812&lt;=24,"Young Adult",B2812&lt;=34,"Early Career",B2812&lt;=44,"Mid Career",B2812&lt;=54,"Mature",B2812&lt;=65,"Pre-Senior",B2812&gt;65,"Senior")</f>
        <v>Mid Career</v>
      </c>
      <c r="E2812" s="1" t="s">
        <v>49</v>
      </c>
      <c r="F2812" s="1">
        <v>1850000</v>
      </c>
      <c r="G2812" s="1">
        <v>81</v>
      </c>
      <c r="H2812" s="1" t="str" cm="1">
        <f t="array" ref="H2812">_xlfn.IFS( OR(G2812=" ",NOT(ISNUMBER(G2812))),"Unknown",G2812&lt;=33,"Low Spender",G2812&lt;=66,"Medium Spender",TRUE, "High Spender")</f>
        <v>High Spender</v>
      </c>
      <c r="I2812" s="1">
        <v>36</v>
      </c>
      <c r="J2812" s="1">
        <v>10800</v>
      </c>
      <c r="K2812" s="1">
        <v>239</v>
      </c>
      <c r="L2812" s="1" t="s">
        <v>37</v>
      </c>
      <c r="M2812" s="1" t="s">
        <v>32</v>
      </c>
      <c r="N2812" s="1" t="str">
        <f t="shared" si="86"/>
        <v>Lower</v>
      </c>
      <c r="O2812" s="1" t="str">
        <f t="shared" si="87"/>
        <v>Mid Career | High Spender | Lower</v>
      </c>
    </row>
    <row r="2813" spans="1:15" x14ac:dyDescent="0.25">
      <c r="A2813" s="1" t="s">
        <v>2843</v>
      </c>
      <c r="B2813" s="1">
        <v>57</v>
      </c>
      <c r="C2813" s="1" t="str" cm="1">
        <f t="array" ref="C2813">_xlfn.IFS(OR(B2813=" ", B2813="NA",NOT(ISNUMBER(B2813))), "Unknown",B2813&lt;18,"Underage",B2813&lt;=24,"Young Adult",B2813&lt;=34,"Early Career",B2813&lt;=44,"Mid Career",B2813&lt;=54,"Mature",B2813&lt;=65,"Pre-Senior",B2813&gt;65,"Senior")</f>
        <v>Pre-Senior</v>
      </c>
      <c r="D2813" s="1" t="s">
        <v>18</v>
      </c>
      <c r="E2813" s="1" t="s">
        <v>13</v>
      </c>
      <c r="F2813" s="1">
        <v>1975000</v>
      </c>
      <c r="G2813" s="1">
        <v>71</v>
      </c>
      <c r="H2813" s="1" t="str" cm="1">
        <f t="array" ref="H2813">_xlfn.IFS( OR(G2813=" ",NOT(ISNUMBER(G2813))),"Unknown",G2813&lt;=33,"Low Spender",G2813&lt;=66,"Medium Spender",TRUE, "High Spender")</f>
        <v>High Spender</v>
      </c>
      <c r="I2813" s="1">
        <v>24</v>
      </c>
      <c r="J2813" s="1">
        <v>5800</v>
      </c>
      <c r="K2813" s="1">
        <v>118</v>
      </c>
      <c r="M2813" s="1" t="s">
        <v>21</v>
      </c>
      <c r="N2813" s="1" t="str">
        <f t="shared" si="86"/>
        <v>Higher</v>
      </c>
      <c r="O2813" s="1" t="str">
        <f t="shared" si="87"/>
        <v>Pre-Senior | High Spender | Higher</v>
      </c>
    </row>
    <row r="2814" spans="1:15" x14ac:dyDescent="0.25">
      <c r="A2814" s="1" t="s">
        <v>2844</v>
      </c>
      <c r="B2814" s="1">
        <v>61</v>
      </c>
      <c r="C2814" s="1" t="str" cm="1">
        <f t="array" ref="C2814">_xlfn.IFS(OR(B2814=" ", B2814="NA",NOT(ISNUMBER(B2814))), "Unknown",B2814&lt;18,"Underage",B2814&lt;=24,"Young Adult",B2814&lt;=34,"Early Career",B2814&lt;=44,"Mid Career",B2814&lt;=54,"Mature",B2814&lt;=65,"Pre-Senior",B2814&gt;65,"Senior")</f>
        <v>Pre-Senior</v>
      </c>
      <c r="D2814" s="1" t="s">
        <v>12</v>
      </c>
      <c r="F2814" s="1">
        <v>650000</v>
      </c>
      <c r="G2814" s="1">
        <v>28</v>
      </c>
      <c r="H2814" s="1" t="str" cm="1">
        <f t="array" ref="H2814">_xlfn.IFS( OR(G2814=" ",NOT(ISNUMBER(G2814))),"Unknown",G2814&lt;=33,"Low Spender",G2814&lt;=66,"Medium Spender",TRUE, "High Spender")</f>
        <v>Low Spender</v>
      </c>
      <c r="I2814" s="1">
        <v>54</v>
      </c>
      <c r="J2814" s="1">
        <v>9100</v>
      </c>
      <c r="K2814" s="1">
        <v>91</v>
      </c>
      <c r="M2814" s="1" t="s">
        <v>21</v>
      </c>
      <c r="N2814" s="1" t="str">
        <f t="shared" si="86"/>
        <v>Lower</v>
      </c>
      <c r="O2814" s="1" t="str">
        <f t="shared" si="87"/>
        <v>Pre-Senior | Low Spender | Lower</v>
      </c>
    </row>
    <row r="2815" spans="1:15" x14ac:dyDescent="0.25">
      <c r="A2815" s="1" t="s">
        <v>2845</v>
      </c>
      <c r="B2815" s="1">
        <v>18</v>
      </c>
      <c r="C2815" s="1" t="str" cm="1">
        <f t="array" ref="C2815">_xlfn.IFS(OR(B2815=" ", B2815="NA",NOT(ISNUMBER(B2815))), "Unknown",B2815&lt;18,"Underage",B2815&lt;=24,"Young Adult",B2815&lt;=34,"Early Career",B2815&lt;=44,"Mid Career",B2815&lt;=54,"Mature",B2815&lt;=65,"Pre-Senior",B2815&gt;65,"Senior")</f>
        <v>Young Adult</v>
      </c>
      <c r="D2815" s="1" t="s">
        <v>29</v>
      </c>
      <c r="E2815" s="1" t="s">
        <v>34</v>
      </c>
      <c r="F2815" s="1">
        <v>725000</v>
      </c>
      <c r="H2815" s="1" t="str" cm="1">
        <f t="array" ref="H2815">_xlfn.IFS( OR(G2815=" ",NOT(ISNUMBER(G2815))),"Unknown",G2815&lt;=33,"Low Spender",G2815&lt;=66,"Medium Spender",TRUE, "High Spender")</f>
        <v>Unknown</v>
      </c>
      <c r="I2815" s="1">
        <v>38</v>
      </c>
      <c r="J2815" s="1">
        <v>11200</v>
      </c>
      <c r="K2815" s="1">
        <v>340</v>
      </c>
      <c r="L2815" s="1" t="s">
        <v>20</v>
      </c>
      <c r="M2815" s="1" t="s">
        <v>30</v>
      </c>
      <c r="N2815" s="1" t="str">
        <f t="shared" si="86"/>
        <v>Higher</v>
      </c>
      <c r="O2815" s="1" t="str">
        <f t="shared" si="87"/>
        <v>Young Adult | Unknown | Higher</v>
      </c>
    </row>
    <row r="2816" spans="1:15" x14ac:dyDescent="0.25">
      <c r="A2816" s="1" t="s">
        <v>2846</v>
      </c>
      <c r="B2816" s="1">
        <v>47</v>
      </c>
      <c r="C2816" s="1" t="str" cm="1">
        <f t="array" ref="C2816">_xlfn.IFS(OR(B2816=" ", B2816="NA",NOT(ISNUMBER(B2816))), "Unknown",B2816&lt;18,"Underage",B2816&lt;=24,"Young Adult",B2816&lt;=34,"Early Career",B2816&lt;=44,"Mid Career",B2816&lt;=54,"Mature",B2816&lt;=65,"Pre-Senior",B2816&gt;65,"Senior")</f>
        <v>Mature</v>
      </c>
      <c r="D2816" s="1" t="s">
        <v>12</v>
      </c>
      <c r="E2816" s="1" t="s">
        <v>34</v>
      </c>
      <c r="F2816" s="1">
        <v>200000</v>
      </c>
      <c r="G2816" s="1">
        <v>13</v>
      </c>
      <c r="H2816" s="1" t="str" cm="1">
        <f t="array" ref="H2816">_xlfn.IFS( OR(G2816=" ",NOT(ISNUMBER(G2816))),"Unknown",G2816&lt;=33,"Low Spender",G2816&lt;=66,"Medium Spender",TRUE, "High Spender")</f>
        <v>Low Spender</v>
      </c>
      <c r="I2816" s="1">
        <v>17</v>
      </c>
      <c r="J2816" s="1">
        <v>7000</v>
      </c>
      <c r="K2816" s="1">
        <v>289</v>
      </c>
      <c r="L2816" s="1" t="s">
        <v>35</v>
      </c>
      <c r="N2816" s="1" t="str">
        <f t="shared" si="86"/>
        <v>Lower</v>
      </c>
      <c r="O2816" s="1" t="str">
        <f t="shared" si="87"/>
        <v>Mature | Low Spender | Lower</v>
      </c>
    </row>
    <row r="2817" spans="1:15" x14ac:dyDescent="0.25">
      <c r="A2817" s="1" t="s">
        <v>2847</v>
      </c>
      <c r="B2817" s="1">
        <v>38</v>
      </c>
      <c r="C2817" s="1" t="str" cm="1">
        <f t="array" ref="C2817">_xlfn.IFS(OR(B2817=" ", B2817="NA",NOT(ISNUMBER(B2817))), "Unknown",B2817&lt;18,"Underage",B2817&lt;=24,"Young Adult",B2817&lt;=34,"Early Career",B2817&lt;=44,"Mid Career",B2817&lt;=54,"Mature",B2817&lt;=65,"Pre-Senior",B2817&gt;65,"Senior")</f>
        <v>Mid Career</v>
      </c>
      <c r="E2817" s="1" t="s">
        <v>58</v>
      </c>
      <c r="F2817" s="1">
        <v>1675000</v>
      </c>
      <c r="G2817" s="1">
        <v>81</v>
      </c>
      <c r="H2817" s="1" t="str" cm="1">
        <f t="array" ref="H2817">_xlfn.IFS( OR(G2817=" ",NOT(ISNUMBER(G2817))),"Unknown",G2817&lt;=33,"Low Spender",G2817&lt;=66,"Medium Spender",TRUE, "High Spender")</f>
        <v>High Spender</v>
      </c>
      <c r="I2817" s="1">
        <v>22</v>
      </c>
      <c r="J2817" s="1">
        <v>11800</v>
      </c>
      <c r="K2817" s="1">
        <v>281</v>
      </c>
      <c r="L2817" s="1" t="s">
        <v>16</v>
      </c>
      <c r="M2817" s="1" t="s">
        <v>30</v>
      </c>
      <c r="N2817" s="1" t="str">
        <f t="shared" si="86"/>
        <v>Lower</v>
      </c>
      <c r="O2817" s="1" t="str">
        <f t="shared" si="87"/>
        <v>Mid Career | High Spender | Lower</v>
      </c>
    </row>
    <row r="2818" spans="1:15" x14ac:dyDescent="0.25">
      <c r="A2818" s="1" t="s">
        <v>2848</v>
      </c>
      <c r="B2818" s="1">
        <v>37</v>
      </c>
      <c r="C2818" s="1" t="str" cm="1">
        <f t="array" ref="C2818">_xlfn.IFS(OR(B2818=" ", B2818="NA",NOT(ISNUMBER(B2818))), "Unknown",B2818&lt;18,"Underage",B2818&lt;=24,"Young Adult",B2818&lt;=34,"Early Career",B2818&lt;=44,"Mid Career",B2818&lt;=54,"Mature",B2818&lt;=65,"Pre-Senior",B2818&gt;65,"Senior")</f>
        <v>Mid Career</v>
      </c>
      <c r="D2818" s="1" t="s">
        <v>12</v>
      </c>
      <c r="E2818" s="1" t="s">
        <v>58</v>
      </c>
      <c r="F2818" s="1">
        <v>175000</v>
      </c>
      <c r="G2818" s="1">
        <v>15</v>
      </c>
      <c r="H2818" s="1" t="str" cm="1">
        <f t="array" ref="H2818">_xlfn.IFS( OR(G2818=" ",NOT(ISNUMBER(G2818))),"Unknown",G2818&lt;=33,"Low Spender",G2818&lt;=66,"Medium Spender",TRUE, "High Spender")</f>
        <v>Low Spender</v>
      </c>
      <c r="I2818" s="1">
        <v>45</v>
      </c>
      <c r="K2818" s="1">
        <v>19</v>
      </c>
      <c r="M2818" s="1" t="s">
        <v>30</v>
      </c>
      <c r="N2818" s="1" t="str">
        <f t="shared" ref="N2818:N2881" si="88">IF(OR(UPPER(TRIM(D2818))="Male",UPPER(TRIM(D2818))="Female"),"Higher","Lower")</f>
        <v>Lower</v>
      </c>
      <c r="O2818" s="1" t="str">
        <f t="shared" ref="O2818:O2881" si="89">_xlfn.TEXTJOIN(" | ", TRUE, C2818, H2818, N2818)</f>
        <v>Mid Career | Low Spender | Lower</v>
      </c>
    </row>
    <row r="2819" spans="1:15" x14ac:dyDescent="0.25">
      <c r="A2819" s="1" t="s">
        <v>2849</v>
      </c>
      <c r="B2819" s="1">
        <v>23</v>
      </c>
      <c r="C2819" s="1" t="str" cm="1">
        <f t="array" ref="C2819">_xlfn.IFS(OR(B2819=" ", B2819="NA",NOT(ISNUMBER(B2819))), "Unknown",B2819&lt;18,"Underage",B2819&lt;=24,"Young Adult",B2819&lt;=34,"Early Career",B2819&lt;=44,"Mid Career",B2819&lt;=54,"Mature",B2819&lt;=65,"Pre-Senior",B2819&gt;65,"Senior")</f>
        <v>Young Adult</v>
      </c>
      <c r="E2819" s="1" t="s">
        <v>15</v>
      </c>
      <c r="F2819" s="1">
        <v>1775000</v>
      </c>
      <c r="G2819" s="1">
        <v>36</v>
      </c>
      <c r="H2819" s="1" t="str" cm="1">
        <f t="array" ref="H2819">_xlfn.IFS( OR(G2819=" ",NOT(ISNUMBER(G2819))),"Unknown",G2819&lt;=33,"Low Spender",G2819&lt;=66,"Medium Spender",TRUE, "High Spender")</f>
        <v>Medium Spender</v>
      </c>
      <c r="I2819" s="1">
        <v>74</v>
      </c>
      <c r="J2819" s="1">
        <v>9800</v>
      </c>
      <c r="K2819" s="1">
        <v>175</v>
      </c>
      <c r="M2819" s="1" t="s">
        <v>30</v>
      </c>
      <c r="N2819" s="1" t="str">
        <f t="shared" si="88"/>
        <v>Lower</v>
      </c>
      <c r="O2819" s="1" t="str">
        <f t="shared" si="89"/>
        <v>Young Adult | Medium Spender | Lower</v>
      </c>
    </row>
    <row r="2820" spans="1:15" x14ac:dyDescent="0.25">
      <c r="A2820" s="1" t="s">
        <v>2850</v>
      </c>
      <c r="B2820" s="1">
        <v>39</v>
      </c>
      <c r="C2820" s="1" t="str" cm="1">
        <f t="array" ref="C2820">_xlfn.IFS(OR(B2820=" ", B2820="NA",NOT(ISNUMBER(B2820))), "Unknown",B2820&lt;18,"Underage",B2820&lt;=24,"Young Adult",B2820&lt;=34,"Early Career",B2820&lt;=44,"Mid Career",B2820&lt;=54,"Mature",B2820&lt;=65,"Pre-Senior",B2820&gt;65,"Senior")</f>
        <v>Mid Career</v>
      </c>
      <c r="D2820" s="1" t="s">
        <v>29</v>
      </c>
      <c r="E2820" s="1" t="s">
        <v>34</v>
      </c>
      <c r="F2820" s="1">
        <v>1175000</v>
      </c>
      <c r="G2820" s="1">
        <v>92</v>
      </c>
      <c r="H2820" s="1" t="str" cm="1">
        <f t="array" ref="H2820">_xlfn.IFS( OR(G2820=" ",NOT(ISNUMBER(G2820))),"Unknown",G2820&lt;=33,"Low Spender",G2820&lt;=66,"Medium Spender",TRUE, "High Spender")</f>
        <v>High Spender</v>
      </c>
      <c r="I2820" s="1">
        <v>61</v>
      </c>
      <c r="J2820" s="1">
        <v>4600</v>
      </c>
      <c r="K2820" s="1">
        <v>106</v>
      </c>
      <c r="L2820" s="1" t="s">
        <v>35</v>
      </c>
      <c r="M2820" s="1" t="s">
        <v>41</v>
      </c>
      <c r="N2820" s="1" t="str">
        <f t="shared" si="88"/>
        <v>Higher</v>
      </c>
      <c r="O2820" s="1" t="str">
        <f t="shared" si="89"/>
        <v>Mid Career | High Spender | Higher</v>
      </c>
    </row>
    <row r="2821" spans="1:15" x14ac:dyDescent="0.25">
      <c r="A2821" s="1" t="s">
        <v>2851</v>
      </c>
      <c r="B2821" s="1">
        <v>35</v>
      </c>
      <c r="C2821" s="1" t="str" cm="1">
        <f t="array" ref="C2821">_xlfn.IFS(OR(B2821=" ", B2821="NA",NOT(ISNUMBER(B2821))), "Unknown",B2821&lt;18,"Underage",B2821&lt;=24,"Young Adult",B2821&lt;=34,"Early Career",B2821&lt;=44,"Mid Career",B2821&lt;=54,"Mature",B2821&lt;=65,"Pre-Senior",B2821&gt;65,"Senior")</f>
        <v>Mid Career</v>
      </c>
      <c r="D2821" s="1" t="s">
        <v>29</v>
      </c>
      <c r="F2821" s="1">
        <v>975000</v>
      </c>
      <c r="G2821" s="1">
        <v>15</v>
      </c>
      <c r="H2821" s="1" t="str" cm="1">
        <f t="array" ref="H2821">_xlfn.IFS( OR(G2821=" ",NOT(ISNUMBER(G2821))),"Unknown",G2821&lt;=33,"Low Spender",G2821&lt;=66,"Medium Spender",TRUE, "High Spender")</f>
        <v>Low Spender</v>
      </c>
      <c r="I2821" s="1">
        <v>11</v>
      </c>
      <c r="J2821" s="1">
        <v>1700</v>
      </c>
      <c r="K2821" s="1">
        <v>289</v>
      </c>
      <c r="N2821" s="1" t="str">
        <f t="shared" si="88"/>
        <v>Higher</v>
      </c>
      <c r="O2821" s="1" t="str">
        <f t="shared" si="89"/>
        <v>Mid Career | Low Spender | Higher</v>
      </c>
    </row>
    <row r="2822" spans="1:15" x14ac:dyDescent="0.25">
      <c r="A2822" s="1" t="s">
        <v>2852</v>
      </c>
      <c r="B2822" s="1">
        <v>25</v>
      </c>
      <c r="C2822" s="1" t="str" cm="1">
        <f t="array" ref="C2822">_xlfn.IFS(OR(B2822=" ", B2822="NA",NOT(ISNUMBER(B2822))), "Unknown",B2822&lt;18,"Underage",B2822&lt;=24,"Young Adult",B2822&lt;=34,"Early Career",B2822&lt;=44,"Mid Career",B2822&lt;=54,"Mature",B2822&lt;=65,"Pre-Senior",B2822&gt;65,"Senior")</f>
        <v>Early Career</v>
      </c>
      <c r="D2822" s="1" t="s">
        <v>18</v>
      </c>
      <c r="E2822" s="1" t="s">
        <v>34</v>
      </c>
      <c r="F2822" s="1">
        <v>1175000</v>
      </c>
      <c r="G2822" s="1">
        <v>75</v>
      </c>
      <c r="H2822" s="1" t="str" cm="1">
        <f t="array" ref="H2822">_xlfn.IFS( OR(G2822=" ",NOT(ISNUMBER(G2822))),"Unknown",G2822&lt;=33,"Low Spender",G2822&lt;=66,"Medium Spender",TRUE, "High Spender")</f>
        <v>High Spender</v>
      </c>
      <c r="I2822" s="1">
        <v>61</v>
      </c>
      <c r="J2822" s="1">
        <v>9200</v>
      </c>
      <c r="K2822" s="1">
        <v>248</v>
      </c>
      <c r="L2822" s="1" t="s">
        <v>35</v>
      </c>
      <c r="M2822" s="1" t="s">
        <v>21</v>
      </c>
      <c r="N2822" s="1" t="str">
        <f t="shared" si="88"/>
        <v>Higher</v>
      </c>
      <c r="O2822" s="1" t="str">
        <f t="shared" si="89"/>
        <v>Early Career | High Spender | Higher</v>
      </c>
    </row>
    <row r="2823" spans="1:15" x14ac:dyDescent="0.25">
      <c r="A2823" s="1" t="s">
        <v>2853</v>
      </c>
      <c r="B2823" s="1">
        <v>56</v>
      </c>
      <c r="C2823" s="1" t="str" cm="1">
        <f t="array" ref="C2823">_xlfn.IFS(OR(B2823=" ", B2823="NA",NOT(ISNUMBER(B2823))), "Unknown",B2823&lt;18,"Underage",B2823&lt;=24,"Young Adult",B2823&lt;=34,"Early Career",B2823&lt;=44,"Mid Career",B2823&lt;=54,"Mature",B2823&lt;=65,"Pre-Senior",B2823&gt;65,"Senior")</f>
        <v>Pre-Senior</v>
      </c>
      <c r="E2823" s="1" t="s">
        <v>19</v>
      </c>
      <c r="F2823" s="1">
        <v>625000</v>
      </c>
      <c r="G2823" s="1">
        <v>56</v>
      </c>
      <c r="H2823" s="1" t="str" cm="1">
        <f t="array" ref="H2823">_xlfn.IFS( OR(G2823=" ",NOT(ISNUMBER(G2823))),"Unknown",G2823&lt;=33,"Low Spender",G2823&lt;=66,"Medium Spender",TRUE, "High Spender")</f>
        <v>Medium Spender</v>
      </c>
      <c r="I2823" s="1">
        <v>38</v>
      </c>
      <c r="J2823" s="1">
        <v>4400</v>
      </c>
      <c r="K2823" s="1">
        <v>323</v>
      </c>
      <c r="N2823" s="1" t="str">
        <f t="shared" si="88"/>
        <v>Lower</v>
      </c>
      <c r="O2823" s="1" t="str">
        <f t="shared" si="89"/>
        <v>Pre-Senior | Medium Spender | Lower</v>
      </c>
    </row>
    <row r="2824" spans="1:15" x14ac:dyDescent="0.25">
      <c r="A2824" s="1" t="s">
        <v>2854</v>
      </c>
      <c r="B2824" s="1">
        <v>49</v>
      </c>
      <c r="C2824" s="1" t="str" cm="1">
        <f t="array" ref="C2824">_xlfn.IFS(OR(B2824=" ", B2824="NA",NOT(ISNUMBER(B2824))), "Unknown",B2824&lt;18,"Underage",B2824&lt;=24,"Young Adult",B2824&lt;=34,"Early Career",B2824&lt;=44,"Mid Career",B2824&lt;=54,"Mature",B2824&lt;=65,"Pre-Senior",B2824&gt;65,"Senior")</f>
        <v>Mature</v>
      </c>
      <c r="D2824" s="1" t="s">
        <v>29</v>
      </c>
      <c r="F2824" s="1">
        <v>1825000</v>
      </c>
      <c r="G2824" s="1">
        <v>95</v>
      </c>
      <c r="H2824" s="1" t="str" cm="1">
        <f t="array" ref="H2824">_xlfn.IFS( OR(G2824=" ",NOT(ISNUMBER(G2824))),"Unknown",G2824&lt;=33,"Low Spender",G2824&lt;=66,"Medium Spender",TRUE, "High Spender")</f>
        <v>High Spender</v>
      </c>
      <c r="I2824" s="1">
        <v>66</v>
      </c>
      <c r="J2824" s="1">
        <v>1300</v>
      </c>
      <c r="K2824" s="1">
        <v>142</v>
      </c>
      <c r="L2824" s="1" t="s">
        <v>35</v>
      </c>
      <c r="M2824" s="1" t="s">
        <v>41</v>
      </c>
      <c r="N2824" s="1" t="str">
        <f t="shared" si="88"/>
        <v>Higher</v>
      </c>
      <c r="O2824" s="1" t="str">
        <f t="shared" si="89"/>
        <v>Mature | High Spender | Higher</v>
      </c>
    </row>
    <row r="2825" spans="1:15" x14ac:dyDescent="0.25">
      <c r="A2825" s="1" t="s">
        <v>2855</v>
      </c>
      <c r="B2825" s="1">
        <v>50</v>
      </c>
      <c r="C2825" s="1" t="str" cm="1">
        <f t="array" ref="C2825">_xlfn.IFS(OR(B2825=" ", B2825="NA",NOT(ISNUMBER(B2825))), "Unknown",B2825&lt;18,"Underage",B2825&lt;=24,"Young Adult",B2825&lt;=34,"Early Career",B2825&lt;=44,"Mid Career",B2825&lt;=54,"Mature",B2825&lt;=65,"Pre-Senior",B2825&gt;65,"Senior")</f>
        <v>Mature</v>
      </c>
      <c r="D2825" s="1" t="s">
        <v>18</v>
      </c>
      <c r="E2825" s="1" t="s">
        <v>34</v>
      </c>
      <c r="F2825" s="1">
        <v>1250000</v>
      </c>
      <c r="G2825" s="1">
        <v>4</v>
      </c>
      <c r="H2825" s="1" t="str" cm="1">
        <f t="array" ref="H2825">_xlfn.IFS( OR(G2825=" ",NOT(ISNUMBER(G2825))),"Unknown",G2825&lt;=33,"Low Spender",G2825&lt;=66,"Medium Spender",TRUE, "High Spender")</f>
        <v>Low Spender</v>
      </c>
      <c r="I2825" s="1">
        <v>33</v>
      </c>
      <c r="J2825" s="1">
        <v>7500</v>
      </c>
      <c r="K2825" s="1">
        <v>298</v>
      </c>
      <c r="L2825" s="1" t="s">
        <v>20</v>
      </c>
      <c r="N2825" s="1" t="str">
        <f t="shared" si="88"/>
        <v>Higher</v>
      </c>
      <c r="O2825" s="1" t="str">
        <f t="shared" si="89"/>
        <v>Mature | Low Spender | Higher</v>
      </c>
    </row>
    <row r="2826" spans="1:15" x14ac:dyDescent="0.25">
      <c r="A2826" s="1" t="s">
        <v>2856</v>
      </c>
      <c r="C2826" s="1" t="str" cm="1">
        <f t="array" ref="C2826">_xlfn.IFS(OR(B2826=" ", B2826="NA",NOT(ISNUMBER(B2826))), "Unknown",B2826&lt;18,"Underage",B2826&lt;=24,"Young Adult",B2826&lt;=34,"Early Career",B2826&lt;=44,"Mid Career",B2826&lt;=54,"Mature",B2826&lt;=65,"Pre-Senior",B2826&gt;65,"Senior")</f>
        <v>Unknown</v>
      </c>
      <c r="D2826" s="1" t="s">
        <v>18</v>
      </c>
      <c r="E2826" s="1" t="s">
        <v>23</v>
      </c>
      <c r="G2826" s="1">
        <v>99</v>
      </c>
      <c r="H2826" s="1" t="str" cm="1">
        <f t="array" ref="H2826">_xlfn.IFS( OR(G2826=" ",NOT(ISNUMBER(G2826))),"Unknown",G2826&lt;=33,"Low Spender",G2826&lt;=66,"Medium Spender",TRUE, "High Spender")</f>
        <v>High Spender</v>
      </c>
      <c r="I2826" s="1">
        <v>43</v>
      </c>
      <c r="J2826" s="1">
        <v>1300</v>
      </c>
      <c r="K2826" s="1">
        <v>193</v>
      </c>
      <c r="L2826" s="1" t="s">
        <v>35</v>
      </c>
      <c r="M2826" s="1" t="s">
        <v>32</v>
      </c>
      <c r="N2826" s="1" t="str">
        <f t="shared" si="88"/>
        <v>Higher</v>
      </c>
      <c r="O2826" s="1" t="str">
        <f t="shared" si="89"/>
        <v>Unknown | High Spender | Higher</v>
      </c>
    </row>
    <row r="2827" spans="1:15" x14ac:dyDescent="0.25">
      <c r="A2827" s="1" t="s">
        <v>2857</v>
      </c>
      <c r="B2827" s="1">
        <v>33</v>
      </c>
      <c r="C2827" s="1" t="str" cm="1">
        <f t="array" ref="C2827">_xlfn.IFS(OR(B2827=" ", B2827="NA",NOT(ISNUMBER(B2827))), "Unknown",B2827&lt;18,"Underage",B2827&lt;=24,"Young Adult",B2827&lt;=34,"Early Career",B2827&lt;=44,"Mid Career",B2827&lt;=54,"Mature",B2827&lt;=65,"Pre-Senior",B2827&gt;65,"Senior")</f>
        <v>Early Career</v>
      </c>
      <c r="D2827" s="1" t="s">
        <v>18</v>
      </c>
      <c r="E2827" s="1" t="s">
        <v>15</v>
      </c>
      <c r="F2827" s="1">
        <v>1175000</v>
      </c>
      <c r="G2827" s="1">
        <v>98</v>
      </c>
      <c r="H2827" s="1" t="str" cm="1">
        <f t="array" ref="H2827">_xlfn.IFS( OR(G2827=" ",NOT(ISNUMBER(G2827))),"Unknown",G2827&lt;=33,"Low Spender",G2827&lt;=66,"Medium Spender",TRUE, "High Spender")</f>
        <v>High Spender</v>
      </c>
      <c r="I2827" s="1">
        <v>31</v>
      </c>
      <c r="J2827" s="1">
        <v>6800</v>
      </c>
      <c r="K2827" s="1">
        <v>351</v>
      </c>
      <c r="L2827" s="1" t="s">
        <v>16</v>
      </c>
      <c r="N2827" s="1" t="str">
        <f t="shared" si="88"/>
        <v>Higher</v>
      </c>
      <c r="O2827" s="1" t="str">
        <f t="shared" si="89"/>
        <v>Early Career | High Spender | Higher</v>
      </c>
    </row>
    <row r="2828" spans="1:15" x14ac:dyDescent="0.25">
      <c r="A2828" s="1" t="s">
        <v>2858</v>
      </c>
      <c r="B2828" s="1">
        <v>29</v>
      </c>
      <c r="C2828" s="1" t="str" cm="1">
        <f t="array" ref="C2828">_xlfn.IFS(OR(B2828=" ", B2828="NA",NOT(ISNUMBER(B2828))), "Unknown",B2828&lt;18,"Underage",B2828&lt;=24,"Young Adult",B2828&lt;=34,"Early Career",B2828&lt;=44,"Mid Career",B2828&lt;=54,"Mature",B2828&lt;=65,"Pre-Senior",B2828&gt;65,"Senior")</f>
        <v>Early Career</v>
      </c>
      <c r="E2828" s="1" t="s">
        <v>13</v>
      </c>
      <c r="F2828" s="1">
        <v>1300000</v>
      </c>
      <c r="G2828" s="1">
        <v>52</v>
      </c>
      <c r="H2828" s="1" t="str" cm="1">
        <f t="array" ref="H2828">_xlfn.IFS( OR(G2828=" ",NOT(ISNUMBER(G2828))),"Unknown",G2828&lt;=33,"Low Spender",G2828&lt;=66,"Medium Spender",TRUE, "High Spender")</f>
        <v>Medium Spender</v>
      </c>
      <c r="I2828" s="1">
        <v>35</v>
      </c>
      <c r="J2828" s="1">
        <v>11100</v>
      </c>
      <c r="K2828" s="1">
        <v>303</v>
      </c>
      <c r="L2828" s="1" t="s">
        <v>35</v>
      </c>
      <c r="M2828" s="1" t="s">
        <v>21</v>
      </c>
      <c r="N2828" s="1" t="str">
        <f t="shared" si="88"/>
        <v>Lower</v>
      </c>
      <c r="O2828" s="1" t="str">
        <f t="shared" si="89"/>
        <v>Early Career | Medium Spender | Lower</v>
      </c>
    </row>
    <row r="2829" spans="1:15" x14ac:dyDescent="0.25">
      <c r="A2829" s="1" t="s">
        <v>2859</v>
      </c>
      <c r="B2829" s="1">
        <v>55</v>
      </c>
      <c r="C2829" s="1" t="str" cm="1">
        <f t="array" ref="C2829">_xlfn.IFS(OR(B2829=" ", B2829="NA",NOT(ISNUMBER(B2829))), "Unknown",B2829&lt;18,"Underage",B2829&lt;=24,"Young Adult",B2829&lt;=34,"Early Career",B2829&lt;=44,"Mid Career",B2829&lt;=54,"Mature",B2829&lt;=65,"Pre-Senior",B2829&gt;65,"Senior")</f>
        <v>Pre-Senior</v>
      </c>
      <c r="D2829" s="1" t="s">
        <v>12</v>
      </c>
      <c r="E2829" s="1" t="s">
        <v>58</v>
      </c>
      <c r="F2829" s="1">
        <v>250000</v>
      </c>
      <c r="G2829" s="1">
        <v>91</v>
      </c>
      <c r="H2829" s="1" t="str" cm="1">
        <f t="array" ref="H2829">_xlfn.IFS( OR(G2829=" ",NOT(ISNUMBER(G2829))),"Unknown",G2829&lt;=33,"Low Spender",G2829&lt;=66,"Medium Spender",TRUE, "High Spender")</f>
        <v>High Spender</v>
      </c>
      <c r="I2829" s="1">
        <v>37</v>
      </c>
      <c r="J2829" s="1">
        <v>2900</v>
      </c>
      <c r="K2829" s="1">
        <v>291</v>
      </c>
      <c r="L2829" s="1" t="s">
        <v>37</v>
      </c>
      <c r="M2829" s="1" t="s">
        <v>32</v>
      </c>
      <c r="N2829" s="1" t="str">
        <f t="shared" si="88"/>
        <v>Lower</v>
      </c>
      <c r="O2829" s="1" t="str">
        <f t="shared" si="89"/>
        <v>Pre-Senior | High Spender | Lower</v>
      </c>
    </row>
    <row r="2830" spans="1:15" x14ac:dyDescent="0.25">
      <c r="A2830" s="1" t="s">
        <v>2860</v>
      </c>
      <c r="B2830" s="1">
        <v>69</v>
      </c>
      <c r="C2830" s="1" t="str" cm="1">
        <f t="array" ref="C2830">_xlfn.IFS(OR(B2830=" ", B2830="NA",NOT(ISNUMBER(B2830))), "Unknown",B2830&lt;18,"Underage",B2830&lt;=24,"Young Adult",B2830&lt;=34,"Early Career",B2830&lt;=44,"Mid Career",B2830&lt;=54,"Mature",B2830&lt;=65,"Pre-Senior",B2830&gt;65,"Senior")</f>
        <v>Senior</v>
      </c>
      <c r="E2830" s="1" t="s">
        <v>19</v>
      </c>
      <c r="F2830" s="1">
        <v>1350000</v>
      </c>
      <c r="G2830" s="1">
        <v>10</v>
      </c>
      <c r="H2830" s="1" t="str" cm="1">
        <f t="array" ref="H2830">_xlfn.IFS( OR(G2830=" ",NOT(ISNUMBER(G2830))),"Unknown",G2830&lt;=33,"Low Spender",G2830&lt;=66,"Medium Spender",TRUE, "High Spender")</f>
        <v>Low Spender</v>
      </c>
      <c r="I2830" s="1">
        <v>47</v>
      </c>
      <c r="K2830" s="1">
        <v>332</v>
      </c>
      <c r="L2830" s="1" t="s">
        <v>35</v>
      </c>
      <c r="N2830" s="1" t="str">
        <f t="shared" si="88"/>
        <v>Lower</v>
      </c>
      <c r="O2830" s="1" t="str">
        <f t="shared" si="89"/>
        <v>Senior | Low Spender | Lower</v>
      </c>
    </row>
    <row r="2831" spans="1:15" x14ac:dyDescent="0.25">
      <c r="A2831" s="1" t="s">
        <v>2861</v>
      </c>
      <c r="B2831" s="1">
        <v>51</v>
      </c>
      <c r="C2831" s="1" t="str" cm="1">
        <f t="array" ref="C2831">_xlfn.IFS(OR(B2831=" ", B2831="NA",NOT(ISNUMBER(B2831))), "Unknown",B2831&lt;18,"Underage",B2831&lt;=24,"Young Adult",B2831&lt;=34,"Early Career",B2831&lt;=44,"Mid Career",B2831&lt;=54,"Mature",B2831&lt;=65,"Pre-Senior",B2831&gt;65,"Senior")</f>
        <v>Mature</v>
      </c>
      <c r="D2831" s="1" t="s">
        <v>18</v>
      </c>
      <c r="E2831" s="1" t="s">
        <v>58</v>
      </c>
      <c r="F2831" s="1">
        <v>1050000</v>
      </c>
      <c r="G2831" s="1">
        <v>94</v>
      </c>
      <c r="H2831" s="1" t="str" cm="1">
        <f t="array" ref="H2831">_xlfn.IFS( OR(G2831=" ",NOT(ISNUMBER(G2831))),"Unknown",G2831&lt;=33,"Low Spender",G2831&lt;=66,"Medium Spender",TRUE, "High Spender")</f>
        <v>High Spender</v>
      </c>
      <c r="I2831" s="1">
        <v>23</v>
      </c>
      <c r="J2831" s="1">
        <v>6000</v>
      </c>
      <c r="K2831" s="1">
        <v>208</v>
      </c>
      <c r="N2831" s="1" t="str">
        <f t="shared" si="88"/>
        <v>Higher</v>
      </c>
      <c r="O2831" s="1" t="str">
        <f t="shared" si="89"/>
        <v>Mature | High Spender | Higher</v>
      </c>
    </row>
    <row r="2832" spans="1:15" x14ac:dyDescent="0.25">
      <c r="A2832" s="1" t="s">
        <v>2862</v>
      </c>
      <c r="B2832" s="1">
        <v>31</v>
      </c>
      <c r="C2832" s="1" t="str" cm="1">
        <f t="array" ref="C2832">_xlfn.IFS(OR(B2832=" ", B2832="NA",NOT(ISNUMBER(B2832))), "Unknown",B2832&lt;18,"Underage",B2832&lt;=24,"Young Adult",B2832&lt;=34,"Early Career",B2832&lt;=44,"Mid Career",B2832&lt;=54,"Mature",B2832&lt;=65,"Pre-Senior",B2832&gt;65,"Senior")</f>
        <v>Early Career</v>
      </c>
      <c r="E2832" s="1" t="s">
        <v>15</v>
      </c>
      <c r="F2832" s="1">
        <v>975000</v>
      </c>
      <c r="G2832" s="1">
        <v>45</v>
      </c>
      <c r="H2832" s="1" t="str" cm="1">
        <f t="array" ref="H2832">_xlfn.IFS( OR(G2832=" ",NOT(ISNUMBER(G2832))),"Unknown",G2832&lt;=33,"Low Spender",G2832&lt;=66,"Medium Spender",TRUE, "High Spender")</f>
        <v>Medium Spender</v>
      </c>
      <c r="I2832" s="1">
        <v>36</v>
      </c>
      <c r="J2832" s="1">
        <v>9200</v>
      </c>
      <c r="K2832" s="1">
        <v>248</v>
      </c>
      <c r="M2832" s="1" t="s">
        <v>21</v>
      </c>
      <c r="N2832" s="1" t="str">
        <f t="shared" si="88"/>
        <v>Lower</v>
      </c>
      <c r="O2832" s="1" t="str">
        <f t="shared" si="89"/>
        <v>Early Career | Medium Spender | Lower</v>
      </c>
    </row>
    <row r="2833" spans="1:15" x14ac:dyDescent="0.25">
      <c r="A2833" s="1" t="s">
        <v>2863</v>
      </c>
      <c r="B2833" s="1">
        <v>53</v>
      </c>
      <c r="C2833" s="1" t="str" cm="1">
        <f t="array" ref="C2833">_xlfn.IFS(OR(B2833=" ", B2833="NA",NOT(ISNUMBER(B2833))), "Unknown",B2833&lt;18,"Underage",B2833&lt;=24,"Young Adult",B2833&lt;=34,"Early Career",B2833&lt;=44,"Mid Career",B2833&lt;=54,"Mature",B2833&lt;=65,"Pre-Senior",B2833&gt;65,"Senior")</f>
        <v>Mature</v>
      </c>
      <c r="D2833" s="1" t="s">
        <v>29</v>
      </c>
      <c r="E2833" s="1" t="s">
        <v>49</v>
      </c>
      <c r="F2833" s="1">
        <v>1950000</v>
      </c>
      <c r="G2833" s="1">
        <v>84</v>
      </c>
      <c r="H2833" s="1" t="str" cm="1">
        <f t="array" ref="H2833">_xlfn.IFS( OR(G2833=" ",NOT(ISNUMBER(G2833))),"Unknown",G2833&lt;=33,"Low Spender",G2833&lt;=66,"Medium Spender",TRUE, "High Spender")</f>
        <v>High Spender</v>
      </c>
      <c r="I2833" s="1">
        <v>40</v>
      </c>
      <c r="J2833" s="1">
        <v>7400</v>
      </c>
      <c r="K2833" s="1">
        <v>142</v>
      </c>
      <c r="L2833" s="1" t="s">
        <v>37</v>
      </c>
      <c r="N2833" s="1" t="str">
        <f t="shared" si="88"/>
        <v>Higher</v>
      </c>
      <c r="O2833" s="1" t="str">
        <f t="shared" si="89"/>
        <v>Mature | High Spender | Higher</v>
      </c>
    </row>
    <row r="2834" spans="1:15" x14ac:dyDescent="0.25">
      <c r="A2834" s="1" t="s">
        <v>2864</v>
      </c>
      <c r="B2834" s="1">
        <v>50</v>
      </c>
      <c r="C2834" s="1" t="str" cm="1">
        <f t="array" ref="C2834">_xlfn.IFS(OR(B2834=" ", B2834="NA",NOT(ISNUMBER(B2834))), "Unknown",B2834&lt;18,"Underage",B2834&lt;=24,"Young Adult",B2834&lt;=34,"Early Career",B2834&lt;=44,"Mid Career",B2834&lt;=54,"Mature",B2834&lt;=65,"Pre-Senior",B2834&gt;65,"Senior")</f>
        <v>Mature</v>
      </c>
      <c r="D2834" s="1" t="s">
        <v>29</v>
      </c>
      <c r="E2834" s="1" t="s">
        <v>19</v>
      </c>
      <c r="F2834" s="1">
        <v>1875000</v>
      </c>
      <c r="G2834" s="1">
        <v>29</v>
      </c>
      <c r="H2834" s="1" t="str" cm="1">
        <f t="array" ref="H2834">_xlfn.IFS( OR(G2834=" ",NOT(ISNUMBER(G2834))),"Unknown",G2834&lt;=33,"Low Spender",G2834&lt;=66,"Medium Spender",TRUE, "High Spender")</f>
        <v>Low Spender</v>
      </c>
      <c r="J2834" s="1">
        <v>2300</v>
      </c>
      <c r="K2834" s="1">
        <v>311</v>
      </c>
      <c r="M2834" s="1" t="s">
        <v>32</v>
      </c>
      <c r="N2834" s="1" t="str">
        <f t="shared" si="88"/>
        <v>Higher</v>
      </c>
      <c r="O2834" s="1" t="str">
        <f t="shared" si="89"/>
        <v>Mature | Low Spender | Higher</v>
      </c>
    </row>
    <row r="2835" spans="1:15" x14ac:dyDescent="0.25">
      <c r="A2835" s="1" t="s">
        <v>2865</v>
      </c>
      <c r="B2835" s="1">
        <v>40</v>
      </c>
      <c r="C2835" s="1" t="str" cm="1">
        <f t="array" ref="C2835">_xlfn.IFS(OR(B2835=" ", B2835="NA",NOT(ISNUMBER(B2835))), "Unknown",B2835&lt;18,"Underage",B2835&lt;=24,"Young Adult",B2835&lt;=34,"Early Career",B2835&lt;=44,"Mid Career",B2835&lt;=54,"Mature",B2835&lt;=65,"Pre-Senior",B2835&gt;65,"Senior")</f>
        <v>Mid Career</v>
      </c>
      <c r="D2835" s="1" t="s">
        <v>18</v>
      </c>
      <c r="E2835" s="1" t="s">
        <v>27</v>
      </c>
      <c r="F2835" s="1">
        <v>575000</v>
      </c>
      <c r="G2835" s="1">
        <v>53</v>
      </c>
      <c r="H2835" s="1" t="str" cm="1">
        <f t="array" ref="H2835">_xlfn.IFS( OR(G2835=" ",NOT(ISNUMBER(G2835))),"Unknown",G2835&lt;=33,"Low Spender",G2835&lt;=66,"Medium Spender",TRUE, "High Spender")</f>
        <v>Medium Spender</v>
      </c>
      <c r="I2835" s="1">
        <v>15</v>
      </c>
      <c r="J2835" s="1">
        <v>2300</v>
      </c>
      <c r="K2835" s="1">
        <v>222</v>
      </c>
      <c r="M2835" s="1" t="s">
        <v>32</v>
      </c>
      <c r="N2835" s="1" t="str">
        <f t="shared" si="88"/>
        <v>Higher</v>
      </c>
      <c r="O2835" s="1" t="str">
        <f t="shared" si="89"/>
        <v>Mid Career | Medium Spender | Higher</v>
      </c>
    </row>
    <row r="2836" spans="1:15" x14ac:dyDescent="0.25">
      <c r="A2836" s="1" t="s">
        <v>2866</v>
      </c>
      <c r="B2836" s="1">
        <v>67</v>
      </c>
      <c r="C2836" s="1" t="str" cm="1">
        <f t="array" ref="C2836">_xlfn.IFS(OR(B2836=" ", B2836="NA",NOT(ISNUMBER(B2836))), "Unknown",B2836&lt;18,"Underage",B2836&lt;=24,"Young Adult",B2836&lt;=34,"Early Career",B2836&lt;=44,"Mid Career",B2836&lt;=54,"Mature",B2836&lt;=65,"Pre-Senior",B2836&gt;65,"Senior")</f>
        <v>Senior</v>
      </c>
      <c r="D2836" s="1" t="s">
        <v>29</v>
      </c>
      <c r="E2836" s="1" t="s">
        <v>19</v>
      </c>
      <c r="F2836" s="1">
        <v>600000</v>
      </c>
      <c r="G2836" s="1">
        <v>29</v>
      </c>
      <c r="H2836" s="1" t="str" cm="1">
        <f t="array" ref="H2836">_xlfn.IFS( OR(G2836=" ",NOT(ISNUMBER(G2836))),"Unknown",G2836&lt;=33,"Low Spender",G2836&lt;=66,"Medium Spender",TRUE, "High Spender")</f>
        <v>Low Spender</v>
      </c>
      <c r="I2836" s="1">
        <v>37</v>
      </c>
      <c r="J2836" s="1">
        <v>7400</v>
      </c>
      <c r="K2836" s="1">
        <v>225</v>
      </c>
      <c r="L2836" s="1" t="s">
        <v>16</v>
      </c>
      <c r="N2836" s="1" t="str">
        <f t="shared" si="88"/>
        <v>Higher</v>
      </c>
      <c r="O2836" s="1" t="str">
        <f t="shared" si="89"/>
        <v>Senior | Low Spender | Higher</v>
      </c>
    </row>
    <row r="2837" spans="1:15" x14ac:dyDescent="0.25">
      <c r="A2837" s="1" t="s">
        <v>2867</v>
      </c>
      <c r="B2837" s="1">
        <v>62</v>
      </c>
      <c r="C2837" s="1" t="str" cm="1">
        <f t="array" ref="C2837">_xlfn.IFS(OR(B2837=" ", B2837="NA",NOT(ISNUMBER(B2837))), "Unknown",B2837&lt;18,"Underage",B2837&lt;=24,"Young Adult",B2837&lt;=34,"Early Career",B2837&lt;=44,"Mid Career",B2837&lt;=54,"Mature",B2837&lt;=65,"Pre-Senior",B2837&gt;65,"Senior")</f>
        <v>Pre-Senior</v>
      </c>
      <c r="E2837" s="1" t="s">
        <v>15</v>
      </c>
      <c r="F2837" s="1">
        <v>1125000</v>
      </c>
      <c r="G2837" s="1">
        <v>23</v>
      </c>
      <c r="H2837" s="1" t="str" cm="1">
        <f t="array" ref="H2837">_xlfn.IFS( OR(G2837=" ",NOT(ISNUMBER(G2837))),"Unknown",G2837&lt;=33,"Low Spender",G2837&lt;=66,"Medium Spender",TRUE, "High Spender")</f>
        <v>Low Spender</v>
      </c>
      <c r="I2837" s="1">
        <v>4</v>
      </c>
      <c r="J2837" s="1">
        <v>300</v>
      </c>
      <c r="K2837" s="1">
        <v>354</v>
      </c>
      <c r="L2837" s="1" t="s">
        <v>20</v>
      </c>
      <c r="M2837" s="1" t="s">
        <v>41</v>
      </c>
      <c r="N2837" s="1" t="str">
        <f t="shared" si="88"/>
        <v>Lower</v>
      </c>
      <c r="O2837" s="1" t="str">
        <f t="shared" si="89"/>
        <v>Pre-Senior | Low Spender | Lower</v>
      </c>
    </row>
    <row r="2838" spans="1:15" x14ac:dyDescent="0.25">
      <c r="A2838" s="1" t="s">
        <v>2868</v>
      </c>
      <c r="B2838" s="1">
        <v>19</v>
      </c>
      <c r="C2838" s="1" t="str" cm="1">
        <f t="array" ref="C2838">_xlfn.IFS(OR(B2838=" ", B2838="NA",NOT(ISNUMBER(B2838))), "Unknown",B2838&lt;18,"Underage",B2838&lt;=24,"Young Adult",B2838&lt;=34,"Early Career",B2838&lt;=44,"Mid Career",B2838&lt;=54,"Mature",B2838&lt;=65,"Pre-Senior",B2838&gt;65,"Senior")</f>
        <v>Young Adult</v>
      </c>
      <c r="E2838" s="1" t="s">
        <v>13</v>
      </c>
      <c r="F2838" s="1">
        <v>550000</v>
      </c>
      <c r="G2838" s="1">
        <v>57</v>
      </c>
      <c r="H2838" s="1" t="str" cm="1">
        <f t="array" ref="H2838">_xlfn.IFS( OR(G2838=" ",NOT(ISNUMBER(G2838))),"Unknown",G2838&lt;=33,"Low Spender",G2838&lt;=66,"Medium Spender",TRUE, "High Spender")</f>
        <v>Medium Spender</v>
      </c>
      <c r="I2838" s="1">
        <v>22</v>
      </c>
      <c r="J2838" s="1">
        <v>10400</v>
      </c>
      <c r="K2838" s="1">
        <v>184</v>
      </c>
      <c r="L2838" s="1" t="s">
        <v>16</v>
      </c>
      <c r="N2838" s="1" t="str">
        <f t="shared" si="88"/>
        <v>Lower</v>
      </c>
      <c r="O2838" s="1" t="str">
        <f t="shared" si="89"/>
        <v>Young Adult | Medium Spender | Lower</v>
      </c>
    </row>
    <row r="2839" spans="1:15" x14ac:dyDescent="0.25">
      <c r="A2839" s="1" t="s">
        <v>2869</v>
      </c>
      <c r="B2839" s="1">
        <v>58</v>
      </c>
      <c r="C2839" s="1" t="str" cm="1">
        <f t="array" ref="C2839">_xlfn.IFS(OR(B2839=" ", B2839="NA",NOT(ISNUMBER(B2839))), "Unknown",B2839&lt;18,"Underage",B2839&lt;=24,"Young Adult",B2839&lt;=34,"Early Career",B2839&lt;=44,"Mid Career",B2839&lt;=54,"Mature",B2839&lt;=65,"Pre-Senior",B2839&gt;65,"Senior")</f>
        <v>Pre-Senior</v>
      </c>
      <c r="D2839" s="1" t="s">
        <v>29</v>
      </c>
      <c r="E2839" s="1" t="s">
        <v>19</v>
      </c>
      <c r="F2839" s="1">
        <v>1625000</v>
      </c>
      <c r="G2839" s="1">
        <v>50</v>
      </c>
      <c r="H2839" s="1" t="str" cm="1">
        <f t="array" ref="H2839">_xlfn.IFS( OR(G2839=" ",NOT(ISNUMBER(G2839))),"Unknown",G2839&lt;=33,"Low Spender",G2839&lt;=66,"Medium Spender",TRUE, "High Spender")</f>
        <v>Medium Spender</v>
      </c>
      <c r="J2839" s="1">
        <v>6000</v>
      </c>
      <c r="K2839" s="1">
        <v>364</v>
      </c>
      <c r="L2839" s="1" t="s">
        <v>37</v>
      </c>
      <c r="N2839" s="1" t="str">
        <f t="shared" si="88"/>
        <v>Higher</v>
      </c>
      <c r="O2839" s="1" t="str">
        <f t="shared" si="89"/>
        <v>Pre-Senior | Medium Spender | Higher</v>
      </c>
    </row>
    <row r="2840" spans="1:15" x14ac:dyDescent="0.25">
      <c r="A2840" s="1" t="s">
        <v>2870</v>
      </c>
      <c r="B2840" s="1">
        <v>38</v>
      </c>
      <c r="C2840" s="1" t="str" cm="1">
        <f t="array" ref="C2840">_xlfn.IFS(OR(B2840=" ", B2840="NA",NOT(ISNUMBER(B2840))), "Unknown",B2840&lt;18,"Underage",B2840&lt;=24,"Young Adult",B2840&lt;=34,"Early Career",B2840&lt;=44,"Mid Career",B2840&lt;=54,"Mature",B2840&lt;=65,"Pre-Senior",B2840&gt;65,"Senior")</f>
        <v>Mid Career</v>
      </c>
      <c r="D2840" s="1" t="s">
        <v>18</v>
      </c>
      <c r="E2840" s="1" t="s">
        <v>15</v>
      </c>
      <c r="F2840" s="1">
        <v>1175000</v>
      </c>
      <c r="G2840" s="1">
        <v>21</v>
      </c>
      <c r="H2840" s="1" t="str" cm="1">
        <f t="array" ref="H2840">_xlfn.IFS( OR(G2840=" ",NOT(ISNUMBER(G2840))),"Unknown",G2840&lt;=33,"Low Spender",G2840&lt;=66,"Medium Spender",TRUE, "High Spender")</f>
        <v>Low Spender</v>
      </c>
      <c r="I2840" s="1">
        <v>22</v>
      </c>
      <c r="J2840" s="1">
        <v>1500</v>
      </c>
      <c r="K2840" s="1">
        <v>305</v>
      </c>
      <c r="N2840" s="1" t="str">
        <f t="shared" si="88"/>
        <v>Higher</v>
      </c>
      <c r="O2840" s="1" t="str">
        <f t="shared" si="89"/>
        <v>Mid Career | Low Spender | Higher</v>
      </c>
    </row>
    <row r="2841" spans="1:15" x14ac:dyDescent="0.25">
      <c r="A2841" s="1" t="s">
        <v>2871</v>
      </c>
      <c r="B2841" s="1">
        <v>19</v>
      </c>
      <c r="C2841" s="1" t="str" cm="1">
        <f t="array" ref="C2841">_xlfn.IFS(OR(B2841=" ", B2841="NA",NOT(ISNUMBER(B2841))), "Unknown",B2841&lt;18,"Underage",B2841&lt;=24,"Young Adult",B2841&lt;=34,"Early Career",B2841&lt;=44,"Mid Career",B2841&lt;=54,"Mature",B2841&lt;=65,"Pre-Senior",B2841&gt;65,"Senior")</f>
        <v>Young Adult</v>
      </c>
      <c r="D2841" s="1" t="s">
        <v>29</v>
      </c>
      <c r="F2841" s="1">
        <v>1925000</v>
      </c>
      <c r="G2841" s="1">
        <v>43</v>
      </c>
      <c r="H2841" s="1" t="str" cm="1">
        <f t="array" ref="H2841">_xlfn.IFS( OR(G2841=" ",NOT(ISNUMBER(G2841))),"Unknown",G2841&lt;=33,"Low Spender",G2841&lt;=66,"Medium Spender",TRUE, "High Spender")</f>
        <v>Medium Spender</v>
      </c>
      <c r="J2841" s="1">
        <v>7500</v>
      </c>
      <c r="K2841" s="1">
        <v>188</v>
      </c>
      <c r="N2841" s="1" t="str">
        <f t="shared" si="88"/>
        <v>Higher</v>
      </c>
      <c r="O2841" s="1" t="str">
        <f t="shared" si="89"/>
        <v>Young Adult | Medium Spender | Higher</v>
      </c>
    </row>
    <row r="2842" spans="1:15" x14ac:dyDescent="0.25">
      <c r="A2842" s="1" t="s">
        <v>2872</v>
      </c>
      <c r="B2842" s="1">
        <v>44</v>
      </c>
      <c r="C2842" s="1" t="str" cm="1">
        <f t="array" ref="C2842">_xlfn.IFS(OR(B2842=" ", B2842="NA",NOT(ISNUMBER(B2842))), "Unknown",B2842&lt;18,"Underage",B2842&lt;=24,"Young Adult",B2842&lt;=34,"Early Career",B2842&lt;=44,"Mid Career",B2842&lt;=54,"Mature",B2842&lt;=65,"Pre-Senior",B2842&gt;65,"Senior")</f>
        <v>Mid Career</v>
      </c>
      <c r="D2842" s="1" t="s">
        <v>29</v>
      </c>
      <c r="F2842" s="1">
        <v>1750000</v>
      </c>
      <c r="G2842" s="1">
        <v>10</v>
      </c>
      <c r="H2842" s="1" t="str" cm="1">
        <f t="array" ref="H2842">_xlfn.IFS( OR(G2842=" ",NOT(ISNUMBER(G2842))),"Unknown",G2842&lt;=33,"Low Spender",G2842&lt;=66,"Medium Spender",TRUE, "High Spender")</f>
        <v>Low Spender</v>
      </c>
      <c r="I2842" s="1">
        <v>78</v>
      </c>
      <c r="J2842" s="1">
        <v>9400</v>
      </c>
      <c r="K2842" s="1">
        <v>113</v>
      </c>
      <c r="L2842" s="1" t="s">
        <v>20</v>
      </c>
      <c r="M2842" s="1" t="s">
        <v>41</v>
      </c>
      <c r="N2842" s="1" t="str">
        <f t="shared" si="88"/>
        <v>Higher</v>
      </c>
      <c r="O2842" s="1" t="str">
        <f t="shared" si="89"/>
        <v>Mid Career | Low Spender | Higher</v>
      </c>
    </row>
    <row r="2843" spans="1:15" x14ac:dyDescent="0.25">
      <c r="A2843" s="1" t="s">
        <v>2873</v>
      </c>
      <c r="B2843" s="1">
        <v>26</v>
      </c>
      <c r="C2843" s="1" t="str" cm="1">
        <f t="array" ref="C2843">_xlfn.IFS(OR(B2843=" ", B2843="NA",NOT(ISNUMBER(B2843))), "Unknown",B2843&lt;18,"Underage",B2843&lt;=24,"Young Adult",B2843&lt;=34,"Early Career",B2843&lt;=44,"Mid Career",B2843&lt;=54,"Mature",B2843&lt;=65,"Pre-Senior",B2843&gt;65,"Senior")</f>
        <v>Early Career</v>
      </c>
      <c r="D2843" s="1" t="s">
        <v>18</v>
      </c>
      <c r="E2843" s="1" t="s">
        <v>34</v>
      </c>
      <c r="F2843" s="1">
        <v>1450000</v>
      </c>
      <c r="G2843" s="1">
        <v>76</v>
      </c>
      <c r="H2843" s="1" t="str" cm="1">
        <f t="array" ref="H2843">_xlfn.IFS( OR(G2843=" ",NOT(ISNUMBER(G2843))),"Unknown",G2843&lt;=33,"Low Spender",G2843&lt;=66,"Medium Spender",TRUE, "High Spender")</f>
        <v>High Spender</v>
      </c>
      <c r="I2843" s="1">
        <v>78</v>
      </c>
      <c r="J2843" s="1">
        <v>800</v>
      </c>
      <c r="K2843" s="1">
        <v>181</v>
      </c>
      <c r="L2843" s="1" t="s">
        <v>35</v>
      </c>
      <c r="M2843" s="1" t="s">
        <v>30</v>
      </c>
      <c r="N2843" s="1" t="str">
        <f t="shared" si="88"/>
        <v>Higher</v>
      </c>
      <c r="O2843" s="1" t="str">
        <f t="shared" si="89"/>
        <v>Early Career | High Spender | Higher</v>
      </c>
    </row>
    <row r="2844" spans="1:15" x14ac:dyDescent="0.25">
      <c r="A2844" s="1" t="s">
        <v>2874</v>
      </c>
      <c r="B2844" s="1">
        <v>18</v>
      </c>
      <c r="C2844" s="1" t="str" cm="1">
        <f t="array" ref="C2844">_xlfn.IFS(OR(B2844=" ", B2844="NA",NOT(ISNUMBER(B2844))), "Unknown",B2844&lt;18,"Underage",B2844&lt;=24,"Young Adult",B2844&lt;=34,"Early Career",B2844&lt;=44,"Mid Career",B2844&lt;=54,"Mature",B2844&lt;=65,"Pre-Senior",B2844&gt;65,"Senior")</f>
        <v>Young Adult</v>
      </c>
      <c r="D2844" s="1" t="s">
        <v>29</v>
      </c>
      <c r="F2844" s="1">
        <v>300000</v>
      </c>
      <c r="G2844" s="1">
        <v>30</v>
      </c>
      <c r="H2844" s="1" t="str" cm="1">
        <f t="array" ref="H2844">_xlfn.IFS( OR(G2844=" ",NOT(ISNUMBER(G2844))),"Unknown",G2844&lt;=33,"Low Spender",G2844&lt;=66,"Medium Spender",TRUE, "High Spender")</f>
        <v>Low Spender</v>
      </c>
      <c r="I2844" s="1">
        <v>17</v>
      </c>
      <c r="J2844" s="1">
        <v>11300</v>
      </c>
      <c r="K2844" s="1">
        <v>199</v>
      </c>
      <c r="L2844" s="1" t="s">
        <v>37</v>
      </c>
      <c r="M2844" s="1" t="s">
        <v>32</v>
      </c>
      <c r="N2844" s="1" t="str">
        <f t="shared" si="88"/>
        <v>Higher</v>
      </c>
      <c r="O2844" s="1" t="str">
        <f t="shared" si="89"/>
        <v>Young Adult | Low Spender | Higher</v>
      </c>
    </row>
    <row r="2845" spans="1:15" x14ac:dyDescent="0.25">
      <c r="A2845" s="1" t="s">
        <v>2875</v>
      </c>
      <c r="B2845" s="1">
        <v>28</v>
      </c>
      <c r="C2845" s="1" t="str" cm="1">
        <f t="array" ref="C2845">_xlfn.IFS(OR(B2845=" ", B2845="NA",NOT(ISNUMBER(B2845))), "Unknown",B2845&lt;18,"Underage",B2845&lt;=24,"Young Adult",B2845&lt;=34,"Early Career",B2845&lt;=44,"Mid Career",B2845&lt;=54,"Mature",B2845&lt;=65,"Pre-Senior",B2845&gt;65,"Senior")</f>
        <v>Early Career</v>
      </c>
      <c r="E2845" s="1" t="s">
        <v>15</v>
      </c>
      <c r="F2845" s="1">
        <v>250000</v>
      </c>
      <c r="G2845" s="1">
        <v>51</v>
      </c>
      <c r="H2845" s="1" t="str" cm="1">
        <f t="array" ref="H2845">_xlfn.IFS( OR(G2845=" ",NOT(ISNUMBER(G2845))),"Unknown",G2845&lt;=33,"Low Spender",G2845&lt;=66,"Medium Spender",TRUE, "High Spender")</f>
        <v>Medium Spender</v>
      </c>
      <c r="I2845" s="1">
        <v>72</v>
      </c>
      <c r="J2845" s="1">
        <v>8900</v>
      </c>
      <c r="K2845" s="1">
        <v>70</v>
      </c>
      <c r="L2845" s="1" t="s">
        <v>20</v>
      </c>
      <c r="N2845" s="1" t="str">
        <f t="shared" si="88"/>
        <v>Lower</v>
      </c>
      <c r="O2845" s="1" t="str">
        <f t="shared" si="89"/>
        <v>Early Career | Medium Spender | Lower</v>
      </c>
    </row>
    <row r="2846" spans="1:15" x14ac:dyDescent="0.25">
      <c r="A2846" s="1" t="s">
        <v>2876</v>
      </c>
      <c r="B2846" s="1">
        <v>20</v>
      </c>
      <c r="C2846" s="1" t="str" cm="1">
        <f t="array" ref="C2846">_xlfn.IFS(OR(B2846=" ", B2846="NA",NOT(ISNUMBER(B2846))), "Unknown",B2846&lt;18,"Underage",B2846&lt;=24,"Young Adult",B2846&lt;=34,"Early Career",B2846&lt;=44,"Mid Career",B2846&lt;=54,"Mature",B2846&lt;=65,"Pre-Senior",B2846&gt;65,"Senior")</f>
        <v>Young Adult</v>
      </c>
      <c r="D2846" s="1" t="s">
        <v>18</v>
      </c>
      <c r="E2846" s="1" t="s">
        <v>23</v>
      </c>
      <c r="F2846" s="1">
        <v>725000</v>
      </c>
      <c r="G2846" s="1">
        <v>33</v>
      </c>
      <c r="H2846" s="1" t="str" cm="1">
        <f t="array" ref="H2846">_xlfn.IFS( OR(G2846=" ",NOT(ISNUMBER(G2846))),"Unknown",G2846&lt;=33,"Low Spender",G2846&lt;=66,"Medium Spender",TRUE, "High Spender")</f>
        <v>Low Spender</v>
      </c>
      <c r="J2846" s="1">
        <v>11400</v>
      </c>
      <c r="K2846" s="1">
        <v>86</v>
      </c>
      <c r="M2846" s="1" t="s">
        <v>21</v>
      </c>
      <c r="N2846" s="1" t="str">
        <f t="shared" si="88"/>
        <v>Higher</v>
      </c>
      <c r="O2846" s="1" t="str">
        <f t="shared" si="89"/>
        <v>Young Adult | Low Spender | Higher</v>
      </c>
    </row>
    <row r="2847" spans="1:15" x14ac:dyDescent="0.25">
      <c r="A2847" s="1" t="s">
        <v>2877</v>
      </c>
      <c r="B2847" s="1">
        <v>69</v>
      </c>
      <c r="C2847" s="1" t="str" cm="1">
        <f t="array" ref="C2847">_xlfn.IFS(OR(B2847=" ", B2847="NA",NOT(ISNUMBER(B2847))), "Unknown",B2847&lt;18,"Underage",B2847&lt;=24,"Young Adult",B2847&lt;=34,"Early Career",B2847&lt;=44,"Mid Career",B2847&lt;=54,"Mature",B2847&lt;=65,"Pre-Senior",B2847&gt;65,"Senior")</f>
        <v>Senior</v>
      </c>
      <c r="D2847" s="1" t="s">
        <v>29</v>
      </c>
      <c r="E2847" s="1" t="s">
        <v>49</v>
      </c>
      <c r="F2847" s="1">
        <v>825000</v>
      </c>
      <c r="G2847" s="1">
        <v>18</v>
      </c>
      <c r="H2847" s="1" t="str" cm="1">
        <f t="array" ref="H2847">_xlfn.IFS( OR(G2847=" ",NOT(ISNUMBER(G2847))),"Unknown",G2847&lt;=33,"Low Spender",G2847&lt;=66,"Medium Spender",TRUE, "High Spender")</f>
        <v>Low Spender</v>
      </c>
      <c r="J2847" s="1">
        <v>10200</v>
      </c>
      <c r="K2847" s="1">
        <v>39</v>
      </c>
      <c r="L2847" s="1" t="s">
        <v>20</v>
      </c>
      <c r="M2847" s="1" t="s">
        <v>32</v>
      </c>
      <c r="N2847" s="1" t="str">
        <f t="shared" si="88"/>
        <v>Higher</v>
      </c>
      <c r="O2847" s="1" t="str">
        <f t="shared" si="89"/>
        <v>Senior | Low Spender | Higher</v>
      </c>
    </row>
    <row r="2848" spans="1:15" x14ac:dyDescent="0.25">
      <c r="A2848" s="1" t="s">
        <v>2878</v>
      </c>
      <c r="B2848" s="1">
        <v>40</v>
      </c>
      <c r="C2848" s="1" t="str" cm="1">
        <f t="array" ref="C2848">_xlfn.IFS(OR(B2848=" ", B2848="NA",NOT(ISNUMBER(B2848))), "Unknown",B2848&lt;18,"Underage",B2848&lt;=24,"Young Adult",B2848&lt;=34,"Early Career",B2848&lt;=44,"Mid Career",B2848&lt;=54,"Mature",B2848&lt;=65,"Pre-Senior",B2848&gt;65,"Senior")</f>
        <v>Mid Career</v>
      </c>
      <c r="D2848" s="1" t="s">
        <v>12</v>
      </c>
      <c r="E2848" s="1" t="s">
        <v>34</v>
      </c>
      <c r="F2848" s="1">
        <v>1675000</v>
      </c>
      <c r="G2848" s="1">
        <v>78</v>
      </c>
      <c r="H2848" s="1" t="str" cm="1">
        <f t="array" ref="H2848">_xlfn.IFS( OR(G2848=" ",NOT(ISNUMBER(G2848))),"Unknown",G2848&lt;=33,"Low Spender",G2848&lt;=66,"Medium Spender",TRUE, "High Spender")</f>
        <v>High Spender</v>
      </c>
      <c r="I2848" s="1">
        <v>38</v>
      </c>
      <c r="J2848" s="1">
        <v>6000</v>
      </c>
      <c r="K2848" s="1">
        <v>131</v>
      </c>
      <c r="M2848" s="1" t="s">
        <v>32</v>
      </c>
      <c r="N2848" s="1" t="str">
        <f t="shared" si="88"/>
        <v>Lower</v>
      </c>
      <c r="O2848" s="1" t="str">
        <f t="shared" si="89"/>
        <v>Mid Career | High Spender | Lower</v>
      </c>
    </row>
    <row r="2849" spans="1:15" x14ac:dyDescent="0.25">
      <c r="A2849" s="1" t="s">
        <v>2879</v>
      </c>
      <c r="B2849" s="1">
        <v>43</v>
      </c>
      <c r="C2849" s="1" t="str" cm="1">
        <f t="array" ref="C2849">_xlfn.IFS(OR(B2849=" ", B2849="NA",NOT(ISNUMBER(B2849))), "Unknown",B2849&lt;18,"Underage",B2849&lt;=24,"Young Adult",B2849&lt;=34,"Early Career",B2849&lt;=44,"Mid Career",B2849&lt;=54,"Mature",B2849&lt;=65,"Pre-Senior",B2849&gt;65,"Senior")</f>
        <v>Mid Career</v>
      </c>
      <c r="E2849" s="1" t="s">
        <v>23</v>
      </c>
      <c r="F2849" s="1">
        <v>550000</v>
      </c>
      <c r="G2849" s="1">
        <v>22</v>
      </c>
      <c r="H2849" s="1" t="str" cm="1">
        <f t="array" ref="H2849">_xlfn.IFS( OR(G2849=" ",NOT(ISNUMBER(G2849))),"Unknown",G2849&lt;=33,"Low Spender",G2849&lt;=66,"Medium Spender",TRUE, "High Spender")</f>
        <v>Low Spender</v>
      </c>
      <c r="I2849" s="1">
        <v>24</v>
      </c>
      <c r="J2849" s="1">
        <v>1900</v>
      </c>
      <c r="K2849" s="1">
        <v>10</v>
      </c>
      <c r="M2849" s="1" t="s">
        <v>30</v>
      </c>
      <c r="N2849" s="1" t="str">
        <f t="shared" si="88"/>
        <v>Lower</v>
      </c>
      <c r="O2849" s="1" t="str">
        <f t="shared" si="89"/>
        <v>Mid Career | Low Spender | Lower</v>
      </c>
    </row>
    <row r="2850" spans="1:15" x14ac:dyDescent="0.25">
      <c r="A2850" s="1" t="s">
        <v>2880</v>
      </c>
      <c r="B2850" s="1">
        <v>21</v>
      </c>
      <c r="C2850" s="1" t="str" cm="1">
        <f t="array" ref="C2850">_xlfn.IFS(OR(B2850=" ", B2850="NA",NOT(ISNUMBER(B2850))), "Unknown",B2850&lt;18,"Underage",B2850&lt;=24,"Young Adult",B2850&lt;=34,"Early Career",B2850&lt;=44,"Mid Career",B2850&lt;=54,"Mature",B2850&lt;=65,"Pre-Senior",B2850&gt;65,"Senior")</f>
        <v>Young Adult</v>
      </c>
      <c r="D2850" s="1" t="s">
        <v>29</v>
      </c>
      <c r="E2850" s="1" t="s">
        <v>13</v>
      </c>
      <c r="F2850" s="1">
        <v>625000</v>
      </c>
      <c r="G2850" s="1">
        <v>64</v>
      </c>
      <c r="H2850" s="1" t="str" cm="1">
        <f t="array" ref="H2850">_xlfn.IFS( OR(G2850=" ",NOT(ISNUMBER(G2850))),"Unknown",G2850&lt;=33,"Low Spender",G2850&lt;=66,"Medium Spender",TRUE, "High Spender")</f>
        <v>Medium Spender</v>
      </c>
      <c r="I2850" s="1">
        <v>6</v>
      </c>
      <c r="J2850" s="1">
        <v>7500</v>
      </c>
      <c r="K2850" s="1">
        <v>3</v>
      </c>
      <c r="M2850" s="1" t="s">
        <v>32</v>
      </c>
      <c r="N2850" s="1" t="str">
        <f t="shared" si="88"/>
        <v>Higher</v>
      </c>
      <c r="O2850" s="1" t="str">
        <f t="shared" si="89"/>
        <v>Young Adult | Medium Spender | Higher</v>
      </c>
    </row>
    <row r="2851" spans="1:15" x14ac:dyDescent="0.25">
      <c r="A2851" s="1" t="s">
        <v>2881</v>
      </c>
      <c r="B2851" s="1">
        <v>35</v>
      </c>
      <c r="C2851" s="1" t="str" cm="1">
        <f t="array" ref="C2851">_xlfn.IFS(OR(B2851=" ", B2851="NA",NOT(ISNUMBER(B2851))), "Unknown",B2851&lt;18,"Underage",B2851&lt;=24,"Young Adult",B2851&lt;=34,"Early Career",B2851&lt;=44,"Mid Career",B2851&lt;=54,"Mature",B2851&lt;=65,"Pre-Senior",B2851&gt;65,"Senior")</f>
        <v>Mid Career</v>
      </c>
      <c r="D2851" s="1" t="s">
        <v>29</v>
      </c>
      <c r="E2851" s="1" t="s">
        <v>58</v>
      </c>
      <c r="F2851" s="1">
        <v>200000</v>
      </c>
      <c r="G2851" s="1">
        <v>21</v>
      </c>
      <c r="H2851" s="1" t="str" cm="1">
        <f t="array" ref="H2851">_xlfn.IFS( OR(G2851=" ",NOT(ISNUMBER(G2851))),"Unknown",G2851&lt;=33,"Low Spender",G2851&lt;=66,"Medium Spender",TRUE, "High Spender")</f>
        <v>Low Spender</v>
      </c>
      <c r="I2851" s="1">
        <v>68</v>
      </c>
      <c r="J2851" s="1">
        <v>1400</v>
      </c>
      <c r="K2851" s="1">
        <v>302</v>
      </c>
      <c r="L2851" s="1" t="s">
        <v>20</v>
      </c>
      <c r="M2851" s="1" t="s">
        <v>32</v>
      </c>
      <c r="N2851" s="1" t="str">
        <f t="shared" si="88"/>
        <v>Higher</v>
      </c>
      <c r="O2851" s="1" t="str">
        <f t="shared" si="89"/>
        <v>Mid Career | Low Spender | Higher</v>
      </c>
    </row>
    <row r="2852" spans="1:15" x14ac:dyDescent="0.25">
      <c r="A2852" s="1" t="s">
        <v>2882</v>
      </c>
      <c r="B2852" s="1" t="s">
        <v>73</v>
      </c>
      <c r="C2852" s="1" t="str" cm="1">
        <f t="array" ref="C2852">_xlfn.IFS(OR(B2852=" ", B2852="NA",NOT(ISNUMBER(B2852))), "Unknown",B2852&lt;18,"Underage",B2852&lt;=24,"Young Adult",B2852&lt;=34,"Early Career",B2852&lt;=44,"Mid Career",B2852&lt;=54,"Mature",B2852&lt;=65,"Pre-Senior",B2852&gt;65,"Senior")</f>
        <v>Unknown</v>
      </c>
      <c r="D2852" s="1" t="s">
        <v>29</v>
      </c>
      <c r="E2852" s="1" t="s">
        <v>27</v>
      </c>
      <c r="F2852" s="1">
        <v>1050000</v>
      </c>
      <c r="G2852" s="1">
        <v>1</v>
      </c>
      <c r="H2852" s="1" t="str" cm="1">
        <f t="array" ref="H2852">_xlfn.IFS( OR(G2852=" ",NOT(ISNUMBER(G2852))),"Unknown",G2852&lt;=33,"Low Spender",G2852&lt;=66,"Medium Spender",TRUE, "High Spender")</f>
        <v>Low Spender</v>
      </c>
      <c r="I2852" s="1">
        <v>6</v>
      </c>
      <c r="J2852" s="1">
        <v>8800</v>
      </c>
      <c r="K2852" s="1">
        <v>150</v>
      </c>
      <c r="M2852" s="1" t="s">
        <v>41</v>
      </c>
      <c r="N2852" s="1" t="str">
        <f t="shared" si="88"/>
        <v>Higher</v>
      </c>
      <c r="O2852" s="1" t="str">
        <f t="shared" si="89"/>
        <v>Unknown | Low Spender | Higher</v>
      </c>
    </row>
    <row r="2853" spans="1:15" x14ac:dyDescent="0.25">
      <c r="A2853" s="1" t="s">
        <v>2883</v>
      </c>
      <c r="B2853" s="1">
        <v>23</v>
      </c>
      <c r="C2853" s="1" t="str" cm="1">
        <f t="array" ref="C2853">_xlfn.IFS(OR(B2853=" ", B2853="NA",NOT(ISNUMBER(B2853))), "Unknown",B2853&lt;18,"Underage",B2853&lt;=24,"Young Adult",B2853&lt;=34,"Early Career",B2853&lt;=44,"Mid Career",B2853&lt;=54,"Mature",B2853&lt;=65,"Pre-Senior",B2853&gt;65,"Senior")</f>
        <v>Young Adult</v>
      </c>
      <c r="E2853" s="1" t="s">
        <v>34</v>
      </c>
      <c r="F2853" s="1">
        <v>500000</v>
      </c>
      <c r="G2853" s="1">
        <v>15</v>
      </c>
      <c r="H2853" s="1" t="str" cm="1">
        <f t="array" ref="H2853">_xlfn.IFS( OR(G2853=" ",NOT(ISNUMBER(G2853))),"Unknown",G2853&lt;=33,"Low Spender",G2853&lt;=66,"Medium Spender",TRUE, "High Spender")</f>
        <v>Low Spender</v>
      </c>
      <c r="I2853" s="1">
        <v>26</v>
      </c>
      <c r="J2853" s="1">
        <v>11700</v>
      </c>
      <c r="K2853" s="1">
        <v>67</v>
      </c>
      <c r="M2853" s="1" t="s">
        <v>41</v>
      </c>
      <c r="N2853" s="1" t="str">
        <f t="shared" si="88"/>
        <v>Lower</v>
      </c>
      <c r="O2853" s="1" t="str">
        <f t="shared" si="89"/>
        <v>Young Adult | Low Spender | Lower</v>
      </c>
    </row>
    <row r="2854" spans="1:15" x14ac:dyDescent="0.25">
      <c r="A2854" s="1" t="s">
        <v>2884</v>
      </c>
      <c r="B2854" s="1">
        <v>52</v>
      </c>
      <c r="C2854" s="1" t="str" cm="1">
        <f t="array" ref="C2854">_xlfn.IFS(OR(B2854=" ", B2854="NA",NOT(ISNUMBER(B2854))), "Unknown",B2854&lt;18,"Underage",B2854&lt;=24,"Young Adult",B2854&lt;=34,"Early Career",B2854&lt;=44,"Mid Career",B2854&lt;=54,"Mature",B2854&lt;=65,"Pre-Senior",B2854&gt;65,"Senior")</f>
        <v>Mature</v>
      </c>
      <c r="D2854" s="1" t="s">
        <v>18</v>
      </c>
      <c r="F2854" s="1">
        <v>1400000</v>
      </c>
      <c r="G2854" s="1">
        <v>36</v>
      </c>
      <c r="H2854" s="1" t="str" cm="1">
        <f t="array" ref="H2854">_xlfn.IFS( OR(G2854=" ",NOT(ISNUMBER(G2854))),"Unknown",G2854&lt;=33,"Low Spender",G2854&lt;=66,"Medium Spender",TRUE, "High Spender")</f>
        <v>Medium Spender</v>
      </c>
      <c r="I2854" s="1">
        <v>41</v>
      </c>
      <c r="J2854" s="1">
        <v>5400</v>
      </c>
      <c r="K2854" s="1">
        <v>193</v>
      </c>
      <c r="L2854" s="1" t="s">
        <v>16</v>
      </c>
      <c r="M2854" s="1" t="s">
        <v>41</v>
      </c>
      <c r="N2854" s="1" t="str">
        <f t="shared" si="88"/>
        <v>Higher</v>
      </c>
      <c r="O2854" s="1" t="str">
        <f t="shared" si="89"/>
        <v>Mature | Medium Spender | Higher</v>
      </c>
    </row>
    <row r="2855" spans="1:15" x14ac:dyDescent="0.25">
      <c r="A2855" s="1" t="s">
        <v>2885</v>
      </c>
      <c r="B2855" s="1">
        <v>39</v>
      </c>
      <c r="C2855" s="1" t="str" cm="1">
        <f t="array" ref="C2855">_xlfn.IFS(OR(B2855=" ", B2855="NA",NOT(ISNUMBER(B2855))), "Unknown",B2855&lt;18,"Underage",B2855&lt;=24,"Young Adult",B2855&lt;=34,"Early Career",B2855&lt;=44,"Mid Career",B2855&lt;=54,"Mature",B2855&lt;=65,"Pre-Senior",B2855&gt;65,"Senior")</f>
        <v>Mid Career</v>
      </c>
      <c r="D2855" s="1" t="s">
        <v>29</v>
      </c>
      <c r="E2855" s="1" t="s">
        <v>49</v>
      </c>
      <c r="F2855" s="1">
        <v>1325000</v>
      </c>
      <c r="G2855" s="1">
        <v>47</v>
      </c>
      <c r="H2855" s="1" t="str" cm="1">
        <f t="array" ref="H2855">_xlfn.IFS( OR(G2855=" ",NOT(ISNUMBER(G2855))),"Unknown",G2855&lt;=33,"Low Spender",G2855&lt;=66,"Medium Spender",TRUE, "High Spender")</f>
        <v>Medium Spender</v>
      </c>
      <c r="I2855" s="1">
        <v>75</v>
      </c>
      <c r="J2855" s="1">
        <v>7800</v>
      </c>
      <c r="K2855" s="1">
        <v>97</v>
      </c>
      <c r="L2855" s="1" t="s">
        <v>16</v>
      </c>
      <c r="M2855" s="1" t="s">
        <v>41</v>
      </c>
      <c r="N2855" s="1" t="str">
        <f t="shared" si="88"/>
        <v>Higher</v>
      </c>
      <c r="O2855" s="1" t="str">
        <f t="shared" si="89"/>
        <v>Mid Career | Medium Spender | Higher</v>
      </c>
    </row>
    <row r="2856" spans="1:15" x14ac:dyDescent="0.25">
      <c r="A2856" s="1" t="s">
        <v>2886</v>
      </c>
      <c r="B2856" s="1">
        <v>60</v>
      </c>
      <c r="C2856" s="1" t="str" cm="1">
        <f t="array" ref="C2856">_xlfn.IFS(OR(B2856=" ", B2856="NA",NOT(ISNUMBER(B2856))), "Unknown",B2856&lt;18,"Underage",B2856&lt;=24,"Young Adult",B2856&lt;=34,"Early Career",B2856&lt;=44,"Mid Career",B2856&lt;=54,"Mature",B2856&lt;=65,"Pre-Senior",B2856&gt;65,"Senior")</f>
        <v>Pre-Senior</v>
      </c>
      <c r="D2856" s="1" t="s">
        <v>29</v>
      </c>
      <c r="E2856" s="1" t="s">
        <v>23</v>
      </c>
      <c r="F2856" s="1">
        <v>325000</v>
      </c>
      <c r="G2856" s="1">
        <v>54</v>
      </c>
      <c r="H2856" s="1" t="str" cm="1">
        <f t="array" ref="H2856">_xlfn.IFS( OR(G2856=" ",NOT(ISNUMBER(G2856))),"Unknown",G2856&lt;=33,"Low Spender",G2856&lt;=66,"Medium Spender",TRUE, "High Spender")</f>
        <v>Medium Spender</v>
      </c>
      <c r="I2856" s="1">
        <v>38</v>
      </c>
      <c r="K2856" s="1">
        <v>19</v>
      </c>
      <c r="M2856" s="1" t="s">
        <v>41</v>
      </c>
      <c r="N2856" s="1" t="str">
        <f t="shared" si="88"/>
        <v>Higher</v>
      </c>
      <c r="O2856" s="1" t="str">
        <f t="shared" si="89"/>
        <v>Pre-Senior | Medium Spender | Higher</v>
      </c>
    </row>
    <row r="2857" spans="1:15" x14ac:dyDescent="0.25">
      <c r="A2857" s="1" t="s">
        <v>2887</v>
      </c>
      <c r="B2857" s="1">
        <v>32</v>
      </c>
      <c r="C2857" s="1" t="str" cm="1">
        <f t="array" ref="C2857">_xlfn.IFS(OR(B2857=" ", B2857="NA",NOT(ISNUMBER(B2857))), "Unknown",B2857&lt;18,"Underage",B2857&lt;=24,"Young Adult",B2857&lt;=34,"Early Career",B2857&lt;=44,"Mid Career",B2857&lt;=54,"Mature",B2857&lt;=65,"Pre-Senior",B2857&gt;65,"Senior")</f>
        <v>Early Career</v>
      </c>
      <c r="D2857" s="1" t="s">
        <v>18</v>
      </c>
      <c r="E2857" s="1" t="s">
        <v>15</v>
      </c>
      <c r="F2857" s="1">
        <v>450000</v>
      </c>
      <c r="G2857" s="1">
        <v>86</v>
      </c>
      <c r="H2857" s="1" t="str" cm="1">
        <f t="array" ref="H2857">_xlfn.IFS( OR(G2857=" ",NOT(ISNUMBER(G2857))),"Unknown",G2857&lt;=33,"Low Spender",G2857&lt;=66,"Medium Spender",TRUE, "High Spender")</f>
        <v>High Spender</v>
      </c>
      <c r="J2857" s="1">
        <v>7200</v>
      </c>
      <c r="K2857" s="1">
        <v>318</v>
      </c>
      <c r="N2857" s="1" t="str">
        <f t="shared" si="88"/>
        <v>Higher</v>
      </c>
      <c r="O2857" s="1" t="str">
        <f t="shared" si="89"/>
        <v>Early Career | High Spender | Higher</v>
      </c>
    </row>
    <row r="2858" spans="1:15" x14ac:dyDescent="0.25">
      <c r="A2858" s="1" t="s">
        <v>2888</v>
      </c>
      <c r="B2858" s="1">
        <v>39</v>
      </c>
      <c r="C2858" s="1" t="str" cm="1">
        <f t="array" ref="C2858">_xlfn.IFS(OR(B2858=" ", B2858="NA",NOT(ISNUMBER(B2858))), "Unknown",B2858&lt;18,"Underage",B2858&lt;=24,"Young Adult",B2858&lt;=34,"Early Career",B2858&lt;=44,"Mid Career",B2858&lt;=54,"Mature",B2858&lt;=65,"Pre-Senior",B2858&gt;65,"Senior")</f>
        <v>Mid Career</v>
      </c>
      <c r="E2858" s="1" t="s">
        <v>34</v>
      </c>
      <c r="F2858" s="1">
        <v>1325000</v>
      </c>
      <c r="G2858" s="1">
        <v>32</v>
      </c>
      <c r="H2858" s="1" t="str" cm="1">
        <f t="array" ref="H2858">_xlfn.IFS( OR(G2858=" ",NOT(ISNUMBER(G2858))),"Unknown",G2858&lt;=33,"Low Spender",G2858&lt;=66,"Medium Spender",TRUE, "High Spender")</f>
        <v>Low Spender</v>
      </c>
      <c r="I2858" s="1">
        <v>43</v>
      </c>
      <c r="J2858" s="1">
        <v>11000</v>
      </c>
      <c r="K2858" s="1">
        <v>98</v>
      </c>
      <c r="M2858" s="1" t="s">
        <v>21</v>
      </c>
      <c r="N2858" s="1" t="str">
        <f t="shared" si="88"/>
        <v>Lower</v>
      </c>
      <c r="O2858" s="1" t="str">
        <f t="shared" si="89"/>
        <v>Mid Career | Low Spender | Lower</v>
      </c>
    </row>
    <row r="2859" spans="1:15" x14ac:dyDescent="0.25">
      <c r="A2859" s="1" t="s">
        <v>2889</v>
      </c>
      <c r="B2859" s="1">
        <v>54</v>
      </c>
      <c r="C2859" s="1" t="str" cm="1">
        <f t="array" ref="C2859">_xlfn.IFS(OR(B2859=" ", B2859="NA",NOT(ISNUMBER(B2859))), "Unknown",B2859&lt;18,"Underage",B2859&lt;=24,"Young Adult",B2859&lt;=34,"Early Career",B2859&lt;=44,"Mid Career",B2859&lt;=54,"Mature",B2859&lt;=65,"Pre-Senior",B2859&gt;65,"Senior")</f>
        <v>Mature</v>
      </c>
      <c r="D2859" s="1" t="s">
        <v>29</v>
      </c>
      <c r="E2859" s="1" t="s">
        <v>58</v>
      </c>
      <c r="F2859" s="1">
        <v>200000</v>
      </c>
      <c r="G2859" s="1">
        <v>58</v>
      </c>
      <c r="H2859" s="1" t="str" cm="1">
        <f t="array" ref="H2859">_xlfn.IFS( OR(G2859=" ",NOT(ISNUMBER(G2859))),"Unknown",G2859&lt;=33,"Low Spender",G2859&lt;=66,"Medium Spender",TRUE, "High Spender")</f>
        <v>Medium Spender</v>
      </c>
      <c r="I2859" s="1">
        <v>53</v>
      </c>
      <c r="J2859" s="1">
        <v>7500</v>
      </c>
      <c r="K2859" s="1">
        <v>57</v>
      </c>
      <c r="M2859" s="1" t="s">
        <v>30</v>
      </c>
      <c r="N2859" s="1" t="str">
        <f t="shared" si="88"/>
        <v>Higher</v>
      </c>
      <c r="O2859" s="1" t="str">
        <f t="shared" si="89"/>
        <v>Mature | Medium Spender | Higher</v>
      </c>
    </row>
    <row r="2860" spans="1:15" x14ac:dyDescent="0.25">
      <c r="A2860" s="1" t="s">
        <v>2890</v>
      </c>
      <c r="B2860" s="1">
        <v>69</v>
      </c>
      <c r="C2860" s="1" t="str" cm="1">
        <f t="array" ref="C2860">_xlfn.IFS(OR(B2860=" ", B2860="NA",NOT(ISNUMBER(B2860))), "Unknown",B2860&lt;18,"Underage",B2860&lt;=24,"Young Adult",B2860&lt;=34,"Early Career",B2860&lt;=44,"Mid Career",B2860&lt;=54,"Mature",B2860&lt;=65,"Pre-Senior",B2860&gt;65,"Senior")</f>
        <v>Senior</v>
      </c>
      <c r="D2860" s="1" t="s">
        <v>29</v>
      </c>
      <c r="E2860" s="1" t="s">
        <v>15</v>
      </c>
      <c r="F2860" s="1">
        <v>1750000</v>
      </c>
      <c r="G2860" s="1">
        <v>46</v>
      </c>
      <c r="H2860" s="1" t="str" cm="1">
        <f t="array" ref="H2860">_xlfn.IFS( OR(G2860=" ",NOT(ISNUMBER(G2860))),"Unknown",G2860&lt;=33,"Low Spender",G2860&lt;=66,"Medium Spender",TRUE, "High Spender")</f>
        <v>Medium Spender</v>
      </c>
      <c r="I2860" s="1">
        <v>15</v>
      </c>
      <c r="J2860" s="1">
        <v>5400</v>
      </c>
      <c r="K2860" s="1">
        <v>351</v>
      </c>
      <c r="L2860" s="1" t="s">
        <v>37</v>
      </c>
      <c r="N2860" s="1" t="str">
        <f t="shared" si="88"/>
        <v>Higher</v>
      </c>
      <c r="O2860" s="1" t="str">
        <f t="shared" si="89"/>
        <v>Senior | Medium Spender | Higher</v>
      </c>
    </row>
    <row r="2861" spans="1:15" x14ac:dyDescent="0.25">
      <c r="A2861" s="1" t="s">
        <v>2891</v>
      </c>
      <c r="B2861" s="1">
        <v>59</v>
      </c>
      <c r="C2861" s="1" t="str" cm="1">
        <f t="array" ref="C2861">_xlfn.IFS(OR(B2861=" ", B2861="NA",NOT(ISNUMBER(B2861))), "Unknown",B2861&lt;18,"Underage",B2861&lt;=24,"Young Adult",B2861&lt;=34,"Early Career",B2861&lt;=44,"Mid Career",B2861&lt;=54,"Mature",B2861&lt;=65,"Pre-Senior",B2861&gt;65,"Senior")</f>
        <v>Pre-Senior</v>
      </c>
      <c r="E2861" s="1" t="s">
        <v>23</v>
      </c>
      <c r="F2861" s="1">
        <v>1950000</v>
      </c>
      <c r="G2861" s="1">
        <v>54</v>
      </c>
      <c r="H2861" s="1" t="str" cm="1">
        <f t="array" ref="H2861">_xlfn.IFS( OR(G2861=" ",NOT(ISNUMBER(G2861))),"Unknown",G2861&lt;=33,"Low Spender",G2861&lt;=66,"Medium Spender",TRUE, "High Spender")</f>
        <v>Medium Spender</v>
      </c>
      <c r="I2861" s="1">
        <v>56</v>
      </c>
      <c r="J2861" s="1">
        <v>3900</v>
      </c>
      <c r="K2861" s="1">
        <v>107</v>
      </c>
      <c r="L2861" s="1" t="s">
        <v>20</v>
      </c>
      <c r="N2861" s="1" t="str">
        <f t="shared" si="88"/>
        <v>Lower</v>
      </c>
      <c r="O2861" s="1" t="str">
        <f t="shared" si="89"/>
        <v>Pre-Senior | Medium Spender | Lower</v>
      </c>
    </row>
    <row r="2862" spans="1:15" x14ac:dyDescent="0.25">
      <c r="A2862" s="1" t="s">
        <v>2892</v>
      </c>
      <c r="B2862" s="1">
        <v>29</v>
      </c>
      <c r="C2862" s="1" t="str" cm="1">
        <f t="array" ref="C2862">_xlfn.IFS(OR(B2862=" ", B2862="NA",NOT(ISNUMBER(B2862))), "Unknown",B2862&lt;18,"Underage",B2862&lt;=24,"Young Adult",B2862&lt;=34,"Early Career",B2862&lt;=44,"Mid Career",B2862&lt;=54,"Mature",B2862&lt;=65,"Pre-Senior",B2862&gt;65,"Senior")</f>
        <v>Early Career</v>
      </c>
      <c r="D2862" s="1" t="s">
        <v>29</v>
      </c>
      <c r="E2862" s="1" t="s">
        <v>49</v>
      </c>
      <c r="F2862" s="1">
        <v>900000</v>
      </c>
      <c r="G2862" s="1">
        <v>33</v>
      </c>
      <c r="H2862" s="1" t="str" cm="1">
        <f t="array" ref="H2862">_xlfn.IFS( OR(G2862=" ",NOT(ISNUMBER(G2862))),"Unknown",G2862&lt;=33,"Low Spender",G2862&lt;=66,"Medium Spender",TRUE, "High Spender")</f>
        <v>Low Spender</v>
      </c>
      <c r="I2862" s="1">
        <v>56</v>
      </c>
      <c r="J2862" s="1">
        <v>11900</v>
      </c>
      <c r="K2862" s="1">
        <v>88</v>
      </c>
      <c r="L2862" s="1" t="s">
        <v>37</v>
      </c>
      <c r="M2862" s="1" t="s">
        <v>41</v>
      </c>
      <c r="N2862" s="1" t="str">
        <f t="shared" si="88"/>
        <v>Higher</v>
      </c>
      <c r="O2862" s="1" t="str">
        <f t="shared" si="89"/>
        <v>Early Career | Low Spender | Higher</v>
      </c>
    </row>
    <row r="2863" spans="1:15" x14ac:dyDescent="0.25">
      <c r="A2863" s="1" t="s">
        <v>2893</v>
      </c>
      <c r="B2863" s="1">
        <v>64</v>
      </c>
      <c r="C2863" s="1" t="str" cm="1">
        <f t="array" ref="C2863">_xlfn.IFS(OR(B2863=" ", B2863="NA",NOT(ISNUMBER(B2863))), "Unknown",B2863&lt;18,"Underage",B2863&lt;=24,"Young Adult",B2863&lt;=34,"Early Career",B2863&lt;=44,"Mid Career",B2863&lt;=54,"Mature",B2863&lt;=65,"Pre-Senior",B2863&gt;65,"Senior")</f>
        <v>Pre-Senior</v>
      </c>
      <c r="E2863" s="1" t="s">
        <v>19</v>
      </c>
      <c r="F2863" s="1">
        <v>775000</v>
      </c>
      <c r="G2863" s="1">
        <v>39</v>
      </c>
      <c r="H2863" s="1" t="str" cm="1">
        <f t="array" ref="H2863">_xlfn.IFS( OR(G2863=" ",NOT(ISNUMBER(G2863))),"Unknown",G2863&lt;=33,"Low Spender",G2863&lt;=66,"Medium Spender",TRUE, "High Spender")</f>
        <v>Medium Spender</v>
      </c>
      <c r="I2863" s="1">
        <v>31</v>
      </c>
      <c r="J2863" s="1">
        <v>500</v>
      </c>
      <c r="K2863" s="1">
        <v>141</v>
      </c>
      <c r="L2863" s="1" t="s">
        <v>16</v>
      </c>
      <c r="M2863" s="1" t="s">
        <v>30</v>
      </c>
      <c r="N2863" s="1" t="str">
        <f t="shared" si="88"/>
        <v>Lower</v>
      </c>
      <c r="O2863" s="1" t="str">
        <f t="shared" si="89"/>
        <v>Pre-Senior | Medium Spender | Lower</v>
      </c>
    </row>
    <row r="2864" spans="1:15" x14ac:dyDescent="0.25">
      <c r="A2864" s="1" t="s">
        <v>2894</v>
      </c>
      <c r="B2864" s="1">
        <v>66</v>
      </c>
      <c r="C2864" s="1" t="str" cm="1">
        <f t="array" ref="C2864">_xlfn.IFS(OR(B2864=" ", B2864="NA",NOT(ISNUMBER(B2864))), "Unknown",B2864&lt;18,"Underage",B2864&lt;=24,"Young Adult",B2864&lt;=34,"Early Career",B2864&lt;=44,"Mid Career",B2864&lt;=54,"Mature",B2864&lt;=65,"Pre-Senior",B2864&gt;65,"Senior")</f>
        <v>Senior</v>
      </c>
      <c r="D2864" s="1" t="s">
        <v>29</v>
      </c>
      <c r="E2864" s="1" t="s">
        <v>58</v>
      </c>
      <c r="F2864" s="1">
        <v>1525000</v>
      </c>
      <c r="G2864" s="1">
        <v>23</v>
      </c>
      <c r="H2864" s="1" t="str" cm="1">
        <f t="array" ref="H2864">_xlfn.IFS( OR(G2864=" ",NOT(ISNUMBER(G2864))),"Unknown",G2864&lt;=33,"Low Spender",G2864&lt;=66,"Medium Spender",TRUE, "High Spender")</f>
        <v>Low Spender</v>
      </c>
      <c r="I2864" s="1">
        <v>57</v>
      </c>
      <c r="J2864" s="1">
        <v>10000</v>
      </c>
      <c r="K2864" s="1">
        <v>144</v>
      </c>
      <c r="L2864" s="1" t="s">
        <v>37</v>
      </c>
      <c r="N2864" s="1" t="str">
        <f t="shared" si="88"/>
        <v>Higher</v>
      </c>
      <c r="O2864" s="1" t="str">
        <f t="shared" si="89"/>
        <v>Senior | Low Spender | Higher</v>
      </c>
    </row>
    <row r="2865" spans="1:15" x14ac:dyDescent="0.25">
      <c r="A2865" s="1" t="s">
        <v>2895</v>
      </c>
      <c r="B2865" s="1">
        <v>59</v>
      </c>
      <c r="C2865" s="1" t="str" cm="1">
        <f t="array" ref="C2865">_xlfn.IFS(OR(B2865=" ", B2865="NA",NOT(ISNUMBER(B2865))), "Unknown",B2865&lt;18,"Underage",B2865&lt;=24,"Young Adult",B2865&lt;=34,"Early Career",B2865&lt;=44,"Mid Career",B2865&lt;=54,"Mature",B2865&lt;=65,"Pre-Senior",B2865&gt;65,"Senior")</f>
        <v>Pre-Senior</v>
      </c>
      <c r="D2865" s="1" t="s">
        <v>29</v>
      </c>
      <c r="E2865" s="1" t="s">
        <v>15</v>
      </c>
      <c r="F2865" s="1">
        <v>975000</v>
      </c>
      <c r="G2865" s="1">
        <v>43</v>
      </c>
      <c r="H2865" s="1" t="str" cm="1">
        <f t="array" ref="H2865">_xlfn.IFS( OR(G2865=" ",NOT(ISNUMBER(G2865))),"Unknown",G2865&lt;=33,"Low Spender",G2865&lt;=66,"Medium Spender",TRUE, "High Spender")</f>
        <v>Medium Spender</v>
      </c>
      <c r="I2865" s="1">
        <v>51</v>
      </c>
      <c r="J2865" s="1">
        <v>1000</v>
      </c>
      <c r="K2865" s="1">
        <v>52</v>
      </c>
      <c r="L2865" s="1" t="s">
        <v>35</v>
      </c>
      <c r="M2865" s="1" t="s">
        <v>32</v>
      </c>
      <c r="N2865" s="1" t="str">
        <f t="shared" si="88"/>
        <v>Higher</v>
      </c>
      <c r="O2865" s="1" t="str">
        <f t="shared" si="89"/>
        <v>Pre-Senior | Medium Spender | Higher</v>
      </c>
    </row>
    <row r="2866" spans="1:15" x14ac:dyDescent="0.25">
      <c r="A2866" s="1" t="s">
        <v>2896</v>
      </c>
      <c r="B2866" s="1">
        <v>55</v>
      </c>
      <c r="C2866" s="1" t="str" cm="1">
        <f t="array" ref="C2866">_xlfn.IFS(OR(B2866=" ", B2866="NA",NOT(ISNUMBER(B2866))), "Unknown",B2866&lt;18,"Underage",B2866&lt;=24,"Young Adult",B2866&lt;=34,"Early Career",B2866&lt;=44,"Mid Career",B2866&lt;=54,"Mature",B2866&lt;=65,"Pre-Senior",B2866&gt;65,"Senior")</f>
        <v>Pre-Senior</v>
      </c>
      <c r="D2866" s="1" t="s">
        <v>18</v>
      </c>
      <c r="E2866" s="1" t="s">
        <v>58</v>
      </c>
      <c r="F2866" s="1">
        <v>350000</v>
      </c>
      <c r="G2866" s="1">
        <v>55</v>
      </c>
      <c r="H2866" s="1" t="str" cm="1">
        <f t="array" ref="H2866">_xlfn.IFS( OR(G2866=" ",NOT(ISNUMBER(G2866))),"Unknown",G2866&lt;=33,"Low Spender",G2866&lt;=66,"Medium Spender",TRUE, "High Spender")</f>
        <v>Medium Spender</v>
      </c>
      <c r="I2866" s="1">
        <v>24</v>
      </c>
      <c r="J2866" s="1">
        <v>1200</v>
      </c>
      <c r="K2866" s="1">
        <v>212</v>
      </c>
      <c r="L2866" s="1" t="s">
        <v>35</v>
      </c>
      <c r="N2866" s="1" t="str">
        <f t="shared" si="88"/>
        <v>Higher</v>
      </c>
      <c r="O2866" s="1" t="str">
        <f t="shared" si="89"/>
        <v>Pre-Senior | Medium Spender | Higher</v>
      </c>
    </row>
    <row r="2867" spans="1:15" x14ac:dyDescent="0.25">
      <c r="A2867" s="1" t="s">
        <v>2897</v>
      </c>
      <c r="B2867" s="1">
        <v>35</v>
      </c>
      <c r="C2867" s="1" t="str" cm="1">
        <f t="array" ref="C2867">_xlfn.IFS(OR(B2867=" ", B2867="NA",NOT(ISNUMBER(B2867))), "Unknown",B2867&lt;18,"Underage",B2867&lt;=24,"Young Adult",B2867&lt;=34,"Early Career",B2867&lt;=44,"Mid Career",B2867&lt;=54,"Mature",B2867&lt;=65,"Pre-Senior",B2867&gt;65,"Senior")</f>
        <v>Mid Career</v>
      </c>
      <c r="D2867" s="1" t="s">
        <v>12</v>
      </c>
      <c r="E2867" s="1" t="s">
        <v>13</v>
      </c>
      <c r="F2867" s="1">
        <v>1675000</v>
      </c>
      <c r="G2867" s="1">
        <v>2</v>
      </c>
      <c r="H2867" s="1" t="str" cm="1">
        <f t="array" ref="H2867">_xlfn.IFS( OR(G2867=" ",NOT(ISNUMBER(G2867))),"Unknown",G2867&lt;=33,"Low Spender",G2867&lt;=66,"Medium Spender",TRUE, "High Spender")</f>
        <v>Low Spender</v>
      </c>
      <c r="I2867" s="1">
        <v>58</v>
      </c>
      <c r="J2867" s="1">
        <v>4900</v>
      </c>
      <c r="K2867" s="1">
        <v>41</v>
      </c>
      <c r="L2867" s="1" t="s">
        <v>16</v>
      </c>
      <c r="M2867" s="1" t="s">
        <v>32</v>
      </c>
      <c r="N2867" s="1" t="str">
        <f t="shared" si="88"/>
        <v>Lower</v>
      </c>
      <c r="O2867" s="1" t="str">
        <f t="shared" si="89"/>
        <v>Mid Career | Low Spender | Lower</v>
      </c>
    </row>
    <row r="2868" spans="1:15" x14ac:dyDescent="0.25">
      <c r="A2868" s="1" t="s">
        <v>2898</v>
      </c>
      <c r="B2868" s="1">
        <v>62</v>
      </c>
      <c r="C2868" s="1" t="str" cm="1">
        <f t="array" ref="C2868">_xlfn.IFS(OR(B2868=" ", B2868="NA",NOT(ISNUMBER(B2868))), "Unknown",B2868&lt;18,"Underage",B2868&lt;=24,"Young Adult",B2868&lt;=34,"Early Career",B2868&lt;=44,"Mid Career",B2868&lt;=54,"Mature",B2868&lt;=65,"Pre-Senior",B2868&gt;65,"Senior")</f>
        <v>Pre-Senior</v>
      </c>
      <c r="D2868" s="1" t="s">
        <v>12</v>
      </c>
      <c r="E2868" s="1" t="s">
        <v>15</v>
      </c>
      <c r="F2868" s="1">
        <v>450000</v>
      </c>
      <c r="G2868" s="1">
        <v>66</v>
      </c>
      <c r="H2868" s="1" t="str" cm="1">
        <f t="array" ref="H2868">_xlfn.IFS( OR(G2868=" ",NOT(ISNUMBER(G2868))),"Unknown",G2868&lt;=33,"Low Spender",G2868&lt;=66,"Medium Spender",TRUE, "High Spender")</f>
        <v>Medium Spender</v>
      </c>
      <c r="I2868" s="1">
        <v>73</v>
      </c>
      <c r="J2868" s="1">
        <v>4300</v>
      </c>
      <c r="K2868" s="1">
        <v>304</v>
      </c>
      <c r="L2868" s="1" t="s">
        <v>37</v>
      </c>
      <c r="M2868" s="1" t="s">
        <v>30</v>
      </c>
      <c r="N2868" s="1" t="str">
        <f t="shared" si="88"/>
        <v>Lower</v>
      </c>
      <c r="O2868" s="1" t="str">
        <f t="shared" si="89"/>
        <v>Pre-Senior | Medium Spender | Lower</v>
      </c>
    </row>
    <row r="2869" spans="1:15" x14ac:dyDescent="0.25">
      <c r="A2869" s="1" t="s">
        <v>2899</v>
      </c>
      <c r="B2869" s="1">
        <v>52</v>
      </c>
      <c r="C2869" s="1" t="str" cm="1">
        <f t="array" ref="C2869">_xlfn.IFS(OR(B2869=" ", B2869="NA",NOT(ISNUMBER(B2869))), "Unknown",B2869&lt;18,"Underage",B2869&lt;=24,"Young Adult",B2869&lt;=34,"Early Career",B2869&lt;=44,"Mid Career",B2869&lt;=54,"Mature",B2869&lt;=65,"Pre-Senior",B2869&gt;65,"Senior")</f>
        <v>Mature</v>
      </c>
      <c r="D2869" s="1" t="s">
        <v>12</v>
      </c>
      <c r="E2869" s="1" t="s">
        <v>34</v>
      </c>
      <c r="F2869" s="1">
        <v>1850000</v>
      </c>
      <c r="G2869" s="1">
        <v>38</v>
      </c>
      <c r="H2869" s="1" t="str" cm="1">
        <f t="array" ref="H2869">_xlfn.IFS( OR(G2869=" ",NOT(ISNUMBER(G2869))),"Unknown",G2869&lt;=33,"Low Spender",G2869&lt;=66,"Medium Spender",TRUE, "High Spender")</f>
        <v>Medium Spender</v>
      </c>
      <c r="I2869" s="1">
        <v>4</v>
      </c>
      <c r="J2869" s="1">
        <v>6600</v>
      </c>
      <c r="K2869" s="1">
        <v>91</v>
      </c>
      <c r="L2869" s="1" t="s">
        <v>20</v>
      </c>
      <c r="M2869" s="1" t="s">
        <v>21</v>
      </c>
      <c r="N2869" s="1" t="str">
        <f t="shared" si="88"/>
        <v>Lower</v>
      </c>
      <c r="O2869" s="1" t="str">
        <f t="shared" si="89"/>
        <v>Mature | Medium Spender | Lower</v>
      </c>
    </row>
    <row r="2870" spans="1:15" x14ac:dyDescent="0.25">
      <c r="A2870" s="1" t="s">
        <v>2900</v>
      </c>
      <c r="B2870" s="1">
        <v>47</v>
      </c>
      <c r="C2870" s="1" t="str" cm="1">
        <f t="array" ref="C2870">_xlfn.IFS(OR(B2870=" ", B2870="NA",NOT(ISNUMBER(B2870))), "Unknown",B2870&lt;18,"Underage",B2870&lt;=24,"Young Adult",B2870&lt;=34,"Early Career",B2870&lt;=44,"Mid Career",B2870&lt;=54,"Mature",B2870&lt;=65,"Pre-Senior",B2870&gt;65,"Senior")</f>
        <v>Mature</v>
      </c>
      <c r="E2870" s="1" t="s">
        <v>19</v>
      </c>
      <c r="F2870" s="1">
        <v>1150000</v>
      </c>
      <c r="G2870" s="1">
        <v>29</v>
      </c>
      <c r="H2870" s="1" t="str" cm="1">
        <f t="array" ref="H2870">_xlfn.IFS( OR(G2870=" ",NOT(ISNUMBER(G2870))),"Unknown",G2870&lt;=33,"Low Spender",G2870&lt;=66,"Medium Spender",TRUE, "High Spender")</f>
        <v>Low Spender</v>
      </c>
      <c r="I2870" s="1">
        <v>10</v>
      </c>
      <c r="J2870" s="1">
        <v>4400</v>
      </c>
      <c r="K2870" s="1">
        <v>39</v>
      </c>
      <c r="L2870" s="1" t="s">
        <v>16</v>
      </c>
      <c r="M2870" s="1" t="s">
        <v>21</v>
      </c>
      <c r="N2870" s="1" t="str">
        <f t="shared" si="88"/>
        <v>Lower</v>
      </c>
      <c r="O2870" s="1" t="str">
        <f t="shared" si="89"/>
        <v>Mature | Low Spender | Lower</v>
      </c>
    </row>
    <row r="2871" spans="1:15" x14ac:dyDescent="0.25">
      <c r="A2871" s="1" t="s">
        <v>2901</v>
      </c>
      <c r="B2871" s="1">
        <v>41</v>
      </c>
      <c r="C2871" s="1" t="str" cm="1">
        <f t="array" ref="C2871">_xlfn.IFS(OR(B2871=" ", B2871="NA",NOT(ISNUMBER(B2871))), "Unknown",B2871&lt;18,"Underage",B2871&lt;=24,"Young Adult",B2871&lt;=34,"Early Career",B2871&lt;=44,"Mid Career",B2871&lt;=54,"Mature",B2871&lt;=65,"Pre-Senior",B2871&gt;65,"Senior")</f>
        <v>Mid Career</v>
      </c>
      <c r="E2871" s="1" t="s">
        <v>19</v>
      </c>
      <c r="F2871" s="1" t="s">
        <v>25</v>
      </c>
      <c r="G2871" s="1">
        <v>67</v>
      </c>
      <c r="H2871" s="1" t="str" cm="1">
        <f t="array" ref="H2871">_xlfn.IFS( OR(G2871=" ",NOT(ISNUMBER(G2871))),"Unknown",G2871&lt;=33,"Low Spender",G2871&lt;=66,"Medium Spender",TRUE, "High Spender")</f>
        <v>High Spender</v>
      </c>
      <c r="I2871" s="1">
        <v>63</v>
      </c>
      <c r="J2871" s="1">
        <v>4500</v>
      </c>
      <c r="K2871" s="1">
        <v>13</v>
      </c>
      <c r="L2871" s="1" t="s">
        <v>35</v>
      </c>
      <c r="M2871" s="1" t="s">
        <v>30</v>
      </c>
      <c r="N2871" s="1" t="str">
        <f t="shared" si="88"/>
        <v>Lower</v>
      </c>
      <c r="O2871" s="1" t="str">
        <f t="shared" si="89"/>
        <v>Mid Career | High Spender | Lower</v>
      </c>
    </row>
    <row r="2872" spans="1:15" x14ac:dyDescent="0.25">
      <c r="A2872" s="1" t="s">
        <v>2902</v>
      </c>
      <c r="B2872" s="1">
        <v>59</v>
      </c>
      <c r="C2872" s="1" t="str" cm="1">
        <f t="array" ref="C2872">_xlfn.IFS(OR(B2872=" ", B2872="NA",NOT(ISNUMBER(B2872))), "Unknown",B2872&lt;18,"Underage",B2872&lt;=24,"Young Adult",B2872&lt;=34,"Early Career",B2872&lt;=44,"Mid Career",B2872&lt;=54,"Mature",B2872&lt;=65,"Pre-Senior",B2872&gt;65,"Senior")</f>
        <v>Pre-Senior</v>
      </c>
      <c r="E2872" s="1" t="s">
        <v>27</v>
      </c>
      <c r="F2872" s="1">
        <v>150000</v>
      </c>
      <c r="G2872" s="1">
        <v>71</v>
      </c>
      <c r="H2872" s="1" t="str" cm="1">
        <f t="array" ref="H2872">_xlfn.IFS( OR(G2872=" ",NOT(ISNUMBER(G2872))),"Unknown",G2872&lt;=33,"Low Spender",G2872&lt;=66,"Medium Spender",TRUE, "High Spender")</f>
        <v>High Spender</v>
      </c>
      <c r="I2872" s="1">
        <v>73</v>
      </c>
      <c r="J2872" s="1">
        <v>1100</v>
      </c>
      <c r="K2872" s="1">
        <v>96</v>
      </c>
      <c r="L2872" s="1" t="s">
        <v>16</v>
      </c>
      <c r="M2872" s="1" t="s">
        <v>21</v>
      </c>
      <c r="N2872" s="1" t="str">
        <f t="shared" si="88"/>
        <v>Lower</v>
      </c>
      <c r="O2872" s="1" t="str">
        <f t="shared" si="89"/>
        <v>Pre-Senior | High Spender | Lower</v>
      </c>
    </row>
    <row r="2873" spans="1:15" x14ac:dyDescent="0.25">
      <c r="A2873" s="1" t="s">
        <v>2903</v>
      </c>
      <c r="B2873" s="1">
        <v>47</v>
      </c>
      <c r="C2873" s="1" t="str" cm="1">
        <f t="array" ref="C2873">_xlfn.IFS(OR(B2873=" ", B2873="NA",NOT(ISNUMBER(B2873))), "Unknown",B2873&lt;18,"Underage",B2873&lt;=24,"Young Adult",B2873&lt;=34,"Early Career",B2873&lt;=44,"Mid Career",B2873&lt;=54,"Mature",B2873&lt;=65,"Pre-Senior",B2873&gt;65,"Senior")</f>
        <v>Mature</v>
      </c>
      <c r="D2873" s="1" t="s">
        <v>18</v>
      </c>
      <c r="E2873" s="1" t="s">
        <v>58</v>
      </c>
      <c r="F2873" s="1">
        <v>1300000</v>
      </c>
      <c r="G2873" s="1">
        <v>36</v>
      </c>
      <c r="H2873" s="1" t="str" cm="1">
        <f t="array" ref="H2873">_xlfn.IFS( OR(G2873=" ",NOT(ISNUMBER(G2873))),"Unknown",G2873&lt;=33,"Low Spender",G2873&lt;=66,"Medium Spender",TRUE, "High Spender")</f>
        <v>Medium Spender</v>
      </c>
      <c r="I2873" s="1">
        <v>15</v>
      </c>
      <c r="J2873" s="1">
        <v>1600</v>
      </c>
      <c r="K2873" s="1">
        <v>109</v>
      </c>
      <c r="L2873" s="1" t="s">
        <v>37</v>
      </c>
      <c r="M2873" s="1" t="s">
        <v>21</v>
      </c>
      <c r="N2873" s="1" t="str">
        <f t="shared" si="88"/>
        <v>Higher</v>
      </c>
      <c r="O2873" s="1" t="str">
        <f t="shared" si="89"/>
        <v>Mature | Medium Spender | Higher</v>
      </c>
    </row>
    <row r="2874" spans="1:15" x14ac:dyDescent="0.25">
      <c r="A2874" s="1" t="s">
        <v>2904</v>
      </c>
      <c r="B2874" s="1">
        <v>31</v>
      </c>
      <c r="C2874" s="1" t="str" cm="1">
        <f t="array" ref="C2874">_xlfn.IFS(OR(B2874=" ", B2874="NA",NOT(ISNUMBER(B2874))), "Unknown",B2874&lt;18,"Underage",B2874&lt;=24,"Young Adult",B2874&lt;=34,"Early Career",B2874&lt;=44,"Mid Career",B2874&lt;=54,"Mature",B2874&lt;=65,"Pre-Senior",B2874&gt;65,"Senior")</f>
        <v>Early Career</v>
      </c>
      <c r="F2874" s="1">
        <v>225000</v>
      </c>
      <c r="G2874" s="1">
        <v>29</v>
      </c>
      <c r="H2874" s="1" t="str" cm="1">
        <f t="array" ref="H2874">_xlfn.IFS( OR(G2874=" ",NOT(ISNUMBER(G2874))),"Unknown",G2874&lt;=33,"Low Spender",G2874&lt;=66,"Medium Spender",TRUE, "High Spender")</f>
        <v>Low Spender</v>
      </c>
      <c r="I2874" s="1">
        <v>63</v>
      </c>
      <c r="J2874" s="1">
        <v>10300</v>
      </c>
      <c r="K2874" s="1">
        <v>104</v>
      </c>
      <c r="L2874" s="1" t="s">
        <v>37</v>
      </c>
      <c r="M2874" s="1" t="s">
        <v>32</v>
      </c>
      <c r="N2874" s="1" t="str">
        <f t="shared" si="88"/>
        <v>Lower</v>
      </c>
      <c r="O2874" s="1" t="str">
        <f t="shared" si="89"/>
        <v>Early Career | Low Spender | Lower</v>
      </c>
    </row>
    <row r="2875" spans="1:15" x14ac:dyDescent="0.25">
      <c r="A2875" s="1" t="s">
        <v>2905</v>
      </c>
      <c r="B2875" s="1">
        <v>23</v>
      </c>
      <c r="C2875" s="1" t="str" cm="1">
        <f t="array" ref="C2875">_xlfn.IFS(OR(B2875=" ", B2875="NA",NOT(ISNUMBER(B2875))), "Unknown",B2875&lt;18,"Underage",B2875&lt;=24,"Young Adult",B2875&lt;=34,"Early Career",B2875&lt;=44,"Mid Career",B2875&lt;=54,"Mature",B2875&lt;=65,"Pre-Senior",B2875&gt;65,"Senior")</f>
        <v>Young Adult</v>
      </c>
      <c r="D2875" s="1" t="s">
        <v>12</v>
      </c>
      <c r="E2875" s="1" t="s">
        <v>19</v>
      </c>
      <c r="F2875" s="1">
        <v>1700000</v>
      </c>
      <c r="G2875" s="1">
        <v>37</v>
      </c>
      <c r="H2875" s="1" t="str" cm="1">
        <f t="array" ref="H2875">_xlfn.IFS( OR(G2875=" ",NOT(ISNUMBER(G2875))),"Unknown",G2875&lt;=33,"Low Spender",G2875&lt;=66,"Medium Spender",TRUE, "High Spender")</f>
        <v>Medium Spender</v>
      </c>
      <c r="I2875" s="1">
        <v>19</v>
      </c>
      <c r="J2875" s="1">
        <v>9300</v>
      </c>
      <c r="K2875" s="1">
        <v>354</v>
      </c>
      <c r="L2875" s="1" t="s">
        <v>37</v>
      </c>
      <c r="M2875" s="1" t="s">
        <v>21</v>
      </c>
      <c r="N2875" s="1" t="str">
        <f t="shared" si="88"/>
        <v>Lower</v>
      </c>
      <c r="O2875" s="1" t="str">
        <f t="shared" si="89"/>
        <v>Young Adult | Medium Spender | Lower</v>
      </c>
    </row>
    <row r="2876" spans="1:15" x14ac:dyDescent="0.25">
      <c r="A2876" s="1" t="s">
        <v>2906</v>
      </c>
      <c r="B2876" s="1">
        <v>20</v>
      </c>
      <c r="C2876" s="1" t="str" cm="1">
        <f t="array" ref="C2876">_xlfn.IFS(OR(B2876=" ", B2876="NA",NOT(ISNUMBER(B2876))), "Unknown",B2876&lt;18,"Underage",B2876&lt;=24,"Young Adult",B2876&lt;=34,"Early Career",B2876&lt;=44,"Mid Career",B2876&lt;=54,"Mature",B2876&lt;=65,"Pre-Senior",B2876&gt;65,"Senior")</f>
        <v>Young Adult</v>
      </c>
      <c r="D2876" s="1" t="s">
        <v>12</v>
      </c>
      <c r="E2876" s="1" t="s">
        <v>19</v>
      </c>
      <c r="F2876" s="1">
        <v>1425000</v>
      </c>
      <c r="G2876" s="1">
        <v>100</v>
      </c>
      <c r="H2876" s="1" t="str" cm="1">
        <f t="array" ref="H2876">_xlfn.IFS( OR(G2876=" ",NOT(ISNUMBER(G2876))),"Unknown",G2876&lt;=33,"Low Spender",G2876&lt;=66,"Medium Spender",TRUE, "High Spender")</f>
        <v>High Spender</v>
      </c>
      <c r="I2876" s="1">
        <v>63</v>
      </c>
      <c r="J2876" s="1">
        <v>10700</v>
      </c>
      <c r="K2876" s="1">
        <v>231</v>
      </c>
      <c r="M2876" s="1" t="s">
        <v>21</v>
      </c>
      <c r="N2876" s="1" t="str">
        <f t="shared" si="88"/>
        <v>Lower</v>
      </c>
      <c r="O2876" s="1" t="str">
        <f t="shared" si="89"/>
        <v>Young Adult | High Spender | Lower</v>
      </c>
    </row>
    <row r="2877" spans="1:15" x14ac:dyDescent="0.25">
      <c r="A2877" s="1" t="s">
        <v>2907</v>
      </c>
      <c r="B2877" s="1">
        <v>33</v>
      </c>
      <c r="C2877" s="1" t="str" cm="1">
        <f t="array" ref="C2877">_xlfn.IFS(OR(B2877=" ", B2877="NA",NOT(ISNUMBER(B2877))), "Unknown",B2877&lt;18,"Underage",B2877&lt;=24,"Young Adult",B2877&lt;=34,"Early Career",B2877&lt;=44,"Mid Career",B2877&lt;=54,"Mature",B2877&lt;=65,"Pre-Senior",B2877&gt;65,"Senior")</f>
        <v>Early Career</v>
      </c>
      <c r="D2877" s="1" t="s">
        <v>29</v>
      </c>
      <c r="E2877" s="1" t="s">
        <v>13</v>
      </c>
      <c r="F2877" s="1">
        <v>375000</v>
      </c>
      <c r="G2877" s="1">
        <v>87</v>
      </c>
      <c r="H2877" s="1" t="str" cm="1">
        <f t="array" ref="H2877">_xlfn.IFS( OR(G2877=" ",NOT(ISNUMBER(G2877))),"Unknown",G2877&lt;=33,"Low Spender",G2877&lt;=66,"Medium Spender",TRUE, "High Spender")</f>
        <v>High Spender</v>
      </c>
      <c r="I2877" s="1">
        <v>56</v>
      </c>
      <c r="J2877" s="1">
        <v>9800</v>
      </c>
      <c r="K2877" s="1">
        <v>43</v>
      </c>
      <c r="L2877" s="1" t="s">
        <v>37</v>
      </c>
      <c r="M2877" s="1" t="s">
        <v>30</v>
      </c>
      <c r="N2877" s="1" t="str">
        <f t="shared" si="88"/>
        <v>Higher</v>
      </c>
      <c r="O2877" s="1" t="str">
        <f t="shared" si="89"/>
        <v>Early Career | High Spender | Higher</v>
      </c>
    </row>
    <row r="2878" spans="1:15" x14ac:dyDescent="0.25">
      <c r="A2878" s="1" t="s">
        <v>2908</v>
      </c>
      <c r="B2878" s="1">
        <v>24</v>
      </c>
      <c r="C2878" s="1" t="str" cm="1">
        <f t="array" ref="C2878">_xlfn.IFS(OR(B2878=" ", B2878="NA",NOT(ISNUMBER(B2878))), "Unknown",B2878&lt;18,"Underage",B2878&lt;=24,"Young Adult",B2878&lt;=34,"Early Career",B2878&lt;=44,"Mid Career",B2878&lt;=54,"Mature",B2878&lt;=65,"Pre-Senior",B2878&gt;65,"Senior")</f>
        <v>Young Adult</v>
      </c>
      <c r="F2878" s="1">
        <v>825000</v>
      </c>
      <c r="G2878" s="1">
        <v>45</v>
      </c>
      <c r="H2878" s="1" t="str" cm="1">
        <f t="array" ref="H2878">_xlfn.IFS( OR(G2878=" ",NOT(ISNUMBER(G2878))),"Unknown",G2878&lt;=33,"Low Spender",G2878&lt;=66,"Medium Spender",TRUE, "High Spender")</f>
        <v>Medium Spender</v>
      </c>
      <c r="I2878" s="1">
        <v>21</v>
      </c>
      <c r="J2878" s="1">
        <v>600</v>
      </c>
      <c r="K2878" s="1">
        <v>209</v>
      </c>
      <c r="M2878" s="1" t="s">
        <v>21</v>
      </c>
      <c r="N2878" s="1" t="str">
        <f t="shared" si="88"/>
        <v>Lower</v>
      </c>
      <c r="O2878" s="1" t="str">
        <f t="shared" si="89"/>
        <v>Young Adult | Medium Spender | Lower</v>
      </c>
    </row>
    <row r="2879" spans="1:15" x14ac:dyDescent="0.25">
      <c r="A2879" s="1" t="s">
        <v>2909</v>
      </c>
      <c r="B2879" s="1">
        <v>69</v>
      </c>
      <c r="C2879" s="1" t="str" cm="1">
        <f t="array" ref="C2879">_xlfn.IFS(OR(B2879=" ", B2879="NA",NOT(ISNUMBER(B2879))), "Unknown",B2879&lt;18,"Underage",B2879&lt;=24,"Young Adult",B2879&lt;=34,"Early Career",B2879&lt;=44,"Mid Career",B2879&lt;=54,"Mature",B2879&lt;=65,"Pre-Senior",B2879&gt;65,"Senior")</f>
        <v>Senior</v>
      </c>
      <c r="D2879" s="1" t="s">
        <v>29</v>
      </c>
      <c r="E2879" s="1" t="s">
        <v>13</v>
      </c>
      <c r="F2879" s="1">
        <v>275000</v>
      </c>
      <c r="G2879" s="1">
        <v>16</v>
      </c>
      <c r="H2879" s="1" t="str" cm="1">
        <f t="array" ref="H2879">_xlfn.IFS( OR(G2879=" ",NOT(ISNUMBER(G2879))),"Unknown",G2879&lt;=33,"Low Spender",G2879&lt;=66,"Medium Spender",TRUE, "High Spender")</f>
        <v>Low Spender</v>
      </c>
      <c r="I2879" s="1">
        <v>34</v>
      </c>
      <c r="J2879" s="1">
        <v>400</v>
      </c>
      <c r="K2879" s="1">
        <v>88</v>
      </c>
      <c r="L2879" s="1" t="s">
        <v>35</v>
      </c>
      <c r="N2879" s="1" t="str">
        <f t="shared" si="88"/>
        <v>Higher</v>
      </c>
      <c r="O2879" s="1" t="str">
        <f t="shared" si="89"/>
        <v>Senior | Low Spender | Higher</v>
      </c>
    </row>
    <row r="2880" spans="1:15" x14ac:dyDescent="0.25">
      <c r="A2880" s="1" t="s">
        <v>2910</v>
      </c>
      <c r="B2880" s="1">
        <v>31</v>
      </c>
      <c r="C2880" s="1" t="str" cm="1">
        <f t="array" ref="C2880">_xlfn.IFS(OR(B2880=" ", B2880="NA",NOT(ISNUMBER(B2880))), "Unknown",B2880&lt;18,"Underage",B2880&lt;=24,"Young Adult",B2880&lt;=34,"Early Career",B2880&lt;=44,"Mid Career",B2880&lt;=54,"Mature",B2880&lt;=65,"Pre-Senior",B2880&gt;65,"Senior")</f>
        <v>Early Career</v>
      </c>
      <c r="D2880" s="1" t="s">
        <v>29</v>
      </c>
      <c r="E2880" s="1" t="s">
        <v>13</v>
      </c>
      <c r="F2880" s="1">
        <v>800000</v>
      </c>
      <c r="G2880" s="1">
        <v>31</v>
      </c>
      <c r="H2880" s="1" t="str" cm="1">
        <f t="array" ref="H2880">_xlfn.IFS( OR(G2880=" ",NOT(ISNUMBER(G2880))),"Unknown",G2880&lt;=33,"Low Spender",G2880&lt;=66,"Medium Spender",TRUE, "High Spender")</f>
        <v>Low Spender</v>
      </c>
      <c r="I2880" s="1">
        <v>17</v>
      </c>
      <c r="J2880" s="1">
        <v>11700</v>
      </c>
      <c r="K2880" s="1">
        <v>93</v>
      </c>
      <c r="L2880" s="1" t="s">
        <v>35</v>
      </c>
      <c r="M2880" s="1" t="s">
        <v>41</v>
      </c>
      <c r="N2880" s="1" t="str">
        <f t="shared" si="88"/>
        <v>Higher</v>
      </c>
      <c r="O2880" s="1" t="str">
        <f t="shared" si="89"/>
        <v>Early Career | Low Spender | Higher</v>
      </c>
    </row>
    <row r="2881" spans="1:15" x14ac:dyDescent="0.25">
      <c r="A2881" s="1" t="s">
        <v>2911</v>
      </c>
      <c r="B2881" s="1">
        <v>26</v>
      </c>
      <c r="C2881" s="1" t="str" cm="1">
        <f t="array" ref="C2881">_xlfn.IFS(OR(B2881=" ", B2881="NA",NOT(ISNUMBER(B2881))), "Unknown",B2881&lt;18,"Underage",B2881&lt;=24,"Young Adult",B2881&lt;=34,"Early Career",B2881&lt;=44,"Mid Career",B2881&lt;=54,"Mature",B2881&lt;=65,"Pre-Senior",B2881&gt;65,"Senior")</f>
        <v>Early Career</v>
      </c>
      <c r="D2881" s="1" t="s">
        <v>29</v>
      </c>
      <c r="F2881" s="1">
        <v>425000</v>
      </c>
      <c r="G2881" s="1">
        <v>34</v>
      </c>
      <c r="H2881" s="1" t="str" cm="1">
        <f t="array" ref="H2881">_xlfn.IFS( OR(G2881=" ",NOT(ISNUMBER(G2881))),"Unknown",G2881&lt;=33,"Low Spender",G2881&lt;=66,"Medium Spender",TRUE, "High Spender")</f>
        <v>Medium Spender</v>
      </c>
      <c r="I2881" s="1">
        <v>18</v>
      </c>
      <c r="J2881" s="1">
        <v>9900</v>
      </c>
      <c r="K2881" s="1">
        <v>174</v>
      </c>
      <c r="M2881" s="1" t="s">
        <v>41</v>
      </c>
      <c r="N2881" s="1" t="str">
        <f t="shared" si="88"/>
        <v>Higher</v>
      </c>
      <c r="O2881" s="1" t="str">
        <f t="shared" si="89"/>
        <v>Early Career | Medium Spender | Higher</v>
      </c>
    </row>
    <row r="2882" spans="1:15" x14ac:dyDescent="0.25">
      <c r="A2882" s="1" t="s">
        <v>2912</v>
      </c>
      <c r="B2882" s="1">
        <v>32</v>
      </c>
      <c r="C2882" s="1" t="str" cm="1">
        <f t="array" ref="C2882">_xlfn.IFS(OR(B2882=" ", B2882="NA",NOT(ISNUMBER(B2882))), "Unknown",B2882&lt;18,"Underage",B2882&lt;=24,"Young Adult",B2882&lt;=34,"Early Career",B2882&lt;=44,"Mid Career",B2882&lt;=54,"Mature",B2882&lt;=65,"Pre-Senior",B2882&gt;65,"Senior")</f>
        <v>Early Career</v>
      </c>
      <c r="D2882" s="1" t="s">
        <v>29</v>
      </c>
      <c r="E2882" s="1" t="s">
        <v>58</v>
      </c>
      <c r="F2882" s="1">
        <v>1675000</v>
      </c>
      <c r="G2882" s="1">
        <v>50</v>
      </c>
      <c r="H2882" s="1" t="str" cm="1">
        <f t="array" ref="H2882">_xlfn.IFS( OR(G2882=" ",NOT(ISNUMBER(G2882))),"Unknown",G2882&lt;=33,"Low Spender",G2882&lt;=66,"Medium Spender",TRUE, "High Spender")</f>
        <v>Medium Spender</v>
      </c>
      <c r="J2882" s="1">
        <v>8700</v>
      </c>
      <c r="K2882" s="1">
        <v>126</v>
      </c>
      <c r="L2882" s="1" t="s">
        <v>35</v>
      </c>
      <c r="M2882" s="1" t="s">
        <v>30</v>
      </c>
      <c r="N2882" s="1" t="str">
        <f t="shared" ref="N2882:N2945" si="90">IF(OR(UPPER(TRIM(D2882))="Male",UPPER(TRIM(D2882))="Female"),"Higher","Lower")</f>
        <v>Higher</v>
      </c>
      <c r="O2882" s="1" t="str">
        <f t="shared" ref="O2882:O2945" si="91">_xlfn.TEXTJOIN(" | ", TRUE, C2882, H2882, N2882)</f>
        <v>Early Career | Medium Spender | Higher</v>
      </c>
    </row>
    <row r="2883" spans="1:15" x14ac:dyDescent="0.25">
      <c r="A2883" s="1" t="s">
        <v>2913</v>
      </c>
      <c r="B2883" s="1">
        <v>38</v>
      </c>
      <c r="C2883" s="1" t="str" cm="1">
        <f t="array" ref="C2883">_xlfn.IFS(OR(B2883=" ", B2883="NA",NOT(ISNUMBER(B2883))), "Unknown",B2883&lt;18,"Underage",B2883&lt;=24,"Young Adult",B2883&lt;=34,"Early Career",B2883&lt;=44,"Mid Career",B2883&lt;=54,"Mature",B2883&lt;=65,"Pre-Senior",B2883&gt;65,"Senior")</f>
        <v>Mid Career</v>
      </c>
      <c r="D2883" s="1" t="s">
        <v>29</v>
      </c>
      <c r="E2883" s="1" t="s">
        <v>15</v>
      </c>
      <c r="F2883" s="1">
        <v>1425000</v>
      </c>
      <c r="G2883" s="1">
        <v>65</v>
      </c>
      <c r="H2883" s="1" t="str" cm="1">
        <f t="array" ref="H2883">_xlfn.IFS( OR(G2883=" ",NOT(ISNUMBER(G2883))),"Unknown",G2883&lt;=33,"Low Spender",G2883&lt;=66,"Medium Spender",TRUE, "High Spender")</f>
        <v>Medium Spender</v>
      </c>
      <c r="I2883" s="1">
        <v>66</v>
      </c>
      <c r="J2883" s="1">
        <v>300</v>
      </c>
      <c r="K2883" s="1">
        <v>109</v>
      </c>
      <c r="L2883" s="1" t="s">
        <v>35</v>
      </c>
      <c r="M2883" s="1" t="s">
        <v>41</v>
      </c>
      <c r="N2883" s="1" t="str">
        <f t="shared" si="90"/>
        <v>Higher</v>
      </c>
      <c r="O2883" s="1" t="str">
        <f t="shared" si="91"/>
        <v>Mid Career | Medium Spender | Higher</v>
      </c>
    </row>
    <row r="2884" spans="1:15" x14ac:dyDescent="0.25">
      <c r="A2884" s="1" t="s">
        <v>2914</v>
      </c>
      <c r="B2884" s="1">
        <v>52</v>
      </c>
      <c r="C2884" s="1" t="str" cm="1">
        <f t="array" ref="C2884">_xlfn.IFS(OR(B2884=" ", B2884="NA",NOT(ISNUMBER(B2884))), "Unknown",B2884&lt;18,"Underage",B2884&lt;=24,"Young Adult",B2884&lt;=34,"Early Career",B2884&lt;=44,"Mid Career",B2884&lt;=54,"Mature",B2884&lt;=65,"Pre-Senior",B2884&gt;65,"Senior")</f>
        <v>Mature</v>
      </c>
      <c r="D2884" s="1" t="s">
        <v>29</v>
      </c>
      <c r="E2884" s="1" t="s">
        <v>49</v>
      </c>
      <c r="F2884" s="1">
        <v>1325000</v>
      </c>
      <c r="G2884" s="1">
        <v>82</v>
      </c>
      <c r="H2884" s="1" t="str" cm="1">
        <f t="array" ref="H2884">_xlfn.IFS( OR(G2884=" ",NOT(ISNUMBER(G2884))),"Unknown",G2884&lt;=33,"Low Spender",G2884&lt;=66,"Medium Spender",TRUE, "High Spender")</f>
        <v>High Spender</v>
      </c>
      <c r="I2884" s="1">
        <v>51</v>
      </c>
      <c r="J2884" s="1">
        <v>11000</v>
      </c>
      <c r="K2884" s="1">
        <v>47</v>
      </c>
      <c r="L2884" s="1" t="s">
        <v>16</v>
      </c>
      <c r="M2884" s="1" t="s">
        <v>32</v>
      </c>
      <c r="N2884" s="1" t="str">
        <f t="shared" si="90"/>
        <v>Higher</v>
      </c>
      <c r="O2884" s="1" t="str">
        <f t="shared" si="91"/>
        <v>Mature | High Spender | Higher</v>
      </c>
    </row>
    <row r="2885" spans="1:15" x14ac:dyDescent="0.25">
      <c r="A2885" s="1" t="s">
        <v>2915</v>
      </c>
      <c r="B2885" s="1">
        <v>19</v>
      </c>
      <c r="C2885" s="1" t="str" cm="1">
        <f t="array" ref="C2885">_xlfn.IFS(OR(B2885=" ", B2885="NA",NOT(ISNUMBER(B2885))), "Unknown",B2885&lt;18,"Underage",B2885&lt;=24,"Young Adult",B2885&lt;=34,"Early Career",B2885&lt;=44,"Mid Career",B2885&lt;=54,"Mature",B2885&lt;=65,"Pre-Senior",B2885&gt;65,"Senior")</f>
        <v>Young Adult</v>
      </c>
      <c r="D2885" s="1" t="s">
        <v>12</v>
      </c>
      <c r="F2885" s="1">
        <v>1800000</v>
      </c>
      <c r="G2885" s="1">
        <v>62</v>
      </c>
      <c r="H2885" s="1" t="str" cm="1">
        <f t="array" ref="H2885">_xlfn.IFS( OR(G2885=" ",NOT(ISNUMBER(G2885))),"Unknown",G2885&lt;=33,"Low Spender",G2885&lt;=66,"Medium Spender",TRUE, "High Spender")</f>
        <v>Medium Spender</v>
      </c>
      <c r="I2885" s="1">
        <v>65</v>
      </c>
      <c r="J2885" s="1">
        <v>7700</v>
      </c>
      <c r="K2885" s="1">
        <v>214</v>
      </c>
      <c r="L2885" s="1" t="s">
        <v>37</v>
      </c>
      <c r="N2885" s="1" t="str">
        <f t="shared" si="90"/>
        <v>Lower</v>
      </c>
      <c r="O2885" s="1" t="str">
        <f t="shared" si="91"/>
        <v>Young Adult | Medium Spender | Lower</v>
      </c>
    </row>
    <row r="2886" spans="1:15" x14ac:dyDescent="0.25">
      <c r="A2886" s="1" t="s">
        <v>2916</v>
      </c>
      <c r="B2886" s="1">
        <v>44</v>
      </c>
      <c r="C2886" s="1" t="str" cm="1">
        <f t="array" ref="C2886">_xlfn.IFS(OR(B2886=" ", B2886="NA",NOT(ISNUMBER(B2886))), "Unknown",B2886&lt;18,"Underage",B2886&lt;=24,"Young Adult",B2886&lt;=34,"Early Career",B2886&lt;=44,"Mid Career",B2886&lt;=54,"Mature",B2886&lt;=65,"Pre-Senior",B2886&gt;65,"Senior")</f>
        <v>Mid Career</v>
      </c>
      <c r="D2886" s="1" t="s">
        <v>29</v>
      </c>
      <c r="E2886" s="1" t="s">
        <v>19</v>
      </c>
      <c r="F2886" s="1">
        <v>1275000</v>
      </c>
      <c r="G2886" s="1">
        <v>43</v>
      </c>
      <c r="H2886" s="1" t="str" cm="1">
        <f t="array" ref="H2886">_xlfn.IFS( OR(G2886=" ",NOT(ISNUMBER(G2886))),"Unknown",G2886&lt;=33,"Low Spender",G2886&lt;=66,"Medium Spender",TRUE, "High Spender")</f>
        <v>Medium Spender</v>
      </c>
      <c r="I2886" s="1">
        <v>43</v>
      </c>
      <c r="J2886" s="1">
        <v>6700</v>
      </c>
      <c r="K2886" s="1">
        <v>92</v>
      </c>
      <c r="N2886" s="1" t="str">
        <f t="shared" si="90"/>
        <v>Higher</v>
      </c>
      <c r="O2886" s="1" t="str">
        <f t="shared" si="91"/>
        <v>Mid Career | Medium Spender | Higher</v>
      </c>
    </row>
    <row r="2887" spans="1:15" x14ac:dyDescent="0.25">
      <c r="A2887" s="1" t="s">
        <v>2917</v>
      </c>
      <c r="B2887" s="1">
        <v>19</v>
      </c>
      <c r="C2887" s="1" t="str" cm="1">
        <f t="array" ref="C2887">_xlfn.IFS(OR(B2887=" ", B2887="NA",NOT(ISNUMBER(B2887))), "Unknown",B2887&lt;18,"Underage",B2887&lt;=24,"Young Adult",B2887&lt;=34,"Early Career",B2887&lt;=44,"Mid Career",B2887&lt;=54,"Mature",B2887&lt;=65,"Pre-Senior",B2887&gt;65,"Senior")</f>
        <v>Young Adult</v>
      </c>
      <c r="D2887" s="1" t="s">
        <v>18</v>
      </c>
      <c r="E2887" s="1" t="s">
        <v>27</v>
      </c>
      <c r="F2887" s="1">
        <v>1975000</v>
      </c>
      <c r="G2887" s="1">
        <v>56</v>
      </c>
      <c r="H2887" s="1" t="str" cm="1">
        <f t="array" ref="H2887">_xlfn.IFS( OR(G2887=" ",NOT(ISNUMBER(G2887))),"Unknown",G2887&lt;=33,"Low Spender",G2887&lt;=66,"Medium Spender",TRUE, "High Spender")</f>
        <v>Medium Spender</v>
      </c>
      <c r="I2887" s="1">
        <v>57</v>
      </c>
      <c r="J2887" s="1">
        <v>4800</v>
      </c>
      <c r="K2887" s="1">
        <v>181</v>
      </c>
      <c r="M2887" s="1" t="s">
        <v>30</v>
      </c>
      <c r="N2887" s="1" t="str">
        <f t="shared" si="90"/>
        <v>Higher</v>
      </c>
      <c r="O2887" s="1" t="str">
        <f t="shared" si="91"/>
        <v>Young Adult | Medium Spender | Higher</v>
      </c>
    </row>
    <row r="2888" spans="1:15" x14ac:dyDescent="0.25">
      <c r="A2888" s="1" t="s">
        <v>2918</v>
      </c>
      <c r="B2888" s="1">
        <v>52</v>
      </c>
      <c r="C2888" s="1" t="str" cm="1">
        <f t="array" ref="C2888">_xlfn.IFS(OR(B2888=" ", B2888="NA",NOT(ISNUMBER(B2888))), "Unknown",B2888&lt;18,"Underage",B2888&lt;=24,"Young Adult",B2888&lt;=34,"Early Career",B2888&lt;=44,"Mid Career",B2888&lt;=54,"Mature",B2888&lt;=65,"Pre-Senior",B2888&gt;65,"Senior")</f>
        <v>Mature</v>
      </c>
      <c r="F2888" s="1">
        <v>500000</v>
      </c>
      <c r="G2888" s="1">
        <v>15</v>
      </c>
      <c r="H2888" s="1" t="str" cm="1">
        <f t="array" ref="H2888">_xlfn.IFS( OR(G2888=" ",NOT(ISNUMBER(G2888))),"Unknown",G2888&lt;=33,"Low Spender",G2888&lt;=66,"Medium Spender",TRUE, "High Spender")</f>
        <v>Low Spender</v>
      </c>
      <c r="I2888" s="1">
        <v>10</v>
      </c>
      <c r="J2888" s="1">
        <v>6100</v>
      </c>
      <c r="K2888" s="1">
        <v>41</v>
      </c>
      <c r="L2888" s="1" t="s">
        <v>16</v>
      </c>
      <c r="M2888" s="1" t="s">
        <v>21</v>
      </c>
      <c r="N2888" s="1" t="str">
        <f t="shared" si="90"/>
        <v>Lower</v>
      </c>
      <c r="O2888" s="1" t="str">
        <f t="shared" si="91"/>
        <v>Mature | Low Spender | Lower</v>
      </c>
    </row>
    <row r="2889" spans="1:15" x14ac:dyDescent="0.25">
      <c r="A2889" s="1" t="s">
        <v>2919</v>
      </c>
      <c r="B2889" s="1">
        <v>35</v>
      </c>
      <c r="C2889" s="1" t="str" cm="1">
        <f t="array" ref="C2889">_xlfn.IFS(OR(B2889=" ", B2889="NA",NOT(ISNUMBER(B2889))), "Unknown",B2889&lt;18,"Underage",B2889&lt;=24,"Young Adult",B2889&lt;=34,"Early Career",B2889&lt;=44,"Mid Career",B2889&lt;=54,"Mature",B2889&lt;=65,"Pre-Senior",B2889&gt;65,"Senior")</f>
        <v>Mid Career</v>
      </c>
      <c r="D2889" s="1" t="s">
        <v>29</v>
      </c>
      <c r="E2889" s="1" t="s">
        <v>15</v>
      </c>
      <c r="F2889" s="1">
        <v>1900000</v>
      </c>
      <c r="G2889" s="1">
        <v>48</v>
      </c>
      <c r="H2889" s="1" t="str" cm="1">
        <f t="array" ref="H2889">_xlfn.IFS( OR(G2889=" ",NOT(ISNUMBER(G2889))),"Unknown",G2889&lt;=33,"Low Spender",G2889&lt;=66,"Medium Spender",TRUE, "High Spender")</f>
        <v>Medium Spender</v>
      </c>
      <c r="I2889" s="1">
        <v>37</v>
      </c>
      <c r="J2889" s="1">
        <v>7700</v>
      </c>
      <c r="K2889" s="1">
        <v>259</v>
      </c>
      <c r="M2889" s="1" t="s">
        <v>41</v>
      </c>
      <c r="N2889" s="1" t="str">
        <f t="shared" si="90"/>
        <v>Higher</v>
      </c>
      <c r="O2889" s="1" t="str">
        <f t="shared" si="91"/>
        <v>Mid Career | Medium Spender | Higher</v>
      </c>
    </row>
    <row r="2890" spans="1:15" x14ac:dyDescent="0.25">
      <c r="A2890" s="1" t="s">
        <v>2920</v>
      </c>
      <c r="B2890" s="1">
        <v>31</v>
      </c>
      <c r="C2890" s="1" t="str" cm="1">
        <f t="array" ref="C2890">_xlfn.IFS(OR(B2890=" ", B2890="NA",NOT(ISNUMBER(B2890))), "Unknown",B2890&lt;18,"Underage",B2890&lt;=24,"Young Adult",B2890&lt;=34,"Early Career",B2890&lt;=44,"Mid Career",B2890&lt;=54,"Mature",B2890&lt;=65,"Pre-Senior",B2890&gt;65,"Senior")</f>
        <v>Early Career</v>
      </c>
      <c r="F2890" s="1">
        <v>1025000</v>
      </c>
      <c r="G2890" s="1">
        <v>49</v>
      </c>
      <c r="H2890" s="1" t="str" cm="1">
        <f t="array" ref="H2890">_xlfn.IFS( OR(G2890=" ",NOT(ISNUMBER(G2890))),"Unknown",G2890&lt;=33,"Low Spender",G2890&lt;=66,"Medium Spender",TRUE, "High Spender")</f>
        <v>Medium Spender</v>
      </c>
      <c r="I2890" s="1">
        <v>48</v>
      </c>
      <c r="J2890" s="1">
        <v>900</v>
      </c>
      <c r="K2890" s="1">
        <v>121</v>
      </c>
      <c r="L2890" s="1" t="s">
        <v>16</v>
      </c>
      <c r="M2890" s="1" t="s">
        <v>32</v>
      </c>
      <c r="N2890" s="1" t="str">
        <f t="shared" si="90"/>
        <v>Lower</v>
      </c>
      <c r="O2890" s="1" t="str">
        <f t="shared" si="91"/>
        <v>Early Career | Medium Spender | Lower</v>
      </c>
    </row>
    <row r="2891" spans="1:15" x14ac:dyDescent="0.25">
      <c r="A2891" s="1" t="s">
        <v>2921</v>
      </c>
      <c r="B2891" s="1">
        <v>37</v>
      </c>
      <c r="C2891" s="1" t="str" cm="1">
        <f t="array" ref="C2891">_xlfn.IFS(OR(B2891=" ", B2891="NA",NOT(ISNUMBER(B2891))), "Unknown",B2891&lt;18,"Underage",B2891&lt;=24,"Young Adult",B2891&lt;=34,"Early Career",B2891&lt;=44,"Mid Career",B2891&lt;=54,"Mature",B2891&lt;=65,"Pre-Senior",B2891&gt;65,"Senior")</f>
        <v>Mid Career</v>
      </c>
      <c r="D2891" s="1" t="s">
        <v>18</v>
      </c>
      <c r="F2891" s="1">
        <v>475000</v>
      </c>
      <c r="G2891" s="1">
        <v>81</v>
      </c>
      <c r="H2891" s="1" t="str" cm="1">
        <f t="array" ref="H2891">_xlfn.IFS( OR(G2891=" ",NOT(ISNUMBER(G2891))),"Unknown",G2891&lt;=33,"Low Spender",G2891&lt;=66,"Medium Spender",TRUE, "High Spender")</f>
        <v>High Spender</v>
      </c>
      <c r="I2891" s="1">
        <v>69</v>
      </c>
      <c r="J2891" s="1">
        <v>6800</v>
      </c>
      <c r="K2891" s="1">
        <v>77</v>
      </c>
      <c r="M2891" s="1" t="s">
        <v>30</v>
      </c>
      <c r="N2891" s="1" t="str">
        <f t="shared" si="90"/>
        <v>Higher</v>
      </c>
      <c r="O2891" s="1" t="str">
        <f t="shared" si="91"/>
        <v>Mid Career | High Spender | Higher</v>
      </c>
    </row>
    <row r="2892" spans="1:15" x14ac:dyDescent="0.25">
      <c r="A2892" s="1" t="s">
        <v>2922</v>
      </c>
      <c r="B2892" s="1">
        <v>35</v>
      </c>
      <c r="C2892" s="1" t="str" cm="1">
        <f t="array" ref="C2892">_xlfn.IFS(OR(B2892=" ", B2892="NA",NOT(ISNUMBER(B2892))), "Unknown",B2892&lt;18,"Underage",B2892&lt;=24,"Young Adult",B2892&lt;=34,"Early Career",B2892&lt;=44,"Mid Career",B2892&lt;=54,"Mature",B2892&lt;=65,"Pre-Senior",B2892&gt;65,"Senior")</f>
        <v>Mid Career</v>
      </c>
      <c r="D2892" s="1" t="s">
        <v>29</v>
      </c>
      <c r="E2892" s="1" t="s">
        <v>19</v>
      </c>
      <c r="F2892" s="1">
        <v>200000</v>
      </c>
      <c r="G2892" s="1">
        <v>44</v>
      </c>
      <c r="H2892" s="1" t="str" cm="1">
        <f t="array" ref="H2892">_xlfn.IFS( OR(G2892=" ",NOT(ISNUMBER(G2892))),"Unknown",G2892&lt;=33,"Low Spender",G2892&lt;=66,"Medium Spender",TRUE, "High Spender")</f>
        <v>Medium Spender</v>
      </c>
      <c r="I2892" s="1">
        <v>56</v>
      </c>
      <c r="J2892" s="1">
        <v>1700</v>
      </c>
      <c r="K2892" s="1">
        <v>95</v>
      </c>
      <c r="L2892" s="1" t="s">
        <v>35</v>
      </c>
      <c r="M2892" s="1" t="s">
        <v>30</v>
      </c>
      <c r="N2892" s="1" t="str">
        <f t="shared" si="90"/>
        <v>Higher</v>
      </c>
      <c r="O2892" s="1" t="str">
        <f t="shared" si="91"/>
        <v>Mid Career | Medium Spender | Higher</v>
      </c>
    </row>
    <row r="2893" spans="1:15" x14ac:dyDescent="0.25">
      <c r="A2893" s="1" t="s">
        <v>2923</v>
      </c>
      <c r="B2893" s="1">
        <v>27</v>
      </c>
      <c r="C2893" s="1" t="str" cm="1">
        <f t="array" ref="C2893">_xlfn.IFS(OR(B2893=" ", B2893="NA",NOT(ISNUMBER(B2893))), "Unknown",B2893&lt;18,"Underage",B2893&lt;=24,"Young Adult",B2893&lt;=34,"Early Career",B2893&lt;=44,"Mid Career",B2893&lt;=54,"Mature",B2893&lt;=65,"Pre-Senior",B2893&gt;65,"Senior")</f>
        <v>Early Career</v>
      </c>
      <c r="D2893" s="1" t="s">
        <v>29</v>
      </c>
      <c r="F2893" s="1">
        <v>1800000</v>
      </c>
      <c r="G2893" s="1">
        <v>10</v>
      </c>
      <c r="H2893" s="1" t="str" cm="1">
        <f t="array" ref="H2893">_xlfn.IFS( OR(G2893=" ",NOT(ISNUMBER(G2893))),"Unknown",G2893&lt;=33,"Low Spender",G2893&lt;=66,"Medium Spender",TRUE, "High Spender")</f>
        <v>Low Spender</v>
      </c>
      <c r="I2893" s="1">
        <v>76</v>
      </c>
      <c r="J2893" s="1">
        <v>7400</v>
      </c>
      <c r="K2893" s="1">
        <v>269</v>
      </c>
      <c r="L2893" s="1" t="s">
        <v>20</v>
      </c>
      <c r="M2893" s="1" t="s">
        <v>21</v>
      </c>
      <c r="N2893" s="1" t="str">
        <f t="shared" si="90"/>
        <v>Higher</v>
      </c>
      <c r="O2893" s="1" t="str">
        <f t="shared" si="91"/>
        <v>Early Career | Low Spender | Higher</v>
      </c>
    </row>
    <row r="2894" spans="1:15" x14ac:dyDescent="0.25">
      <c r="A2894" s="1" t="s">
        <v>2924</v>
      </c>
      <c r="B2894" s="1">
        <v>42</v>
      </c>
      <c r="C2894" s="1" t="str" cm="1">
        <f t="array" ref="C2894">_xlfn.IFS(OR(B2894=" ", B2894="NA",NOT(ISNUMBER(B2894))), "Unknown",B2894&lt;18,"Underage",B2894&lt;=24,"Young Adult",B2894&lt;=34,"Early Career",B2894&lt;=44,"Mid Career",B2894&lt;=54,"Mature",B2894&lt;=65,"Pre-Senior",B2894&gt;65,"Senior")</f>
        <v>Mid Career</v>
      </c>
      <c r="E2894" s="1" t="s">
        <v>49</v>
      </c>
      <c r="F2894" s="1">
        <v>600000</v>
      </c>
      <c r="G2894" s="1">
        <v>20</v>
      </c>
      <c r="H2894" s="1" t="str" cm="1">
        <f t="array" ref="H2894">_xlfn.IFS( OR(G2894=" ",NOT(ISNUMBER(G2894))),"Unknown",G2894&lt;=33,"Low Spender",G2894&lt;=66,"Medium Spender",TRUE, "High Spender")</f>
        <v>Low Spender</v>
      </c>
      <c r="I2894" s="1">
        <v>36</v>
      </c>
      <c r="K2894" s="1">
        <v>361</v>
      </c>
      <c r="L2894" s="1" t="s">
        <v>37</v>
      </c>
      <c r="N2894" s="1" t="str">
        <f t="shared" si="90"/>
        <v>Lower</v>
      </c>
      <c r="O2894" s="1" t="str">
        <f t="shared" si="91"/>
        <v>Mid Career | Low Spender | Lower</v>
      </c>
    </row>
    <row r="2895" spans="1:15" x14ac:dyDescent="0.25">
      <c r="A2895" s="1" t="s">
        <v>2925</v>
      </c>
      <c r="B2895" s="1">
        <v>19</v>
      </c>
      <c r="C2895" s="1" t="str" cm="1">
        <f t="array" ref="C2895">_xlfn.IFS(OR(B2895=" ", B2895="NA",NOT(ISNUMBER(B2895))), "Unknown",B2895&lt;18,"Underage",B2895&lt;=24,"Young Adult",B2895&lt;=34,"Early Career",B2895&lt;=44,"Mid Career",B2895&lt;=54,"Mature",B2895&lt;=65,"Pre-Senior",B2895&gt;65,"Senior")</f>
        <v>Young Adult</v>
      </c>
      <c r="D2895" s="1" t="s">
        <v>29</v>
      </c>
      <c r="G2895" s="1">
        <v>70</v>
      </c>
      <c r="H2895" s="1" t="str" cm="1">
        <f t="array" ref="H2895">_xlfn.IFS( OR(G2895=" ",NOT(ISNUMBER(G2895))),"Unknown",G2895&lt;=33,"Low Spender",G2895&lt;=66,"Medium Spender",TRUE, "High Spender")</f>
        <v>High Spender</v>
      </c>
      <c r="I2895" s="1">
        <v>31</v>
      </c>
      <c r="J2895" s="1">
        <v>11800</v>
      </c>
      <c r="K2895" s="1">
        <v>18</v>
      </c>
      <c r="L2895" s="1" t="s">
        <v>20</v>
      </c>
      <c r="M2895" s="1" t="s">
        <v>41</v>
      </c>
      <c r="N2895" s="1" t="str">
        <f t="shared" si="90"/>
        <v>Higher</v>
      </c>
      <c r="O2895" s="1" t="str">
        <f t="shared" si="91"/>
        <v>Young Adult | High Spender | Higher</v>
      </c>
    </row>
    <row r="2896" spans="1:15" x14ac:dyDescent="0.25">
      <c r="A2896" s="1" t="s">
        <v>2926</v>
      </c>
      <c r="B2896" s="1">
        <v>42</v>
      </c>
      <c r="C2896" s="1" t="str" cm="1">
        <f t="array" ref="C2896">_xlfn.IFS(OR(B2896=" ", B2896="NA",NOT(ISNUMBER(B2896))), "Unknown",B2896&lt;18,"Underage",B2896&lt;=24,"Young Adult",B2896&lt;=34,"Early Career",B2896&lt;=44,"Mid Career",B2896&lt;=54,"Mature",B2896&lt;=65,"Pre-Senior",B2896&gt;65,"Senior")</f>
        <v>Mid Career</v>
      </c>
      <c r="F2896" s="1">
        <v>1475000</v>
      </c>
      <c r="G2896" s="1">
        <v>8</v>
      </c>
      <c r="H2896" s="1" t="str" cm="1">
        <f t="array" ref="H2896">_xlfn.IFS( OR(G2896=" ",NOT(ISNUMBER(G2896))),"Unknown",G2896&lt;=33,"Low Spender",G2896&lt;=66,"Medium Spender",TRUE, "High Spender")</f>
        <v>Low Spender</v>
      </c>
      <c r="I2896" s="1">
        <v>55</v>
      </c>
      <c r="J2896" s="1">
        <v>4900</v>
      </c>
      <c r="K2896" s="1">
        <v>293</v>
      </c>
      <c r="L2896" s="1" t="s">
        <v>35</v>
      </c>
      <c r="M2896" s="1" t="s">
        <v>32</v>
      </c>
      <c r="N2896" s="1" t="str">
        <f t="shared" si="90"/>
        <v>Lower</v>
      </c>
      <c r="O2896" s="1" t="str">
        <f t="shared" si="91"/>
        <v>Mid Career | Low Spender | Lower</v>
      </c>
    </row>
    <row r="2897" spans="1:15" x14ac:dyDescent="0.25">
      <c r="A2897" s="1" t="s">
        <v>2927</v>
      </c>
      <c r="C2897" s="1" t="str" cm="1">
        <f t="array" ref="C2897">_xlfn.IFS(OR(B2897=" ", B2897="NA",NOT(ISNUMBER(B2897))), "Unknown",B2897&lt;18,"Underage",B2897&lt;=24,"Young Adult",B2897&lt;=34,"Early Career",B2897&lt;=44,"Mid Career",B2897&lt;=54,"Mature",B2897&lt;=65,"Pre-Senior",B2897&gt;65,"Senior")</f>
        <v>Unknown</v>
      </c>
      <c r="D2897" s="1" t="s">
        <v>18</v>
      </c>
      <c r="E2897" s="1" t="s">
        <v>19</v>
      </c>
      <c r="F2897" s="1">
        <v>1850000</v>
      </c>
      <c r="G2897" s="1">
        <v>45</v>
      </c>
      <c r="H2897" s="1" t="str" cm="1">
        <f t="array" ref="H2897">_xlfn.IFS( OR(G2897=" ",NOT(ISNUMBER(G2897))),"Unknown",G2897&lt;=33,"Low Spender",G2897&lt;=66,"Medium Spender",TRUE, "High Spender")</f>
        <v>Medium Spender</v>
      </c>
      <c r="I2897" s="1">
        <v>38</v>
      </c>
      <c r="J2897" s="1">
        <v>9200</v>
      </c>
      <c r="K2897" s="1">
        <v>171</v>
      </c>
      <c r="M2897" s="1" t="s">
        <v>30</v>
      </c>
      <c r="N2897" s="1" t="str">
        <f t="shared" si="90"/>
        <v>Higher</v>
      </c>
      <c r="O2897" s="1" t="str">
        <f t="shared" si="91"/>
        <v>Unknown | Medium Spender | Higher</v>
      </c>
    </row>
    <row r="2898" spans="1:15" x14ac:dyDescent="0.25">
      <c r="A2898" s="1" t="s">
        <v>2928</v>
      </c>
      <c r="B2898" s="1">
        <v>50</v>
      </c>
      <c r="C2898" s="1" t="str" cm="1">
        <f t="array" ref="C2898">_xlfn.IFS(OR(B2898=" ", B2898="NA",NOT(ISNUMBER(B2898))), "Unknown",B2898&lt;18,"Underage",B2898&lt;=24,"Young Adult",B2898&lt;=34,"Early Career",B2898&lt;=44,"Mid Career",B2898&lt;=54,"Mature",B2898&lt;=65,"Pre-Senior",B2898&gt;65,"Senior")</f>
        <v>Mature</v>
      </c>
      <c r="D2898" s="1" t="s">
        <v>18</v>
      </c>
      <c r="E2898" s="1" t="s">
        <v>19</v>
      </c>
      <c r="F2898" s="1">
        <v>375000</v>
      </c>
      <c r="G2898" s="1">
        <v>34</v>
      </c>
      <c r="H2898" s="1" t="str" cm="1">
        <f t="array" ref="H2898">_xlfn.IFS( OR(G2898=" ",NOT(ISNUMBER(G2898))),"Unknown",G2898&lt;=33,"Low Spender",G2898&lt;=66,"Medium Spender",TRUE, "High Spender")</f>
        <v>Medium Spender</v>
      </c>
      <c r="I2898" s="1">
        <v>73</v>
      </c>
      <c r="J2898" s="1">
        <v>4200</v>
      </c>
      <c r="K2898" s="1">
        <v>162</v>
      </c>
      <c r="L2898" s="1" t="s">
        <v>16</v>
      </c>
      <c r="M2898" s="1" t="s">
        <v>41</v>
      </c>
      <c r="N2898" s="1" t="str">
        <f t="shared" si="90"/>
        <v>Higher</v>
      </c>
      <c r="O2898" s="1" t="str">
        <f t="shared" si="91"/>
        <v>Mature | Medium Spender | Higher</v>
      </c>
    </row>
    <row r="2899" spans="1:15" x14ac:dyDescent="0.25">
      <c r="A2899" s="1" t="s">
        <v>2929</v>
      </c>
      <c r="B2899" s="1">
        <v>53</v>
      </c>
      <c r="C2899" s="1" t="str" cm="1">
        <f t="array" ref="C2899">_xlfn.IFS(OR(B2899=" ", B2899="NA",NOT(ISNUMBER(B2899))), "Unknown",B2899&lt;18,"Underage",B2899&lt;=24,"Young Adult",B2899&lt;=34,"Early Career",B2899&lt;=44,"Mid Career",B2899&lt;=54,"Mature",B2899&lt;=65,"Pre-Senior",B2899&gt;65,"Senior")</f>
        <v>Mature</v>
      </c>
      <c r="F2899" s="1">
        <v>950000</v>
      </c>
      <c r="G2899" s="1">
        <v>96</v>
      </c>
      <c r="H2899" s="1" t="str" cm="1">
        <f t="array" ref="H2899">_xlfn.IFS( OR(G2899=" ",NOT(ISNUMBER(G2899))),"Unknown",G2899&lt;=33,"Low Spender",G2899&lt;=66,"Medium Spender",TRUE, "High Spender")</f>
        <v>High Spender</v>
      </c>
      <c r="I2899" s="1">
        <v>15</v>
      </c>
      <c r="J2899" s="1">
        <v>4400</v>
      </c>
      <c r="K2899" s="1">
        <v>311</v>
      </c>
      <c r="M2899" s="1" t="s">
        <v>32</v>
      </c>
      <c r="N2899" s="1" t="str">
        <f t="shared" si="90"/>
        <v>Lower</v>
      </c>
      <c r="O2899" s="1" t="str">
        <f t="shared" si="91"/>
        <v>Mature | High Spender | Lower</v>
      </c>
    </row>
    <row r="2900" spans="1:15" x14ac:dyDescent="0.25">
      <c r="A2900" s="1" t="s">
        <v>2930</v>
      </c>
      <c r="B2900" s="1">
        <v>48</v>
      </c>
      <c r="C2900" s="1" t="str" cm="1">
        <f t="array" ref="C2900">_xlfn.IFS(OR(B2900=" ", B2900="NA",NOT(ISNUMBER(B2900))), "Unknown",B2900&lt;18,"Underage",B2900&lt;=24,"Young Adult",B2900&lt;=34,"Early Career",B2900&lt;=44,"Mid Career",B2900&lt;=54,"Mature",B2900&lt;=65,"Pre-Senior",B2900&gt;65,"Senior")</f>
        <v>Mature</v>
      </c>
      <c r="E2900" s="1" t="s">
        <v>58</v>
      </c>
      <c r="F2900" s="1">
        <v>450000</v>
      </c>
      <c r="G2900" s="1">
        <v>51</v>
      </c>
      <c r="H2900" s="1" t="str" cm="1">
        <f t="array" ref="H2900">_xlfn.IFS( OR(G2900=" ",NOT(ISNUMBER(G2900))),"Unknown",G2900&lt;=33,"Low Spender",G2900&lt;=66,"Medium Spender",TRUE, "High Spender")</f>
        <v>Medium Spender</v>
      </c>
      <c r="I2900" s="1">
        <v>16</v>
      </c>
      <c r="J2900" s="1">
        <v>5300</v>
      </c>
      <c r="K2900" s="1">
        <v>52</v>
      </c>
      <c r="N2900" s="1" t="str">
        <f t="shared" si="90"/>
        <v>Lower</v>
      </c>
      <c r="O2900" s="1" t="str">
        <f t="shared" si="91"/>
        <v>Mature | Medium Spender | Lower</v>
      </c>
    </row>
    <row r="2901" spans="1:15" x14ac:dyDescent="0.25">
      <c r="A2901" s="1" t="s">
        <v>2931</v>
      </c>
      <c r="B2901" s="1">
        <v>31</v>
      </c>
      <c r="C2901" s="1" t="str" cm="1">
        <f t="array" ref="C2901">_xlfn.IFS(OR(B2901=" ", B2901="NA",NOT(ISNUMBER(B2901))), "Unknown",B2901&lt;18,"Underage",B2901&lt;=24,"Young Adult",B2901&lt;=34,"Early Career",B2901&lt;=44,"Mid Career",B2901&lt;=54,"Mature",B2901&lt;=65,"Pre-Senior",B2901&gt;65,"Senior")</f>
        <v>Early Career</v>
      </c>
      <c r="D2901" s="1" t="s">
        <v>12</v>
      </c>
      <c r="E2901" s="1" t="s">
        <v>27</v>
      </c>
      <c r="F2901" s="1">
        <v>1400000</v>
      </c>
      <c r="G2901" s="1">
        <v>4</v>
      </c>
      <c r="H2901" s="1" t="str" cm="1">
        <f t="array" ref="H2901">_xlfn.IFS( OR(G2901=" ",NOT(ISNUMBER(G2901))),"Unknown",G2901&lt;=33,"Low Spender",G2901&lt;=66,"Medium Spender",TRUE, "High Spender")</f>
        <v>Low Spender</v>
      </c>
      <c r="I2901" s="1">
        <v>77</v>
      </c>
      <c r="J2901" s="1">
        <v>3700</v>
      </c>
      <c r="K2901" s="1">
        <v>36</v>
      </c>
      <c r="L2901" s="1" t="s">
        <v>35</v>
      </c>
      <c r="N2901" s="1" t="str">
        <f t="shared" si="90"/>
        <v>Lower</v>
      </c>
      <c r="O2901" s="1" t="str">
        <f t="shared" si="91"/>
        <v>Early Career | Low Spender | Lower</v>
      </c>
    </row>
    <row r="2902" spans="1:15" x14ac:dyDescent="0.25">
      <c r="A2902" s="1" t="s">
        <v>2932</v>
      </c>
      <c r="B2902" s="1">
        <v>18</v>
      </c>
      <c r="C2902" s="1" t="str" cm="1">
        <f t="array" ref="C2902">_xlfn.IFS(OR(B2902=" ", B2902="NA",NOT(ISNUMBER(B2902))), "Unknown",B2902&lt;18,"Underage",B2902&lt;=24,"Young Adult",B2902&lt;=34,"Early Career",B2902&lt;=44,"Mid Career",B2902&lt;=54,"Mature",B2902&lt;=65,"Pre-Senior",B2902&gt;65,"Senior")</f>
        <v>Young Adult</v>
      </c>
      <c r="D2902" s="1" t="s">
        <v>29</v>
      </c>
      <c r="E2902" s="1" t="s">
        <v>23</v>
      </c>
      <c r="F2902" s="1">
        <v>925000</v>
      </c>
      <c r="G2902" s="1">
        <v>39</v>
      </c>
      <c r="H2902" s="1" t="str" cm="1">
        <f t="array" ref="H2902">_xlfn.IFS( OR(G2902=" ",NOT(ISNUMBER(G2902))),"Unknown",G2902&lt;=33,"Low Spender",G2902&lt;=66,"Medium Spender",TRUE, "High Spender")</f>
        <v>Medium Spender</v>
      </c>
      <c r="I2902" s="1">
        <v>53</v>
      </c>
      <c r="J2902" s="1">
        <v>11800</v>
      </c>
      <c r="K2902" s="1">
        <v>187</v>
      </c>
      <c r="M2902" s="1" t="s">
        <v>32</v>
      </c>
      <c r="N2902" s="1" t="str">
        <f t="shared" si="90"/>
        <v>Higher</v>
      </c>
      <c r="O2902" s="1" t="str">
        <f t="shared" si="91"/>
        <v>Young Adult | Medium Spender | Higher</v>
      </c>
    </row>
    <row r="2903" spans="1:15" x14ac:dyDescent="0.25">
      <c r="A2903" s="1" t="s">
        <v>2933</v>
      </c>
      <c r="B2903" s="1">
        <v>63</v>
      </c>
      <c r="C2903" s="1" t="str" cm="1">
        <f t="array" ref="C2903">_xlfn.IFS(OR(B2903=" ", B2903="NA",NOT(ISNUMBER(B2903))), "Unknown",B2903&lt;18,"Underage",B2903&lt;=24,"Young Adult",B2903&lt;=34,"Early Career",B2903&lt;=44,"Mid Career",B2903&lt;=54,"Mature",B2903&lt;=65,"Pre-Senior",B2903&gt;65,"Senior")</f>
        <v>Pre-Senior</v>
      </c>
      <c r="D2903" s="1" t="s">
        <v>18</v>
      </c>
      <c r="E2903" s="1" t="s">
        <v>13</v>
      </c>
      <c r="G2903" s="1">
        <v>84</v>
      </c>
      <c r="H2903" s="1" t="str" cm="1">
        <f t="array" ref="H2903">_xlfn.IFS( OR(G2903=" ",NOT(ISNUMBER(G2903))),"Unknown",G2903&lt;=33,"Low Spender",G2903&lt;=66,"Medium Spender",TRUE, "High Spender")</f>
        <v>High Spender</v>
      </c>
      <c r="I2903" s="1">
        <v>56</v>
      </c>
      <c r="J2903" s="1">
        <v>11200</v>
      </c>
      <c r="K2903" s="1">
        <v>248</v>
      </c>
      <c r="L2903" s="1" t="s">
        <v>35</v>
      </c>
      <c r="N2903" s="1" t="str">
        <f t="shared" si="90"/>
        <v>Higher</v>
      </c>
      <c r="O2903" s="1" t="str">
        <f t="shared" si="91"/>
        <v>Pre-Senior | High Spender | Higher</v>
      </c>
    </row>
    <row r="2904" spans="1:15" x14ac:dyDescent="0.25">
      <c r="A2904" s="1" t="s">
        <v>2934</v>
      </c>
      <c r="B2904" s="1">
        <v>33</v>
      </c>
      <c r="C2904" s="1" t="str" cm="1">
        <f t="array" ref="C2904">_xlfn.IFS(OR(B2904=" ", B2904="NA",NOT(ISNUMBER(B2904))), "Unknown",B2904&lt;18,"Underage",B2904&lt;=24,"Young Adult",B2904&lt;=34,"Early Career",B2904&lt;=44,"Mid Career",B2904&lt;=54,"Mature",B2904&lt;=65,"Pre-Senior",B2904&gt;65,"Senior")</f>
        <v>Early Career</v>
      </c>
      <c r="D2904" s="1" t="s">
        <v>18</v>
      </c>
      <c r="F2904" s="1">
        <v>725000</v>
      </c>
      <c r="G2904" s="1">
        <v>24</v>
      </c>
      <c r="H2904" s="1" t="str" cm="1">
        <f t="array" ref="H2904">_xlfn.IFS( OR(G2904=" ",NOT(ISNUMBER(G2904))),"Unknown",G2904&lt;=33,"Low Spender",G2904&lt;=66,"Medium Spender",TRUE, "High Spender")</f>
        <v>Low Spender</v>
      </c>
      <c r="I2904" s="1">
        <v>7</v>
      </c>
      <c r="J2904" s="1">
        <v>10700</v>
      </c>
      <c r="K2904" s="1">
        <v>52</v>
      </c>
      <c r="L2904" s="1" t="s">
        <v>20</v>
      </c>
      <c r="M2904" s="1" t="s">
        <v>30</v>
      </c>
      <c r="N2904" s="1" t="str">
        <f t="shared" si="90"/>
        <v>Higher</v>
      </c>
      <c r="O2904" s="1" t="str">
        <f t="shared" si="91"/>
        <v>Early Career | Low Spender | Higher</v>
      </c>
    </row>
    <row r="2905" spans="1:15" x14ac:dyDescent="0.25">
      <c r="A2905" s="1" t="s">
        <v>2935</v>
      </c>
      <c r="C2905" s="1" t="str" cm="1">
        <f t="array" ref="C2905">_xlfn.IFS(OR(B2905=" ", B2905="NA",NOT(ISNUMBER(B2905))), "Unknown",B2905&lt;18,"Underage",B2905&lt;=24,"Young Adult",B2905&lt;=34,"Early Career",B2905&lt;=44,"Mid Career",B2905&lt;=54,"Mature",B2905&lt;=65,"Pre-Senior",B2905&gt;65,"Senior")</f>
        <v>Unknown</v>
      </c>
      <c r="E2905" s="1" t="s">
        <v>23</v>
      </c>
      <c r="F2905" s="1">
        <v>1000000</v>
      </c>
      <c r="G2905" s="1">
        <v>88</v>
      </c>
      <c r="H2905" s="1" t="str" cm="1">
        <f t="array" ref="H2905">_xlfn.IFS( OR(G2905=" ",NOT(ISNUMBER(G2905))),"Unknown",G2905&lt;=33,"Low Spender",G2905&lt;=66,"Medium Spender",TRUE, "High Spender")</f>
        <v>High Spender</v>
      </c>
      <c r="I2905" s="1">
        <v>57</v>
      </c>
      <c r="J2905" s="1">
        <v>4300</v>
      </c>
      <c r="K2905" s="1">
        <v>19</v>
      </c>
      <c r="M2905" s="1" t="s">
        <v>41</v>
      </c>
      <c r="N2905" s="1" t="str">
        <f t="shared" si="90"/>
        <v>Lower</v>
      </c>
      <c r="O2905" s="1" t="str">
        <f t="shared" si="91"/>
        <v>Unknown | High Spender | Lower</v>
      </c>
    </row>
    <row r="2906" spans="1:15" x14ac:dyDescent="0.25">
      <c r="A2906" s="1" t="s">
        <v>2936</v>
      </c>
      <c r="B2906" s="1">
        <v>63</v>
      </c>
      <c r="C2906" s="1" t="str" cm="1">
        <f t="array" ref="C2906">_xlfn.IFS(OR(B2906=" ", B2906="NA",NOT(ISNUMBER(B2906))), "Unknown",B2906&lt;18,"Underage",B2906&lt;=24,"Young Adult",B2906&lt;=34,"Early Career",B2906&lt;=44,"Mid Career",B2906&lt;=54,"Mature",B2906&lt;=65,"Pre-Senior",B2906&gt;65,"Senior")</f>
        <v>Pre-Senior</v>
      </c>
      <c r="D2906" s="1" t="s">
        <v>18</v>
      </c>
      <c r="E2906" s="1" t="s">
        <v>15</v>
      </c>
      <c r="F2906" s="1">
        <v>1875000</v>
      </c>
      <c r="G2906" s="1">
        <v>55</v>
      </c>
      <c r="H2906" s="1" t="str" cm="1">
        <f t="array" ref="H2906">_xlfn.IFS( OR(G2906=" ",NOT(ISNUMBER(G2906))),"Unknown",G2906&lt;=33,"Low Spender",G2906&lt;=66,"Medium Spender",TRUE, "High Spender")</f>
        <v>Medium Spender</v>
      </c>
      <c r="I2906" s="1">
        <v>55</v>
      </c>
      <c r="J2906" s="1">
        <v>8700</v>
      </c>
      <c r="K2906" s="1">
        <v>92</v>
      </c>
      <c r="L2906" s="1" t="s">
        <v>16</v>
      </c>
      <c r="M2906" s="1" t="s">
        <v>32</v>
      </c>
      <c r="N2906" s="1" t="str">
        <f t="shared" si="90"/>
        <v>Higher</v>
      </c>
      <c r="O2906" s="1" t="str">
        <f t="shared" si="91"/>
        <v>Pre-Senior | Medium Spender | Higher</v>
      </c>
    </row>
    <row r="2907" spans="1:15" x14ac:dyDescent="0.25">
      <c r="A2907" s="1" t="s">
        <v>2937</v>
      </c>
      <c r="B2907" s="1">
        <v>69</v>
      </c>
      <c r="C2907" s="1" t="str" cm="1">
        <f t="array" ref="C2907">_xlfn.IFS(OR(B2907=" ", B2907="NA",NOT(ISNUMBER(B2907))), "Unknown",B2907&lt;18,"Underage",B2907&lt;=24,"Young Adult",B2907&lt;=34,"Early Career",B2907&lt;=44,"Mid Career",B2907&lt;=54,"Mature",B2907&lt;=65,"Pre-Senior",B2907&gt;65,"Senior")</f>
        <v>Senior</v>
      </c>
      <c r="D2907" s="1" t="s">
        <v>29</v>
      </c>
      <c r="E2907" s="1" t="s">
        <v>15</v>
      </c>
      <c r="F2907" s="1">
        <v>1125000</v>
      </c>
      <c r="G2907" s="1">
        <v>26</v>
      </c>
      <c r="H2907" s="1" t="str" cm="1">
        <f t="array" ref="H2907">_xlfn.IFS( OR(G2907=" ",NOT(ISNUMBER(G2907))),"Unknown",G2907&lt;=33,"Low Spender",G2907&lt;=66,"Medium Spender",TRUE, "High Spender")</f>
        <v>Low Spender</v>
      </c>
      <c r="I2907" s="1">
        <v>52</v>
      </c>
      <c r="J2907" s="1">
        <v>5900</v>
      </c>
      <c r="K2907" s="1">
        <v>139</v>
      </c>
      <c r="M2907" s="1" t="s">
        <v>30</v>
      </c>
      <c r="N2907" s="1" t="str">
        <f t="shared" si="90"/>
        <v>Higher</v>
      </c>
      <c r="O2907" s="1" t="str">
        <f t="shared" si="91"/>
        <v>Senior | Low Spender | Higher</v>
      </c>
    </row>
    <row r="2908" spans="1:15" x14ac:dyDescent="0.25">
      <c r="A2908" s="1" t="s">
        <v>2938</v>
      </c>
      <c r="B2908" s="1">
        <v>20</v>
      </c>
      <c r="C2908" s="1" t="str" cm="1">
        <f t="array" ref="C2908">_xlfn.IFS(OR(B2908=" ", B2908="NA",NOT(ISNUMBER(B2908))), "Unknown",B2908&lt;18,"Underage",B2908&lt;=24,"Young Adult",B2908&lt;=34,"Early Career",B2908&lt;=44,"Mid Career",B2908&lt;=54,"Mature",B2908&lt;=65,"Pre-Senior",B2908&gt;65,"Senior")</f>
        <v>Young Adult</v>
      </c>
      <c r="D2908" s="1" t="s">
        <v>29</v>
      </c>
      <c r="E2908" s="1" t="s">
        <v>19</v>
      </c>
      <c r="F2908" s="1">
        <v>1475000</v>
      </c>
      <c r="G2908" s="1">
        <v>25</v>
      </c>
      <c r="H2908" s="1" t="str" cm="1">
        <f t="array" ref="H2908">_xlfn.IFS( OR(G2908=" ",NOT(ISNUMBER(G2908))),"Unknown",G2908&lt;=33,"Low Spender",G2908&lt;=66,"Medium Spender",TRUE, "High Spender")</f>
        <v>Low Spender</v>
      </c>
      <c r="I2908" s="1">
        <v>4</v>
      </c>
      <c r="J2908" s="1">
        <v>4000</v>
      </c>
      <c r="K2908" s="1">
        <v>304</v>
      </c>
      <c r="M2908" s="1" t="s">
        <v>41</v>
      </c>
      <c r="N2908" s="1" t="str">
        <f t="shared" si="90"/>
        <v>Higher</v>
      </c>
      <c r="O2908" s="1" t="str">
        <f t="shared" si="91"/>
        <v>Young Adult | Low Spender | Higher</v>
      </c>
    </row>
    <row r="2909" spans="1:15" x14ac:dyDescent="0.25">
      <c r="A2909" s="1" t="s">
        <v>2939</v>
      </c>
      <c r="B2909" s="1">
        <v>52</v>
      </c>
      <c r="C2909" s="1" t="str" cm="1">
        <f t="array" ref="C2909">_xlfn.IFS(OR(B2909=" ", B2909="NA",NOT(ISNUMBER(B2909))), "Unknown",B2909&lt;18,"Underage",B2909&lt;=24,"Young Adult",B2909&lt;=34,"Early Career",B2909&lt;=44,"Mid Career",B2909&lt;=54,"Mature",B2909&lt;=65,"Pre-Senior",B2909&gt;65,"Senior")</f>
        <v>Mature</v>
      </c>
      <c r="D2909" s="1" t="s">
        <v>18</v>
      </c>
      <c r="E2909" s="1" t="s">
        <v>15</v>
      </c>
      <c r="F2909" s="1">
        <v>1225000</v>
      </c>
      <c r="G2909" s="1">
        <v>36</v>
      </c>
      <c r="H2909" s="1" t="str" cm="1">
        <f t="array" ref="H2909">_xlfn.IFS( OR(G2909=" ",NOT(ISNUMBER(G2909))),"Unknown",G2909&lt;=33,"Low Spender",G2909&lt;=66,"Medium Spender",TRUE, "High Spender")</f>
        <v>Medium Spender</v>
      </c>
      <c r="I2909" s="1">
        <v>43</v>
      </c>
      <c r="J2909" s="1">
        <v>7400</v>
      </c>
      <c r="K2909" s="1">
        <v>357</v>
      </c>
      <c r="M2909" s="1" t="s">
        <v>41</v>
      </c>
      <c r="N2909" s="1" t="str">
        <f t="shared" si="90"/>
        <v>Higher</v>
      </c>
      <c r="O2909" s="1" t="str">
        <f t="shared" si="91"/>
        <v>Mature | Medium Spender | Higher</v>
      </c>
    </row>
    <row r="2910" spans="1:15" x14ac:dyDescent="0.25">
      <c r="A2910" s="1" t="s">
        <v>2940</v>
      </c>
      <c r="B2910" s="1">
        <v>58</v>
      </c>
      <c r="C2910" s="1" t="str" cm="1">
        <f t="array" ref="C2910">_xlfn.IFS(OR(B2910=" ", B2910="NA",NOT(ISNUMBER(B2910))), "Unknown",B2910&lt;18,"Underage",B2910&lt;=24,"Young Adult",B2910&lt;=34,"Early Career",B2910&lt;=44,"Mid Career",B2910&lt;=54,"Mature",B2910&lt;=65,"Pre-Senior",B2910&gt;65,"Senior")</f>
        <v>Pre-Senior</v>
      </c>
      <c r="D2910" s="1" t="s">
        <v>18</v>
      </c>
      <c r="E2910" s="1" t="s">
        <v>58</v>
      </c>
      <c r="F2910" s="1">
        <v>1675000</v>
      </c>
      <c r="G2910" s="1">
        <v>71</v>
      </c>
      <c r="H2910" s="1" t="str" cm="1">
        <f t="array" ref="H2910">_xlfn.IFS( OR(G2910=" ",NOT(ISNUMBER(G2910))),"Unknown",G2910&lt;=33,"Low Spender",G2910&lt;=66,"Medium Spender",TRUE, "High Spender")</f>
        <v>High Spender</v>
      </c>
      <c r="I2910" s="1">
        <v>40</v>
      </c>
      <c r="J2910" s="1">
        <v>10900</v>
      </c>
      <c r="K2910" s="1">
        <v>220</v>
      </c>
      <c r="M2910" s="1" t="s">
        <v>30</v>
      </c>
      <c r="N2910" s="1" t="str">
        <f t="shared" si="90"/>
        <v>Higher</v>
      </c>
      <c r="O2910" s="1" t="str">
        <f t="shared" si="91"/>
        <v>Pre-Senior | High Spender | Higher</v>
      </c>
    </row>
    <row r="2911" spans="1:15" x14ac:dyDescent="0.25">
      <c r="A2911" s="1" t="s">
        <v>2941</v>
      </c>
      <c r="B2911" s="1">
        <v>23</v>
      </c>
      <c r="C2911" s="1" t="str" cm="1">
        <f t="array" ref="C2911">_xlfn.IFS(OR(B2911=" ", B2911="NA",NOT(ISNUMBER(B2911))), "Unknown",B2911&lt;18,"Underage",B2911&lt;=24,"Young Adult",B2911&lt;=34,"Early Career",B2911&lt;=44,"Mid Career",B2911&lt;=54,"Mature",B2911&lt;=65,"Pre-Senior",B2911&gt;65,"Senior")</f>
        <v>Young Adult</v>
      </c>
      <c r="D2911" s="1" t="s">
        <v>12</v>
      </c>
      <c r="E2911" s="1" t="s">
        <v>27</v>
      </c>
      <c r="F2911" s="1">
        <v>1825000</v>
      </c>
      <c r="G2911" s="1">
        <v>74</v>
      </c>
      <c r="H2911" s="1" t="str" cm="1">
        <f t="array" ref="H2911">_xlfn.IFS( OR(G2911=" ",NOT(ISNUMBER(G2911))),"Unknown",G2911&lt;=33,"Low Spender",G2911&lt;=66,"Medium Spender",TRUE, "High Spender")</f>
        <v>High Spender</v>
      </c>
      <c r="I2911" s="1">
        <v>30</v>
      </c>
      <c r="J2911" s="1">
        <v>9800</v>
      </c>
      <c r="K2911" s="1">
        <v>99</v>
      </c>
      <c r="L2911" s="1" t="s">
        <v>37</v>
      </c>
      <c r="M2911" s="1" t="s">
        <v>41</v>
      </c>
      <c r="N2911" s="1" t="str">
        <f t="shared" si="90"/>
        <v>Lower</v>
      </c>
      <c r="O2911" s="1" t="str">
        <f t="shared" si="91"/>
        <v>Young Adult | High Spender | Lower</v>
      </c>
    </row>
    <row r="2912" spans="1:15" x14ac:dyDescent="0.25">
      <c r="A2912" s="1" t="s">
        <v>2942</v>
      </c>
      <c r="B2912" s="1">
        <v>42</v>
      </c>
      <c r="C2912" s="1" t="str" cm="1">
        <f t="array" ref="C2912">_xlfn.IFS(OR(B2912=" ", B2912="NA",NOT(ISNUMBER(B2912))), "Unknown",B2912&lt;18,"Underage",B2912&lt;=24,"Young Adult",B2912&lt;=34,"Early Career",B2912&lt;=44,"Mid Career",B2912&lt;=54,"Mature",B2912&lt;=65,"Pre-Senior",B2912&gt;65,"Senior")</f>
        <v>Mid Career</v>
      </c>
      <c r="D2912" s="1" t="s">
        <v>18</v>
      </c>
      <c r="E2912" s="1" t="s">
        <v>15</v>
      </c>
      <c r="F2912" s="1">
        <v>950000</v>
      </c>
      <c r="G2912" s="1">
        <v>58</v>
      </c>
      <c r="H2912" s="1" t="str" cm="1">
        <f t="array" ref="H2912">_xlfn.IFS( OR(G2912=" ",NOT(ISNUMBER(G2912))),"Unknown",G2912&lt;=33,"Low Spender",G2912&lt;=66,"Medium Spender",TRUE, "High Spender")</f>
        <v>Medium Spender</v>
      </c>
      <c r="I2912" s="1">
        <v>10</v>
      </c>
      <c r="J2912" s="1">
        <v>1000</v>
      </c>
      <c r="K2912" s="1">
        <v>236</v>
      </c>
      <c r="N2912" s="1" t="str">
        <f t="shared" si="90"/>
        <v>Higher</v>
      </c>
      <c r="O2912" s="1" t="str">
        <f t="shared" si="91"/>
        <v>Mid Career | Medium Spender | Higher</v>
      </c>
    </row>
    <row r="2913" spans="1:15" x14ac:dyDescent="0.25">
      <c r="A2913" s="1" t="s">
        <v>2943</v>
      </c>
      <c r="B2913" s="1">
        <v>30</v>
      </c>
      <c r="C2913" s="1" t="str" cm="1">
        <f t="array" ref="C2913">_xlfn.IFS(OR(B2913=" ", B2913="NA",NOT(ISNUMBER(B2913))), "Unknown",B2913&lt;18,"Underage",B2913&lt;=24,"Young Adult",B2913&lt;=34,"Early Career",B2913&lt;=44,"Mid Career",B2913&lt;=54,"Mature",B2913&lt;=65,"Pre-Senior",B2913&gt;65,"Senior")</f>
        <v>Early Career</v>
      </c>
      <c r="D2913" s="1" t="s">
        <v>18</v>
      </c>
      <c r="E2913" s="1" t="s">
        <v>49</v>
      </c>
      <c r="F2913" s="1" t="s">
        <v>25</v>
      </c>
      <c r="G2913" s="1">
        <v>12</v>
      </c>
      <c r="H2913" s="1" t="str" cm="1">
        <f t="array" ref="H2913">_xlfn.IFS( OR(G2913=" ",NOT(ISNUMBER(G2913))),"Unknown",G2913&lt;=33,"Low Spender",G2913&lt;=66,"Medium Spender",TRUE, "High Spender")</f>
        <v>Low Spender</v>
      </c>
      <c r="I2913" s="1">
        <v>7</v>
      </c>
      <c r="J2913" s="1">
        <v>11000</v>
      </c>
      <c r="K2913" s="1">
        <v>207</v>
      </c>
      <c r="L2913" s="1" t="s">
        <v>35</v>
      </c>
      <c r="M2913" s="1" t="s">
        <v>32</v>
      </c>
      <c r="N2913" s="1" t="str">
        <f t="shared" si="90"/>
        <v>Higher</v>
      </c>
      <c r="O2913" s="1" t="str">
        <f t="shared" si="91"/>
        <v>Early Career | Low Spender | Higher</v>
      </c>
    </row>
    <row r="2914" spans="1:15" x14ac:dyDescent="0.25">
      <c r="A2914" s="1" t="s">
        <v>2944</v>
      </c>
      <c r="C2914" s="1" t="str" cm="1">
        <f t="array" ref="C2914">_xlfn.IFS(OR(B2914=" ", B2914="NA",NOT(ISNUMBER(B2914))), "Unknown",B2914&lt;18,"Underage",B2914&lt;=24,"Young Adult",B2914&lt;=34,"Early Career",B2914&lt;=44,"Mid Career",B2914&lt;=54,"Mature",B2914&lt;=65,"Pre-Senior",B2914&gt;65,"Senior")</f>
        <v>Unknown</v>
      </c>
      <c r="D2914" s="1" t="s">
        <v>29</v>
      </c>
      <c r="E2914" s="1" t="s">
        <v>27</v>
      </c>
      <c r="F2914" s="1">
        <v>1525000</v>
      </c>
      <c r="G2914" s="1">
        <v>1</v>
      </c>
      <c r="H2914" s="1" t="str" cm="1">
        <f t="array" ref="H2914">_xlfn.IFS( OR(G2914=" ",NOT(ISNUMBER(G2914))),"Unknown",G2914&lt;=33,"Low Spender",G2914&lt;=66,"Medium Spender",TRUE, "High Spender")</f>
        <v>Low Spender</v>
      </c>
      <c r="I2914" s="1">
        <v>36</v>
      </c>
      <c r="J2914" s="1">
        <v>7600</v>
      </c>
      <c r="K2914" s="1">
        <v>144</v>
      </c>
      <c r="L2914" s="1" t="s">
        <v>37</v>
      </c>
      <c r="M2914" s="1" t="s">
        <v>32</v>
      </c>
      <c r="N2914" s="1" t="str">
        <f t="shared" si="90"/>
        <v>Higher</v>
      </c>
      <c r="O2914" s="1" t="str">
        <f t="shared" si="91"/>
        <v>Unknown | Low Spender | Higher</v>
      </c>
    </row>
    <row r="2915" spans="1:15" x14ac:dyDescent="0.25">
      <c r="A2915" s="1" t="s">
        <v>2945</v>
      </c>
      <c r="B2915" s="1">
        <v>51</v>
      </c>
      <c r="C2915" s="1" t="str" cm="1">
        <f t="array" ref="C2915">_xlfn.IFS(OR(B2915=" ", B2915="NA",NOT(ISNUMBER(B2915))), "Unknown",B2915&lt;18,"Underage",B2915&lt;=24,"Young Adult",B2915&lt;=34,"Early Career",B2915&lt;=44,"Mid Career",B2915&lt;=54,"Mature",B2915&lt;=65,"Pre-Senior",B2915&gt;65,"Senior")</f>
        <v>Mature</v>
      </c>
      <c r="D2915" s="1" t="s">
        <v>29</v>
      </c>
      <c r="E2915" s="1" t="s">
        <v>58</v>
      </c>
      <c r="F2915" s="1">
        <v>1025000</v>
      </c>
      <c r="G2915" s="1">
        <v>50</v>
      </c>
      <c r="H2915" s="1" t="str" cm="1">
        <f t="array" ref="H2915">_xlfn.IFS( OR(G2915=" ",NOT(ISNUMBER(G2915))),"Unknown",G2915&lt;=33,"Low Spender",G2915&lt;=66,"Medium Spender",TRUE, "High Spender")</f>
        <v>Medium Spender</v>
      </c>
      <c r="I2915" s="1">
        <v>35</v>
      </c>
      <c r="J2915" s="1">
        <v>6500</v>
      </c>
      <c r="K2915" s="1">
        <v>199</v>
      </c>
      <c r="L2915" s="1" t="s">
        <v>37</v>
      </c>
      <c r="M2915" s="1" t="s">
        <v>41</v>
      </c>
      <c r="N2915" s="1" t="str">
        <f t="shared" si="90"/>
        <v>Higher</v>
      </c>
      <c r="O2915" s="1" t="str">
        <f t="shared" si="91"/>
        <v>Mature | Medium Spender | Higher</v>
      </c>
    </row>
    <row r="2916" spans="1:15" x14ac:dyDescent="0.25">
      <c r="A2916" s="1" t="s">
        <v>2946</v>
      </c>
      <c r="B2916" s="1">
        <v>25</v>
      </c>
      <c r="C2916" s="1" t="str" cm="1">
        <f t="array" ref="C2916">_xlfn.IFS(OR(B2916=" ", B2916="NA",NOT(ISNUMBER(B2916))), "Unknown",B2916&lt;18,"Underage",B2916&lt;=24,"Young Adult",B2916&lt;=34,"Early Career",B2916&lt;=44,"Mid Career",B2916&lt;=54,"Mature",B2916&lt;=65,"Pre-Senior",B2916&gt;65,"Senior")</f>
        <v>Early Career</v>
      </c>
      <c r="D2916" s="1" t="s">
        <v>18</v>
      </c>
      <c r="E2916" s="1" t="s">
        <v>23</v>
      </c>
      <c r="F2916" s="1">
        <v>1475000</v>
      </c>
      <c r="G2916" s="1">
        <v>25</v>
      </c>
      <c r="H2916" s="1" t="str" cm="1">
        <f t="array" ref="H2916">_xlfn.IFS( OR(G2916=" ",NOT(ISNUMBER(G2916))),"Unknown",G2916&lt;=33,"Low Spender",G2916&lt;=66,"Medium Spender",TRUE, "High Spender")</f>
        <v>Low Spender</v>
      </c>
      <c r="I2916" s="1">
        <v>39</v>
      </c>
      <c r="J2916" s="1">
        <v>8900</v>
      </c>
      <c r="K2916" s="1">
        <v>303</v>
      </c>
      <c r="M2916" s="1" t="s">
        <v>30</v>
      </c>
      <c r="N2916" s="1" t="str">
        <f t="shared" si="90"/>
        <v>Higher</v>
      </c>
      <c r="O2916" s="1" t="str">
        <f t="shared" si="91"/>
        <v>Early Career | Low Spender | Higher</v>
      </c>
    </row>
    <row r="2917" spans="1:15" x14ac:dyDescent="0.25">
      <c r="A2917" s="1" t="s">
        <v>2947</v>
      </c>
      <c r="B2917" s="1">
        <v>38</v>
      </c>
      <c r="C2917" s="1" t="str" cm="1">
        <f t="array" ref="C2917">_xlfn.IFS(OR(B2917=" ", B2917="NA",NOT(ISNUMBER(B2917))), "Unknown",B2917&lt;18,"Underage",B2917&lt;=24,"Young Adult",B2917&lt;=34,"Early Career",B2917&lt;=44,"Mid Career",B2917&lt;=54,"Mature",B2917&lt;=65,"Pre-Senior",B2917&gt;65,"Senior")</f>
        <v>Mid Career</v>
      </c>
      <c r="E2917" s="1" t="s">
        <v>27</v>
      </c>
      <c r="F2917" s="1">
        <v>600000</v>
      </c>
      <c r="G2917" s="1">
        <v>80</v>
      </c>
      <c r="H2917" s="1" t="str" cm="1">
        <f t="array" ref="H2917">_xlfn.IFS( OR(G2917=" ",NOT(ISNUMBER(G2917))),"Unknown",G2917&lt;=33,"Low Spender",G2917&lt;=66,"Medium Spender",TRUE, "High Spender")</f>
        <v>High Spender</v>
      </c>
      <c r="I2917" s="1">
        <v>36</v>
      </c>
      <c r="J2917" s="1">
        <v>600</v>
      </c>
      <c r="K2917" s="1">
        <v>323</v>
      </c>
      <c r="M2917" s="1" t="s">
        <v>21</v>
      </c>
      <c r="N2917" s="1" t="str">
        <f t="shared" si="90"/>
        <v>Lower</v>
      </c>
      <c r="O2917" s="1" t="str">
        <f t="shared" si="91"/>
        <v>Mid Career | High Spender | Lower</v>
      </c>
    </row>
    <row r="2918" spans="1:15" x14ac:dyDescent="0.25">
      <c r="A2918" s="1" t="s">
        <v>2948</v>
      </c>
      <c r="B2918" s="1">
        <v>51</v>
      </c>
      <c r="C2918" s="1" t="str" cm="1">
        <f t="array" ref="C2918">_xlfn.IFS(OR(B2918=" ", B2918="NA",NOT(ISNUMBER(B2918))), "Unknown",B2918&lt;18,"Underage",B2918&lt;=24,"Young Adult",B2918&lt;=34,"Early Career",B2918&lt;=44,"Mid Career",B2918&lt;=54,"Mature",B2918&lt;=65,"Pre-Senior",B2918&gt;65,"Senior")</f>
        <v>Mature</v>
      </c>
      <c r="D2918" s="1" t="s">
        <v>18</v>
      </c>
      <c r="E2918" s="1" t="s">
        <v>27</v>
      </c>
      <c r="F2918" s="1">
        <v>1200000</v>
      </c>
      <c r="G2918" s="1">
        <v>5</v>
      </c>
      <c r="H2918" s="1" t="str" cm="1">
        <f t="array" ref="H2918">_xlfn.IFS( OR(G2918=" ",NOT(ISNUMBER(G2918))),"Unknown",G2918&lt;=33,"Low Spender",G2918&lt;=66,"Medium Spender",TRUE, "High Spender")</f>
        <v>Low Spender</v>
      </c>
      <c r="I2918" s="1">
        <v>20</v>
      </c>
      <c r="J2918" s="1">
        <v>5000</v>
      </c>
      <c r="K2918" s="1">
        <v>287</v>
      </c>
      <c r="N2918" s="1" t="str">
        <f t="shared" si="90"/>
        <v>Higher</v>
      </c>
      <c r="O2918" s="1" t="str">
        <f t="shared" si="91"/>
        <v>Mature | Low Spender | Higher</v>
      </c>
    </row>
    <row r="2919" spans="1:15" x14ac:dyDescent="0.25">
      <c r="A2919" s="1" t="s">
        <v>2949</v>
      </c>
      <c r="B2919" s="1">
        <v>21</v>
      </c>
      <c r="C2919" s="1" t="str" cm="1">
        <f t="array" ref="C2919">_xlfn.IFS(OR(B2919=" ", B2919="NA",NOT(ISNUMBER(B2919))), "Unknown",B2919&lt;18,"Underage",B2919&lt;=24,"Young Adult",B2919&lt;=34,"Early Career",B2919&lt;=44,"Mid Career",B2919&lt;=54,"Mature",B2919&lt;=65,"Pre-Senior",B2919&gt;65,"Senior")</f>
        <v>Young Adult</v>
      </c>
      <c r="E2919" s="1" t="s">
        <v>23</v>
      </c>
      <c r="F2919" s="1">
        <v>425000</v>
      </c>
      <c r="G2919" s="1">
        <v>83</v>
      </c>
      <c r="H2919" s="1" t="str" cm="1">
        <f t="array" ref="H2919">_xlfn.IFS( OR(G2919=" ",NOT(ISNUMBER(G2919))),"Unknown",G2919&lt;=33,"Low Spender",G2919&lt;=66,"Medium Spender",TRUE, "High Spender")</f>
        <v>High Spender</v>
      </c>
      <c r="I2919" s="1">
        <v>49</v>
      </c>
      <c r="J2919" s="1">
        <v>5400</v>
      </c>
      <c r="K2919" s="1">
        <v>332</v>
      </c>
      <c r="M2919" s="1" t="s">
        <v>41</v>
      </c>
      <c r="N2919" s="1" t="str">
        <f t="shared" si="90"/>
        <v>Lower</v>
      </c>
      <c r="O2919" s="1" t="str">
        <f t="shared" si="91"/>
        <v>Young Adult | High Spender | Lower</v>
      </c>
    </row>
    <row r="2920" spans="1:15" x14ac:dyDescent="0.25">
      <c r="A2920" s="1" t="s">
        <v>2950</v>
      </c>
      <c r="B2920" s="1">
        <v>42</v>
      </c>
      <c r="C2920" s="1" t="str" cm="1">
        <f t="array" ref="C2920">_xlfn.IFS(OR(B2920=" ", B2920="NA",NOT(ISNUMBER(B2920))), "Unknown",B2920&lt;18,"Underage",B2920&lt;=24,"Young Adult",B2920&lt;=34,"Early Career",B2920&lt;=44,"Mid Career",B2920&lt;=54,"Mature",B2920&lt;=65,"Pre-Senior",B2920&gt;65,"Senior")</f>
        <v>Mid Career</v>
      </c>
      <c r="D2920" s="1" t="s">
        <v>29</v>
      </c>
      <c r="E2920" s="1" t="s">
        <v>58</v>
      </c>
      <c r="F2920" s="1">
        <v>400000</v>
      </c>
      <c r="G2920" s="1">
        <v>68</v>
      </c>
      <c r="H2920" s="1" t="str" cm="1">
        <f t="array" ref="H2920">_xlfn.IFS( OR(G2920=" ",NOT(ISNUMBER(G2920))),"Unknown",G2920&lt;=33,"Low Spender",G2920&lt;=66,"Medium Spender",TRUE, "High Spender")</f>
        <v>High Spender</v>
      </c>
      <c r="I2920" s="1">
        <v>59</v>
      </c>
      <c r="J2920" s="1">
        <v>4000</v>
      </c>
      <c r="K2920" s="1">
        <v>264</v>
      </c>
      <c r="M2920" s="1" t="s">
        <v>21</v>
      </c>
      <c r="N2920" s="1" t="str">
        <f t="shared" si="90"/>
        <v>Higher</v>
      </c>
      <c r="O2920" s="1" t="str">
        <f t="shared" si="91"/>
        <v>Mid Career | High Spender | Higher</v>
      </c>
    </row>
    <row r="2921" spans="1:15" x14ac:dyDescent="0.25">
      <c r="A2921" s="1" t="s">
        <v>2951</v>
      </c>
      <c r="B2921" s="1">
        <v>32</v>
      </c>
      <c r="C2921" s="1" t="str" cm="1">
        <f t="array" ref="C2921">_xlfn.IFS(OR(B2921=" ", B2921="NA",NOT(ISNUMBER(B2921))), "Unknown",B2921&lt;18,"Underage",B2921&lt;=24,"Young Adult",B2921&lt;=34,"Early Career",B2921&lt;=44,"Mid Career",B2921&lt;=54,"Mature",B2921&lt;=65,"Pre-Senior",B2921&gt;65,"Senior")</f>
        <v>Early Career</v>
      </c>
      <c r="D2921" s="1" t="s">
        <v>18</v>
      </c>
      <c r="E2921" s="1" t="s">
        <v>15</v>
      </c>
      <c r="F2921" s="1">
        <v>1875000</v>
      </c>
      <c r="G2921" s="1">
        <v>6</v>
      </c>
      <c r="H2921" s="1" t="str" cm="1">
        <f t="array" ref="H2921">_xlfn.IFS( OR(G2921=" ",NOT(ISNUMBER(G2921))),"Unknown",G2921&lt;=33,"Low Spender",G2921&lt;=66,"Medium Spender",TRUE, "High Spender")</f>
        <v>Low Spender</v>
      </c>
      <c r="I2921" s="1">
        <v>49</v>
      </c>
      <c r="J2921" s="1">
        <v>9600</v>
      </c>
      <c r="K2921" s="1">
        <v>217</v>
      </c>
      <c r="L2921" s="1" t="s">
        <v>35</v>
      </c>
      <c r="M2921" s="1" t="s">
        <v>41</v>
      </c>
      <c r="N2921" s="1" t="str">
        <f t="shared" si="90"/>
        <v>Higher</v>
      </c>
      <c r="O2921" s="1" t="str">
        <f t="shared" si="91"/>
        <v>Early Career | Low Spender | Higher</v>
      </c>
    </row>
    <row r="2922" spans="1:15" x14ac:dyDescent="0.25">
      <c r="A2922" s="1" t="s">
        <v>2952</v>
      </c>
      <c r="B2922" s="1">
        <v>21</v>
      </c>
      <c r="C2922" s="1" t="str" cm="1">
        <f t="array" ref="C2922">_xlfn.IFS(OR(B2922=" ", B2922="NA",NOT(ISNUMBER(B2922))), "Unknown",B2922&lt;18,"Underage",B2922&lt;=24,"Young Adult",B2922&lt;=34,"Early Career",B2922&lt;=44,"Mid Career",B2922&lt;=54,"Mature",B2922&lt;=65,"Pre-Senior",B2922&gt;65,"Senior")</f>
        <v>Young Adult</v>
      </c>
      <c r="D2922" s="1" t="s">
        <v>18</v>
      </c>
      <c r="E2922" s="1" t="s">
        <v>19</v>
      </c>
      <c r="F2922" s="1">
        <v>425000</v>
      </c>
      <c r="G2922" s="1">
        <v>26</v>
      </c>
      <c r="H2922" s="1" t="str" cm="1">
        <f t="array" ref="H2922">_xlfn.IFS( OR(G2922=" ",NOT(ISNUMBER(G2922))),"Unknown",G2922&lt;=33,"Low Spender",G2922&lt;=66,"Medium Spender",TRUE, "High Spender")</f>
        <v>Low Spender</v>
      </c>
      <c r="I2922" s="1">
        <v>26</v>
      </c>
      <c r="J2922" s="1">
        <v>10700</v>
      </c>
      <c r="K2922" s="1">
        <v>189</v>
      </c>
      <c r="M2922" s="1" t="s">
        <v>21</v>
      </c>
      <c r="N2922" s="1" t="str">
        <f t="shared" si="90"/>
        <v>Higher</v>
      </c>
      <c r="O2922" s="1" t="str">
        <f t="shared" si="91"/>
        <v>Young Adult | Low Spender | Higher</v>
      </c>
    </row>
    <row r="2923" spans="1:15" x14ac:dyDescent="0.25">
      <c r="A2923" s="1" t="s">
        <v>2953</v>
      </c>
      <c r="B2923" s="1">
        <v>62</v>
      </c>
      <c r="C2923" s="1" t="str" cm="1">
        <f t="array" ref="C2923">_xlfn.IFS(OR(B2923=" ", B2923="NA",NOT(ISNUMBER(B2923))), "Unknown",B2923&lt;18,"Underage",B2923&lt;=24,"Young Adult",B2923&lt;=34,"Early Career",B2923&lt;=44,"Mid Career",B2923&lt;=54,"Mature",B2923&lt;=65,"Pre-Senior",B2923&gt;65,"Senior")</f>
        <v>Pre-Senior</v>
      </c>
      <c r="D2923" s="1" t="s">
        <v>29</v>
      </c>
      <c r="F2923" s="1">
        <v>1150000</v>
      </c>
      <c r="G2923" s="1">
        <v>55</v>
      </c>
      <c r="H2923" s="1" t="str" cm="1">
        <f t="array" ref="H2923">_xlfn.IFS( OR(G2923=" ",NOT(ISNUMBER(G2923))),"Unknown",G2923&lt;=33,"Low Spender",G2923&lt;=66,"Medium Spender",TRUE, "High Spender")</f>
        <v>Medium Spender</v>
      </c>
      <c r="I2923" s="1">
        <v>36</v>
      </c>
      <c r="J2923" s="1">
        <v>8900</v>
      </c>
      <c r="K2923" s="1">
        <v>44</v>
      </c>
      <c r="L2923" s="1" t="s">
        <v>16</v>
      </c>
      <c r="M2923" s="1" t="s">
        <v>41</v>
      </c>
      <c r="N2923" s="1" t="str">
        <f t="shared" si="90"/>
        <v>Higher</v>
      </c>
      <c r="O2923" s="1" t="str">
        <f t="shared" si="91"/>
        <v>Pre-Senior | Medium Spender | Higher</v>
      </c>
    </row>
    <row r="2924" spans="1:15" x14ac:dyDescent="0.25">
      <c r="A2924" s="1" t="s">
        <v>2954</v>
      </c>
      <c r="B2924" s="1">
        <v>29</v>
      </c>
      <c r="C2924" s="1" t="str" cm="1">
        <f t="array" ref="C2924">_xlfn.IFS(OR(B2924=" ", B2924="NA",NOT(ISNUMBER(B2924))), "Unknown",B2924&lt;18,"Underage",B2924&lt;=24,"Young Adult",B2924&lt;=34,"Early Career",B2924&lt;=44,"Mid Career",B2924&lt;=54,"Mature",B2924&lt;=65,"Pre-Senior",B2924&gt;65,"Senior")</f>
        <v>Early Career</v>
      </c>
      <c r="E2924" s="1" t="s">
        <v>23</v>
      </c>
      <c r="F2924" s="1">
        <v>750000</v>
      </c>
      <c r="G2924" s="1">
        <v>39</v>
      </c>
      <c r="H2924" s="1" t="str" cm="1">
        <f t="array" ref="H2924">_xlfn.IFS( OR(G2924=" ",NOT(ISNUMBER(G2924))),"Unknown",G2924&lt;=33,"Low Spender",G2924&lt;=66,"Medium Spender",TRUE, "High Spender")</f>
        <v>Medium Spender</v>
      </c>
      <c r="I2924" s="1">
        <v>43</v>
      </c>
      <c r="J2924" s="1">
        <v>700</v>
      </c>
      <c r="K2924" s="1">
        <v>291</v>
      </c>
      <c r="M2924" s="1" t="s">
        <v>30</v>
      </c>
      <c r="N2924" s="1" t="str">
        <f t="shared" si="90"/>
        <v>Lower</v>
      </c>
      <c r="O2924" s="1" t="str">
        <f t="shared" si="91"/>
        <v>Early Career | Medium Spender | Lower</v>
      </c>
    </row>
    <row r="2925" spans="1:15" x14ac:dyDescent="0.25">
      <c r="A2925" s="1" t="s">
        <v>2955</v>
      </c>
      <c r="B2925" s="1">
        <v>49</v>
      </c>
      <c r="C2925" s="1" t="str" cm="1">
        <f t="array" ref="C2925">_xlfn.IFS(OR(B2925=" ", B2925="NA",NOT(ISNUMBER(B2925))), "Unknown",B2925&lt;18,"Underage",B2925&lt;=24,"Young Adult",B2925&lt;=34,"Early Career",B2925&lt;=44,"Mid Career",B2925&lt;=54,"Mature",B2925&lt;=65,"Pre-Senior",B2925&gt;65,"Senior")</f>
        <v>Mature</v>
      </c>
      <c r="D2925" s="1" t="s">
        <v>29</v>
      </c>
      <c r="E2925" s="1" t="s">
        <v>23</v>
      </c>
      <c r="F2925" s="1">
        <v>200000</v>
      </c>
      <c r="G2925" s="1">
        <v>9</v>
      </c>
      <c r="H2925" s="1" t="str" cm="1">
        <f t="array" ref="H2925">_xlfn.IFS( OR(G2925=" ",NOT(ISNUMBER(G2925))),"Unknown",G2925&lt;=33,"Low Spender",G2925&lt;=66,"Medium Spender",TRUE, "High Spender")</f>
        <v>Low Spender</v>
      </c>
      <c r="I2925" s="1">
        <v>43</v>
      </c>
      <c r="J2925" s="1">
        <v>8700</v>
      </c>
      <c r="K2925" s="1">
        <v>189</v>
      </c>
      <c r="L2925" s="1" t="s">
        <v>37</v>
      </c>
      <c r="N2925" s="1" t="str">
        <f t="shared" si="90"/>
        <v>Higher</v>
      </c>
      <c r="O2925" s="1" t="str">
        <f t="shared" si="91"/>
        <v>Mature | Low Spender | Higher</v>
      </c>
    </row>
    <row r="2926" spans="1:15" x14ac:dyDescent="0.25">
      <c r="A2926" s="1" t="s">
        <v>2956</v>
      </c>
      <c r="B2926" s="1">
        <v>49</v>
      </c>
      <c r="C2926" s="1" t="str" cm="1">
        <f t="array" ref="C2926">_xlfn.IFS(OR(B2926=" ", B2926="NA",NOT(ISNUMBER(B2926))), "Unknown",B2926&lt;18,"Underage",B2926&lt;=24,"Young Adult",B2926&lt;=34,"Early Career",B2926&lt;=44,"Mid Career",B2926&lt;=54,"Mature",B2926&lt;=65,"Pre-Senior",B2926&gt;65,"Senior")</f>
        <v>Mature</v>
      </c>
      <c r="D2926" s="1" t="s">
        <v>18</v>
      </c>
      <c r="E2926" s="1" t="s">
        <v>23</v>
      </c>
      <c r="F2926" s="1">
        <v>200000</v>
      </c>
      <c r="G2926" s="1">
        <v>45</v>
      </c>
      <c r="H2926" s="1" t="str" cm="1">
        <f t="array" ref="H2926">_xlfn.IFS( OR(G2926=" ",NOT(ISNUMBER(G2926))),"Unknown",G2926&lt;=33,"Low Spender",G2926&lt;=66,"Medium Spender",TRUE, "High Spender")</f>
        <v>Medium Spender</v>
      </c>
      <c r="I2926" s="1">
        <v>76</v>
      </c>
      <c r="J2926" s="1">
        <v>7200</v>
      </c>
      <c r="K2926" s="1">
        <v>194</v>
      </c>
      <c r="L2926" s="1" t="s">
        <v>16</v>
      </c>
      <c r="M2926" s="1" t="s">
        <v>21</v>
      </c>
      <c r="N2926" s="1" t="str">
        <f t="shared" si="90"/>
        <v>Higher</v>
      </c>
      <c r="O2926" s="1" t="str">
        <f t="shared" si="91"/>
        <v>Mature | Medium Spender | Higher</v>
      </c>
    </row>
    <row r="2927" spans="1:15" x14ac:dyDescent="0.25">
      <c r="A2927" s="1" t="s">
        <v>2957</v>
      </c>
      <c r="B2927" s="1">
        <v>45</v>
      </c>
      <c r="C2927" s="1" t="str" cm="1">
        <f t="array" ref="C2927">_xlfn.IFS(OR(B2927=" ", B2927="NA",NOT(ISNUMBER(B2927))), "Unknown",B2927&lt;18,"Underage",B2927&lt;=24,"Young Adult",B2927&lt;=34,"Early Career",B2927&lt;=44,"Mid Career",B2927&lt;=54,"Mature",B2927&lt;=65,"Pre-Senior",B2927&gt;65,"Senior")</f>
        <v>Mature</v>
      </c>
      <c r="D2927" s="1" t="s">
        <v>29</v>
      </c>
      <c r="E2927" s="1" t="s">
        <v>23</v>
      </c>
      <c r="F2927" s="1">
        <v>825000</v>
      </c>
      <c r="G2927" s="1">
        <v>14</v>
      </c>
      <c r="H2927" s="1" t="str" cm="1">
        <f t="array" ref="H2927">_xlfn.IFS( OR(G2927=" ",NOT(ISNUMBER(G2927))),"Unknown",G2927&lt;=33,"Low Spender",G2927&lt;=66,"Medium Spender",TRUE, "High Spender")</f>
        <v>Low Spender</v>
      </c>
      <c r="I2927" s="1">
        <v>33</v>
      </c>
      <c r="J2927" s="1">
        <v>11500</v>
      </c>
      <c r="K2927" s="1">
        <v>270</v>
      </c>
      <c r="N2927" s="1" t="str">
        <f t="shared" si="90"/>
        <v>Higher</v>
      </c>
      <c r="O2927" s="1" t="str">
        <f t="shared" si="91"/>
        <v>Mature | Low Spender | Higher</v>
      </c>
    </row>
    <row r="2928" spans="1:15" x14ac:dyDescent="0.25">
      <c r="A2928" s="1" t="s">
        <v>2958</v>
      </c>
      <c r="B2928" s="1">
        <v>30</v>
      </c>
      <c r="C2928" s="1" t="str" cm="1">
        <f t="array" ref="C2928">_xlfn.IFS(OR(B2928=" ", B2928="NA",NOT(ISNUMBER(B2928))), "Unknown",B2928&lt;18,"Underage",B2928&lt;=24,"Young Adult",B2928&lt;=34,"Early Career",B2928&lt;=44,"Mid Career",B2928&lt;=54,"Mature",B2928&lt;=65,"Pre-Senior",B2928&gt;65,"Senior")</f>
        <v>Early Career</v>
      </c>
      <c r="D2928" s="1" t="s">
        <v>18</v>
      </c>
      <c r="F2928" s="1">
        <v>700000</v>
      </c>
      <c r="G2928" s="1">
        <v>55</v>
      </c>
      <c r="H2928" s="1" t="str" cm="1">
        <f t="array" ref="H2928">_xlfn.IFS( OR(G2928=" ",NOT(ISNUMBER(G2928))),"Unknown",G2928&lt;=33,"Low Spender",G2928&lt;=66,"Medium Spender",TRUE, "High Spender")</f>
        <v>Medium Spender</v>
      </c>
      <c r="I2928" s="1">
        <v>78</v>
      </c>
      <c r="J2928" s="1">
        <v>8300</v>
      </c>
      <c r="L2928" s="1" t="s">
        <v>16</v>
      </c>
      <c r="M2928" s="1" t="s">
        <v>30</v>
      </c>
      <c r="N2928" s="1" t="str">
        <f t="shared" si="90"/>
        <v>Higher</v>
      </c>
      <c r="O2928" s="1" t="str">
        <f t="shared" si="91"/>
        <v>Early Career | Medium Spender | Higher</v>
      </c>
    </row>
    <row r="2929" spans="1:15" x14ac:dyDescent="0.25">
      <c r="A2929" s="1" t="s">
        <v>2959</v>
      </c>
      <c r="B2929" s="1">
        <v>48</v>
      </c>
      <c r="C2929" s="1" t="str" cm="1">
        <f t="array" ref="C2929">_xlfn.IFS(OR(B2929=" ", B2929="NA",NOT(ISNUMBER(B2929))), "Unknown",B2929&lt;18,"Underage",B2929&lt;=24,"Young Adult",B2929&lt;=34,"Early Career",B2929&lt;=44,"Mid Career",B2929&lt;=54,"Mature",B2929&lt;=65,"Pre-Senior",B2929&gt;65,"Senior")</f>
        <v>Mature</v>
      </c>
      <c r="D2929" s="1" t="s">
        <v>18</v>
      </c>
      <c r="F2929" s="1">
        <v>1325000</v>
      </c>
      <c r="G2929" s="1">
        <v>9</v>
      </c>
      <c r="H2929" s="1" t="str" cm="1">
        <f t="array" ref="H2929">_xlfn.IFS( OR(G2929=" ",NOT(ISNUMBER(G2929))),"Unknown",G2929&lt;=33,"Low Spender",G2929&lt;=66,"Medium Spender",TRUE, "High Spender")</f>
        <v>Low Spender</v>
      </c>
      <c r="I2929" s="1">
        <v>45</v>
      </c>
      <c r="J2929" s="1">
        <v>9100</v>
      </c>
      <c r="K2929" s="1">
        <v>260</v>
      </c>
      <c r="L2929" s="1" t="s">
        <v>37</v>
      </c>
      <c r="N2929" s="1" t="str">
        <f t="shared" si="90"/>
        <v>Higher</v>
      </c>
      <c r="O2929" s="1" t="str">
        <f t="shared" si="91"/>
        <v>Mature | Low Spender | Higher</v>
      </c>
    </row>
    <row r="2930" spans="1:15" x14ac:dyDescent="0.25">
      <c r="A2930" s="1" t="s">
        <v>2960</v>
      </c>
      <c r="B2930" s="1">
        <v>31</v>
      </c>
      <c r="C2930" s="1" t="str" cm="1">
        <f t="array" ref="C2930">_xlfn.IFS(OR(B2930=" ", B2930="NA",NOT(ISNUMBER(B2930))), "Unknown",B2930&lt;18,"Underage",B2930&lt;=24,"Young Adult",B2930&lt;=34,"Early Career",B2930&lt;=44,"Mid Career",B2930&lt;=54,"Mature",B2930&lt;=65,"Pre-Senior",B2930&gt;65,"Senior")</f>
        <v>Early Career</v>
      </c>
      <c r="D2930" s="1" t="s">
        <v>29</v>
      </c>
      <c r="E2930" s="1" t="s">
        <v>15</v>
      </c>
      <c r="F2930" s="1">
        <v>1800000</v>
      </c>
      <c r="G2930" s="1">
        <v>15</v>
      </c>
      <c r="H2930" s="1" t="str" cm="1">
        <f t="array" ref="H2930">_xlfn.IFS( OR(G2930=" ",NOT(ISNUMBER(G2930))),"Unknown",G2930&lt;=33,"Low Spender",G2930&lt;=66,"Medium Spender",TRUE, "High Spender")</f>
        <v>Low Spender</v>
      </c>
      <c r="I2930" s="1">
        <v>45</v>
      </c>
      <c r="J2930" s="1">
        <v>2600</v>
      </c>
      <c r="K2930" s="1">
        <v>239</v>
      </c>
      <c r="M2930" s="1" t="s">
        <v>41</v>
      </c>
      <c r="N2930" s="1" t="str">
        <f t="shared" si="90"/>
        <v>Higher</v>
      </c>
      <c r="O2930" s="1" t="str">
        <f t="shared" si="91"/>
        <v>Early Career | Low Spender | Higher</v>
      </c>
    </row>
    <row r="2931" spans="1:15" x14ac:dyDescent="0.25">
      <c r="A2931" s="1" t="s">
        <v>2961</v>
      </c>
      <c r="B2931" s="1">
        <v>37</v>
      </c>
      <c r="C2931" s="1" t="str" cm="1">
        <f t="array" ref="C2931">_xlfn.IFS(OR(B2931=" ", B2931="NA",NOT(ISNUMBER(B2931))), "Unknown",B2931&lt;18,"Underage",B2931&lt;=24,"Young Adult",B2931&lt;=34,"Early Career",B2931&lt;=44,"Mid Career",B2931&lt;=54,"Mature",B2931&lt;=65,"Pre-Senior",B2931&gt;65,"Senior")</f>
        <v>Mid Career</v>
      </c>
      <c r="F2931" s="1">
        <v>1175000</v>
      </c>
      <c r="G2931" s="1">
        <v>37</v>
      </c>
      <c r="H2931" s="1" t="str" cm="1">
        <f t="array" ref="H2931">_xlfn.IFS( OR(G2931=" ",NOT(ISNUMBER(G2931))),"Unknown",G2931&lt;=33,"Low Spender",G2931&lt;=66,"Medium Spender",TRUE, "High Spender")</f>
        <v>Medium Spender</v>
      </c>
      <c r="I2931" s="1">
        <v>15</v>
      </c>
      <c r="J2931" s="1">
        <v>8800</v>
      </c>
      <c r="K2931" s="1">
        <v>112</v>
      </c>
      <c r="L2931" s="1" t="s">
        <v>16</v>
      </c>
      <c r="M2931" s="1" t="s">
        <v>21</v>
      </c>
      <c r="N2931" s="1" t="str">
        <f t="shared" si="90"/>
        <v>Lower</v>
      </c>
      <c r="O2931" s="1" t="str">
        <f t="shared" si="91"/>
        <v>Mid Career | Medium Spender | Lower</v>
      </c>
    </row>
    <row r="2932" spans="1:15" x14ac:dyDescent="0.25">
      <c r="A2932" s="1" t="s">
        <v>2962</v>
      </c>
      <c r="B2932" s="1">
        <v>35</v>
      </c>
      <c r="C2932" s="1" t="str" cm="1">
        <f t="array" ref="C2932">_xlfn.IFS(OR(B2932=" ", B2932="NA",NOT(ISNUMBER(B2932))), "Unknown",B2932&lt;18,"Underage",B2932&lt;=24,"Young Adult",B2932&lt;=34,"Early Career",B2932&lt;=44,"Mid Career",B2932&lt;=54,"Mature",B2932&lt;=65,"Pre-Senior",B2932&gt;65,"Senior")</f>
        <v>Mid Career</v>
      </c>
      <c r="D2932" s="1" t="s">
        <v>18</v>
      </c>
      <c r="F2932" s="1">
        <v>1125000</v>
      </c>
      <c r="G2932" s="1">
        <v>50</v>
      </c>
      <c r="H2932" s="1" t="str" cm="1">
        <f t="array" ref="H2932">_xlfn.IFS( OR(G2932=" ",NOT(ISNUMBER(G2932))),"Unknown",G2932&lt;=33,"Low Spender",G2932&lt;=66,"Medium Spender",TRUE, "High Spender")</f>
        <v>Medium Spender</v>
      </c>
      <c r="I2932" s="1">
        <v>17</v>
      </c>
      <c r="J2932" s="1">
        <v>7900</v>
      </c>
      <c r="K2932" s="1">
        <v>69</v>
      </c>
      <c r="L2932" s="1" t="s">
        <v>35</v>
      </c>
      <c r="N2932" s="1" t="str">
        <f t="shared" si="90"/>
        <v>Higher</v>
      </c>
      <c r="O2932" s="1" t="str">
        <f t="shared" si="91"/>
        <v>Mid Career | Medium Spender | Higher</v>
      </c>
    </row>
    <row r="2933" spans="1:15" x14ac:dyDescent="0.25">
      <c r="A2933" s="1" t="s">
        <v>2963</v>
      </c>
      <c r="B2933" s="1">
        <v>46</v>
      </c>
      <c r="C2933" s="1" t="str" cm="1">
        <f t="array" ref="C2933">_xlfn.IFS(OR(B2933=" ", B2933="NA",NOT(ISNUMBER(B2933))), "Unknown",B2933&lt;18,"Underage",B2933&lt;=24,"Young Adult",B2933&lt;=34,"Early Career",B2933&lt;=44,"Mid Career",B2933&lt;=54,"Mature",B2933&lt;=65,"Pre-Senior",B2933&gt;65,"Senior")</f>
        <v>Mature</v>
      </c>
      <c r="D2933" s="1" t="s">
        <v>18</v>
      </c>
      <c r="E2933" s="1" t="s">
        <v>34</v>
      </c>
      <c r="F2933" s="1">
        <v>275000</v>
      </c>
      <c r="G2933" s="1">
        <v>84</v>
      </c>
      <c r="H2933" s="1" t="str" cm="1">
        <f t="array" ref="H2933">_xlfn.IFS( OR(G2933=" ",NOT(ISNUMBER(G2933))),"Unknown",G2933&lt;=33,"Low Spender",G2933&lt;=66,"Medium Spender",TRUE, "High Spender")</f>
        <v>High Spender</v>
      </c>
      <c r="I2933" s="1">
        <v>12</v>
      </c>
      <c r="J2933" s="1">
        <v>1900</v>
      </c>
      <c r="K2933" s="1">
        <v>49</v>
      </c>
      <c r="L2933" s="1" t="s">
        <v>35</v>
      </c>
      <c r="M2933" s="1" t="s">
        <v>32</v>
      </c>
      <c r="N2933" s="1" t="str">
        <f t="shared" si="90"/>
        <v>Higher</v>
      </c>
      <c r="O2933" s="1" t="str">
        <f t="shared" si="91"/>
        <v>Mature | High Spender | Higher</v>
      </c>
    </row>
    <row r="2934" spans="1:15" x14ac:dyDescent="0.25">
      <c r="A2934" s="1" t="s">
        <v>2964</v>
      </c>
      <c r="B2934" s="1">
        <v>23</v>
      </c>
      <c r="C2934" s="1" t="str" cm="1">
        <f t="array" ref="C2934">_xlfn.IFS(OR(B2934=" ", B2934="NA",NOT(ISNUMBER(B2934))), "Unknown",B2934&lt;18,"Underage",B2934&lt;=24,"Young Adult",B2934&lt;=34,"Early Career",B2934&lt;=44,"Mid Career",B2934&lt;=54,"Mature",B2934&lt;=65,"Pre-Senior",B2934&gt;65,"Senior")</f>
        <v>Young Adult</v>
      </c>
      <c r="D2934" s="1" t="s">
        <v>18</v>
      </c>
      <c r="E2934" s="1" t="s">
        <v>23</v>
      </c>
      <c r="F2934" s="1">
        <v>625000</v>
      </c>
      <c r="G2934" s="1">
        <v>72</v>
      </c>
      <c r="H2934" s="1" t="str" cm="1">
        <f t="array" ref="H2934">_xlfn.IFS( OR(G2934=" ",NOT(ISNUMBER(G2934))),"Unknown",G2934&lt;=33,"Low Spender",G2934&lt;=66,"Medium Spender",TRUE, "High Spender")</f>
        <v>High Spender</v>
      </c>
      <c r="I2934" s="1">
        <v>22</v>
      </c>
      <c r="J2934" s="1">
        <v>8000</v>
      </c>
      <c r="K2934" s="1">
        <v>311</v>
      </c>
      <c r="M2934" s="1" t="s">
        <v>30</v>
      </c>
      <c r="N2934" s="1" t="str">
        <f t="shared" si="90"/>
        <v>Higher</v>
      </c>
      <c r="O2934" s="1" t="str">
        <f t="shared" si="91"/>
        <v>Young Adult | High Spender | Higher</v>
      </c>
    </row>
    <row r="2935" spans="1:15" x14ac:dyDescent="0.25">
      <c r="A2935" s="1" t="s">
        <v>2965</v>
      </c>
      <c r="B2935" s="1">
        <v>49</v>
      </c>
      <c r="C2935" s="1" t="str" cm="1">
        <f t="array" ref="C2935">_xlfn.IFS(OR(B2935=" ", B2935="NA",NOT(ISNUMBER(B2935))), "Unknown",B2935&lt;18,"Underage",B2935&lt;=24,"Young Adult",B2935&lt;=34,"Early Career",B2935&lt;=44,"Mid Career",B2935&lt;=54,"Mature",B2935&lt;=65,"Pre-Senior",B2935&gt;65,"Senior")</f>
        <v>Mature</v>
      </c>
      <c r="E2935" s="1" t="s">
        <v>23</v>
      </c>
      <c r="F2935" s="1">
        <v>400000</v>
      </c>
      <c r="G2935" s="1">
        <v>96</v>
      </c>
      <c r="H2935" s="1" t="str" cm="1">
        <f t="array" ref="H2935">_xlfn.IFS( OR(G2935=" ",NOT(ISNUMBER(G2935))),"Unknown",G2935&lt;=33,"Low Spender",G2935&lt;=66,"Medium Spender",TRUE, "High Spender")</f>
        <v>High Spender</v>
      </c>
      <c r="I2935" s="1">
        <v>23</v>
      </c>
      <c r="J2935" s="1">
        <v>10000</v>
      </c>
      <c r="K2935" s="1">
        <v>151</v>
      </c>
      <c r="M2935" s="1" t="s">
        <v>21</v>
      </c>
      <c r="N2935" s="1" t="str">
        <f t="shared" si="90"/>
        <v>Lower</v>
      </c>
      <c r="O2935" s="1" t="str">
        <f t="shared" si="91"/>
        <v>Mature | High Spender | Lower</v>
      </c>
    </row>
    <row r="2936" spans="1:15" x14ac:dyDescent="0.25">
      <c r="A2936" s="1" t="s">
        <v>2966</v>
      </c>
      <c r="B2936" s="1">
        <v>46</v>
      </c>
      <c r="C2936" s="1" t="str" cm="1">
        <f t="array" ref="C2936">_xlfn.IFS(OR(B2936=" ", B2936="NA",NOT(ISNUMBER(B2936))), "Unknown",B2936&lt;18,"Underage",B2936&lt;=24,"Young Adult",B2936&lt;=34,"Early Career",B2936&lt;=44,"Mid Career",B2936&lt;=54,"Mature",B2936&lt;=65,"Pre-Senior",B2936&gt;65,"Senior")</f>
        <v>Mature</v>
      </c>
      <c r="D2936" s="1" t="s">
        <v>18</v>
      </c>
      <c r="E2936" s="1" t="s">
        <v>27</v>
      </c>
      <c r="F2936" s="1">
        <v>800000</v>
      </c>
      <c r="G2936" s="1">
        <v>21</v>
      </c>
      <c r="H2936" s="1" t="str" cm="1">
        <f t="array" ref="H2936">_xlfn.IFS( OR(G2936=" ",NOT(ISNUMBER(G2936))),"Unknown",G2936&lt;=33,"Low Spender",G2936&lt;=66,"Medium Spender",TRUE, "High Spender")</f>
        <v>Low Spender</v>
      </c>
      <c r="I2936" s="1">
        <v>78</v>
      </c>
      <c r="J2936" s="1">
        <v>9200</v>
      </c>
      <c r="K2936" s="1">
        <v>239</v>
      </c>
      <c r="L2936" s="1" t="s">
        <v>16</v>
      </c>
      <c r="M2936" s="1" t="s">
        <v>30</v>
      </c>
      <c r="N2936" s="1" t="str">
        <f t="shared" si="90"/>
        <v>Higher</v>
      </c>
      <c r="O2936" s="1" t="str">
        <f t="shared" si="91"/>
        <v>Mature | Low Spender | Higher</v>
      </c>
    </row>
    <row r="2937" spans="1:15" x14ac:dyDescent="0.25">
      <c r="A2937" s="1" t="s">
        <v>2967</v>
      </c>
      <c r="B2937" s="1">
        <v>60</v>
      </c>
      <c r="C2937" s="1" t="str" cm="1">
        <f t="array" ref="C2937">_xlfn.IFS(OR(B2937=" ", B2937="NA",NOT(ISNUMBER(B2937))), "Unknown",B2937&lt;18,"Underage",B2937&lt;=24,"Young Adult",B2937&lt;=34,"Early Career",B2937&lt;=44,"Mid Career",B2937&lt;=54,"Mature",B2937&lt;=65,"Pre-Senior",B2937&gt;65,"Senior")</f>
        <v>Pre-Senior</v>
      </c>
      <c r="D2937" s="1" t="s">
        <v>29</v>
      </c>
      <c r="F2937" s="1">
        <v>650000</v>
      </c>
      <c r="G2937" s="1">
        <v>57</v>
      </c>
      <c r="H2937" s="1" t="str" cm="1">
        <f t="array" ref="H2937">_xlfn.IFS( OR(G2937=" ",NOT(ISNUMBER(G2937))),"Unknown",G2937&lt;=33,"Low Spender",G2937&lt;=66,"Medium Spender",TRUE, "High Spender")</f>
        <v>Medium Spender</v>
      </c>
      <c r="I2937" s="1">
        <v>12</v>
      </c>
      <c r="J2937" s="1">
        <v>8500</v>
      </c>
      <c r="K2937" s="1">
        <v>337</v>
      </c>
      <c r="L2937" s="1" t="s">
        <v>37</v>
      </c>
      <c r="M2937" s="1" t="s">
        <v>21</v>
      </c>
      <c r="N2937" s="1" t="str">
        <f t="shared" si="90"/>
        <v>Higher</v>
      </c>
      <c r="O2937" s="1" t="str">
        <f t="shared" si="91"/>
        <v>Pre-Senior | Medium Spender | Higher</v>
      </c>
    </row>
    <row r="2938" spans="1:15" x14ac:dyDescent="0.25">
      <c r="A2938" s="1" t="s">
        <v>2968</v>
      </c>
      <c r="B2938" s="1">
        <v>19</v>
      </c>
      <c r="C2938" s="1" t="str" cm="1">
        <f t="array" ref="C2938">_xlfn.IFS(OR(B2938=" ", B2938="NA",NOT(ISNUMBER(B2938))), "Unknown",B2938&lt;18,"Underage",B2938&lt;=24,"Young Adult",B2938&lt;=34,"Early Career",B2938&lt;=44,"Mid Career",B2938&lt;=54,"Mature",B2938&lt;=65,"Pre-Senior",B2938&gt;65,"Senior")</f>
        <v>Young Adult</v>
      </c>
      <c r="D2938" s="1" t="s">
        <v>29</v>
      </c>
      <c r="E2938" s="1" t="s">
        <v>15</v>
      </c>
      <c r="F2938" s="1">
        <v>450000</v>
      </c>
      <c r="G2938" s="1">
        <v>19</v>
      </c>
      <c r="H2938" s="1" t="str" cm="1">
        <f t="array" ref="H2938">_xlfn.IFS( OR(G2938=" ",NOT(ISNUMBER(G2938))),"Unknown",G2938&lt;=33,"Low Spender",G2938&lt;=66,"Medium Spender",TRUE, "High Spender")</f>
        <v>Low Spender</v>
      </c>
      <c r="I2938" s="1">
        <v>68</v>
      </c>
      <c r="J2938" s="1">
        <v>2800</v>
      </c>
      <c r="K2938" s="1">
        <v>115</v>
      </c>
      <c r="L2938" s="1" t="s">
        <v>35</v>
      </c>
      <c r="M2938" s="1" t="s">
        <v>32</v>
      </c>
      <c r="N2938" s="1" t="str">
        <f t="shared" si="90"/>
        <v>Higher</v>
      </c>
      <c r="O2938" s="1" t="str">
        <f t="shared" si="91"/>
        <v>Young Adult | Low Spender | Higher</v>
      </c>
    </row>
    <row r="2939" spans="1:15" x14ac:dyDescent="0.25">
      <c r="A2939" s="1" t="s">
        <v>2969</v>
      </c>
      <c r="B2939" s="1">
        <v>40</v>
      </c>
      <c r="C2939" s="1" t="str" cm="1">
        <f t="array" ref="C2939">_xlfn.IFS(OR(B2939=" ", B2939="NA",NOT(ISNUMBER(B2939))), "Unknown",B2939&lt;18,"Underage",B2939&lt;=24,"Young Adult",B2939&lt;=34,"Early Career",B2939&lt;=44,"Mid Career",B2939&lt;=54,"Mature",B2939&lt;=65,"Pre-Senior",B2939&gt;65,"Senior")</f>
        <v>Mid Career</v>
      </c>
      <c r="E2939" s="1" t="s">
        <v>19</v>
      </c>
      <c r="F2939" s="1">
        <v>1000000</v>
      </c>
      <c r="G2939" s="1">
        <v>93</v>
      </c>
      <c r="H2939" s="1" t="str" cm="1">
        <f t="array" ref="H2939">_xlfn.IFS( OR(G2939=" ",NOT(ISNUMBER(G2939))),"Unknown",G2939&lt;=33,"Low Spender",G2939&lt;=66,"Medium Spender",TRUE, "High Spender")</f>
        <v>High Spender</v>
      </c>
      <c r="I2939" s="1">
        <v>51</v>
      </c>
      <c r="J2939" s="1">
        <v>500</v>
      </c>
      <c r="K2939" s="1">
        <v>75</v>
      </c>
      <c r="L2939" s="1" t="s">
        <v>20</v>
      </c>
      <c r="N2939" s="1" t="str">
        <f t="shared" si="90"/>
        <v>Lower</v>
      </c>
      <c r="O2939" s="1" t="str">
        <f t="shared" si="91"/>
        <v>Mid Career | High Spender | Lower</v>
      </c>
    </row>
    <row r="2940" spans="1:15" x14ac:dyDescent="0.25">
      <c r="A2940" s="1" t="s">
        <v>2970</v>
      </c>
      <c r="B2940" s="1">
        <v>36</v>
      </c>
      <c r="C2940" s="1" t="str" cm="1">
        <f t="array" ref="C2940">_xlfn.IFS(OR(B2940=" ", B2940="NA",NOT(ISNUMBER(B2940))), "Unknown",B2940&lt;18,"Underage",B2940&lt;=24,"Young Adult",B2940&lt;=34,"Early Career",B2940&lt;=44,"Mid Career",B2940&lt;=54,"Mature",B2940&lt;=65,"Pre-Senior",B2940&gt;65,"Senior")</f>
        <v>Mid Career</v>
      </c>
      <c r="D2940" s="1" t="s">
        <v>18</v>
      </c>
      <c r="E2940" s="1" t="s">
        <v>34</v>
      </c>
      <c r="F2940" s="1">
        <v>1300000</v>
      </c>
      <c r="G2940" s="1">
        <v>58</v>
      </c>
      <c r="H2940" s="1" t="str" cm="1">
        <f t="array" ref="H2940">_xlfn.IFS( OR(G2940=" ",NOT(ISNUMBER(G2940))),"Unknown",G2940&lt;=33,"Low Spender",G2940&lt;=66,"Medium Spender",TRUE, "High Spender")</f>
        <v>Medium Spender</v>
      </c>
      <c r="I2940" s="1">
        <v>13</v>
      </c>
      <c r="J2940" s="1">
        <v>400</v>
      </c>
      <c r="K2940" s="1">
        <v>98</v>
      </c>
      <c r="M2940" s="1" t="s">
        <v>32</v>
      </c>
      <c r="N2940" s="1" t="str">
        <f t="shared" si="90"/>
        <v>Higher</v>
      </c>
      <c r="O2940" s="1" t="str">
        <f t="shared" si="91"/>
        <v>Mid Career | Medium Spender | Higher</v>
      </c>
    </row>
    <row r="2941" spans="1:15" x14ac:dyDescent="0.25">
      <c r="A2941" s="1" t="s">
        <v>2971</v>
      </c>
      <c r="B2941" s="1">
        <v>48</v>
      </c>
      <c r="C2941" s="1" t="str" cm="1">
        <f t="array" ref="C2941">_xlfn.IFS(OR(B2941=" ", B2941="NA",NOT(ISNUMBER(B2941))), "Unknown",B2941&lt;18,"Underage",B2941&lt;=24,"Young Adult",B2941&lt;=34,"Early Career",B2941&lt;=44,"Mid Career",B2941&lt;=54,"Mature",B2941&lt;=65,"Pre-Senior",B2941&gt;65,"Senior")</f>
        <v>Mature</v>
      </c>
      <c r="E2941" s="1" t="s">
        <v>34</v>
      </c>
      <c r="F2941" s="1">
        <v>825000</v>
      </c>
      <c r="G2941" s="1">
        <v>95</v>
      </c>
      <c r="H2941" s="1" t="str" cm="1">
        <f t="array" ref="H2941">_xlfn.IFS( OR(G2941=" ",NOT(ISNUMBER(G2941))),"Unknown",G2941&lt;=33,"Low Spender",G2941&lt;=66,"Medium Spender",TRUE, "High Spender")</f>
        <v>High Spender</v>
      </c>
      <c r="I2941" s="1">
        <v>57</v>
      </c>
      <c r="J2941" s="1">
        <v>9400</v>
      </c>
      <c r="K2941" s="1">
        <v>111</v>
      </c>
      <c r="L2941" s="1" t="s">
        <v>35</v>
      </c>
      <c r="M2941" s="1" t="s">
        <v>41</v>
      </c>
      <c r="N2941" s="1" t="str">
        <f t="shared" si="90"/>
        <v>Lower</v>
      </c>
      <c r="O2941" s="1" t="str">
        <f t="shared" si="91"/>
        <v>Mature | High Spender | Lower</v>
      </c>
    </row>
    <row r="2942" spans="1:15" x14ac:dyDescent="0.25">
      <c r="A2942" s="1" t="s">
        <v>2972</v>
      </c>
      <c r="B2942" s="1">
        <v>68</v>
      </c>
      <c r="C2942" s="1" t="str" cm="1">
        <f t="array" ref="C2942">_xlfn.IFS(OR(B2942=" ", B2942="NA",NOT(ISNUMBER(B2942))), "Unknown",B2942&lt;18,"Underage",B2942&lt;=24,"Young Adult",B2942&lt;=34,"Early Career",B2942&lt;=44,"Mid Career",B2942&lt;=54,"Mature",B2942&lt;=65,"Pre-Senior",B2942&gt;65,"Senior")</f>
        <v>Senior</v>
      </c>
      <c r="E2942" s="1" t="s">
        <v>15</v>
      </c>
      <c r="F2942" s="1">
        <v>650000</v>
      </c>
      <c r="G2942" s="1">
        <v>6</v>
      </c>
      <c r="H2942" s="1" t="str" cm="1">
        <f t="array" ref="H2942">_xlfn.IFS( OR(G2942=" ",NOT(ISNUMBER(G2942))),"Unknown",G2942&lt;=33,"Low Spender",G2942&lt;=66,"Medium Spender",TRUE, "High Spender")</f>
        <v>Low Spender</v>
      </c>
      <c r="I2942" s="1">
        <v>55</v>
      </c>
      <c r="J2942" s="1">
        <v>400</v>
      </c>
      <c r="K2942" s="1">
        <v>357</v>
      </c>
      <c r="M2942" s="1" t="s">
        <v>30</v>
      </c>
      <c r="N2942" s="1" t="str">
        <f t="shared" si="90"/>
        <v>Lower</v>
      </c>
      <c r="O2942" s="1" t="str">
        <f t="shared" si="91"/>
        <v>Senior | Low Spender | Lower</v>
      </c>
    </row>
    <row r="2943" spans="1:15" x14ac:dyDescent="0.25">
      <c r="A2943" s="1" t="s">
        <v>2973</v>
      </c>
      <c r="B2943" s="1">
        <v>22</v>
      </c>
      <c r="C2943" s="1" t="str" cm="1">
        <f t="array" ref="C2943">_xlfn.IFS(OR(B2943=" ", B2943="NA",NOT(ISNUMBER(B2943))), "Unknown",B2943&lt;18,"Underage",B2943&lt;=24,"Young Adult",B2943&lt;=34,"Early Career",B2943&lt;=44,"Mid Career",B2943&lt;=54,"Mature",B2943&lt;=65,"Pre-Senior",B2943&gt;65,"Senior")</f>
        <v>Young Adult</v>
      </c>
      <c r="E2943" s="1" t="s">
        <v>19</v>
      </c>
      <c r="F2943" s="1">
        <v>575000</v>
      </c>
      <c r="G2943" s="1">
        <v>4</v>
      </c>
      <c r="H2943" s="1" t="str" cm="1">
        <f t="array" ref="H2943">_xlfn.IFS( OR(G2943=" ",NOT(ISNUMBER(G2943))),"Unknown",G2943&lt;=33,"Low Spender",G2943&lt;=66,"Medium Spender",TRUE, "High Spender")</f>
        <v>Low Spender</v>
      </c>
      <c r="I2943" s="1">
        <v>28</v>
      </c>
      <c r="J2943" s="1">
        <v>2400</v>
      </c>
      <c r="K2943" s="1">
        <v>285</v>
      </c>
      <c r="L2943" s="1" t="s">
        <v>16</v>
      </c>
      <c r="N2943" s="1" t="str">
        <f t="shared" si="90"/>
        <v>Lower</v>
      </c>
      <c r="O2943" s="1" t="str">
        <f t="shared" si="91"/>
        <v>Young Adult | Low Spender | Lower</v>
      </c>
    </row>
    <row r="2944" spans="1:15" x14ac:dyDescent="0.25">
      <c r="A2944" s="1" t="s">
        <v>2974</v>
      </c>
      <c r="B2944" s="1">
        <v>36</v>
      </c>
      <c r="C2944" s="1" t="str" cm="1">
        <f t="array" ref="C2944">_xlfn.IFS(OR(B2944=" ", B2944="NA",NOT(ISNUMBER(B2944))), "Unknown",B2944&lt;18,"Underage",B2944&lt;=24,"Young Adult",B2944&lt;=34,"Early Career",B2944&lt;=44,"Mid Career",B2944&lt;=54,"Mature",B2944&lt;=65,"Pre-Senior",B2944&gt;65,"Senior")</f>
        <v>Mid Career</v>
      </c>
      <c r="D2944" s="1" t="s">
        <v>12</v>
      </c>
      <c r="E2944" s="1" t="s">
        <v>27</v>
      </c>
      <c r="F2944" s="1">
        <v>900000</v>
      </c>
      <c r="G2944" s="1">
        <v>43</v>
      </c>
      <c r="H2944" s="1" t="str" cm="1">
        <f t="array" ref="H2944">_xlfn.IFS( OR(G2944=" ",NOT(ISNUMBER(G2944))),"Unknown",G2944&lt;=33,"Low Spender",G2944&lt;=66,"Medium Spender",TRUE, "High Spender")</f>
        <v>Medium Spender</v>
      </c>
      <c r="I2944" s="1">
        <v>44</v>
      </c>
      <c r="J2944" s="1">
        <v>7300</v>
      </c>
      <c r="K2944" s="1">
        <v>256</v>
      </c>
      <c r="L2944" s="1" t="s">
        <v>35</v>
      </c>
      <c r="M2944" s="1" t="s">
        <v>30</v>
      </c>
      <c r="N2944" s="1" t="str">
        <f t="shared" si="90"/>
        <v>Lower</v>
      </c>
      <c r="O2944" s="1" t="str">
        <f t="shared" si="91"/>
        <v>Mid Career | Medium Spender | Lower</v>
      </c>
    </row>
    <row r="2945" spans="1:15" x14ac:dyDescent="0.25">
      <c r="A2945" s="1" t="s">
        <v>2975</v>
      </c>
      <c r="B2945" s="1">
        <v>51</v>
      </c>
      <c r="C2945" s="1" t="str" cm="1">
        <f t="array" ref="C2945">_xlfn.IFS(OR(B2945=" ", B2945="NA",NOT(ISNUMBER(B2945))), "Unknown",B2945&lt;18,"Underage",B2945&lt;=24,"Young Adult",B2945&lt;=34,"Early Career",B2945&lt;=44,"Mid Career",B2945&lt;=54,"Mature",B2945&lt;=65,"Pre-Senior",B2945&gt;65,"Senior")</f>
        <v>Mature</v>
      </c>
      <c r="D2945" s="1" t="s">
        <v>29</v>
      </c>
      <c r="F2945" s="1">
        <v>1625000</v>
      </c>
      <c r="G2945" s="1">
        <v>93</v>
      </c>
      <c r="H2945" s="1" t="str" cm="1">
        <f t="array" ref="H2945">_xlfn.IFS( OR(G2945=" ",NOT(ISNUMBER(G2945))),"Unknown",G2945&lt;=33,"Low Spender",G2945&lt;=66,"Medium Spender",TRUE, "High Spender")</f>
        <v>High Spender</v>
      </c>
      <c r="I2945" s="1">
        <v>19</v>
      </c>
      <c r="J2945" s="1">
        <v>600</v>
      </c>
      <c r="K2945" s="1">
        <v>318</v>
      </c>
      <c r="L2945" s="1" t="s">
        <v>35</v>
      </c>
      <c r="N2945" s="1" t="str">
        <f t="shared" si="90"/>
        <v>Higher</v>
      </c>
      <c r="O2945" s="1" t="str">
        <f t="shared" si="91"/>
        <v>Mature | High Spender | Higher</v>
      </c>
    </row>
    <row r="2946" spans="1:15" x14ac:dyDescent="0.25">
      <c r="A2946" s="1" t="s">
        <v>2976</v>
      </c>
      <c r="B2946" s="1">
        <v>27</v>
      </c>
      <c r="C2946" s="1" t="str" cm="1">
        <f t="array" ref="C2946">_xlfn.IFS(OR(B2946=" ", B2946="NA",NOT(ISNUMBER(B2946))), "Unknown",B2946&lt;18,"Underage",B2946&lt;=24,"Young Adult",B2946&lt;=34,"Early Career",B2946&lt;=44,"Mid Career",B2946&lt;=54,"Mature",B2946&lt;=65,"Pre-Senior",B2946&gt;65,"Senior")</f>
        <v>Early Career</v>
      </c>
      <c r="E2946" s="1" t="s">
        <v>13</v>
      </c>
      <c r="F2946" s="1">
        <v>1050000</v>
      </c>
      <c r="G2946" s="1">
        <v>42</v>
      </c>
      <c r="H2946" s="1" t="str" cm="1">
        <f t="array" ref="H2946">_xlfn.IFS( OR(G2946=" ",NOT(ISNUMBER(G2946))),"Unknown",G2946&lt;=33,"Low Spender",G2946&lt;=66,"Medium Spender",TRUE, "High Spender")</f>
        <v>Medium Spender</v>
      </c>
      <c r="I2946" s="1">
        <v>46</v>
      </c>
      <c r="J2946" s="1">
        <v>11500</v>
      </c>
      <c r="K2946" s="1">
        <v>309</v>
      </c>
      <c r="L2946" s="1" t="s">
        <v>16</v>
      </c>
      <c r="M2946" s="1" t="s">
        <v>21</v>
      </c>
      <c r="N2946" s="1" t="str">
        <f t="shared" ref="N2946:N3009" si="92">IF(OR(UPPER(TRIM(D2946))="Male",UPPER(TRIM(D2946))="Female"),"Higher","Lower")</f>
        <v>Lower</v>
      </c>
      <c r="O2946" s="1" t="str">
        <f t="shared" ref="O2946:O3009" si="93">_xlfn.TEXTJOIN(" | ", TRUE, C2946, H2946, N2946)</f>
        <v>Early Career | Medium Spender | Lower</v>
      </c>
    </row>
    <row r="2947" spans="1:15" x14ac:dyDescent="0.25">
      <c r="A2947" s="1" t="s">
        <v>2977</v>
      </c>
      <c r="B2947" s="1">
        <v>42</v>
      </c>
      <c r="C2947" s="1" t="str" cm="1">
        <f t="array" ref="C2947">_xlfn.IFS(OR(B2947=" ", B2947="NA",NOT(ISNUMBER(B2947))), "Unknown",B2947&lt;18,"Underage",B2947&lt;=24,"Young Adult",B2947&lt;=34,"Early Career",B2947&lt;=44,"Mid Career",B2947&lt;=54,"Mature",B2947&lt;=65,"Pre-Senior",B2947&gt;65,"Senior")</f>
        <v>Mid Career</v>
      </c>
      <c r="D2947" s="1" t="s">
        <v>18</v>
      </c>
      <c r="F2947" s="1">
        <v>650000</v>
      </c>
      <c r="G2947" s="1">
        <v>3</v>
      </c>
      <c r="H2947" s="1" t="str" cm="1">
        <f t="array" ref="H2947">_xlfn.IFS( OR(G2947=" ",NOT(ISNUMBER(G2947))),"Unknown",G2947&lt;=33,"Low Spender",G2947&lt;=66,"Medium Spender",TRUE, "High Spender")</f>
        <v>Low Spender</v>
      </c>
      <c r="I2947" s="1">
        <v>3</v>
      </c>
      <c r="J2947" s="1">
        <v>4000</v>
      </c>
      <c r="K2947" s="1">
        <v>117</v>
      </c>
      <c r="M2947" s="1" t="s">
        <v>41</v>
      </c>
      <c r="N2947" s="1" t="str">
        <f t="shared" si="92"/>
        <v>Higher</v>
      </c>
      <c r="O2947" s="1" t="str">
        <f t="shared" si="93"/>
        <v>Mid Career | Low Spender | Higher</v>
      </c>
    </row>
    <row r="2948" spans="1:15" x14ac:dyDescent="0.25">
      <c r="A2948" s="1" t="s">
        <v>2978</v>
      </c>
      <c r="B2948" s="1">
        <v>19</v>
      </c>
      <c r="C2948" s="1" t="str" cm="1">
        <f t="array" ref="C2948">_xlfn.IFS(OR(B2948=" ", B2948="NA",NOT(ISNUMBER(B2948))), "Unknown",B2948&lt;18,"Underage",B2948&lt;=24,"Young Adult",B2948&lt;=34,"Early Career",B2948&lt;=44,"Mid Career",B2948&lt;=54,"Mature",B2948&lt;=65,"Pre-Senior",B2948&gt;65,"Senior")</f>
        <v>Young Adult</v>
      </c>
      <c r="D2948" s="1" t="s">
        <v>29</v>
      </c>
      <c r="E2948" s="1" t="s">
        <v>23</v>
      </c>
      <c r="F2948" s="1">
        <v>475000</v>
      </c>
      <c r="G2948" s="1">
        <v>1</v>
      </c>
      <c r="H2948" s="1" t="str" cm="1">
        <f t="array" ref="H2948">_xlfn.IFS( OR(G2948=" ",NOT(ISNUMBER(G2948))),"Unknown",G2948&lt;=33,"Low Spender",G2948&lt;=66,"Medium Spender",TRUE, "High Spender")</f>
        <v>Low Spender</v>
      </c>
      <c r="I2948" s="1">
        <v>20</v>
      </c>
      <c r="J2948" s="1">
        <v>10500</v>
      </c>
      <c r="K2948" s="1">
        <v>176</v>
      </c>
      <c r="M2948" s="1" t="s">
        <v>41</v>
      </c>
      <c r="N2948" s="1" t="str">
        <f t="shared" si="92"/>
        <v>Higher</v>
      </c>
      <c r="O2948" s="1" t="str">
        <f t="shared" si="93"/>
        <v>Young Adult | Low Spender | Higher</v>
      </c>
    </row>
    <row r="2949" spans="1:15" x14ac:dyDescent="0.25">
      <c r="A2949" s="1" t="s">
        <v>2979</v>
      </c>
      <c r="B2949" s="1">
        <v>28</v>
      </c>
      <c r="C2949" s="1" t="str" cm="1">
        <f t="array" ref="C2949">_xlfn.IFS(OR(B2949=" ", B2949="NA",NOT(ISNUMBER(B2949))), "Unknown",B2949&lt;18,"Underage",B2949&lt;=24,"Young Adult",B2949&lt;=34,"Early Career",B2949&lt;=44,"Mid Career",B2949&lt;=54,"Mature",B2949&lt;=65,"Pre-Senior",B2949&gt;65,"Senior")</f>
        <v>Early Career</v>
      </c>
      <c r="D2949" s="1" t="s">
        <v>18</v>
      </c>
      <c r="E2949" s="1" t="s">
        <v>15</v>
      </c>
      <c r="F2949" s="1">
        <v>1625000</v>
      </c>
      <c r="G2949" s="1">
        <v>55</v>
      </c>
      <c r="H2949" s="1" t="str" cm="1">
        <f t="array" ref="H2949">_xlfn.IFS( OR(G2949=" ",NOT(ISNUMBER(G2949))),"Unknown",G2949&lt;=33,"Low Spender",G2949&lt;=66,"Medium Spender",TRUE, "High Spender")</f>
        <v>Medium Spender</v>
      </c>
      <c r="I2949" s="1">
        <v>25</v>
      </c>
      <c r="J2949" s="1">
        <v>8600</v>
      </c>
      <c r="K2949" s="1">
        <v>228</v>
      </c>
      <c r="L2949" s="1" t="s">
        <v>20</v>
      </c>
      <c r="M2949" s="1" t="s">
        <v>30</v>
      </c>
      <c r="N2949" s="1" t="str">
        <f t="shared" si="92"/>
        <v>Higher</v>
      </c>
      <c r="O2949" s="1" t="str">
        <f t="shared" si="93"/>
        <v>Early Career | Medium Spender | Higher</v>
      </c>
    </row>
    <row r="2950" spans="1:15" x14ac:dyDescent="0.25">
      <c r="A2950" s="1" t="s">
        <v>2980</v>
      </c>
      <c r="B2950" s="1">
        <v>67</v>
      </c>
      <c r="C2950" s="1" t="str" cm="1">
        <f t="array" ref="C2950">_xlfn.IFS(OR(B2950=" ", B2950="NA",NOT(ISNUMBER(B2950))), "Unknown",B2950&lt;18,"Underage",B2950&lt;=24,"Young Adult",B2950&lt;=34,"Early Career",B2950&lt;=44,"Mid Career",B2950&lt;=54,"Mature",B2950&lt;=65,"Pre-Senior",B2950&gt;65,"Senior")</f>
        <v>Senior</v>
      </c>
      <c r="F2950" s="1">
        <v>700000</v>
      </c>
      <c r="G2950" s="1">
        <v>15</v>
      </c>
      <c r="H2950" s="1" t="str" cm="1">
        <f t="array" ref="H2950">_xlfn.IFS( OR(G2950=" ",NOT(ISNUMBER(G2950))),"Unknown",G2950&lt;=33,"Low Spender",G2950&lt;=66,"Medium Spender",TRUE, "High Spender")</f>
        <v>Low Spender</v>
      </c>
      <c r="I2950" s="1">
        <v>75</v>
      </c>
      <c r="J2950" s="1">
        <v>7200</v>
      </c>
      <c r="K2950" s="1">
        <v>347</v>
      </c>
      <c r="L2950" s="1" t="s">
        <v>20</v>
      </c>
      <c r="M2950" s="1" t="s">
        <v>41</v>
      </c>
      <c r="N2950" s="1" t="str">
        <f t="shared" si="92"/>
        <v>Lower</v>
      </c>
      <c r="O2950" s="1" t="str">
        <f t="shared" si="93"/>
        <v>Senior | Low Spender | Lower</v>
      </c>
    </row>
    <row r="2951" spans="1:15" x14ac:dyDescent="0.25">
      <c r="A2951" s="1" t="s">
        <v>2981</v>
      </c>
      <c r="B2951" s="1">
        <v>48</v>
      </c>
      <c r="C2951" s="1" t="str" cm="1">
        <f t="array" ref="C2951">_xlfn.IFS(OR(B2951=" ", B2951="NA",NOT(ISNUMBER(B2951))), "Unknown",B2951&lt;18,"Underage",B2951&lt;=24,"Young Adult",B2951&lt;=34,"Early Career",B2951&lt;=44,"Mid Career",B2951&lt;=54,"Mature",B2951&lt;=65,"Pre-Senior",B2951&gt;65,"Senior")</f>
        <v>Mature</v>
      </c>
      <c r="E2951" s="1" t="s">
        <v>23</v>
      </c>
      <c r="F2951" s="1">
        <v>850000</v>
      </c>
      <c r="G2951" s="1">
        <v>47</v>
      </c>
      <c r="H2951" s="1" t="str" cm="1">
        <f t="array" ref="H2951">_xlfn.IFS( OR(G2951=" ",NOT(ISNUMBER(G2951))),"Unknown",G2951&lt;=33,"Low Spender",G2951&lt;=66,"Medium Spender",TRUE, "High Spender")</f>
        <v>Medium Spender</v>
      </c>
      <c r="I2951" s="1">
        <v>56</v>
      </c>
      <c r="J2951" s="1">
        <v>7500</v>
      </c>
      <c r="K2951" s="1">
        <v>106</v>
      </c>
      <c r="M2951" s="1" t="s">
        <v>30</v>
      </c>
      <c r="N2951" s="1" t="str">
        <f t="shared" si="92"/>
        <v>Lower</v>
      </c>
      <c r="O2951" s="1" t="str">
        <f t="shared" si="93"/>
        <v>Mature | Medium Spender | Lower</v>
      </c>
    </row>
    <row r="2952" spans="1:15" x14ac:dyDescent="0.25">
      <c r="A2952" s="1" t="s">
        <v>2982</v>
      </c>
      <c r="B2952" s="1">
        <v>32</v>
      </c>
      <c r="C2952" s="1" t="str" cm="1">
        <f t="array" ref="C2952">_xlfn.IFS(OR(B2952=" ", B2952="NA",NOT(ISNUMBER(B2952))), "Unknown",B2952&lt;18,"Underage",B2952&lt;=24,"Young Adult",B2952&lt;=34,"Early Career",B2952&lt;=44,"Mid Career",B2952&lt;=54,"Mature",B2952&lt;=65,"Pre-Senior",B2952&gt;65,"Senior")</f>
        <v>Early Career</v>
      </c>
      <c r="D2952" s="1" t="s">
        <v>18</v>
      </c>
      <c r="E2952" s="1" t="s">
        <v>13</v>
      </c>
      <c r="F2952" s="1">
        <v>1300000</v>
      </c>
      <c r="G2952" s="1">
        <v>85</v>
      </c>
      <c r="H2952" s="1" t="str" cm="1">
        <f t="array" ref="H2952">_xlfn.IFS( OR(G2952=" ",NOT(ISNUMBER(G2952))),"Unknown",G2952&lt;=33,"Low Spender",G2952&lt;=66,"Medium Spender",TRUE, "High Spender")</f>
        <v>High Spender</v>
      </c>
      <c r="J2952" s="1">
        <v>5400</v>
      </c>
      <c r="K2952" s="1">
        <v>342</v>
      </c>
      <c r="M2952" s="1" t="s">
        <v>21</v>
      </c>
      <c r="N2952" s="1" t="str">
        <f t="shared" si="92"/>
        <v>Higher</v>
      </c>
      <c r="O2952" s="1" t="str">
        <f t="shared" si="93"/>
        <v>Early Career | High Spender | Higher</v>
      </c>
    </row>
    <row r="2953" spans="1:15" x14ac:dyDescent="0.25">
      <c r="A2953" s="1" t="s">
        <v>2983</v>
      </c>
      <c r="B2953" s="1">
        <v>26</v>
      </c>
      <c r="C2953" s="1" t="str" cm="1">
        <f t="array" ref="C2953">_xlfn.IFS(OR(B2953=" ", B2953="NA",NOT(ISNUMBER(B2953))), "Unknown",B2953&lt;18,"Underage",B2953&lt;=24,"Young Adult",B2953&lt;=34,"Early Career",B2953&lt;=44,"Mid Career",B2953&lt;=54,"Mature",B2953&lt;=65,"Pre-Senior",B2953&gt;65,"Senior")</f>
        <v>Early Career</v>
      </c>
      <c r="D2953" s="1" t="s">
        <v>29</v>
      </c>
      <c r="E2953" s="1" t="s">
        <v>13</v>
      </c>
      <c r="F2953" s="1">
        <v>875000</v>
      </c>
      <c r="G2953" s="1">
        <v>46</v>
      </c>
      <c r="H2953" s="1" t="str" cm="1">
        <f t="array" ref="H2953">_xlfn.IFS( OR(G2953=" ",NOT(ISNUMBER(G2953))),"Unknown",G2953&lt;=33,"Low Spender",G2953&lt;=66,"Medium Spender",TRUE, "High Spender")</f>
        <v>Medium Spender</v>
      </c>
      <c r="I2953" s="1">
        <v>61</v>
      </c>
      <c r="J2953" s="1">
        <v>3300</v>
      </c>
      <c r="K2953" s="1">
        <v>239</v>
      </c>
      <c r="M2953" s="1" t="s">
        <v>21</v>
      </c>
      <c r="N2953" s="1" t="str">
        <f t="shared" si="92"/>
        <v>Higher</v>
      </c>
      <c r="O2953" s="1" t="str">
        <f t="shared" si="93"/>
        <v>Early Career | Medium Spender | Higher</v>
      </c>
    </row>
    <row r="2954" spans="1:15" x14ac:dyDescent="0.25">
      <c r="A2954" s="1" t="s">
        <v>2984</v>
      </c>
      <c r="B2954" s="1">
        <v>40</v>
      </c>
      <c r="C2954" s="1" t="str" cm="1">
        <f t="array" ref="C2954">_xlfn.IFS(OR(B2954=" ", B2954="NA",NOT(ISNUMBER(B2954))), "Unknown",B2954&lt;18,"Underage",B2954&lt;=24,"Young Adult",B2954&lt;=34,"Early Career",B2954&lt;=44,"Mid Career",B2954&lt;=54,"Mature",B2954&lt;=65,"Pre-Senior",B2954&gt;65,"Senior")</f>
        <v>Mid Career</v>
      </c>
      <c r="D2954" s="1" t="s">
        <v>18</v>
      </c>
      <c r="F2954" s="1">
        <v>1075000</v>
      </c>
      <c r="G2954" s="1">
        <v>58</v>
      </c>
      <c r="H2954" s="1" t="str" cm="1">
        <f t="array" ref="H2954">_xlfn.IFS( OR(G2954=" ",NOT(ISNUMBER(G2954))),"Unknown",G2954&lt;=33,"Low Spender",G2954&lt;=66,"Medium Spender",TRUE, "High Spender")</f>
        <v>Medium Spender</v>
      </c>
      <c r="I2954" s="1">
        <v>55</v>
      </c>
      <c r="J2954" s="1">
        <v>2800</v>
      </c>
      <c r="K2954" s="1">
        <v>100</v>
      </c>
      <c r="M2954" s="1" t="s">
        <v>30</v>
      </c>
      <c r="N2954" s="1" t="str">
        <f t="shared" si="92"/>
        <v>Higher</v>
      </c>
      <c r="O2954" s="1" t="str">
        <f t="shared" si="93"/>
        <v>Mid Career | Medium Spender | Higher</v>
      </c>
    </row>
    <row r="2955" spans="1:15" x14ac:dyDescent="0.25">
      <c r="A2955" s="1" t="s">
        <v>2985</v>
      </c>
      <c r="B2955" s="1">
        <v>36</v>
      </c>
      <c r="C2955" s="1" t="str" cm="1">
        <f t="array" ref="C2955">_xlfn.IFS(OR(B2955=" ", B2955="NA",NOT(ISNUMBER(B2955))), "Unknown",B2955&lt;18,"Underage",B2955&lt;=24,"Young Adult",B2955&lt;=34,"Early Career",B2955&lt;=44,"Mid Career",B2955&lt;=54,"Mature",B2955&lt;=65,"Pre-Senior",B2955&gt;65,"Senior")</f>
        <v>Mid Career</v>
      </c>
      <c r="D2955" s="1" t="s">
        <v>18</v>
      </c>
      <c r="E2955" s="1" t="s">
        <v>58</v>
      </c>
      <c r="F2955" s="1">
        <v>800000</v>
      </c>
      <c r="G2955" s="1">
        <v>95</v>
      </c>
      <c r="H2955" s="1" t="str" cm="1">
        <f t="array" ref="H2955">_xlfn.IFS( OR(G2955=" ",NOT(ISNUMBER(G2955))),"Unknown",G2955&lt;=33,"Low Spender",G2955&lt;=66,"Medium Spender",TRUE, "High Spender")</f>
        <v>High Spender</v>
      </c>
      <c r="I2955" s="1">
        <v>35</v>
      </c>
      <c r="J2955" s="1">
        <v>3800</v>
      </c>
      <c r="K2955" s="1">
        <v>176</v>
      </c>
      <c r="L2955" s="1" t="s">
        <v>35</v>
      </c>
      <c r="M2955" s="1" t="s">
        <v>32</v>
      </c>
      <c r="N2955" s="1" t="str">
        <f t="shared" si="92"/>
        <v>Higher</v>
      </c>
      <c r="O2955" s="1" t="str">
        <f t="shared" si="93"/>
        <v>Mid Career | High Spender | Higher</v>
      </c>
    </row>
    <row r="2956" spans="1:15" x14ac:dyDescent="0.25">
      <c r="A2956" s="1" t="s">
        <v>2986</v>
      </c>
      <c r="B2956" s="1">
        <v>26</v>
      </c>
      <c r="C2956" s="1" t="str" cm="1">
        <f t="array" ref="C2956">_xlfn.IFS(OR(B2956=" ", B2956="NA",NOT(ISNUMBER(B2956))), "Unknown",B2956&lt;18,"Underage",B2956&lt;=24,"Young Adult",B2956&lt;=34,"Early Career",B2956&lt;=44,"Mid Career",B2956&lt;=54,"Mature",B2956&lt;=65,"Pre-Senior",B2956&gt;65,"Senior")</f>
        <v>Early Career</v>
      </c>
      <c r="D2956" s="1" t="s">
        <v>18</v>
      </c>
      <c r="E2956" s="1" t="s">
        <v>13</v>
      </c>
      <c r="F2956" s="1">
        <v>500000</v>
      </c>
      <c r="G2956" s="1">
        <v>71</v>
      </c>
      <c r="H2956" s="1" t="str" cm="1">
        <f t="array" ref="H2956">_xlfn.IFS( OR(G2956=" ",NOT(ISNUMBER(G2956))),"Unknown",G2956&lt;=33,"Low Spender",G2956&lt;=66,"Medium Spender",TRUE, "High Spender")</f>
        <v>High Spender</v>
      </c>
      <c r="I2956" s="1">
        <v>78</v>
      </c>
      <c r="J2956" s="1">
        <v>2800</v>
      </c>
      <c r="K2956" s="1">
        <v>350</v>
      </c>
      <c r="L2956" s="1" t="s">
        <v>20</v>
      </c>
      <c r="M2956" s="1" t="s">
        <v>32</v>
      </c>
      <c r="N2956" s="1" t="str">
        <f t="shared" si="92"/>
        <v>Higher</v>
      </c>
      <c r="O2956" s="1" t="str">
        <f t="shared" si="93"/>
        <v>Early Career | High Spender | Higher</v>
      </c>
    </row>
    <row r="2957" spans="1:15" x14ac:dyDescent="0.25">
      <c r="A2957" s="1" t="s">
        <v>2987</v>
      </c>
      <c r="B2957" s="1">
        <v>52</v>
      </c>
      <c r="C2957" s="1" t="str" cm="1">
        <f t="array" ref="C2957">_xlfn.IFS(OR(B2957=" ", B2957="NA",NOT(ISNUMBER(B2957))), "Unknown",B2957&lt;18,"Underage",B2957&lt;=24,"Young Adult",B2957&lt;=34,"Early Career",B2957&lt;=44,"Mid Career",B2957&lt;=54,"Mature",B2957&lt;=65,"Pre-Senior",B2957&gt;65,"Senior")</f>
        <v>Mature</v>
      </c>
      <c r="D2957" s="1" t="s">
        <v>29</v>
      </c>
      <c r="F2957" s="1">
        <v>1600000</v>
      </c>
      <c r="G2957" s="1">
        <v>81</v>
      </c>
      <c r="H2957" s="1" t="str" cm="1">
        <f t="array" ref="H2957">_xlfn.IFS( OR(G2957=" ",NOT(ISNUMBER(G2957))),"Unknown",G2957&lt;=33,"Low Spender",G2957&lt;=66,"Medium Spender",TRUE, "High Spender")</f>
        <v>High Spender</v>
      </c>
      <c r="I2957" s="1">
        <v>59</v>
      </c>
      <c r="J2957" s="1">
        <v>3000</v>
      </c>
      <c r="K2957" s="1">
        <v>249</v>
      </c>
      <c r="L2957" s="1" t="s">
        <v>16</v>
      </c>
      <c r="M2957" s="1" t="s">
        <v>21</v>
      </c>
      <c r="N2957" s="1" t="str">
        <f t="shared" si="92"/>
        <v>Higher</v>
      </c>
      <c r="O2957" s="1" t="str">
        <f t="shared" si="93"/>
        <v>Mature | High Spender | Higher</v>
      </c>
    </row>
    <row r="2958" spans="1:15" x14ac:dyDescent="0.25">
      <c r="A2958" s="1" t="s">
        <v>2988</v>
      </c>
      <c r="B2958" s="1">
        <v>38</v>
      </c>
      <c r="C2958" s="1" t="str" cm="1">
        <f t="array" ref="C2958">_xlfn.IFS(OR(B2958=" ", B2958="NA",NOT(ISNUMBER(B2958))), "Unknown",B2958&lt;18,"Underage",B2958&lt;=24,"Young Adult",B2958&lt;=34,"Early Career",B2958&lt;=44,"Mid Career",B2958&lt;=54,"Mature",B2958&lt;=65,"Pre-Senior",B2958&gt;65,"Senior")</f>
        <v>Mid Career</v>
      </c>
      <c r="D2958" s="1" t="s">
        <v>29</v>
      </c>
      <c r="E2958" s="1" t="s">
        <v>49</v>
      </c>
      <c r="F2958" s="1">
        <v>200000</v>
      </c>
      <c r="G2958" s="1">
        <v>83</v>
      </c>
      <c r="H2958" s="1" t="str" cm="1">
        <f t="array" ref="H2958">_xlfn.IFS( OR(G2958=" ",NOT(ISNUMBER(G2958))),"Unknown",G2958&lt;=33,"Low Spender",G2958&lt;=66,"Medium Spender",TRUE, "High Spender")</f>
        <v>High Spender</v>
      </c>
      <c r="I2958" s="1">
        <v>39</v>
      </c>
      <c r="J2958" s="1">
        <v>700</v>
      </c>
      <c r="K2958" s="1">
        <v>76</v>
      </c>
      <c r="L2958" s="1" t="s">
        <v>37</v>
      </c>
      <c r="N2958" s="1" t="str">
        <f t="shared" si="92"/>
        <v>Higher</v>
      </c>
      <c r="O2958" s="1" t="str">
        <f t="shared" si="93"/>
        <v>Mid Career | High Spender | Higher</v>
      </c>
    </row>
    <row r="2959" spans="1:15" x14ac:dyDescent="0.25">
      <c r="A2959" s="1" t="s">
        <v>2989</v>
      </c>
      <c r="B2959" s="1">
        <v>26</v>
      </c>
      <c r="C2959" s="1" t="str" cm="1">
        <f t="array" ref="C2959">_xlfn.IFS(OR(B2959=" ", B2959="NA",NOT(ISNUMBER(B2959))), "Unknown",B2959&lt;18,"Underage",B2959&lt;=24,"Young Adult",B2959&lt;=34,"Early Career",B2959&lt;=44,"Mid Career",B2959&lt;=54,"Mature",B2959&lt;=65,"Pre-Senior",B2959&gt;65,"Senior")</f>
        <v>Early Career</v>
      </c>
      <c r="D2959" s="1" t="s">
        <v>12</v>
      </c>
      <c r="E2959" s="1" t="s">
        <v>49</v>
      </c>
      <c r="F2959" s="1">
        <v>375000</v>
      </c>
      <c r="G2959" s="1">
        <v>39</v>
      </c>
      <c r="H2959" s="1" t="str" cm="1">
        <f t="array" ref="H2959">_xlfn.IFS( OR(G2959=" ",NOT(ISNUMBER(G2959))),"Unknown",G2959&lt;=33,"Low Spender",G2959&lt;=66,"Medium Spender",TRUE, "High Spender")</f>
        <v>Medium Spender</v>
      </c>
      <c r="I2959" s="1">
        <v>57</v>
      </c>
      <c r="J2959" s="1">
        <v>11700</v>
      </c>
      <c r="K2959" s="1">
        <v>3</v>
      </c>
      <c r="L2959" s="1" t="s">
        <v>16</v>
      </c>
      <c r="M2959" s="1" t="s">
        <v>32</v>
      </c>
      <c r="N2959" s="1" t="str">
        <f t="shared" si="92"/>
        <v>Lower</v>
      </c>
      <c r="O2959" s="1" t="str">
        <f t="shared" si="93"/>
        <v>Early Career | Medium Spender | Lower</v>
      </c>
    </row>
    <row r="2960" spans="1:15" x14ac:dyDescent="0.25">
      <c r="A2960" s="1" t="s">
        <v>2990</v>
      </c>
      <c r="B2960" s="1">
        <v>45</v>
      </c>
      <c r="C2960" s="1" t="str" cm="1">
        <f t="array" ref="C2960">_xlfn.IFS(OR(B2960=" ", B2960="NA",NOT(ISNUMBER(B2960))), "Unknown",B2960&lt;18,"Underage",B2960&lt;=24,"Young Adult",B2960&lt;=34,"Early Career",B2960&lt;=44,"Mid Career",B2960&lt;=54,"Mature",B2960&lt;=65,"Pre-Senior",B2960&gt;65,"Senior")</f>
        <v>Mature</v>
      </c>
      <c r="D2960" s="1" t="s">
        <v>29</v>
      </c>
      <c r="E2960" s="1" t="s">
        <v>23</v>
      </c>
      <c r="F2960" s="1">
        <v>550000</v>
      </c>
      <c r="G2960" s="1">
        <v>3</v>
      </c>
      <c r="H2960" s="1" t="str" cm="1">
        <f t="array" ref="H2960">_xlfn.IFS( OR(G2960=" ",NOT(ISNUMBER(G2960))),"Unknown",G2960&lt;=33,"Low Spender",G2960&lt;=66,"Medium Spender",TRUE, "High Spender")</f>
        <v>Low Spender</v>
      </c>
      <c r="I2960" s="1">
        <v>67</v>
      </c>
      <c r="J2960" s="1">
        <v>7600</v>
      </c>
      <c r="K2960" s="1">
        <v>81</v>
      </c>
      <c r="M2960" s="1" t="s">
        <v>30</v>
      </c>
      <c r="N2960" s="1" t="str">
        <f t="shared" si="92"/>
        <v>Higher</v>
      </c>
      <c r="O2960" s="1" t="str">
        <f t="shared" si="93"/>
        <v>Mature | Low Spender | Higher</v>
      </c>
    </row>
    <row r="2961" spans="1:15" x14ac:dyDescent="0.25">
      <c r="A2961" s="1" t="s">
        <v>2991</v>
      </c>
      <c r="B2961" s="1">
        <v>63</v>
      </c>
      <c r="C2961" s="1" t="str" cm="1">
        <f t="array" ref="C2961">_xlfn.IFS(OR(B2961=" ", B2961="NA",NOT(ISNUMBER(B2961))), "Unknown",B2961&lt;18,"Underage",B2961&lt;=24,"Young Adult",B2961&lt;=34,"Early Career",B2961&lt;=44,"Mid Career",B2961&lt;=54,"Mature",B2961&lt;=65,"Pre-Senior",B2961&gt;65,"Senior")</f>
        <v>Pre-Senior</v>
      </c>
      <c r="D2961" s="1" t="s">
        <v>18</v>
      </c>
      <c r="E2961" s="1" t="s">
        <v>23</v>
      </c>
      <c r="F2961" s="1">
        <v>400000</v>
      </c>
      <c r="G2961" s="1">
        <v>30</v>
      </c>
      <c r="H2961" s="1" t="str" cm="1">
        <f t="array" ref="H2961">_xlfn.IFS( OR(G2961=" ",NOT(ISNUMBER(G2961))),"Unknown",G2961&lt;=33,"Low Spender",G2961&lt;=66,"Medium Spender",TRUE, "High Spender")</f>
        <v>Low Spender</v>
      </c>
      <c r="I2961" s="1">
        <v>34</v>
      </c>
      <c r="J2961" s="1">
        <v>2000</v>
      </c>
      <c r="K2961" s="1">
        <v>361</v>
      </c>
      <c r="L2961" s="1" t="s">
        <v>37</v>
      </c>
      <c r="M2961" s="1" t="s">
        <v>21</v>
      </c>
      <c r="N2961" s="1" t="str">
        <f t="shared" si="92"/>
        <v>Higher</v>
      </c>
      <c r="O2961" s="1" t="str">
        <f t="shared" si="93"/>
        <v>Pre-Senior | Low Spender | Higher</v>
      </c>
    </row>
    <row r="2962" spans="1:15" x14ac:dyDescent="0.25">
      <c r="A2962" s="1" t="s">
        <v>2992</v>
      </c>
      <c r="B2962" s="1">
        <v>68</v>
      </c>
      <c r="C2962" s="1" t="str" cm="1">
        <f t="array" ref="C2962">_xlfn.IFS(OR(B2962=" ", B2962="NA",NOT(ISNUMBER(B2962))), "Unknown",B2962&lt;18,"Underage",B2962&lt;=24,"Young Adult",B2962&lt;=34,"Early Career",B2962&lt;=44,"Mid Career",B2962&lt;=54,"Mature",B2962&lt;=65,"Pre-Senior",B2962&gt;65,"Senior")</f>
        <v>Senior</v>
      </c>
      <c r="D2962" s="1" t="s">
        <v>29</v>
      </c>
      <c r="E2962" s="1" t="s">
        <v>58</v>
      </c>
      <c r="F2962" s="1">
        <v>1325000</v>
      </c>
      <c r="G2962" s="1">
        <v>35</v>
      </c>
      <c r="H2962" s="1" t="str" cm="1">
        <f t="array" ref="H2962">_xlfn.IFS( OR(G2962=" ",NOT(ISNUMBER(G2962))),"Unknown",G2962&lt;=33,"Low Spender",G2962&lt;=66,"Medium Spender",TRUE, "High Spender")</f>
        <v>Medium Spender</v>
      </c>
      <c r="I2962" s="1">
        <v>41</v>
      </c>
      <c r="J2962" s="1">
        <v>1700</v>
      </c>
      <c r="K2962" s="1">
        <v>288</v>
      </c>
      <c r="L2962" s="1" t="s">
        <v>35</v>
      </c>
      <c r="M2962" s="1" t="s">
        <v>41</v>
      </c>
      <c r="N2962" s="1" t="str">
        <f t="shared" si="92"/>
        <v>Higher</v>
      </c>
      <c r="O2962" s="1" t="str">
        <f t="shared" si="93"/>
        <v>Senior | Medium Spender | Higher</v>
      </c>
    </row>
    <row r="2963" spans="1:15" x14ac:dyDescent="0.25">
      <c r="A2963" s="1" t="s">
        <v>2993</v>
      </c>
      <c r="B2963" s="1">
        <v>24</v>
      </c>
      <c r="C2963" s="1" t="str" cm="1">
        <f t="array" ref="C2963">_xlfn.IFS(OR(B2963=" ", B2963="NA",NOT(ISNUMBER(B2963))), "Unknown",B2963&lt;18,"Underage",B2963&lt;=24,"Young Adult",B2963&lt;=34,"Early Career",B2963&lt;=44,"Mid Career",B2963&lt;=54,"Mature",B2963&lt;=65,"Pre-Senior",B2963&gt;65,"Senior")</f>
        <v>Young Adult</v>
      </c>
      <c r="D2963" s="1" t="s">
        <v>29</v>
      </c>
      <c r="E2963" s="1" t="s">
        <v>49</v>
      </c>
      <c r="F2963" s="1">
        <v>250000</v>
      </c>
      <c r="G2963" s="1">
        <v>57</v>
      </c>
      <c r="H2963" s="1" t="str" cm="1">
        <f t="array" ref="H2963">_xlfn.IFS( OR(G2963=" ",NOT(ISNUMBER(G2963))),"Unknown",G2963&lt;=33,"Low Spender",G2963&lt;=66,"Medium Spender",TRUE, "High Spender")</f>
        <v>Medium Spender</v>
      </c>
      <c r="I2963" s="1">
        <v>22</v>
      </c>
      <c r="J2963" s="1">
        <v>5900</v>
      </c>
      <c r="K2963" s="1">
        <v>8</v>
      </c>
      <c r="M2963" s="1" t="s">
        <v>41</v>
      </c>
      <c r="N2963" s="1" t="str">
        <f t="shared" si="92"/>
        <v>Higher</v>
      </c>
      <c r="O2963" s="1" t="str">
        <f t="shared" si="93"/>
        <v>Young Adult | Medium Spender | Higher</v>
      </c>
    </row>
    <row r="2964" spans="1:15" x14ac:dyDescent="0.25">
      <c r="A2964" s="1" t="s">
        <v>2994</v>
      </c>
      <c r="B2964" s="1">
        <v>33</v>
      </c>
      <c r="C2964" s="1" t="str" cm="1">
        <f t="array" ref="C2964">_xlfn.IFS(OR(B2964=" ", B2964="NA",NOT(ISNUMBER(B2964))), "Unknown",B2964&lt;18,"Underage",B2964&lt;=24,"Young Adult",B2964&lt;=34,"Early Career",B2964&lt;=44,"Mid Career",B2964&lt;=54,"Mature",B2964&lt;=65,"Pre-Senior",B2964&gt;65,"Senior")</f>
        <v>Early Career</v>
      </c>
      <c r="E2964" s="1" t="s">
        <v>23</v>
      </c>
      <c r="F2964" s="1">
        <v>1850000</v>
      </c>
      <c r="G2964" s="1">
        <v>29</v>
      </c>
      <c r="H2964" s="1" t="str" cm="1">
        <f t="array" ref="H2964">_xlfn.IFS( OR(G2964=" ",NOT(ISNUMBER(G2964))),"Unknown",G2964&lt;=33,"Low Spender",G2964&lt;=66,"Medium Spender",TRUE, "High Spender")</f>
        <v>Low Spender</v>
      </c>
      <c r="I2964" s="1">
        <v>27</v>
      </c>
      <c r="J2964" s="1">
        <v>9900</v>
      </c>
      <c r="K2964" s="1">
        <v>87</v>
      </c>
      <c r="L2964" s="1" t="s">
        <v>20</v>
      </c>
      <c r="M2964" s="1" t="s">
        <v>32</v>
      </c>
      <c r="N2964" s="1" t="str">
        <f t="shared" si="92"/>
        <v>Lower</v>
      </c>
      <c r="O2964" s="1" t="str">
        <f t="shared" si="93"/>
        <v>Early Career | Low Spender | Lower</v>
      </c>
    </row>
    <row r="2965" spans="1:15" x14ac:dyDescent="0.25">
      <c r="A2965" s="1" t="s">
        <v>2995</v>
      </c>
      <c r="B2965" s="1">
        <v>33</v>
      </c>
      <c r="C2965" s="1" t="str" cm="1">
        <f t="array" ref="C2965">_xlfn.IFS(OR(B2965=" ", B2965="NA",NOT(ISNUMBER(B2965))), "Unknown",B2965&lt;18,"Underage",B2965&lt;=24,"Young Adult",B2965&lt;=34,"Early Career",B2965&lt;=44,"Mid Career",B2965&lt;=54,"Mature",B2965&lt;=65,"Pre-Senior",B2965&gt;65,"Senior")</f>
        <v>Early Career</v>
      </c>
      <c r="D2965" s="1" t="s">
        <v>29</v>
      </c>
      <c r="E2965" s="1" t="s">
        <v>13</v>
      </c>
      <c r="F2965" s="1">
        <v>1725000</v>
      </c>
      <c r="G2965" s="1">
        <v>50</v>
      </c>
      <c r="H2965" s="1" t="str" cm="1">
        <f t="array" ref="H2965">_xlfn.IFS( OR(G2965=" ",NOT(ISNUMBER(G2965))),"Unknown",G2965&lt;=33,"Low Spender",G2965&lt;=66,"Medium Spender",TRUE, "High Spender")</f>
        <v>Medium Spender</v>
      </c>
      <c r="I2965" s="1">
        <v>21</v>
      </c>
      <c r="J2965" s="1">
        <v>700</v>
      </c>
      <c r="K2965" s="1">
        <v>286</v>
      </c>
      <c r="L2965" s="1" t="s">
        <v>37</v>
      </c>
      <c r="N2965" s="1" t="str">
        <f t="shared" si="92"/>
        <v>Higher</v>
      </c>
      <c r="O2965" s="1" t="str">
        <f t="shared" si="93"/>
        <v>Early Career | Medium Spender | Higher</v>
      </c>
    </row>
    <row r="2966" spans="1:15" x14ac:dyDescent="0.25">
      <c r="A2966" s="1" t="s">
        <v>2996</v>
      </c>
      <c r="B2966" s="1">
        <v>50</v>
      </c>
      <c r="C2966" s="1" t="str" cm="1">
        <f t="array" ref="C2966">_xlfn.IFS(OR(B2966=" ", B2966="NA",NOT(ISNUMBER(B2966))), "Unknown",B2966&lt;18,"Underage",B2966&lt;=24,"Young Adult",B2966&lt;=34,"Early Career",B2966&lt;=44,"Mid Career",B2966&lt;=54,"Mature",B2966&lt;=65,"Pre-Senior",B2966&gt;65,"Senior")</f>
        <v>Mature</v>
      </c>
      <c r="D2966" s="1" t="s">
        <v>18</v>
      </c>
      <c r="E2966" s="1" t="s">
        <v>23</v>
      </c>
      <c r="F2966" s="1">
        <v>475000</v>
      </c>
      <c r="G2966" s="1">
        <v>62</v>
      </c>
      <c r="H2966" s="1" t="str" cm="1">
        <f t="array" ref="H2966">_xlfn.IFS( OR(G2966=" ",NOT(ISNUMBER(G2966))),"Unknown",G2966&lt;=33,"Low Spender",G2966&lt;=66,"Medium Spender",TRUE, "High Spender")</f>
        <v>Medium Spender</v>
      </c>
      <c r="I2966" s="1">
        <v>41</v>
      </c>
      <c r="J2966" s="1">
        <v>3900</v>
      </c>
      <c r="K2966" s="1">
        <v>74</v>
      </c>
      <c r="N2966" s="1" t="str">
        <f t="shared" si="92"/>
        <v>Higher</v>
      </c>
      <c r="O2966" s="1" t="str">
        <f t="shared" si="93"/>
        <v>Mature | Medium Spender | Higher</v>
      </c>
    </row>
    <row r="2967" spans="1:15" x14ac:dyDescent="0.25">
      <c r="A2967" s="1" t="s">
        <v>2997</v>
      </c>
      <c r="B2967" s="1">
        <v>21</v>
      </c>
      <c r="C2967" s="1" t="str" cm="1">
        <f t="array" ref="C2967">_xlfn.IFS(OR(B2967=" ", B2967="NA",NOT(ISNUMBER(B2967))), "Unknown",B2967&lt;18,"Underage",B2967&lt;=24,"Young Adult",B2967&lt;=34,"Early Career",B2967&lt;=44,"Mid Career",B2967&lt;=54,"Mature",B2967&lt;=65,"Pre-Senior",B2967&gt;65,"Senior")</f>
        <v>Young Adult</v>
      </c>
      <c r="D2967" s="1" t="s">
        <v>29</v>
      </c>
      <c r="E2967" s="1" t="s">
        <v>34</v>
      </c>
      <c r="F2967" s="1">
        <v>1375000</v>
      </c>
      <c r="G2967" s="1">
        <v>52</v>
      </c>
      <c r="H2967" s="1" t="str" cm="1">
        <f t="array" ref="H2967">_xlfn.IFS( OR(G2967=" ",NOT(ISNUMBER(G2967))),"Unknown",G2967&lt;=33,"Low Spender",G2967&lt;=66,"Medium Spender",TRUE, "High Spender")</f>
        <v>Medium Spender</v>
      </c>
      <c r="I2967" s="1">
        <v>31</v>
      </c>
      <c r="J2967" s="1">
        <v>10600</v>
      </c>
      <c r="K2967" s="1">
        <v>123</v>
      </c>
      <c r="M2967" s="1" t="s">
        <v>32</v>
      </c>
      <c r="N2967" s="1" t="str">
        <f t="shared" si="92"/>
        <v>Higher</v>
      </c>
      <c r="O2967" s="1" t="str">
        <f t="shared" si="93"/>
        <v>Young Adult | Medium Spender | Higher</v>
      </c>
    </row>
    <row r="2968" spans="1:15" x14ac:dyDescent="0.25">
      <c r="A2968" s="1" t="s">
        <v>2998</v>
      </c>
      <c r="B2968" s="1">
        <v>21</v>
      </c>
      <c r="C2968" s="1" t="str" cm="1">
        <f t="array" ref="C2968">_xlfn.IFS(OR(B2968=" ", B2968="NA",NOT(ISNUMBER(B2968))), "Unknown",B2968&lt;18,"Underage",B2968&lt;=24,"Young Adult",B2968&lt;=34,"Early Career",B2968&lt;=44,"Mid Career",B2968&lt;=54,"Mature",B2968&lt;=65,"Pre-Senior",B2968&gt;65,"Senior")</f>
        <v>Young Adult</v>
      </c>
      <c r="D2968" s="1" t="s">
        <v>12</v>
      </c>
      <c r="E2968" s="1" t="s">
        <v>58</v>
      </c>
      <c r="F2968" s="1">
        <v>775000</v>
      </c>
      <c r="G2968" s="1">
        <v>14</v>
      </c>
      <c r="H2968" s="1" t="str" cm="1">
        <f t="array" ref="H2968">_xlfn.IFS( OR(G2968=" ",NOT(ISNUMBER(G2968))),"Unknown",G2968&lt;=33,"Low Spender",G2968&lt;=66,"Medium Spender",TRUE, "High Spender")</f>
        <v>Low Spender</v>
      </c>
      <c r="I2968" s="1">
        <v>27</v>
      </c>
      <c r="J2968" s="1">
        <v>8800</v>
      </c>
      <c r="K2968" s="1">
        <v>294</v>
      </c>
      <c r="L2968" s="1" t="s">
        <v>35</v>
      </c>
      <c r="N2968" s="1" t="str">
        <f t="shared" si="92"/>
        <v>Lower</v>
      </c>
      <c r="O2968" s="1" t="str">
        <f t="shared" si="93"/>
        <v>Young Adult | Low Spender | Lower</v>
      </c>
    </row>
    <row r="2969" spans="1:15" x14ac:dyDescent="0.25">
      <c r="A2969" s="1" t="s">
        <v>2999</v>
      </c>
      <c r="B2969" s="1">
        <v>56</v>
      </c>
      <c r="C2969" s="1" t="str" cm="1">
        <f t="array" ref="C2969">_xlfn.IFS(OR(B2969=" ", B2969="NA",NOT(ISNUMBER(B2969))), "Unknown",B2969&lt;18,"Underage",B2969&lt;=24,"Young Adult",B2969&lt;=34,"Early Career",B2969&lt;=44,"Mid Career",B2969&lt;=54,"Mature",B2969&lt;=65,"Pre-Senior",B2969&gt;65,"Senior")</f>
        <v>Pre-Senior</v>
      </c>
      <c r="D2969" s="1" t="s">
        <v>18</v>
      </c>
      <c r="E2969" s="1" t="s">
        <v>15</v>
      </c>
      <c r="F2969" s="1">
        <v>1925000</v>
      </c>
      <c r="G2969" s="1">
        <v>35</v>
      </c>
      <c r="H2969" s="1" t="str" cm="1">
        <f t="array" ref="H2969">_xlfn.IFS( OR(G2969=" ",NOT(ISNUMBER(G2969))),"Unknown",G2969&lt;=33,"Low Spender",G2969&lt;=66,"Medium Spender",TRUE, "High Spender")</f>
        <v>Medium Spender</v>
      </c>
      <c r="I2969" s="1">
        <v>37</v>
      </c>
      <c r="J2969" s="1">
        <v>8800</v>
      </c>
      <c r="K2969" s="1">
        <v>143</v>
      </c>
      <c r="L2969" s="1" t="s">
        <v>37</v>
      </c>
      <c r="M2969" s="1" t="s">
        <v>32</v>
      </c>
      <c r="N2969" s="1" t="str">
        <f t="shared" si="92"/>
        <v>Higher</v>
      </c>
      <c r="O2969" s="1" t="str">
        <f t="shared" si="93"/>
        <v>Pre-Senior | Medium Spender | Higher</v>
      </c>
    </row>
    <row r="2970" spans="1:15" x14ac:dyDescent="0.25">
      <c r="A2970" s="1" t="s">
        <v>3000</v>
      </c>
      <c r="B2970" s="1">
        <v>57</v>
      </c>
      <c r="C2970" s="1" t="str" cm="1">
        <f t="array" ref="C2970">_xlfn.IFS(OR(B2970=" ", B2970="NA",NOT(ISNUMBER(B2970))), "Unknown",B2970&lt;18,"Underage",B2970&lt;=24,"Young Adult",B2970&lt;=34,"Early Career",B2970&lt;=44,"Mid Career",B2970&lt;=54,"Mature",B2970&lt;=65,"Pre-Senior",B2970&gt;65,"Senior")</f>
        <v>Pre-Senior</v>
      </c>
      <c r="D2970" s="1" t="s">
        <v>18</v>
      </c>
      <c r="E2970" s="1" t="s">
        <v>19</v>
      </c>
      <c r="F2970" s="1">
        <v>1850000</v>
      </c>
      <c r="G2970" s="1">
        <v>28</v>
      </c>
      <c r="H2970" s="1" t="str" cm="1">
        <f t="array" ref="H2970">_xlfn.IFS( OR(G2970=" ",NOT(ISNUMBER(G2970))),"Unknown",G2970&lt;=33,"Low Spender",G2970&lt;=66,"Medium Spender",TRUE, "High Spender")</f>
        <v>Low Spender</v>
      </c>
      <c r="I2970" s="1">
        <v>66</v>
      </c>
      <c r="J2970" s="1">
        <v>2400</v>
      </c>
      <c r="K2970" s="1">
        <v>158</v>
      </c>
      <c r="M2970" s="1" t="s">
        <v>41</v>
      </c>
      <c r="N2970" s="1" t="str">
        <f t="shared" si="92"/>
        <v>Higher</v>
      </c>
      <c r="O2970" s="1" t="str">
        <f t="shared" si="93"/>
        <v>Pre-Senior | Low Spender | Higher</v>
      </c>
    </row>
    <row r="2971" spans="1:15" x14ac:dyDescent="0.25">
      <c r="A2971" s="1" t="s">
        <v>3001</v>
      </c>
      <c r="B2971" s="1">
        <v>34</v>
      </c>
      <c r="C2971" s="1" t="str" cm="1">
        <f t="array" ref="C2971">_xlfn.IFS(OR(B2971=" ", B2971="NA",NOT(ISNUMBER(B2971))), "Unknown",B2971&lt;18,"Underage",B2971&lt;=24,"Young Adult",B2971&lt;=34,"Early Career",B2971&lt;=44,"Mid Career",B2971&lt;=54,"Mature",B2971&lt;=65,"Pre-Senior",B2971&gt;65,"Senior")</f>
        <v>Early Career</v>
      </c>
      <c r="E2971" s="1" t="s">
        <v>27</v>
      </c>
      <c r="F2971" s="1">
        <v>300000</v>
      </c>
      <c r="G2971" s="1">
        <v>58</v>
      </c>
      <c r="H2971" s="1" t="str" cm="1">
        <f t="array" ref="H2971">_xlfn.IFS( OR(G2971=" ",NOT(ISNUMBER(G2971))),"Unknown",G2971&lt;=33,"Low Spender",G2971&lt;=66,"Medium Spender",TRUE, "High Spender")</f>
        <v>Medium Spender</v>
      </c>
      <c r="I2971" s="1">
        <v>54</v>
      </c>
      <c r="J2971" s="1">
        <v>5400</v>
      </c>
      <c r="K2971" s="1">
        <v>109</v>
      </c>
      <c r="N2971" s="1" t="str">
        <f t="shared" si="92"/>
        <v>Lower</v>
      </c>
      <c r="O2971" s="1" t="str">
        <f t="shared" si="93"/>
        <v>Early Career | Medium Spender | Lower</v>
      </c>
    </row>
    <row r="2972" spans="1:15" x14ac:dyDescent="0.25">
      <c r="A2972" s="1" t="s">
        <v>3002</v>
      </c>
      <c r="B2972" s="1">
        <v>54</v>
      </c>
      <c r="C2972" s="1" t="str" cm="1">
        <f t="array" ref="C2972">_xlfn.IFS(OR(B2972=" ", B2972="NA",NOT(ISNUMBER(B2972))), "Unknown",B2972&lt;18,"Underage",B2972&lt;=24,"Young Adult",B2972&lt;=34,"Early Career",B2972&lt;=44,"Mid Career",B2972&lt;=54,"Mature",B2972&lt;=65,"Pre-Senior",B2972&gt;65,"Senior")</f>
        <v>Mature</v>
      </c>
      <c r="D2972" s="1" t="s">
        <v>18</v>
      </c>
      <c r="E2972" s="1" t="s">
        <v>19</v>
      </c>
      <c r="F2972" s="1">
        <v>525000</v>
      </c>
      <c r="G2972" s="1">
        <v>30</v>
      </c>
      <c r="H2972" s="1" t="str" cm="1">
        <f t="array" ref="H2972">_xlfn.IFS( OR(G2972=" ",NOT(ISNUMBER(G2972))),"Unknown",G2972&lt;=33,"Low Spender",G2972&lt;=66,"Medium Spender",TRUE, "High Spender")</f>
        <v>Low Spender</v>
      </c>
      <c r="I2972" s="1">
        <v>9</v>
      </c>
      <c r="J2972" s="1">
        <v>1700</v>
      </c>
      <c r="K2972" s="1">
        <v>334</v>
      </c>
      <c r="L2972" s="1" t="s">
        <v>35</v>
      </c>
      <c r="M2972" s="1" t="s">
        <v>41</v>
      </c>
      <c r="N2972" s="1" t="str">
        <f t="shared" si="92"/>
        <v>Higher</v>
      </c>
      <c r="O2972" s="1" t="str">
        <f t="shared" si="93"/>
        <v>Mature | Low Spender | Higher</v>
      </c>
    </row>
    <row r="2973" spans="1:15" x14ac:dyDescent="0.25">
      <c r="A2973" s="1" t="s">
        <v>3003</v>
      </c>
      <c r="B2973" s="1">
        <v>56</v>
      </c>
      <c r="C2973" s="1" t="str" cm="1">
        <f t="array" ref="C2973">_xlfn.IFS(OR(B2973=" ", B2973="NA",NOT(ISNUMBER(B2973))), "Unknown",B2973&lt;18,"Underage",B2973&lt;=24,"Young Adult",B2973&lt;=34,"Early Career",B2973&lt;=44,"Mid Career",B2973&lt;=54,"Mature",B2973&lt;=65,"Pre-Senior",B2973&gt;65,"Senior")</f>
        <v>Pre-Senior</v>
      </c>
      <c r="E2973" s="1" t="s">
        <v>19</v>
      </c>
      <c r="F2973" s="1">
        <v>1500000</v>
      </c>
      <c r="G2973" s="1">
        <v>90</v>
      </c>
      <c r="H2973" s="1" t="str" cm="1">
        <f t="array" ref="H2973">_xlfn.IFS( OR(G2973=" ",NOT(ISNUMBER(G2973))),"Unknown",G2973&lt;=33,"Low Spender",G2973&lt;=66,"Medium Spender",TRUE, "High Spender")</f>
        <v>High Spender</v>
      </c>
      <c r="I2973" s="1">
        <v>42</v>
      </c>
      <c r="J2973" s="1">
        <v>1900</v>
      </c>
      <c r="K2973" s="1">
        <v>195</v>
      </c>
      <c r="M2973" s="1" t="s">
        <v>30</v>
      </c>
      <c r="N2973" s="1" t="str">
        <f t="shared" si="92"/>
        <v>Lower</v>
      </c>
      <c r="O2973" s="1" t="str">
        <f t="shared" si="93"/>
        <v>Pre-Senior | High Spender | Lower</v>
      </c>
    </row>
    <row r="2974" spans="1:15" x14ac:dyDescent="0.25">
      <c r="A2974" s="1" t="s">
        <v>3004</v>
      </c>
      <c r="B2974" s="1">
        <v>69</v>
      </c>
      <c r="C2974" s="1" t="str" cm="1">
        <f t="array" ref="C2974">_xlfn.IFS(OR(B2974=" ", B2974="NA",NOT(ISNUMBER(B2974))), "Unknown",B2974&lt;18,"Underage",B2974&lt;=24,"Young Adult",B2974&lt;=34,"Early Career",B2974&lt;=44,"Mid Career",B2974&lt;=54,"Mature",B2974&lt;=65,"Pre-Senior",B2974&gt;65,"Senior")</f>
        <v>Senior</v>
      </c>
      <c r="F2974" s="1">
        <v>1525000</v>
      </c>
      <c r="G2974" s="1">
        <v>7</v>
      </c>
      <c r="H2974" s="1" t="str" cm="1">
        <f t="array" ref="H2974">_xlfn.IFS( OR(G2974=" ",NOT(ISNUMBER(G2974))),"Unknown",G2974&lt;=33,"Low Spender",G2974&lt;=66,"Medium Spender",TRUE, "High Spender")</f>
        <v>Low Spender</v>
      </c>
      <c r="I2974" s="1">
        <v>36</v>
      </c>
      <c r="J2974" s="1">
        <v>5300</v>
      </c>
      <c r="K2974" s="1">
        <v>36</v>
      </c>
      <c r="L2974" s="1" t="s">
        <v>37</v>
      </c>
      <c r="M2974" s="1" t="s">
        <v>30</v>
      </c>
      <c r="N2974" s="1" t="str">
        <f t="shared" si="92"/>
        <v>Lower</v>
      </c>
      <c r="O2974" s="1" t="str">
        <f t="shared" si="93"/>
        <v>Senior | Low Spender | Lower</v>
      </c>
    </row>
    <row r="2975" spans="1:15" x14ac:dyDescent="0.25">
      <c r="A2975" s="1" t="s">
        <v>3005</v>
      </c>
      <c r="B2975" s="1">
        <v>46</v>
      </c>
      <c r="C2975" s="1" t="str" cm="1">
        <f t="array" ref="C2975">_xlfn.IFS(OR(B2975=" ", B2975="NA",NOT(ISNUMBER(B2975))), "Unknown",B2975&lt;18,"Underage",B2975&lt;=24,"Young Adult",B2975&lt;=34,"Early Career",B2975&lt;=44,"Mid Career",B2975&lt;=54,"Mature",B2975&lt;=65,"Pre-Senior",B2975&gt;65,"Senior")</f>
        <v>Mature</v>
      </c>
      <c r="D2975" s="1" t="s">
        <v>18</v>
      </c>
      <c r="E2975" s="1" t="s">
        <v>15</v>
      </c>
      <c r="F2975" s="1">
        <v>225000</v>
      </c>
      <c r="G2975" s="1">
        <v>39</v>
      </c>
      <c r="H2975" s="1" t="str" cm="1">
        <f t="array" ref="H2975">_xlfn.IFS( OR(G2975=" ",NOT(ISNUMBER(G2975))),"Unknown",G2975&lt;=33,"Low Spender",G2975&lt;=66,"Medium Spender",TRUE, "High Spender")</f>
        <v>Medium Spender</v>
      </c>
      <c r="I2975" s="1">
        <v>10</v>
      </c>
      <c r="J2975" s="1">
        <v>4700</v>
      </c>
      <c r="K2975" s="1">
        <v>90</v>
      </c>
      <c r="M2975" s="1" t="s">
        <v>21</v>
      </c>
      <c r="N2975" s="1" t="str">
        <f t="shared" si="92"/>
        <v>Higher</v>
      </c>
      <c r="O2975" s="1" t="str">
        <f t="shared" si="93"/>
        <v>Mature | Medium Spender | Higher</v>
      </c>
    </row>
    <row r="2976" spans="1:15" x14ac:dyDescent="0.25">
      <c r="A2976" s="1" t="s">
        <v>3006</v>
      </c>
      <c r="B2976" s="1">
        <v>69</v>
      </c>
      <c r="C2976" s="1" t="str" cm="1">
        <f t="array" ref="C2976">_xlfn.IFS(OR(B2976=" ", B2976="NA",NOT(ISNUMBER(B2976))), "Unknown",B2976&lt;18,"Underage",B2976&lt;=24,"Young Adult",B2976&lt;=34,"Early Career",B2976&lt;=44,"Mid Career",B2976&lt;=54,"Mature",B2976&lt;=65,"Pre-Senior",B2976&gt;65,"Senior")</f>
        <v>Senior</v>
      </c>
      <c r="D2976" s="1" t="s">
        <v>18</v>
      </c>
      <c r="E2976" s="1" t="s">
        <v>23</v>
      </c>
      <c r="F2976" s="1">
        <v>1325000</v>
      </c>
      <c r="G2976" s="1">
        <v>95</v>
      </c>
      <c r="H2976" s="1" t="str" cm="1">
        <f t="array" ref="H2976">_xlfn.IFS( OR(G2976=" ",NOT(ISNUMBER(G2976))),"Unknown",G2976&lt;=33,"Low Spender",G2976&lt;=66,"Medium Spender",TRUE, "High Spender")</f>
        <v>High Spender</v>
      </c>
      <c r="I2976" s="1">
        <v>59</v>
      </c>
      <c r="J2976" s="1">
        <v>6500</v>
      </c>
      <c r="K2976" s="1">
        <v>296</v>
      </c>
      <c r="L2976" s="1" t="s">
        <v>20</v>
      </c>
      <c r="M2976" s="1" t="s">
        <v>41</v>
      </c>
      <c r="N2976" s="1" t="str">
        <f t="shared" si="92"/>
        <v>Higher</v>
      </c>
      <c r="O2976" s="1" t="str">
        <f t="shared" si="93"/>
        <v>Senior | High Spender | Higher</v>
      </c>
    </row>
    <row r="2977" spans="1:15" x14ac:dyDescent="0.25">
      <c r="A2977" s="1" t="s">
        <v>3007</v>
      </c>
      <c r="B2977" s="1">
        <v>53</v>
      </c>
      <c r="C2977" s="1" t="str" cm="1">
        <f t="array" ref="C2977">_xlfn.IFS(OR(B2977=" ", B2977="NA",NOT(ISNUMBER(B2977))), "Unknown",B2977&lt;18,"Underage",B2977&lt;=24,"Young Adult",B2977&lt;=34,"Early Career",B2977&lt;=44,"Mid Career",B2977&lt;=54,"Mature",B2977&lt;=65,"Pre-Senior",B2977&gt;65,"Senior")</f>
        <v>Mature</v>
      </c>
      <c r="D2977" s="1" t="s">
        <v>18</v>
      </c>
      <c r="F2977" s="1">
        <v>550000</v>
      </c>
      <c r="G2977" s="1">
        <v>69</v>
      </c>
      <c r="H2977" s="1" t="str" cm="1">
        <f t="array" ref="H2977">_xlfn.IFS( OR(G2977=" ",NOT(ISNUMBER(G2977))),"Unknown",G2977&lt;=33,"Low Spender",G2977&lt;=66,"Medium Spender",TRUE, "High Spender")</f>
        <v>High Spender</v>
      </c>
      <c r="I2977" s="1">
        <v>40</v>
      </c>
      <c r="J2977" s="1">
        <v>3000</v>
      </c>
      <c r="K2977" s="1">
        <v>330</v>
      </c>
      <c r="L2977" s="1" t="s">
        <v>35</v>
      </c>
      <c r="M2977" s="1" t="s">
        <v>41</v>
      </c>
      <c r="N2977" s="1" t="str">
        <f t="shared" si="92"/>
        <v>Higher</v>
      </c>
      <c r="O2977" s="1" t="str">
        <f t="shared" si="93"/>
        <v>Mature | High Spender | Higher</v>
      </c>
    </row>
    <row r="2978" spans="1:15" x14ac:dyDescent="0.25">
      <c r="A2978" s="1" t="s">
        <v>3008</v>
      </c>
      <c r="B2978" s="1">
        <v>55</v>
      </c>
      <c r="C2978" s="1" t="str" cm="1">
        <f t="array" ref="C2978">_xlfn.IFS(OR(B2978=" ", B2978="NA",NOT(ISNUMBER(B2978))), "Unknown",B2978&lt;18,"Underage",B2978&lt;=24,"Young Adult",B2978&lt;=34,"Early Career",B2978&lt;=44,"Mid Career",B2978&lt;=54,"Mature",B2978&lt;=65,"Pre-Senior",B2978&gt;65,"Senior")</f>
        <v>Pre-Senior</v>
      </c>
      <c r="E2978" s="1" t="s">
        <v>19</v>
      </c>
      <c r="F2978" s="1">
        <v>1025000</v>
      </c>
      <c r="G2978" s="1">
        <v>35</v>
      </c>
      <c r="H2978" s="1" t="str" cm="1">
        <f t="array" ref="H2978">_xlfn.IFS( OR(G2978=" ",NOT(ISNUMBER(G2978))),"Unknown",G2978&lt;=33,"Low Spender",G2978&lt;=66,"Medium Spender",TRUE, "High Spender")</f>
        <v>Medium Spender</v>
      </c>
      <c r="I2978" s="1">
        <v>54</v>
      </c>
      <c r="J2978" s="1">
        <v>6100</v>
      </c>
      <c r="K2978" s="1">
        <v>201</v>
      </c>
      <c r="L2978" s="1" t="s">
        <v>37</v>
      </c>
      <c r="M2978" s="1" t="s">
        <v>21</v>
      </c>
      <c r="N2978" s="1" t="str">
        <f t="shared" si="92"/>
        <v>Lower</v>
      </c>
      <c r="O2978" s="1" t="str">
        <f t="shared" si="93"/>
        <v>Pre-Senior | Medium Spender | Lower</v>
      </c>
    </row>
    <row r="2979" spans="1:15" x14ac:dyDescent="0.25">
      <c r="A2979" s="1" t="s">
        <v>3009</v>
      </c>
      <c r="B2979" s="1">
        <v>56</v>
      </c>
      <c r="C2979" s="1" t="str" cm="1">
        <f t="array" ref="C2979">_xlfn.IFS(OR(B2979=" ", B2979="NA",NOT(ISNUMBER(B2979))), "Unknown",B2979&lt;18,"Underage",B2979&lt;=24,"Young Adult",B2979&lt;=34,"Early Career",B2979&lt;=44,"Mid Career",B2979&lt;=54,"Mature",B2979&lt;=65,"Pre-Senior",B2979&gt;65,"Senior")</f>
        <v>Pre-Senior</v>
      </c>
      <c r="D2979" s="1" t="s">
        <v>18</v>
      </c>
      <c r="E2979" s="1" t="s">
        <v>34</v>
      </c>
      <c r="F2979" s="1">
        <v>1875000</v>
      </c>
      <c r="G2979" s="1">
        <v>52</v>
      </c>
      <c r="H2979" s="1" t="str" cm="1">
        <f t="array" ref="H2979">_xlfn.IFS( OR(G2979=" ",NOT(ISNUMBER(G2979))),"Unknown",G2979&lt;=33,"Low Spender",G2979&lt;=66,"Medium Spender",TRUE, "High Spender")</f>
        <v>Medium Spender</v>
      </c>
      <c r="I2979" s="1">
        <v>39</v>
      </c>
      <c r="J2979" s="1">
        <v>8800</v>
      </c>
      <c r="K2979" s="1">
        <v>46</v>
      </c>
      <c r="M2979" s="1" t="s">
        <v>30</v>
      </c>
      <c r="N2979" s="1" t="str">
        <f t="shared" si="92"/>
        <v>Higher</v>
      </c>
      <c r="O2979" s="1" t="str">
        <f t="shared" si="93"/>
        <v>Pre-Senior | Medium Spender | Higher</v>
      </c>
    </row>
    <row r="2980" spans="1:15" x14ac:dyDescent="0.25">
      <c r="A2980" s="1" t="s">
        <v>3010</v>
      </c>
      <c r="B2980" s="1">
        <v>67</v>
      </c>
      <c r="C2980" s="1" t="str" cm="1">
        <f t="array" ref="C2980">_xlfn.IFS(OR(B2980=" ", B2980="NA",NOT(ISNUMBER(B2980))), "Unknown",B2980&lt;18,"Underage",B2980&lt;=24,"Young Adult",B2980&lt;=34,"Early Career",B2980&lt;=44,"Mid Career",B2980&lt;=54,"Mature",B2980&lt;=65,"Pre-Senior",B2980&gt;65,"Senior")</f>
        <v>Senior</v>
      </c>
      <c r="E2980" s="1" t="s">
        <v>27</v>
      </c>
      <c r="F2980" s="1">
        <v>1075000</v>
      </c>
      <c r="G2980" s="1">
        <v>14</v>
      </c>
      <c r="H2980" s="1" t="str" cm="1">
        <f t="array" ref="H2980">_xlfn.IFS( OR(G2980=" ",NOT(ISNUMBER(G2980))),"Unknown",G2980&lt;=33,"Low Spender",G2980&lt;=66,"Medium Spender",TRUE, "High Spender")</f>
        <v>Low Spender</v>
      </c>
      <c r="I2980" s="1">
        <v>7</v>
      </c>
      <c r="J2980" s="1">
        <v>2300</v>
      </c>
      <c r="K2980" s="1">
        <v>107</v>
      </c>
      <c r="L2980" s="1" t="s">
        <v>20</v>
      </c>
      <c r="M2980" s="1" t="s">
        <v>30</v>
      </c>
      <c r="N2980" s="1" t="str">
        <f t="shared" si="92"/>
        <v>Lower</v>
      </c>
      <c r="O2980" s="1" t="str">
        <f t="shared" si="93"/>
        <v>Senior | Low Spender | Lower</v>
      </c>
    </row>
    <row r="2981" spans="1:15" x14ac:dyDescent="0.25">
      <c r="A2981" s="1" t="s">
        <v>3011</v>
      </c>
      <c r="B2981" s="1">
        <v>54</v>
      </c>
      <c r="C2981" s="1" t="str" cm="1">
        <f t="array" ref="C2981">_xlfn.IFS(OR(B2981=" ", B2981="NA",NOT(ISNUMBER(B2981))), "Unknown",B2981&lt;18,"Underage",B2981&lt;=24,"Young Adult",B2981&lt;=34,"Early Career",B2981&lt;=44,"Mid Career",B2981&lt;=54,"Mature",B2981&lt;=65,"Pre-Senior",B2981&gt;65,"Senior")</f>
        <v>Mature</v>
      </c>
      <c r="E2981" s="1" t="s">
        <v>19</v>
      </c>
      <c r="F2981" s="1">
        <v>1675000</v>
      </c>
      <c r="G2981" s="1">
        <v>63</v>
      </c>
      <c r="H2981" s="1" t="str" cm="1">
        <f t="array" ref="H2981">_xlfn.IFS( OR(G2981=" ",NOT(ISNUMBER(G2981))),"Unknown",G2981&lt;=33,"Low Spender",G2981&lt;=66,"Medium Spender",TRUE, "High Spender")</f>
        <v>Medium Spender</v>
      </c>
      <c r="I2981" s="1">
        <v>4</v>
      </c>
      <c r="J2981" s="1">
        <v>4400</v>
      </c>
      <c r="K2981" s="1">
        <v>170</v>
      </c>
      <c r="N2981" s="1" t="str">
        <f t="shared" si="92"/>
        <v>Lower</v>
      </c>
      <c r="O2981" s="1" t="str">
        <f t="shared" si="93"/>
        <v>Mature | Medium Spender | Lower</v>
      </c>
    </row>
    <row r="2982" spans="1:15" x14ac:dyDescent="0.25">
      <c r="A2982" s="1" t="s">
        <v>3012</v>
      </c>
      <c r="B2982" s="1">
        <v>69</v>
      </c>
      <c r="C2982" s="1" t="str" cm="1">
        <f t="array" ref="C2982">_xlfn.IFS(OR(B2982=" ", B2982="NA",NOT(ISNUMBER(B2982))), "Unknown",B2982&lt;18,"Underage",B2982&lt;=24,"Young Adult",B2982&lt;=34,"Early Career",B2982&lt;=44,"Mid Career",B2982&lt;=54,"Mature",B2982&lt;=65,"Pre-Senior",B2982&gt;65,"Senior")</f>
        <v>Senior</v>
      </c>
      <c r="D2982" s="1" t="s">
        <v>29</v>
      </c>
      <c r="E2982" s="1" t="s">
        <v>49</v>
      </c>
      <c r="F2982" s="1">
        <v>1325000</v>
      </c>
      <c r="G2982" s="1">
        <v>36</v>
      </c>
      <c r="H2982" s="1" t="str" cm="1">
        <f t="array" ref="H2982">_xlfn.IFS( OR(G2982=" ",NOT(ISNUMBER(G2982))),"Unknown",G2982&lt;=33,"Low Spender",G2982&lt;=66,"Medium Spender",TRUE, "High Spender")</f>
        <v>Medium Spender</v>
      </c>
      <c r="I2982" s="1">
        <v>15</v>
      </c>
      <c r="J2982" s="1">
        <v>8300</v>
      </c>
      <c r="K2982" s="1">
        <v>146</v>
      </c>
      <c r="N2982" s="1" t="str">
        <f t="shared" si="92"/>
        <v>Higher</v>
      </c>
      <c r="O2982" s="1" t="str">
        <f t="shared" si="93"/>
        <v>Senior | Medium Spender | Higher</v>
      </c>
    </row>
    <row r="2983" spans="1:15" x14ac:dyDescent="0.25">
      <c r="A2983" s="1" t="s">
        <v>3013</v>
      </c>
      <c r="B2983" s="1">
        <v>52</v>
      </c>
      <c r="C2983" s="1" t="str" cm="1">
        <f t="array" ref="C2983">_xlfn.IFS(OR(B2983=" ", B2983="NA",NOT(ISNUMBER(B2983))), "Unknown",B2983&lt;18,"Underage",B2983&lt;=24,"Young Adult",B2983&lt;=34,"Early Career",B2983&lt;=44,"Mid Career",B2983&lt;=54,"Mature",B2983&lt;=65,"Pre-Senior",B2983&gt;65,"Senior")</f>
        <v>Mature</v>
      </c>
      <c r="E2983" s="1" t="s">
        <v>15</v>
      </c>
      <c r="F2983" s="1">
        <v>375000</v>
      </c>
      <c r="G2983" s="1">
        <v>91</v>
      </c>
      <c r="H2983" s="1" t="str" cm="1">
        <f t="array" ref="H2983">_xlfn.IFS( OR(G2983=" ",NOT(ISNUMBER(G2983))),"Unknown",G2983&lt;=33,"Low Spender",G2983&lt;=66,"Medium Spender",TRUE, "High Spender")</f>
        <v>High Spender</v>
      </c>
      <c r="I2983" s="1">
        <v>76</v>
      </c>
      <c r="J2983" s="1">
        <v>7100</v>
      </c>
      <c r="K2983" s="1">
        <v>356</v>
      </c>
      <c r="L2983" s="1" t="s">
        <v>20</v>
      </c>
      <c r="N2983" s="1" t="str">
        <f t="shared" si="92"/>
        <v>Lower</v>
      </c>
      <c r="O2983" s="1" t="str">
        <f t="shared" si="93"/>
        <v>Mature | High Spender | Lower</v>
      </c>
    </row>
    <row r="2984" spans="1:15" x14ac:dyDescent="0.25">
      <c r="A2984" s="1" t="s">
        <v>3014</v>
      </c>
      <c r="B2984" s="1">
        <v>24</v>
      </c>
      <c r="C2984" s="1" t="str" cm="1">
        <f t="array" ref="C2984">_xlfn.IFS(OR(B2984=" ", B2984="NA",NOT(ISNUMBER(B2984))), "Unknown",B2984&lt;18,"Underage",B2984&lt;=24,"Young Adult",B2984&lt;=34,"Early Career",B2984&lt;=44,"Mid Career",B2984&lt;=54,"Mature",B2984&lt;=65,"Pre-Senior",B2984&gt;65,"Senior")</f>
        <v>Young Adult</v>
      </c>
      <c r="D2984" s="1" t="s">
        <v>29</v>
      </c>
      <c r="E2984" s="1" t="s">
        <v>15</v>
      </c>
      <c r="F2984" s="1">
        <v>1025000</v>
      </c>
      <c r="G2984" s="1">
        <v>24</v>
      </c>
      <c r="H2984" s="1" t="str" cm="1">
        <f t="array" ref="H2984">_xlfn.IFS( OR(G2984=" ",NOT(ISNUMBER(G2984))),"Unknown",G2984&lt;=33,"Low Spender",G2984&lt;=66,"Medium Spender",TRUE, "High Spender")</f>
        <v>Low Spender</v>
      </c>
      <c r="I2984" s="1">
        <v>48</v>
      </c>
      <c r="J2984" s="1">
        <v>8400</v>
      </c>
      <c r="K2984" s="1">
        <v>178</v>
      </c>
      <c r="L2984" s="1" t="s">
        <v>37</v>
      </c>
      <c r="M2984" s="1" t="s">
        <v>30</v>
      </c>
      <c r="N2984" s="1" t="str">
        <f t="shared" si="92"/>
        <v>Higher</v>
      </c>
      <c r="O2984" s="1" t="str">
        <f t="shared" si="93"/>
        <v>Young Adult | Low Spender | Higher</v>
      </c>
    </row>
    <row r="2985" spans="1:15" x14ac:dyDescent="0.25">
      <c r="A2985" s="1" t="s">
        <v>3015</v>
      </c>
      <c r="B2985" s="1">
        <v>44</v>
      </c>
      <c r="C2985" s="1" t="str" cm="1">
        <f t="array" ref="C2985">_xlfn.IFS(OR(B2985=" ", B2985="NA",NOT(ISNUMBER(B2985))), "Unknown",B2985&lt;18,"Underage",B2985&lt;=24,"Young Adult",B2985&lt;=34,"Early Career",B2985&lt;=44,"Mid Career",B2985&lt;=54,"Mature",B2985&lt;=65,"Pre-Senior",B2985&gt;65,"Senior")</f>
        <v>Mid Career</v>
      </c>
      <c r="D2985" s="1" t="s">
        <v>18</v>
      </c>
      <c r="E2985" s="1" t="s">
        <v>15</v>
      </c>
      <c r="F2985" s="1">
        <v>850000</v>
      </c>
      <c r="G2985" s="1">
        <v>40</v>
      </c>
      <c r="H2985" s="1" t="str" cm="1">
        <f t="array" ref="H2985">_xlfn.IFS( OR(G2985=" ",NOT(ISNUMBER(G2985))),"Unknown",G2985&lt;=33,"Low Spender",G2985&lt;=66,"Medium Spender",TRUE, "High Spender")</f>
        <v>Medium Spender</v>
      </c>
      <c r="I2985" s="1">
        <v>6</v>
      </c>
      <c r="J2985" s="1">
        <v>1900</v>
      </c>
      <c r="K2985" s="1">
        <v>61</v>
      </c>
      <c r="N2985" s="1" t="str">
        <f t="shared" si="92"/>
        <v>Higher</v>
      </c>
      <c r="O2985" s="1" t="str">
        <f t="shared" si="93"/>
        <v>Mid Career | Medium Spender | Higher</v>
      </c>
    </row>
    <row r="2986" spans="1:15" x14ac:dyDescent="0.25">
      <c r="A2986" s="1" t="s">
        <v>3016</v>
      </c>
      <c r="B2986" s="1">
        <v>45</v>
      </c>
      <c r="C2986" s="1" t="str" cm="1">
        <f t="array" ref="C2986">_xlfn.IFS(OR(B2986=" ", B2986="NA",NOT(ISNUMBER(B2986))), "Unknown",B2986&lt;18,"Underage",B2986&lt;=24,"Young Adult",B2986&lt;=34,"Early Career",B2986&lt;=44,"Mid Career",B2986&lt;=54,"Mature",B2986&lt;=65,"Pre-Senior",B2986&gt;65,"Senior")</f>
        <v>Mature</v>
      </c>
      <c r="E2986" s="1" t="s">
        <v>58</v>
      </c>
      <c r="F2986" s="1">
        <v>225000</v>
      </c>
      <c r="G2986" s="1">
        <v>29</v>
      </c>
      <c r="H2986" s="1" t="str" cm="1">
        <f t="array" ref="H2986">_xlfn.IFS( OR(G2986=" ",NOT(ISNUMBER(G2986))),"Unknown",G2986&lt;=33,"Low Spender",G2986&lt;=66,"Medium Spender",TRUE, "High Spender")</f>
        <v>Low Spender</v>
      </c>
      <c r="I2986" s="1">
        <v>73</v>
      </c>
      <c r="J2986" s="1">
        <v>7000</v>
      </c>
      <c r="K2986" s="1">
        <v>3</v>
      </c>
      <c r="M2986" s="1" t="s">
        <v>32</v>
      </c>
      <c r="N2986" s="1" t="str">
        <f t="shared" si="92"/>
        <v>Lower</v>
      </c>
      <c r="O2986" s="1" t="str">
        <f t="shared" si="93"/>
        <v>Mature | Low Spender | Lower</v>
      </c>
    </row>
    <row r="2987" spans="1:15" x14ac:dyDescent="0.25">
      <c r="A2987" s="1" t="s">
        <v>3017</v>
      </c>
      <c r="B2987" s="1">
        <v>39</v>
      </c>
      <c r="C2987" s="1" t="str" cm="1">
        <f t="array" ref="C2987">_xlfn.IFS(OR(B2987=" ", B2987="NA",NOT(ISNUMBER(B2987))), "Unknown",B2987&lt;18,"Underage",B2987&lt;=24,"Young Adult",B2987&lt;=34,"Early Career",B2987&lt;=44,"Mid Career",B2987&lt;=54,"Mature",B2987&lt;=65,"Pre-Senior",B2987&gt;65,"Senior")</f>
        <v>Mid Career</v>
      </c>
      <c r="D2987" s="1" t="s">
        <v>29</v>
      </c>
      <c r="E2987" s="1" t="s">
        <v>58</v>
      </c>
      <c r="F2987" s="1">
        <v>1225000</v>
      </c>
      <c r="G2987" s="1">
        <v>53</v>
      </c>
      <c r="H2987" s="1" t="str" cm="1">
        <f t="array" ref="H2987">_xlfn.IFS( OR(G2987=" ",NOT(ISNUMBER(G2987))),"Unknown",G2987&lt;=33,"Low Spender",G2987&lt;=66,"Medium Spender",TRUE, "High Spender")</f>
        <v>Medium Spender</v>
      </c>
      <c r="I2987" s="1">
        <v>35</v>
      </c>
      <c r="K2987" s="1">
        <v>82</v>
      </c>
      <c r="L2987" s="1" t="s">
        <v>16</v>
      </c>
      <c r="M2987" s="1" t="s">
        <v>41</v>
      </c>
      <c r="N2987" s="1" t="str">
        <f t="shared" si="92"/>
        <v>Higher</v>
      </c>
      <c r="O2987" s="1" t="str">
        <f t="shared" si="93"/>
        <v>Mid Career | Medium Spender | Higher</v>
      </c>
    </row>
    <row r="2988" spans="1:15" x14ac:dyDescent="0.25">
      <c r="A2988" s="1" t="s">
        <v>3018</v>
      </c>
      <c r="B2988" s="1">
        <v>31</v>
      </c>
      <c r="C2988" s="1" t="str" cm="1">
        <f t="array" ref="C2988">_xlfn.IFS(OR(B2988=" ", B2988="NA",NOT(ISNUMBER(B2988))), "Unknown",B2988&lt;18,"Underage",B2988&lt;=24,"Young Adult",B2988&lt;=34,"Early Career",B2988&lt;=44,"Mid Career",B2988&lt;=54,"Mature",B2988&lt;=65,"Pre-Senior",B2988&gt;65,"Senior")</f>
        <v>Early Career</v>
      </c>
      <c r="D2988" s="1" t="s">
        <v>18</v>
      </c>
      <c r="E2988" s="1" t="s">
        <v>13</v>
      </c>
      <c r="F2988" s="1">
        <v>1525000</v>
      </c>
      <c r="G2988" s="1">
        <v>22</v>
      </c>
      <c r="H2988" s="1" t="str" cm="1">
        <f t="array" ref="H2988">_xlfn.IFS( OR(G2988=" ",NOT(ISNUMBER(G2988))),"Unknown",G2988&lt;=33,"Low Spender",G2988&lt;=66,"Medium Spender",TRUE, "High Spender")</f>
        <v>Low Spender</v>
      </c>
      <c r="I2988" s="1">
        <v>72</v>
      </c>
      <c r="J2988" s="1">
        <v>900</v>
      </c>
      <c r="K2988" s="1">
        <v>263</v>
      </c>
      <c r="L2988" s="1" t="s">
        <v>35</v>
      </c>
      <c r="N2988" s="1" t="str">
        <f t="shared" si="92"/>
        <v>Higher</v>
      </c>
      <c r="O2988" s="1" t="str">
        <f t="shared" si="93"/>
        <v>Early Career | Low Spender | Higher</v>
      </c>
    </row>
    <row r="2989" spans="1:15" x14ac:dyDescent="0.25">
      <c r="A2989" s="1" t="s">
        <v>3019</v>
      </c>
      <c r="B2989" s="1">
        <v>24</v>
      </c>
      <c r="C2989" s="1" t="str" cm="1">
        <f t="array" ref="C2989">_xlfn.IFS(OR(B2989=" ", B2989="NA",NOT(ISNUMBER(B2989))), "Unknown",B2989&lt;18,"Underage",B2989&lt;=24,"Young Adult",B2989&lt;=34,"Early Career",B2989&lt;=44,"Mid Career",B2989&lt;=54,"Mature",B2989&lt;=65,"Pre-Senior",B2989&gt;65,"Senior")</f>
        <v>Young Adult</v>
      </c>
      <c r="D2989" s="1" t="s">
        <v>12</v>
      </c>
      <c r="F2989" s="1">
        <v>1175000</v>
      </c>
      <c r="G2989" s="1">
        <v>72</v>
      </c>
      <c r="H2989" s="1" t="str" cm="1">
        <f t="array" ref="H2989">_xlfn.IFS( OR(G2989=" ",NOT(ISNUMBER(G2989))),"Unknown",G2989&lt;=33,"Low Spender",G2989&lt;=66,"Medium Spender",TRUE, "High Spender")</f>
        <v>High Spender</v>
      </c>
      <c r="I2989" s="1">
        <v>71</v>
      </c>
      <c r="J2989" s="1">
        <v>9100</v>
      </c>
      <c r="K2989" s="1">
        <v>287</v>
      </c>
      <c r="M2989" s="1" t="s">
        <v>32</v>
      </c>
      <c r="N2989" s="1" t="str">
        <f t="shared" si="92"/>
        <v>Lower</v>
      </c>
      <c r="O2989" s="1" t="str">
        <f t="shared" si="93"/>
        <v>Young Adult | High Spender | Lower</v>
      </c>
    </row>
    <row r="2990" spans="1:15" x14ac:dyDescent="0.25">
      <c r="A2990" s="1" t="s">
        <v>3020</v>
      </c>
      <c r="B2990" s="1">
        <v>54</v>
      </c>
      <c r="C2990" s="1" t="str" cm="1">
        <f t="array" ref="C2990">_xlfn.IFS(OR(B2990=" ", B2990="NA",NOT(ISNUMBER(B2990))), "Unknown",B2990&lt;18,"Underage",B2990&lt;=24,"Young Adult",B2990&lt;=34,"Early Career",B2990&lt;=44,"Mid Career",B2990&lt;=54,"Mature",B2990&lt;=65,"Pre-Senior",B2990&gt;65,"Senior")</f>
        <v>Mature</v>
      </c>
      <c r="D2990" s="1" t="s">
        <v>29</v>
      </c>
      <c r="E2990" s="1" t="s">
        <v>27</v>
      </c>
      <c r="F2990" s="1">
        <v>450000</v>
      </c>
      <c r="G2990" s="1">
        <v>15</v>
      </c>
      <c r="H2990" s="1" t="str" cm="1">
        <f t="array" ref="H2990">_xlfn.IFS( OR(G2990=" ",NOT(ISNUMBER(G2990))),"Unknown",G2990&lt;=33,"Low Spender",G2990&lt;=66,"Medium Spender",TRUE, "High Spender")</f>
        <v>Low Spender</v>
      </c>
      <c r="I2990" s="1">
        <v>68</v>
      </c>
      <c r="J2990" s="1">
        <v>10300</v>
      </c>
      <c r="K2990" s="1">
        <v>321</v>
      </c>
      <c r="L2990" s="1" t="s">
        <v>20</v>
      </c>
      <c r="N2990" s="1" t="str">
        <f t="shared" si="92"/>
        <v>Higher</v>
      </c>
      <c r="O2990" s="1" t="str">
        <f t="shared" si="93"/>
        <v>Mature | Low Spender | Higher</v>
      </c>
    </row>
    <row r="2991" spans="1:15" x14ac:dyDescent="0.25">
      <c r="A2991" s="1" t="s">
        <v>3021</v>
      </c>
      <c r="B2991" s="1">
        <v>39</v>
      </c>
      <c r="C2991" s="1" t="str" cm="1">
        <f t="array" ref="C2991">_xlfn.IFS(OR(B2991=" ", B2991="NA",NOT(ISNUMBER(B2991))), "Unknown",B2991&lt;18,"Underage",B2991&lt;=24,"Young Adult",B2991&lt;=34,"Early Career",B2991&lt;=44,"Mid Career",B2991&lt;=54,"Mature",B2991&lt;=65,"Pre-Senior",B2991&gt;65,"Senior")</f>
        <v>Mid Career</v>
      </c>
      <c r="D2991" s="1" t="s">
        <v>18</v>
      </c>
      <c r="F2991" s="1">
        <v>1275000</v>
      </c>
      <c r="G2991" s="1">
        <v>69</v>
      </c>
      <c r="H2991" s="1" t="str" cm="1">
        <f t="array" ref="H2991">_xlfn.IFS( OR(G2991=" ",NOT(ISNUMBER(G2991))),"Unknown",G2991&lt;=33,"Low Spender",G2991&lt;=66,"Medium Spender",TRUE, "High Spender")</f>
        <v>High Spender</v>
      </c>
      <c r="I2991" s="1">
        <v>58</v>
      </c>
      <c r="J2991" s="1">
        <v>4200</v>
      </c>
      <c r="K2991" s="1">
        <v>95</v>
      </c>
      <c r="L2991" s="1" t="s">
        <v>35</v>
      </c>
      <c r="M2991" s="1" t="s">
        <v>21</v>
      </c>
      <c r="N2991" s="1" t="str">
        <f t="shared" si="92"/>
        <v>Higher</v>
      </c>
      <c r="O2991" s="1" t="str">
        <f t="shared" si="93"/>
        <v>Mid Career | High Spender | Higher</v>
      </c>
    </row>
    <row r="2992" spans="1:15" x14ac:dyDescent="0.25">
      <c r="A2992" s="1" t="s">
        <v>3022</v>
      </c>
      <c r="B2992" s="1">
        <v>22</v>
      </c>
      <c r="C2992" s="1" t="str" cm="1">
        <f t="array" ref="C2992">_xlfn.IFS(OR(B2992=" ", B2992="NA",NOT(ISNUMBER(B2992))), "Unknown",B2992&lt;18,"Underage",B2992&lt;=24,"Young Adult",B2992&lt;=34,"Early Career",B2992&lt;=44,"Mid Career",B2992&lt;=54,"Mature",B2992&lt;=65,"Pre-Senior",B2992&gt;65,"Senior")</f>
        <v>Young Adult</v>
      </c>
      <c r="D2992" s="1" t="s">
        <v>29</v>
      </c>
      <c r="E2992" s="1" t="s">
        <v>23</v>
      </c>
      <c r="F2992" s="1">
        <v>950000</v>
      </c>
      <c r="G2992" s="1">
        <v>64</v>
      </c>
      <c r="H2992" s="1" t="str" cm="1">
        <f t="array" ref="H2992">_xlfn.IFS( OR(G2992=" ",NOT(ISNUMBER(G2992))),"Unknown",G2992&lt;=33,"Low Spender",G2992&lt;=66,"Medium Spender",TRUE, "High Spender")</f>
        <v>Medium Spender</v>
      </c>
      <c r="I2992" s="1">
        <v>77</v>
      </c>
      <c r="J2992" s="1">
        <v>4200</v>
      </c>
      <c r="K2992" s="1">
        <v>64</v>
      </c>
      <c r="L2992" s="1" t="s">
        <v>37</v>
      </c>
      <c r="M2992" s="1" t="s">
        <v>41</v>
      </c>
      <c r="N2992" s="1" t="str">
        <f t="shared" si="92"/>
        <v>Higher</v>
      </c>
      <c r="O2992" s="1" t="str">
        <f t="shared" si="93"/>
        <v>Young Adult | Medium Spender | Higher</v>
      </c>
    </row>
    <row r="2993" spans="1:15" x14ac:dyDescent="0.25">
      <c r="A2993" s="1" t="s">
        <v>3023</v>
      </c>
      <c r="B2993" s="1" t="s">
        <v>73</v>
      </c>
      <c r="C2993" s="1" t="str" cm="1">
        <f t="array" ref="C2993">_xlfn.IFS(OR(B2993=" ", B2993="NA",NOT(ISNUMBER(B2993))), "Unknown",B2993&lt;18,"Underage",B2993&lt;=24,"Young Adult",B2993&lt;=34,"Early Career",B2993&lt;=44,"Mid Career",B2993&lt;=54,"Mature",B2993&lt;=65,"Pre-Senior",B2993&gt;65,"Senior")</f>
        <v>Unknown</v>
      </c>
      <c r="D2993" s="1" t="s">
        <v>18</v>
      </c>
      <c r="E2993" s="1" t="s">
        <v>19</v>
      </c>
      <c r="F2993" s="1">
        <v>650000</v>
      </c>
      <c r="G2993" s="1">
        <v>4</v>
      </c>
      <c r="H2993" s="1" t="str" cm="1">
        <f t="array" ref="H2993">_xlfn.IFS( OR(G2993=" ",NOT(ISNUMBER(G2993))),"Unknown",G2993&lt;=33,"Low Spender",G2993&lt;=66,"Medium Spender",TRUE, "High Spender")</f>
        <v>Low Spender</v>
      </c>
      <c r="I2993" s="1">
        <v>19</v>
      </c>
      <c r="J2993" s="1">
        <v>4500</v>
      </c>
      <c r="K2993" s="1">
        <v>246</v>
      </c>
      <c r="L2993" s="1" t="s">
        <v>35</v>
      </c>
      <c r="N2993" s="1" t="str">
        <f t="shared" si="92"/>
        <v>Higher</v>
      </c>
      <c r="O2993" s="1" t="str">
        <f t="shared" si="93"/>
        <v>Unknown | Low Spender | Higher</v>
      </c>
    </row>
    <row r="2994" spans="1:15" x14ac:dyDescent="0.25">
      <c r="A2994" s="1" t="s">
        <v>3024</v>
      </c>
      <c r="B2994" s="1">
        <v>19</v>
      </c>
      <c r="C2994" s="1" t="str" cm="1">
        <f t="array" ref="C2994">_xlfn.IFS(OR(B2994=" ", B2994="NA",NOT(ISNUMBER(B2994))), "Unknown",B2994&lt;18,"Underage",B2994&lt;=24,"Young Adult",B2994&lt;=34,"Early Career",B2994&lt;=44,"Mid Career",B2994&lt;=54,"Mature",B2994&lt;=65,"Pre-Senior",B2994&gt;65,"Senior")</f>
        <v>Young Adult</v>
      </c>
      <c r="F2994" s="1">
        <v>1550000</v>
      </c>
      <c r="G2994" s="1">
        <v>75</v>
      </c>
      <c r="H2994" s="1" t="str" cm="1">
        <f t="array" ref="H2994">_xlfn.IFS( OR(G2994=" ",NOT(ISNUMBER(G2994))),"Unknown",G2994&lt;=33,"Low Spender",G2994&lt;=66,"Medium Spender",TRUE, "High Spender")</f>
        <v>High Spender</v>
      </c>
      <c r="I2994" s="1">
        <v>62</v>
      </c>
      <c r="J2994" s="1">
        <v>7500</v>
      </c>
      <c r="K2994" s="1">
        <v>77</v>
      </c>
      <c r="L2994" s="1" t="s">
        <v>16</v>
      </c>
      <c r="N2994" s="1" t="str">
        <f t="shared" si="92"/>
        <v>Lower</v>
      </c>
      <c r="O2994" s="1" t="str">
        <f t="shared" si="93"/>
        <v>Young Adult | High Spender | Lower</v>
      </c>
    </row>
    <row r="2995" spans="1:15" x14ac:dyDescent="0.25">
      <c r="A2995" s="1" t="s">
        <v>3025</v>
      </c>
      <c r="B2995" s="1">
        <v>44</v>
      </c>
      <c r="C2995" s="1" t="str" cm="1">
        <f t="array" ref="C2995">_xlfn.IFS(OR(B2995=" ", B2995="NA",NOT(ISNUMBER(B2995))), "Unknown",B2995&lt;18,"Underage",B2995&lt;=24,"Young Adult",B2995&lt;=34,"Early Career",B2995&lt;=44,"Mid Career",B2995&lt;=54,"Mature",B2995&lt;=65,"Pre-Senior",B2995&gt;65,"Senior")</f>
        <v>Mid Career</v>
      </c>
      <c r="D2995" s="1" t="s">
        <v>12</v>
      </c>
      <c r="E2995" s="1" t="s">
        <v>23</v>
      </c>
      <c r="F2995" s="1">
        <v>1850000</v>
      </c>
      <c r="G2995" s="1">
        <v>18</v>
      </c>
      <c r="H2995" s="1" t="str" cm="1">
        <f t="array" ref="H2995">_xlfn.IFS( OR(G2995=" ",NOT(ISNUMBER(G2995))),"Unknown",G2995&lt;=33,"Low Spender",G2995&lt;=66,"Medium Spender",TRUE, "High Spender")</f>
        <v>Low Spender</v>
      </c>
      <c r="I2995" s="1">
        <v>71</v>
      </c>
      <c r="J2995" s="1">
        <v>8500</v>
      </c>
      <c r="K2995" s="1">
        <v>259</v>
      </c>
      <c r="L2995" s="1" t="s">
        <v>37</v>
      </c>
      <c r="N2995" s="1" t="str">
        <f t="shared" si="92"/>
        <v>Lower</v>
      </c>
      <c r="O2995" s="1" t="str">
        <f t="shared" si="93"/>
        <v>Mid Career | Low Spender | Lower</v>
      </c>
    </row>
    <row r="2996" spans="1:15" x14ac:dyDescent="0.25">
      <c r="A2996" s="1" t="s">
        <v>3026</v>
      </c>
      <c r="B2996" s="1">
        <v>38</v>
      </c>
      <c r="C2996" s="1" t="str" cm="1">
        <f t="array" ref="C2996">_xlfn.IFS(OR(B2996=" ", B2996="NA",NOT(ISNUMBER(B2996))), "Unknown",B2996&lt;18,"Underage",B2996&lt;=24,"Young Adult",B2996&lt;=34,"Early Career",B2996&lt;=44,"Mid Career",B2996&lt;=54,"Mature",B2996&lt;=65,"Pre-Senior",B2996&gt;65,"Senior")</f>
        <v>Mid Career</v>
      </c>
      <c r="F2996" s="1">
        <v>1875000</v>
      </c>
      <c r="G2996" s="1">
        <v>42</v>
      </c>
      <c r="H2996" s="1" t="str" cm="1">
        <f t="array" ref="H2996">_xlfn.IFS( OR(G2996=" ",NOT(ISNUMBER(G2996))),"Unknown",G2996&lt;=33,"Low Spender",G2996&lt;=66,"Medium Spender",TRUE, "High Spender")</f>
        <v>Medium Spender</v>
      </c>
      <c r="I2996" s="1">
        <v>10</v>
      </c>
      <c r="J2996" s="1">
        <v>5300</v>
      </c>
      <c r="K2996" s="1">
        <v>93</v>
      </c>
      <c r="M2996" s="1" t="s">
        <v>30</v>
      </c>
      <c r="N2996" s="1" t="str">
        <f t="shared" si="92"/>
        <v>Lower</v>
      </c>
      <c r="O2996" s="1" t="str">
        <f t="shared" si="93"/>
        <v>Mid Career | Medium Spender | Lower</v>
      </c>
    </row>
    <row r="2997" spans="1:15" x14ac:dyDescent="0.25">
      <c r="A2997" s="1" t="s">
        <v>3027</v>
      </c>
      <c r="C2997" s="1" t="str" cm="1">
        <f t="array" ref="C2997">_xlfn.IFS(OR(B2997=" ", B2997="NA",NOT(ISNUMBER(B2997))), "Unknown",B2997&lt;18,"Underage",B2997&lt;=24,"Young Adult",B2997&lt;=34,"Early Career",B2997&lt;=44,"Mid Career",B2997&lt;=54,"Mature",B2997&lt;=65,"Pre-Senior",B2997&gt;65,"Senior")</f>
        <v>Unknown</v>
      </c>
      <c r="D2997" s="1" t="s">
        <v>12</v>
      </c>
      <c r="F2997" s="1">
        <v>1800000</v>
      </c>
      <c r="G2997" s="1">
        <v>30</v>
      </c>
      <c r="H2997" s="1" t="str" cm="1">
        <f t="array" ref="H2997">_xlfn.IFS( OR(G2997=" ",NOT(ISNUMBER(G2997))),"Unknown",G2997&lt;=33,"Low Spender",G2997&lt;=66,"Medium Spender",TRUE, "High Spender")</f>
        <v>Low Spender</v>
      </c>
      <c r="I2997" s="1">
        <v>25</v>
      </c>
      <c r="J2997" s="1">
        <v>7500</v>
      </c>
      <c r="K2997" s="1">
        <v>291</v>
      </c>
      <c r="N2997" s="1" t="str">
        <f t="shared" si="92"/>
        <v>Lower</v>
      </c>
      <c r="O2997" s="1" t="str">
        <f t="shared" si="93"/>
        <v>Unknown | Low Spender | Lower</v>
      </c>
    </row>
    <row r="2998" spans="1:15" x14ac:dyDescent="0.25">
      <c r="A2998" s="1" t="s">
        <v>3028</v>
      </c>
      <c r="B2998" s="1">
        <v>55</v>
      </c>
      <c r="C2998" s="1" t="str" cm="1">
        <f t="array" ref="C2998">_xlfn.IFS(OR(B2998=" ", B2998="NA",NOT(ISNUMBER(B2998))), "Unknown",B2998&lt;18,"Underage",B2998&lt;=24,"Young Adult",B2998&lt;=34,"Early Career",B2998&lt;=44,"Mid Career",B2998&lt;=54,"Mature",B2998&lt;=65,"Pre-Senior",B2998&gt;65,"Senior")</f>
        <v>Pre-Senior</v>
      </c>
      <c r="D2998" s="1" t="s">
        <v>29</v>
      </c>
      <c r="E2998" s="1" t="s">
        <v>23</v>
      </c>
      <c r="F2998" s="1">
        <v>1325000</v>
      </c>
      <c r="G2998" s="1">
        <v>15</v>
      </c>
      <c r="H2998" s="1" t="str" cm="1">
        <f t="array" ref="H2998">_xlfn.IFS( OR(G2998=" ",NOT(ISNUMBER(G2998))),"Unknown",G2998&lt;=33,"Low Spender",G2998&lt;=66,"Medium Spender",TRUE, "High Spender")</f>
        <v>Low Spender</v>
      </c>
      <c r="I2998" s="1">
        <v>44</v>
      </c>
      <c r="J2998" s="1">
        <v>2500</v>
      </c>
      <c r="K2998" s="1">
        <v>271</v>
      </c>
      <c r="L2998" s="1" t="s">
        <v>37</v>
      </c>
      <c r="M2998" s="1" t="s">
        <v>21</v>
      </c>
      <c r="N2998" s="1" t="str">
        <f t="shared" si="92"/>
        <v>Higher</v>
      </c>
      <c r="O2998" s="1" t="str">
        <f t="shared" si="93"/>
        <v>Pre-Senior | Low Spender | Higher</v>
      </c>
    </row>
    <row r="2999" spans="1:15" x14ac:dyDescent="0.25">
      <c r="A2999" s="1" t="s">
        <v>3029</v>
      </c>
      <c r="B2999" s="1">
        <v>32</v>
      </c>
      <c r="C2999" s="1" t="str" cm="1">
        <f t="array" ref="C2999">_xlfn.IFS(OR(B2999=" ", B2999="NA",NOT(ISNUMBER(B2999))), "Unknown",B2999&lt;18,"Underage",B2999&lt;=24,"Young Adult",B2999&lt;=34,"Early Career",B2999&lt;=44,"Mid Career",B2999&lt;=54,"Mature",B2999&lt;=65,"Pre-Senior",B2999&gt;65,"Senior")</f>
        <v>Early Career</v>
      </c>
      <c r="D2999" s="1" t="s">
        <v>18</v>
      </c>
      <c r="E2999" s="1" t="s">
        <v>34</v>
      </c>
      <c r="G2999" s="1">
        <v>70</v>
      </c>
      <c r="H2999" s="1" t="str" cm="1">
        <f t="array" ref="H2999">_xlfn.IFS( OR(G2999=" ",NOT(ISNUMBER(G2999))),"Unknown",G2999&lt;=33,"Low Spender",G2999&lt;=66,"Medium Spender",TRUE, "High Spender")</f>
        <v>High Spender</v>
      </c>
      <c r="I2999" s="1">
        <v>58</v>
      </c>
      <c r="J2999" s="1">
        <v>9700</v>
      </c>
      <c r="K2999" s="1">
        <v>21</v>
      </c>
      <c r="L2999" s="1" t="s">
        <v>37</v>
      </c>
      <c r="M2999" s="1" t="s">
        <v>21</v>
      </c>
      <c r="N2999" s="1" t="str">
        <f t="shared" si="92"/>
        <v>Higher</v>
      </c>
      <c r="O2999" s="1" t="str">
        <f t="shared" si="93"/>
        <v>Early Career | High Spender | Higher</v>
      </c>
    </row>
    <row r="3000" spans="1:15" x14ac:dyDescent="0.25">
      <c r="A3000" s="1" t="s">
        <v>3030</v>
      </c>
      <c r="B3000" s="1">
        <v>38</v>
      </c>
      <c r="C3000" s="1" t="str" cm="1">
        <f t="array" ref="C3000">_xlfn.IFS(OR(B3000=" ", B3000="NA",NOT(ISNUMBER(B3000))), "Unknown",B3000&lt;18,"Underage",B3000&lt;=24,"Young Adult",B3000&lt;=34,"Early Career",B3000&lt;=44,"Mid Career",B3000&lt;=54,"Mature",B3000&lt;=65,"Pre-Senior",B3000&gt;65,"Senior")</f>
        <v>Mid Career</v>
      </c>
      <c r="E3000" s="1" t="s">
        <v>58</v>
      </c>
      <c r="F3000" s="1">
        <v>950000</v>
      </c>
      <c r="G3000" s="1">
        <v>55</v>
      </c>
      <c r="H3000" s="1" t="str" cm="1">
        <f t="array" ref="H3000">_xlfn.IFS( OR(G3000=" ",NOT(ISNUMBER(G3000))),"Unknown",G3000&lt;=33,"Low Spender",G3000&lt;=66,"Medium Spender",TRUE, "High Spender")</f>
        <v>Medium Spender</v>
      </c>
      <c r="I3000" s="1">
        <v>25</v>
      </c>
      <c r="J3000" s="1">
        <v>3400</v>
      </c>
      <c r="K3000" s="1">
        <v>62</v>
      </c>
      <c r="L3000" s="1" t="s">
        <v>16</v>
      </c>
      <c r="M3000" s="1" t="s">
        <v>30</v>
      </c>
      <c r="N3000" s="1" t="str">
        <f t="shared" si="92"/>
        <v>Lower</v>
      </c>
      <c r="O3000" s="1" t="str">
        <f t="shared" si="93"/>
        <v>Mid Career | Medium Spender | Lower</v>
      </c>
    </row>
    <row r="3001" spans="1:15" x14ac:dyDescent="0.25">
      <c r="A3001" s="1" t="s">
        <v>3031</v>
      </c>
      <c r="B3001" s="1">
        <v>27</v>
      </c>
      <c r="C3001" s="1" t="str" cm="1">
        <f t="array" ref="C3001">_xlfn.IFS(OR(B3001=" ", B3001="NA",NOT(ISNUMBER(B3001))), "Unknown",B3001&lt;18,"Underage",B3001&lt;=24,"Young Adult",B3001&lt;=34,"Early Career",B3001&lt;=44,"Mid Career",B3001&lt;=54,"Mature",B3001&lt;=65,"Pre-Senior",B3001&gt;65,"Senior")</f>
        <v>Early Career</v>
      </c>
      <c r="D3001" s="1" t="s">
        <v>12</v>
      </c>
      <c r="F3001" s="1">
        <v>1025000</v>
      </c>
      <c r="G3001" s="1">
        <v>53</v>
      </c>
      <c r="H3001" s="1" t="str" cm="1">
        <f t="array" ref="H3001">_xlfn.IFS( OR(G3001=" ",NOT(ISNUMBER(G3001))),"Unknown",G3001&lt;=33,"Low Spender",G3001&lt;=66,"Medium Spender",TRUE, "High Spender")</f>
        <v>Medium Spender</v>
      </c>
      <c r="I3001" s="1">
        <v>76</v>
      </c>
      <c r="J3001" s="1">
        <v>11800</v>
      </c>
      <c r="K3001" s="1">
        <v>339</v>
      </c>
      <c r="L3001" s="1" t="s">
        <v>20</v>
      </c>
      <c r="M3001" s="1" t="s">
        <v>21</v>
      </c>
      <c r="N3001" s="1" t="str">
        <f t="shared" si="92"/>
        <v>Lower</v>
      </c>
      <c r="O3001" s="1" t="str">
        <f t="shared" si="93"/>
        <v>Early Career | Medium Spender | Lower</v>
      </c>
    </row>
    <row r="3002" spans="1:15" x14ac:dyDescent="0.25">
      <c r="A3002" s="1" t="s">
        <v>3032</v>
      </c>
      <c r="B3002" s="1">
        <v>40</v>
      </c>
      <c r="C3002" s="1" t="str" cm="1">
        <f t="array" ref="C3002">_xlfn.IFS(OR(B3002=" ", B3002="NA",NOT(ISNUMBER(B3002))), "Unknown",B3002&lt;18,"Underage",B3002&lt;=24,"Young Adult",B3002&lt;=34,"Early Career",B3002&lt;=44,"Mid Career",B3002&lt;=54,"Mature",B3002&lt;=65,"Pre-Senior",B3002&gt;65,"Senior")</f>
        <v>Mid Career</v>
      </c>
      <c r="E3002" s="1" t="s">
        <v>27</v>
      </c>
      <c r="F3002" s="1">
        <v>950000</v>
      </c>
      <c r="G3002" s="1">
        <v>16</v>
      </c>
      <c r="H3002" s="1" t="str" cm="1">
        <f t="array" ref="H3002">_xlfn.IFS( OR(G3002=" ",NOT(ISNUMBER(G3002))),"Unknown",G3002&lt;=33,"Low Spender",G3002&lt;=66,"Medium Spender",TRUE, "High Spender")</f>
        <v>Low Spender</v>
      </c>
      <c r="I3002" s="1">
        <v>40</v>
      </c>
      <c r="J3002" s="1">
        <v>3300</v>
      </c>
      <c r="K3002" s="1">
        <v>260</v>
      </c>
      <c r="L3002" s="1" t="s">
        <v>37</v>
      </c>
      <c r="M3002" s="1" t="s">
        <v>41</v>
      </c>
      <c r="N3002" s="1" t="str">
        <f t="shared" si="92"/>
        <v>Lower</v>
      </c>
      <c r="O3002" s="1" t="str">
        <f t="shared" si="93"/>
        <v>Mid Career | Low Spender | Lower</v>
      </c>
    </row>
    <row r="3003" spans="1:15" x14ac:dyDescent="0.25">
      <c r="A3003" s="1" t="s">
        <v>3033</v>
      </c>
      <c r="B3003" s="1">
        <v>56</v>
      </c>
      <c r="C3003" s="1" t="str" cm="1">
        <f t="array" ref="C3003">_xlfn.IFS(OR(B3003=" ", B3003="NA",NOT(ISNUMBER(B3003))), "Unknown",B3003&lt;18,"Underage",B3003&lt;=24,"Young Adult",B3003&lt;=34,"Early Career",B3003&lt;=44,"Mid Career",B3003&lt;=54,"Mature",B3003&lt;=65,"Pre-Senior",B3003&gt;65,"Senior")</f>
        <v>Pre-Senior</v>
      </c>
      <c r="D3003" s="1" t="s">
        <v>18</v>
      </c>
      <c r="E3003" s="1" t="s">
        <v>49</v>
      </c>
      <c r="F3003" s="1">
        <v>900000</v>
      </c>
      <c r="G3003" s="1">
        <v>73</v>
      </c>
      <c r="H3003" s="1" t="str" cm="1">
        <f t="array" ref="H3003">_xlfn.IFS( OR(G3003=" ",NOT(ISNUMBER(G3003))),"Unknown",G3003&lt;=33,"Low Spender",G3003&lt;=66,"Medium Spender",TRUE, "High Spender")</f>
        <v>High Spender</v>
      </c>
      <c r="I3003" s="1">
        <v>76</v>
      </c>
      <c r="J3003" s="1">
        <v>1900</v>
      </c>
      <c r="K3003" s="1">
        <v>237</v>
      </c>
      <c r="L3003" s="1" t="s">
        <v>20</v>
      </c>
      <c r="N3003" s="1" t="str">
        <f t="shared" si="92"/>
        <v>Higher</v>
      </c>
      <c r="O3003" s="1" t="str">
        <f t="shared" si="93"/>
        <v>Pre-Senior | High Spender | Higher</v>
      </c>
    </row>
    <row r="3004" spans="1:15" x14ac:dyDescent="0.25">
      <c r="A3004" s="1" t="s">
        <v>3034</v>
      </c>
      <c r="B3004" s="1">
        <v>22</v>
      </c>
      <c r="C3004" s="1" t="str" cm="1">
        <f t="array" ref="C3004">_xlfn.IFS(OR(B3004=" ", B3004="NA",NOT(ISNUMBER(B3004))), "Unknown",B3004&lt;18,"Underage",B3004&lt;=24,"Young Adult",B3004&lt;=34,"Early Career",B3004&lt;=44,"Mid Career",B3004&lt;=54,"Mature",B3004&lt;=65,"Pre-Senior",B3004&gt;65,"Senior")</f>
        <v>Young Adult</v>
      </c>
      <c r="D3004" s="1" t="s">
        <v>18</v>
      </c>
      <c r="E3004" s="1" t="s">
        <v>34</v>
      </c>
      <c r="F3004" s="1">
        <v>650000</v>
      </c>
      <c r="G3004" s="1">
        <v>34</v>
      </c>
      <c r="H3004" s="1" t="str" cm="1">
        <f t="array" ref="H3004">_xlfn.IFS( OR(G3004=" ",NOT(ISNUMBER(G3004))),"Unknown",G3004&lt;=33,"Low Spender",G3004&lt;=66,"Medium Spender",TRUE, "High Spender")</f>
        <v>Medium Spender</v>
      </c>
      <c r="I3004" s="1">
        <v>70</v>
      </c>
      <c r="J3004" s="1">
        <v>11400</v>
      </c>
      <c r="K3004" s="1">
        <v>141</v>
      </c>
      <c r="L3004" s="1" t="s">
        <v>35</v>
      </c>
      <c r="M3004" s="1" t="s">
        <v>21</v>
      </c>
      <c r="N3004" s="1" t="str">
        <f t="shared" si="92"/>
        <v>Higher</v>
      </c>
      <c r="O3004" s="1" t="str">
        <f t="shared" si="93"/>
        <v>Young Adult | Medium Spender | Higher</v>
      </c>
    </row>
    <row r="3005" spans="1:15" x14ac:dyDescent="0.25">
      <c r="A3005" s="1" t="s">
        <v>3035</v>
      </c>
      <c r="B3005" s="1">
        <v>18</v>
      </c>
      <c r="C3005" s="1" t="str" cm="1">
        <f t="array" ref="C3005">_xlfn.IFS(OR(B3005=" ", B3005="NA",NOT(ISNUMBER(B3005))), "Unknown",B3005&lt;18,"Underage",B3005&lt;=24,"Young Adult",B3005&lt;=34,"Early Career",B3005&lt;=44,"Mid Career",B3005&lt;=54,"Mature",B3005&lt;=65,"Pre-Senior",B3005&gt;65,"Senior")</f>
        <v>Young Adult</v>
      </c>
      <c r="E3005" s="1" t="s">
        <v>58</v>
      </c>
      <c r="F3005" s="1">
        <v>800000</v>
      </c>
      <c r="G3005" s="1">
        <v>27</v>
      </c>
      <c r="H3005" s="1" t="str" cm="1">
        <f t="array" ref="H3005">_xlfn.IFS( OR(G3005=" ",NOT(ISNUMBER(G3005))),"Unknown",G3005&lt;=33,"Low Spender",G3005&lt;=66,"Medium Spender",TRUE, "High Spender")</f>
        <v>Low Spender</v>
      </c>
      <c r="I3005" s="1">
        <v>10</v>
      </c>
      <c r="J3005" s="1">
        <v>10500</v>
      </c>
      <c r="K3005" s="1">
        <v>167</v>
      </c>
      <c r="M3005" s="1" t="s">
        <v>41</v>
      </c>
      <c r="N3005" s="1" t="str">
        <f t="shared" si="92"/>
        <v>Lower</v>
      </c>
      <c r="O3005" s="1" t="str">
        <f t="shared" si="93"/>
        <v>Young Adult | Low Spender | Lower</v>
      </c>
    </row>
    <row r="3006" spans="1:15" x14ac:dyDescent="0.25">
      <c r="A3006" s="1" t="s">
        <v>3036</v>
      </c>
      <c r="B3006" s="1">
        <v>30</v>
      </c>
      <c r="C3006" s="1" t="str" cm="1">
        <f t="array" ref="C3006">_xlfn.IFS(OR(B3006=" ", B3006="NA",NOT(ISNUMBER(B3006))), "Unknown",B3006&lt;18,"Underage",B3006&lt;=24,"Young Adult",B3006&lt;=34,"Early Career",B3006&lt;=44,"Mid Career",B3006&lt;=54,"Mature",B3006&lt;=65,"Pre-Senior",B3006&gt;65,"Senior")</f>
        <v>Early Career</v>
      </c>
      <c r="D3006" s="1" t="s">
        <v>18</v>
      </c>
      <c r="E3006" s="1" t="s">
        <v>15</v>
      </c>
      <c r="F3006" s="1">
        <v>1925000</v>
      </c>
      <c r="G3006" s="1">
        <v>13</v>
      </c>
      <c r="H3006" s="1" t="str" cm="1">
        <f t="array" ref="H3006">_xlfn.IFS( OR(G3006=" ",NOT(ISNUMBER(G3006))),"Unknown",G3006&lt;=33,"Low Spender",G3006&lt;=66,"Medium Spender",TRUE, "High Spender")</f>
        <v>Low Spender</v>
      </c>
      <c r="I3006" s="1">
        <v>66</v>
      </c>
      <c r="J3006" s="1">
        <v>6000</v>
      </c>
      <c r="K3006" s="1">
        <v>67</v>
      </c>
      <c r="L3006" s="1" t="s">
        <v>16</v>
      </c>
      <c r="M3006" s="1" t="s">
        <v>30</v>
      </c>
      <c r="N3006" s="1" t="str">
        <f t="shared" si="92"/>
        <v>Higher</v>
      </c>
      <c r="O3006" s="1" t="str">
        <f t="shared" si="93"/>
        <v>Early Career | Low Spender | Higher</v>
      </c>
    </row>
    <row r="3007" spans="1:15" x14ac:dyDescent="0.25">
      <c r="A3007" s="1" t="s">
        <v>3037</v>
      </c>
      <c r="B3007" s="1">
        <v>38</v>
      </c>
      <c r="C3007" s="1" t="str" cm="1">
        <f t="array" ref="C3007">_xlfn.IFS(OR(B3007=" ", B3007="NA",NOT(ISNUMBER(B3007))), "Unknown",B3007&lt;18,"Underage",B3007&lt;=24,"Young Adult",B3007&lt;=34,"Early Career",B3007&lt;=44,"Mid Career",B3007&lt;=54,"Mature",B3007&lt;=65,"Pre-Senior",B3007&gt;65,"Senior")</f>
        <v>Mid Career</v>
      </c>
      <c r="E3007" s="1" t="s">
        <v>58</v>
      </c>
      <c r="F3007" s="1">
        <v>1675000</v>
      </c>
      <c r="G3007" s="1">
        <v>100</v>
      </c>
      <c r="H3007" s="1" t="str" cm="1">
        <f t="array" ref="H3007">_xlfn.IFS( OR(G3007=" ",NOT(ISNUMBER(G3007))),"Unknown",G3007&lt;=33,"Low Spender",G3007&lt;=66,"Medium Spender",TRUE, "High Spender")</f>
        <v>High Spender</v>
      </c>
      <c r="I3007" s="1">
        <v>25</v>
      </c>
      <c r="J3007" s="1">
        <v>8800</v>
      </c>
      <c r="K3007" s="1">
        <v>350</v>
      </c>
      <c r="N3007" s="1" t="str">
        <f t="shared" si="92"/>
        <v>Lower</v>
      </c>
      <c r="O3007" s="1" t="str">
        <f t="shared" si="93"/>
        <v>Mid Career | High Spender | Lower</v>
      </c>
    </row>
    <row r="3008" spans="1:15" x14ac:dyDescent="0.25">
      <c r="A3008" s="1" t="s">
        <v>3038</v>
      </c>
      <c r="B3008" s="1">
        <v>43</v>
      </c>
      <c r="C3008" s="1" t="str" cm="1">
        <f t="array" ref="C3008">_xlfn.IFS(OR(B3008=" ", B3008="NA",NOT(ISNUMBER(B3008))), "Unknown",B3008&lt;18,"Underage",B3008&lt;=24,"Young Adult",B3008&lt;=34,"Early Career",B3008&lt;=44,"Mid Career",B3008&lt;=54,"Mature",B3008&lt;=65,"Pre-Senior",B3008&gt;65,"Senior")</f>
        <v>Mid Career</v>
      </c>
      <c r="F3008" s="1">
        <v>775000</v>
      </c>
      <c r="G3008" s="1">
        <v>27</v>
      </c>
      <c r="H3008" s="1" t="str" cm="1">
        <f t="array" ref="H3008">_xlfn.IFS( OR(G3008=" ",NOT(ISNUMBER(G3008))),"Unknown",G3008&lt;=33,"Low Spender",G3008&lt;=66,"Medium Spender",TRUE, "High Spender")</f>
        <v>Low Spender</v>
      </c>
      <c r="I3008" s="1">
        <v>71</v>
      </c>
      <c r="J3008" s="1">
        <v>3700</v>
      </c>
      <c r="K3008" s="1">
        <v>58</v>
      </c>
      <c r="L3008" s="1" t="s">
        <v>37</v>
      </c>
      <c r="M3008" s="1" t="s">
        <v>30</v>
      </c>
      <c r="N3008" s="1" t="str">
        <f t="shared" si="92"/>
        <v>Lower</v>
      </c>
      <c r="O3008" s="1" t="str">
        <f t="shared" si="93"/>
        <v>Mid Career | Low Spender | Lower</v>
      </c>
    </row>
    <row r="3009" spans="1:15" x14ac:dyDescent="0.25">
      <c r="A3009" s="1" t="s">
        <v>3039</v>
      </c>
      <c r="B3009" s="1">
        <v>67</v>
      </c>
      <c r="C3009" s="1" t="str" cm="1">
        <f t="array" ref="C3009">_xlfn.IFS(OR(B3009=" ", B3009="NA",NOT(ISNUMBER(B3009))), "Unknown",B3009&lt;18,"Underage",B3009&lt;=24,"Young Adult",B3009&lt;=34,"Early Career",B3009&lt;=44,"Mid Career",B3009&lt;=54,"Mature",B3009&lt;=65,"Pre-Senior",B3009&gt;65,"Senior")</f>
        <v>Senior</v>
      </c>
      <c r="D3009" s="1" t="s">
        <v>29</v>
      </c>
      <c r="E3009" s="1" t="s">
        <v>13</v>
      </c>
      <c r="F3009" s="1">
        <v>1775000</v>
      </c>
      <c r="G3009" s="1">
        <v>73</v>
      </c>
      <c r="H3009" s="1" t="str" cm="1">
        <f t="array" ref="H3009">_xlfn.IFS( OR(G3009=" ",NOT(ISNUMBER(G3009))),"Unknown",G3009&lt;=33,"Low Spender",G3009&lt;=66,"Medium Spender",TRUE, "High Spender")</f>
        <v>High Spender</v>
      </c>
      <c r="I3009" s="1">
        <v>11</v>
      </c>
      <c r="J3009" s="1">
        <v>3200</v>
      </c>
      <c r="K3009" s="1">
        <v>212</v>
      </c>
      <c r="N3009" s="1" t="str">
        <f t="shared" si="92"/>
        <v>Higher</v>
      </c>
      <c r="O3009" s="1" t="str">
        <f t="shared" si="93"/>
        <v>Senior | High Spender | Higher</v>
      </c>
    </row>
    <row r="3010" spans="1:15" x14ac:dyDescent="0.25">
      <c r="A3010" s="1" t="s">
        <v>3040</v>
      </c>
      <c r="B3010" s="1">
        <v>62</v>
      </c>
      <c r="C3010" s="1" t="str" cm="1">
        <f t="array" ref="C3010">_xlfn.IFS(OR(B3010=" ", B3010="NA",NOT(ISNUMBER(B3010))), "Unknown",B3010&lt;18,"Underage",B3010&lt;=24,"Young Adult",B3010&lt;=34,"Early Career",B3010&lt;=44,"Mid Career",B3010&lt;=54,"Mature",B3010&lt;=65,"Pre-Senior",B3010&gt;65,"Senior")</f>
        <v>Pre-Senior</v>
      </c>
      <c r="D3010" s="1" t="s">
        <v>12</v>
      </c>
      <c r="E3010" s="1" t="s">
        <v>34</v>
      </c>
      <c r="F3010" s="1">
        <v>425000</v>
      </c>
      <c r="G3010" s="1">
        <v>69</v>
      </c>
      <c r="H3010" s="1" t="str" cm="1">
        <f t="array" ref="H3010">_xlfn.IFS( OR(G3010=" ",NOT(ISNUMBER(G3010))),"Unknown",G3010&lt;=33,"Low Spender",G3010&lt;=66,"Medium Spender",TRUE, "High Spender")</f>
        <v>High Spender</v>
      </c>
      <c r="I3010" s="1">
        <v>36</v>
      </c>
      <c r="J3010" s="1">
        <v>6600</v>
      </c>
      <c r="K3010" s="1">
        <v>130</v>
      </c>
      <c r="M3010" s="1" t="s">
        <v>21</v>
      </c>
      <c r="N3010" s="1" t="str">
        <f t="shared" ref="N3010:N3073" si="94">IF(OR(UPPER(TRIM(D3010))="Male",UPPER(TRIM(D3010))="Female"),"Higher","Lower")</f>
        <v>Lower</v>
      </c>
      <c r="O3010" s="1" t="str">
        <f t="shared" ref="O3010:O3073" si="95">_xlfn.TEXTJOIN(" | ", TRUE, C3010, H3010, N3010)</f>
        <v>Pre-Senior | High Spender | Lower</v>
      </c>
    </row>
    <row r="3011" spans="1:15" x14ac:dyDescent="0.25">
      <c r="A3011" s="1" t="s">
        <v>3041</v>
      </c>
      <c r="B3011" s="1">
        <v>38</v>
      </c>
      <c r="C3011" s="1" t="str" cm="1">
        <f t="array" ref="C3011">_xlfn.IFS(OR(B3011=" ", B3011="NA",NOT(ISNUMBER(B3011))), "Unknown",B3011&lt;18,"Underage",B3011&lt;=24,"Young Adult",B3011&lt;=34,"Early Career",B3011&lt;=44,"Mid Career",B3011&lt;=54,"Mature",B3011&lt;=65,"Pre-Senior",B3011&gt;65,"Senior")</f>
        <v>Mid Career</v>
      </c>
      <c r="D3011" s="1" t="s">
        <v>29</v>
      </c>
      <c r="E3011" s="1" t="s">
        <v>15</v>
      </c>
      <c r="F3011" s="1">
        <v>675000</v>
      </c>
      <c r="G3011" s="1">
        <v>86</v>
      </c>
      <c r="H3011" s="1" t="str" cm="1">
        <f t="array" ref="H3011">_xlfn.IFS( OR(G3011=" ",NOT(ISNUMBER(G3011))),"Unknown",G3011&lt;=33,"Low Spender",G3011&lt;=66,"Medium Spender",TRUE, "High Spender")</f>
        <v>High Spender</v>
      </c>
      <c r="I3011" s="1">
        <v>49</v>
      </c>
      <c r="J3011" s="1">
        <v>5500</v>
      </c>
      <c r="K3011" s="1">
        <v>25</v>
      </c>
      <c r="L3011" s="1" t="s">
        <v>20</v>
      </c>
      <c r="M3011" s="1" t="s">
        <v>21</v>
      </c>
      <c r="N3011" s="1" t="str">
        <f t="shared" si="94"/>
        <v>Higher</v>
      </c>
      <c r="O3011" s="1" t="str">
        <f t="shared" si="95"/>
        <v>Mid Career | High Spender | Higher</v>
      </c>
    </row>
    <row r="3012" spans="1:15" x14ac:dyDescent="0.25">
      <c r="A3012" s="1" t="s">
        <v>3042</v>
      </c>
      <c r="C3012" s="1" t="str" cm="1">
        <f t="array" ref="C3012">_xlfn.IFS(OR(B3012=" ", B3012="NA",NOT(ISNUMBER(B3012))), "Unknown",B3012&lt;18,"Underage",B3012&lt;=24,"Young Adult",B3012&lt;=34,"Early Career",B3012&lt;=44,"Mid Career",B3012&lt;=54,"Mature",B3012&lt;=65,"Pre-Senior",B3012&gt;65,"Senior")</f>
        <v>Unknown</v>
      </c>
      <c r="D3012" s="1" t="s">
        <v>18</v>
      </c>
      <c r="F3012" s="1">
        <v>550000</v>
      </c>
      <c r="G3012" s="1">
        <v>31</v>
      </c>
      <c r="H3012" s="1" t="str" cm="1">
        <f t="array" ref="H3012">_xlfn.IFS( OR(G3012=" ",NOT(ISNUMBER(G3012))),"Unknown",G3012&lt;=33,"Low Spender",G3012&lt;=66,"Medium Spender",TRUE, "High Spender")</f>
        <v>Low Spender</v>
      </c>
      <c r="I3012" s="1">
        <v>48</v>
      </c>
      <c r="J3012" s="1">
        <v>5300</v>
      </c>
      <c r="K3012" s="1">
        <v>11</v>
      </c>
      <c r="L3012" s="1" t="s">
        <v>37</v>
      </c>
      <c r="N3012" s="1" t="str">
        <f t="shared" si="94"/>
        <v>Higher</v>
      </c>
      <c r="O3012" s="1" t="str">
        <f t="shared" si="95"/>
        <v>Unknown | Low Spender | Higher</v>
      </c>
    </row>
    <row r="3013" spans="1:15" x14ac:dyDescent="0.25">
      <c r="A3013" s="1" t="s">
        <v>3043</v>
      </c>
      <c r="B3013" s="1">
        <v>35</v>
      </c>
      <c r="C3013" s="1" t="str" cm="1">
        <f t="array" ref="C3013">_xlfn.IFS(OR(B3013=" ", B3013="NA",NOT(ISNUMBER(B3013))), "Unknown",B3013&lt;18,"Underage",B3013&lt;=24,"Young Adult",B3013&lt;=34,"Early Career",B3013&lt;=44,"Mid Career",B3013&lt;=54,"Mature",B3013&lt;=65,"Pre-Senior",B3013&gt;65,"Senior")</f>
        <v>Mid Career</v>
      </c>
      <c r="D3013" s="1" t="s">
        <v>12</v>
      </c>
      <c r="F3013" s="1">
        <v>300000</v>
      </c>
      <c r="G3013" s="1">
        <v>3</v>
      </c>
      <c r="H3013" s="1" t="str" cm="1">
        <f t="array" ref="H3013">_xlfn.IFS( OR(G3013=" ",NOT(ISNUMBER(G3013))),"Unknown",G3013&lt;=33,"Low Spender",G3013&lt;=66,"Medium Spender",TRUE, "High Spender")</f>
        <v>Low Spender</v>
      </c>
      <c r="I3013" s="1">
        <v>7</v>
      </c>
      <c r="J3013" s="1">
        <v>10600</v>
      </c>
      <c r="K3013" s="1">
        <v>257</v>
      </c>
      <c r="M3013" s="1" t="s">
        <v>41</v>
      </c>
      <c r="N3013" s="1" t="str">
        <f t="shared" si="94"/>
        <v>Lower</v>
      </c>
      <c r="O3013" s="1" t="str">
        <f t="shared" si="95"/>
        <v>Mid Career | Low Spender | Lower</v>
      </c>
    </row>
    <row r="3014" spans="1:15" x14ac:dyDescent="0.25">
      <c r="A3014" s="1" t="s">
        <v>3044</v>
      </c>
      <c r="B3014" s="1">
        <v>54</v>
      </c>
      <c r="C3014" s="1" t="str" cm="1">
        <f t="array" ref="C3014">_xlfn.IFS(OR(B3014=" ", B3014="NA",NOT(ISNUMBER(B3014))), "Unknown",B3014&lt;18,"Underage",B3014&lt;=24,"Young Adult",B3014&lt;=34,"Early Career",B3014&lt;=44,"Mid Career",B3014&lt;=54,"Mature",B3014&lt;=65,"Pre-Senior",B3014&gt;65,"Senior")</f>
        <v>Mature</v>
      </c>
      <c r="E3014" s="1" t="s">
        <v>27</v>
      </c>
      <c r="F3014" s="1">
        <v>1825000</v>
      </c>
      <c r="G3014" s="1">
        <v>30</v>
      </c>
      <c r="H3014" s="1" t="str" cm="1">
        <f t="array" ref="H3014">_xlfn.IFS( OR(G3014=" ",NOT(ISNUMBER(G3014))),"Unknown",G3014&lt;=33,"Low Spender",G3014&lt;=66,"Medium Spender",TRUE, "High Spender")</f>
        <v>Low Spender</v>
      </c>
      <c r="I3014" s="1">
        <v>77</v>
      </c>
      <c r="J3014" s="1">
        <v>3900</v>
      </c>
      <c r="K3014" s="1">
        <v>304</v>
      </c>
      <c r="L3014" s="1" t="s">
        <v>16</v>
      </c>
      <c r="M3014" s="1" t="s">
        <v>41</v>
      </c>
      <c r="N3014" s="1" t="str">
        <f t="shared" si="94"/>
        <v>Lower</v>
      </c>
      <c r="O3014" s="1" t="str">
        <f t="shared" si="95"/>
        <v>Mature | Low Spender | Lower</v>
      </c>
    </row>
    <row r="3015" spans="1:15" x14ac:dyDescent="0.25">
      <c r="A3015" s="1" t="s">
        <v>3045</v>
      </c>
      <c r="B3015" s="1">
        <v>62</v>
      </c>
      <c r="C3015" s="1" t="str" cm="1">
        <f t="array" ref="C3015">_xlfn.IFS(OR(B3015=" ", B3015="NA",NOT(ISNUMBER(B3015))), "Unknown",B3015&lt;18,"Underage",B3015&lt;=24,"Young Adult",B3015&lt;=34,"Early Career",B3015&lt;=44,"Mid Career",B3015&lt;=54,"Mature",B3015&lt;=65,"Pre-Senior",B3015&gt;65,"Senior")</f>
        <v>Pre-Senior</v>
      </c>
      <c r="D3015" s="1" t="s">
        <v>29</v>
      </c>
      <c r="E3015" s="1" t="s">
        <v>58</v>
      </c>
      <c r="F3015" s="1">
        <v>1050000</v>
      </c>
      <c r="G3015" s="1">
        <v>21</v>
      </c>
      <c r="H3015" s="1" t="str" cm="1">
        <f t="array" ref="H3015">_xlfn.IFS( OR(G3015=" ",NOT(ISNUMBER(G3015))),"Unknown",G3015&lt;=33,"Low Spender",G3015&lt;=66,"Medium Spender",TRUE, "High Spender")</f>
        <v>Low Spender</v>
      </c>
      <c r="I3015" s="1">
        <v>51</v>
      </c>
      <c r="J3015" s="1">
        <v>9200</v>
      </c>
      <c r="K3015" s="1">
        <v>81</v>
      </c>
      <c r="M3015" s="1" t="s">
        <v>41</v>
      </c>
      <c r="N3015" s="1" t="str">
        <f t="shared" si="94"/>
        <v>Higher</v>
      </c>
      <c r="O3015" s="1" t="str">
        <f t="shared" si="95"/>
        <v>Pre-Senior | Low Spender | Higher</v>
      </c>
    </row>
    <row r="3016" spans="1:15" x14ac:dyDescent="0.25">
      <c r="A3016" s="1" t="s">
        <v>3046</v>
      </c>
      <c r="B3016" s="1">
        <v>49</v>
      </c>
      <c r="C3016" s="1" t="str" cm="1">
        <f t="array" ref="C3016">_xlfn.IFS(OR(B3016=" ", B3016="NA",NOT(ISNUMBER(B3016))), "Unknown",B3016&lt;18,"Underage",B3016&lt;=24,"Young Adult",B3016&lt;=34,"Early Career",B3016&lt;=44,"Mid Career",B3016&lt;=54,"Mature",B3016&lt;=65,"Pre-Senior",B3016&gt;65,"Senior")</f>
        <v>Mature</v>
      </c>
      <c r="D3016" s="1" t="s">
        <v>29</v>
      </c>
      <c r="F3016" s="1">
        <v>1075000</v>
      </c>
      <c r="G3016" s="1">
        <v>99</v>
      </c>
      <c r="H3016" s="1" t="str" cm="1">
        <f t="array" ref="H3016">_xlfn.IFS( OR(G3016=" ",NOT(ISNUMBER(G3016))),"Unknown",G3016&lt;=33,"Low Spender",G3016&lt;=66,"Medium Spender",TRUE, "High Spender")</f>
        <v>High Spender</v>
      </c>
      <c r="I3016" s="1">
        <v>17</v>
      </c>
      <c r="J3016" s="1">
        <v>800</v>
      </c>
      <c r="K3016" s="1">
        <v>286</v>
      </c>
      <c r="L3016" s="1" t="s">
        <v>35</v>
      </c>
      <c r="M3016" s="1" t="s">
        <v>32</v>
      </c>
      <c r="N3016" s="1" t="str">
        <f t="shared" si="94"/>
        <v>Higher</v>
      </c>
      <c r="O3016" s="1" t="str">
        <f t="shared" si="95"/>
        <v>Mature | High Spender | Higher</v>
      </c>
    </row>
    <row r="3017" spans="1:15" x14ac:dyDescent="0.25">
      <c r="A3017" s="1" t="s">
        <v>3047</v>
      </c>
      <c r="B3017" s="1">
        <v>53</v>
      </c>
      <c r="C3017" s="1" t="str" cm="1">
        <f t="array" ref="C3017">_xlfn.IFS(OR(B3017=" ", B3017="NA",NOT(ISNUMBER(B3017))), "Unknown",B3017&lt;18,"Underage",B3017&lt;=24,"Young Adult",B3017&lt;=34,"Early Career",B3017&lt;=44,"Mid Career",B3017&lt;=54,"Mature",B3017&lt;=65,"Pre-Senior",B3017&gt;65,"Senior")</f>
        <v>Mature</v>
      </c>
      <c r="D3017" s="1" t="s">
        <v>18</v>
      </c>
      <c r="E3017" s="1" t="s">
        <v>15</v>
      </c>
      <c r="F3017" s="1">
        <v>400000</v>
      </c>
      <c r="G3017" s="1">
        <v>6</v>
      </c>
      <c r="H3017" s="1" t="str" cm="1">
        <f t="array" ref="H3017">_xlfn.IFS( OR(G3017=" ",NOT(ISNUMBER(G3017))),"Unknown",G3017&lt;=33,"Low Spender",G3017&lt;=66,"Medium Spender",TRUE, "High Spender")</f>
        <v>Low Spender</v>
      </c>
      <c r="I3017" s="1">
        <v>32</v>
      </c>
      <c r="J3017" s="1">
        <v>3600</v>
      </c>
      <c r="K3017" s="1">
        <v>19</v>
      </c>
      <c r="L3017" s="1" t="s">
        <v>35</v>
      </c>
      <c r="N3017" s="1" t="str">
        <f t="shared" si="94"/>
        <v>Higher</v>
      </c>
      <c r="O3017" s="1" t="str">
        <f t="shared" si="95"/>
        <v>Mature | Low Spender | Higher</v>
      </c>
    </row>
    <row r="3018" spans="1:15" x14ac:dyDescent="0.25">
      <c r="A3018" s="1" t="s">
        <v>3048</v>
      </c>
      <c r="B3018" s="1">
        <v>34</v>
      </c>
      <c r="C3018" s="1" t="str" cm="1">
        <f t="array" ref="C3018">_xlfn.IFS(OR(B3018=" ", B3018="NA",NOT(ISNUMBER(B3018))), "Unknown",B3018&lt;18,"Underage",B3018&lt;=24,"Young Adult",B3018&lt;=34,"Early Career",B3018&lt;=44,"Mid Career",B3018&lt;=54,"Mature",B3018&lt;=65,"Pre-Senior",B3018&gt;65,"Senior")</f>
        <v>Early Career</v>
      </c>
      <c r="F3018" s="1">
        <v>150000</v>
      </c>
      <c r="G3018" s="1">
        <v>92</v>
      </c>
      <c r="H3018" s="1" t="str" cm="1">
        <f t="array" ref="H3018">_xlfn.IFS( OR(G3018=" ",NOT(ISNUMBER(G3018))),"Unknown",G3018&lt;=33,"Low Spender",G3018&lt;=66,"Medium Spender",TRUE, "High Spender")</f>
        <v>High Spender</v>
      </c>
      <c r="I3018" s="1">
        <v>26</v>
      </c>
      <c r="J3018" s="1">
        <v>5800</v>
      </c>
      <c r="K3018" s="1">
        <v>110</v>
      </c>
      <c r="L3018" s="1" t="s">
        <v>20</v>
      </c>
      <c r="N3018" s="1" t="str">
        <f t="shared" si="94"/>
        <v>Lower</v>
      </c>
      <c r="O3018" s="1" t="str">
        <f t="shared" si="95"/>
        <v>Early Career | High Spender | Lower</v>
      </c>
    </row>
    <row r="3019" spans="1:15" x14ac:dyDescent="0.25">
      <c r="A3019" s="1" t="s">
        <v>3049</v>
      </c>
      <c r="B3019" s="1">
        <v>52</v>
      </c>
      <c r="C3019" s="1" t="str" cm="1">
        <f t="array" ref="C3019">_xlfn.IFS(OR(B3019=" ", B3019="NA",NOT(ISNUMBER(B3019))), "Unknown",B3019&lt;18,"Underage",B3019&lt;=24,"Young Adult",B3019&lt;=34,"Early Career",B3019&lt;=44,"Mid Career",B3019&lt;=54,"Mature",B3019&lt;=65,"Pre-Senior",B3019&gt;65,"Senior")</f>
        <v>Mature</v>
      </c>
      <c r="E3019" s="1" t="s">
        <v>13</v>
      </c>
      <c r="F3019" s="1">
        <v>750000</v>
      </c>
      <c r="G3019" s="1">
        <v>32</v>
      </c>
      <c r="H3019" s="1" t="str" cm="1">
        <f t="array" ref="H3019">_xlfn.IFS( OR(G3019=" ",NOT(ISNUMBER(G3019))),"Unknown",G3019&lt;=33,"Low Spender",G3019&lt;=66,"Medium Spender",TRUE, "High Spender")</f>
        <v>Low Spender</v>
      </c>
      <c r="I3019" s="1">
        <v>22</v>
      </c>
      <c r="J3019" s="1">
        <v>9800</v>
      </c>
      <c r="K3019" s="1">
        <v>34</v>
      </c>
      <c r="N3019" s="1" t="str">
        <f t="shared" si="94"/>
        <v>Lower</v>
      </c>
      <c r="O3019" s="1" t="str">
        <f t="shared" si="95"/>
        <v>Mature | Low Spender | Lower</v>
      </c>
    </row>
    <row r="3020" spans="1:15" x14ac:dyDescent="0.25">
      <c r="A3020" s="1" t="s">
        <v>3050</v>
      </c>
      <c r="B3020" s="1">
        <v>66</v>
      </c>
      <c r="C3020" s="1" t="str" cm="1">
        <f t="array" ref="C3020">_xlfn.IFS(OR(B3020=" ", B3020="NA",NOT(ISNUMBER(B3020))), "Unknown",B3020&lt;18,"Underage",B3020&lt;=24,"Young Adult",B3020&lt;=34,"Early Career",B3020&lt;=44,"Mid Career",B3020&lt;=54,"Mature",B3020&lt;=65,"Pre-Senior",B3020&gt;65,"Senior")</f>
        <v>Senior</v>
      </c>
      <c r="D3020" s="1" t="s">
        <v>18</v>
      </c>
      <c r="E3020" s="1" t="s">
        <v>58</v>
      </c>
      <c r="F3020" s="1">
        <v>1175000</v>
      </c>
      <c r="G3020" s="1">
        <v>42</v>
      </c>
      <c r="H3020" s="1" t="str" cm="1">
        <f t="array" ref="H3020">_xlfn.IFS( OR(G3020=" ",NOT(ISNUMBER(G3020))),"Unknown",G3020&lt;=33,"Low Spender",G3020&lt;=66,"Medium Spender",TRUE, "High Spender")</f>
        <v>Medium Spender</v>
      </c>
      <c r="I3020" s="1">
        <v>13</v>
      </c>
      <c r="J3020" s="1">
        <v>2700</v>
      </c>
      <c r="K3020" s="1">
        <v>288</v>
      </c>
      <c r="L3020" s="1" t="s">
        <v>35</v>
      </c>
      <c r="M3020" s="1" t="s">
        <v>41</v>
      </c>
      <c r="N3020" s="1" t="str">
        <f t="shared" si="94"/>
        <v>Higher</v>
      </c>
      <c r="O3020" s="1" t="str">
        <f t="shared" si="95"/>
        <v>Senior | Medium Spender | Higher</v>
      </c>
    </row>
    <row r="3021" spans="1:15" x14ac:dyDescent="0.25">
      <c r="A3021" s="1" t="s">
        <v>3051</v>
      </c>
      <c r="B3021" s="1">
        <v>28</v>
      </c>
      <c r="C3021" s="1" t="str" cm="1">
        <f t="array" ref="C3021">_xlfn.IFS(OR(B3021=" ", B3021="NA",NOT(ISNUMBER(B3021))), "Unknown",B3021&lt;18,"Underage",B3021&lt;=24,"Young Adult",B3021&lt;=34,"Early Career",B3021&lt;=44,"Mid Career",B3021&lt;=54,"Mature",B3021&lt;=65,"Pre-Senior",B3021&gt;65,"Senior")</f>
        <v>Early Career</v>
      </c>
      <c r="D3021" s="1" t="s">
        <v>29</v>
      </c>
      <c r="E3021" s="1" t="s">
        <v>27</v>
      </c>
      <c r="F3021" s="1">
        <v>1425000</v>
      </c>
      <c r="H3021" s="1" t="str" cm="1">
        <f t="array" ref="H3021">_xlfn.IFS( OR(G3021=" ",NOT(ISNUMBER(G3021))),"Unknown",G3021&lt;=33,"Low Spender",G3021&lt;=66,"Medium Spender",TRUE, "High Spender")</f>
        <v>Unknown</v>
      </c>
      <c r="I3021" s="1">
        <v>12</v>
      </c>
      <c r="J3021" s="1">
        <v>11700</v>
      </c>
      <c r="K3021" s="1">
        <v>332</v>
      </c>
      <c r="L3021" s="1" t="s">
        <v>20</v>
      </c>
      <c r="M3021" s="1" t="s">
        <v>21</v>
      </c>
      <c r="N3021" s="1" t="str">
        <f t="shared" si="94"/>
        <v>Higher</v>
      </c>
      <c r="O3021" s="1" t="str">
        <f t="shared" si="95"/>
        <v>Early Career | Unknown | Higher</v>
      </c>
    </row>
    <row r="3022" spans="1:15" x14ac:dyDescent="0.25">
      <c r="A3022" s="1" t="s">
        <v>3052</v>
      </c>
      <c r="B3022" s="1">
        <v>38</v>
      </c>
      <c r="C3022" s="1" t="str" cm="1">
        <f t="array" ref="C3022">_xlfn.IFS(OR(B3022=" ", B3022="NA",NOT(ISNUMBER(B3022))), "Unknown",B3022&lt;18,"Underage",B3022&lt;=24,"Young Adult",B3022&lt;=34,"Early Career",B3022&lt;=44,"Mid Career",B3022&lt;=54,"Mature",B3022&lt;=65,"Pre-Senior",B3022&gt;65,"Senior")</f>
        <v>Mid Career</v>
      </c>
      <c r="D3022" s="1" t="s">
        <v>18</v>
      </c>
      <c r="E3022" s="1" t="s">
        <v>13</v>
      </c>
      <c r="F3022" s="1">
        <v>725000</v>
      </c>
      <c r="G3022" s="1">
        <v>62</v>
      </c>
      <c r="H3022" s="1" t="str" cm="1">
        <f t="array" ref="H3022">_xlfn.IFS( OR(G3022=" ",NOT(ISNUMBER(G3022))),"Unknown",G3022&lt;=33,"Low Spender",G3022&lt;=66,"Medium Spender",TRUE, "High Spender")</f>
        <v>Medium Spender</v>
      </c>
      <c r="I3022" s="1">
        <v>71</v>
      </c>
      <c r="J3022" s="1">
        <v>1500</v>
      </c>
      <c r="K3022" s="1">
        <v>255</v>
      </c>
      <c r="M3022" s="1" t="s">
        <v>32</v>
      </c>
      <c r="N3022" s="1" t="str">
        <f t="shared" si="94"/>
        <v>Higher</v>
      </c>
      <c r="O3022" s="1" t="str">
        <f t="shared" si="95"/>
        <v>Mid Career | Medium Spender | Higher</v>
      </c>
    </row>
    <row r="3023" spans="1:15" x14ac:dyDescent="0.25">
      <c r="A3023" s="1" t="s">
        <v>3053</v>
      </c>
      <c r="B3023" s="1">
        <v>69</v>
      </c>
      <c r="C3023" s="1" t="str" cm="1">
        <f t="array" ref="C3023">_xlfn.IFS(OR(B3023=" ", B3023="NA",NOT(ISNUMBER(B3023))), "Unknown",B3023&lt;18,"Underage",B3023&lt;=24,"Young Adult",B3023&lt;=34,"Early Career",B3023&lt;=44,"Mid Career",B3023&lt;=54,"Mature",B3023&lt;=65,"Pre-Senior",B3023&gt;65,"Senior")</f>
        <v>Senior</v>
      </c>
      <c r="D3023" s="1" t="s">
        <v>12</v>
      </c>
      <c r="E3023" s="1" t="s">
        <v>23</v>
      </c>
      <c r="F3023" s="1">
        <v>1450000</v>
      </c>
      <c r="G3023" s="1">
        <v>89</v>
      </c>
      <c r="H3023" s="1" t="str" cm="1">
        <f t="array" ref="H3023">_xlfn.IFS( OR(G3023=" ",NOT(ISNUMBER(G3023))),"Unknown",G3023&lt;=33,"Low Spender",G3023&lt;=66,"Medium Spender",TRUE, "High Spender")</f>
        <v>High Spender</v>
      </c>
      <c r="I3023" s="1">
        <v>1</v>
      </c>
      <c r="J3023" s="1">
        <v>6500</v>
      </c>
      <c r="K3023" s="1">
        <v>126</v>
      </c>
      <c r="L3023" s="1" t="s">
        <v>37</v>
      </c>
      <c r="M3023" s="1" t="s">
        <v>41</v>
      </c>
      <c r="N3023" s="1" t="str">
        <f t="shared" si="94"/>
        <v>Lower</v>
      </c>
      <c r="O3023" s="1" t="str">
        <f t="shared" si="95"/>
        <v>Senior | High Spender | Lower</v>
      </c>
    </row>
    <row r="3024" spans="1:15" x14ac:dyDescent="0.25">
      <c r="A3024" s="1" t="s">
        <v>3054</v>
      </c>
      <c r="B3024" s="1" t="s">
        <v>73</v>
      </c>
      <c r="C3024" s="1" t="str" cm="1">
        <f t="array" ref="C3024">_xlfn.IFS(OR(B3024=" ", B3024="NA",NOT(ISNUMBER(B3024))), "Unknown",B3024&lt;18,"Underage",B3024&lt;=24,"Young Adult",B3024&lt;=34,"Early Career",B3024&lt;=44,"Mid Career",B3024&lt;=54,"Mature",B3024&lt;=65,"Pre-Senior",B3024&gt;65,"Senior")</f>
        <v>Unknown</v>
      </c>
      <c r="D3024" s="1" t="s">
        <v>18</v>
      </c>
      <c r="F3024" s="1">
        <v>1525000</v>
      </c>
      <c r="G3024" s="1">
        <v>32</v>
      </c>
      <c r="H3024" s="1" t="str" cm="1">
        <f t="array" ref="H3024">_xlfn.IFS( OR(G3024=" ",NOT(ISNUMBER(G3024))),"Unknown",G3024&lt;=33,"Low Spender",G3024&lt;=66,"Medium Spender",TRUE, "High Spender")</f>
        <v>Low Spender</v>
      </c>
      <c r="I3024" s="1">
        <v>33</v>
      </c>
      <c r="J3024" s="1">
        <v>10400</v>
      </c>
      <c r="K3024" s="1">
        <v>209</v>
      </c>
      <c r="L3024" s="1" t="s">
        <v>16</v>
      </c>
      <c r="M3024" s="1" t="s">
        <v>21</v>
      </c>
      <c r="N3024" s="1" t="str">
        <f t="shared" si="94"/>
        <v>Higher</v>
      </c>
      <c r="O3024" s="1" t="str">
        <f t="shared" si="95"/>
        <v>Unknown | Low Spender | Higher</v>
      </c>
    </row>
    <row r="3025" spans="1:15" x14ac:dyDescent="0.25">
      <c r="A3025" s="1" t="s">
        <v>3055</v>
      </c>
      <c r="C3025" s="1" t="str" cm="1">
        <f t="array" ref="C3025">_xlfn.IFS(OR(B3025=" ", B3025="NA",NOT(ISNUMBER(B3025))), "Unknown",B3025&lt;18,"Underage",B3025&lt;=24,"Young Adult",B3025&lt;=34,"Early Career",B3025&lt;=44,"Mid Career",B3025&lt;=54,"Mature",B3025&lt;=65,"Pre-Senior",B3025&gt;65,"Senior")</f>
        <v>Unknown</v>
      </c>
      <c r="D3025" s="1" t="s">
        <v>29</v>
      </c>
      <c r="F3025" s="1">
        <v>1700000</v>
      </c>
      <c r="G3025" s="1">
        <v>99</v>
      </c>
      <c r="H3025" s="1" t="str" cm="1">
        <f t="array" ref="H3025">_xlfn.IFS( OR(G3025=" ",NOT(ISNUMBER(G3025))),"Unknown",G3025&lt;=33,"Low Spender",G3025&lt;=66,"Medium Spender",TRUE, "High Spender")</f>
        <v>High Spender</v>
      </c>
      <c r="I3025" s="1">
        <v>14</v>
      </c>
      <c r="J3025" s="1">
        <v>10400</v>
      </c>
      <c r="K3025" s="1">
        <v>134</v>
      </c>
      <c r="M3025" s="1" t="s">
        <v>32</v>
      </c>
      <c r="N3025" s="1" t="str">
        <f t="shared" si="94"/>
        <v>Higher</v>
      </c>
      <c r="O3025" s="1" t="str">
        <f t="shared" si="95"/>
        <v>Unknown | High Spender | Higher</v>
      </c>
    </row>
    <row r="3026" spans="1:15" x14ac:dyDescent="0.25">
      <c r="A3026" s="1" t="s">
        <v>3056</v>
      </c>
      <c r="B3026" s="1">
        <v>43</v>
      </c>
      <c r="C3026" s="1" t="str" cm="1">
        <f t="array" ref="C3026">_xlfn.IFS(OR(B3026=" ", B3026="NA",NOT(ISNUMBER(B3026))), "Unknown",B3026&lt;18,"Underage",B3026&lt;=24,"Young Adult",B3026&lt;=34,"Early Career",B3026&lt;=44,"Mid Career",B3026&lt;=54,"Mature",B3026&lt;=65,"Pre-Senior",B3026&gt;65,"Senior")</f>
        <v>Mid Career</v>
      </c>
      <c r="E3026" s="1" t="s">
        <v>58</v>
      </c>
      <c r="F3026" s="1">
        <v>325000</v>
      </c>
      <c r="G3026" s="1">
        <v>86</v>
      </c>
      <c r="H3026" s="1" t="str" cm="1">
        <f t="array" ref="H3026">_xlfn.IFS( OR(G3026=" ",NOT(ISNUMBER(G3026))),"Unknown",G3026&lt;=33,"Low Spender",G3026&lt;=66,"Medium Spender",TRUE, "High Spender")</f>
        <v>High Spender</v>
      </c>
      <c r="I3026" s="1">
        <v>64</v>
      </c>
      <c r="J3026" s="1">
        <v>6800</v>
      </c>
      <c r="K3026" s="1">
        <v>86</v>
      </c>
      <c r="M3026" s="1" t="s">
        <v>21</v>
      </c>
      <c r="N3026" s="1" t="str">
        <f t="shared" si="94"/>
        <v>Lower</v>
      </c>
      <c r="O3026" s="1" t="str">
        <f t="shared" si="95"/>
        <v>Mid Career | High Spender | Lower</v>
      </c>
    </row>
    <row r="3027" spans="1:15" x14ac:dyDescent="0.25">
      <c r="A3027" s="1" t="s">
        <v>3057</v>
      </c>
      <c r="B3027" s="1">
        <v>21</v>
      </c>
      <c r="C3027" s="1" t="str" cm="1">
        <f t="array" ref="C3027">_xlfn.IFS(OR(B3027=" ", B3027="NA",NOT(ISNUMBER(B3027))), "Unknown",B3027&lt;18,"Underage",B3027&lt;=24,"Young Adult",B3027&lt;=34,"Early Career",B3027&lt;=44,"Mid Career",B3027&lt;=54,"Mature",B3027&lt;=65,"Pre-Senior",B3027&gt;65,"Senior")</f>
        <v>Young Adult</v>
      </c>
      <c r="E3027" s="1" t="s">
        <v>58</v>
      </c>
      <c r="F3027" s="1">
        <v>1600000</v>
      </c>
      <c r="G3027" s="1">
        <v>88</v>
      </c>
      <c r="H3027" s="1" t="str" cm="1">
        <f t="array" ref="H3027">_xlfn.IFS( OR(G3027=" ",NOT(ISNUMBER(G3027))),"Unknown",G3027&lt;=33,"Low Spender",G3027&lt;=66,"Medium Spender",TRUE, "High Spender")</f>
        <v>High Spender</v>
      </c>
      <c r="I3027" s="1">
        <v>43</v>
      </c>
      <c r="J3027" s="1">
        <v>700</v>
      </c>
      <c r="K3027" s="1">
        <v>75</v>
      </c>
      <c r="L3027" s="1" t="s">
        <v>35</v>
      </c>
      <c r="N3027" s="1" t="str">
        <f t="shared" si="94"/>
        <v>Lower</v>
      </c>
      <c r="O3027" s="1" t="str">
        <f t="shared" si="95"/>
        <v>Young Adult | High Spender | Lower</v>
      </c>
    </row>
    <row r="3028" spans="1:15" x14ac:dyDescent="0.25">
      <c r="A3028" s="1" t="s">
        <v>3058</v>
      </c>
      <c r="B3028" s="1">
        <v>51</v>
      </c>
      <c r="C3028" s="1" t="str" cm="1">
        <f t="array" ref="C3028">_xlfn.IFS(OR(B3028=" ", B3028="NA",NOT(ISNUMBER(B3028))), "Unknown",B3028&lt;18,"Underage",B3028&lt;=24,"Young Adult",B3028&lt;=34,"Early Career",B3028&lt;=44,"Mid Career",B3028&lt;=54,"Mature",B3028&lt;=65,"Pre-Senior",B3028&gt;65,"Senior")</f>
        <v>Mature</v>
      </c>
      <c r="D3028" s="1" t="s">
        <v>29</v>
      </c>
      <c r="E3028" s="1" t="s">
        <v>15</v>
      </c>
      <c r="F3028" s="1">
        <v>1250000</v>
      </c>
      <c r="G3028" s="1">
        <v>39</v>
      </c>
      <c r="H3028" s="1" t="str" cm="1">
        <f t="array" ref="H3028">_xlfn.IFS( OR(G3028=" ",NOT(ISNUMBER(G3028))),"Unknown",G3028&lt;=33,"Low Spender",G3028&lt;=66,"Medium Spender",TRUE, "High Spender")</f>
        <v>Medium Spender</v>
      </c>
      <c r="I3028" s="1">
        <v>58</v>
      </c>
      <c r="J3028" s="1">
        <v>7700</v>
      </c>
      <c r="K3028" s="1">
        <v>135</v>
      </c>
      <c r="L3028" s="1" t="s">
        <v>35</v>
      </c>
      <c r="M3028" s="1" t="s">
        <v>21</v>
      </c>
      <c r="N3028" s="1" t="str">
        <f t="shared" si="94"/>
        <v>Higher</v>
      </c>
      <c r="O3028" s="1" t="str">
        <f t="shared" si="95"/>
        <v>Mature | Medium Spender | Higher</v>
      </c>
    </row>
    <row r="3029" spans="1:15" x14ac:dyDescent="0.25">
      <c r="A3029" s="1" t="s">
        <v>3059</v>
      </c>
      <c r="B3029" s="1">
        <v>69</v>
      </c>
      <c r="C3029" s="1" t="str" cm="1">
        <f t="array" ref="C3029">_xlfn.IFS(OR(B3029=" ", B3029="NA",NOT(ISNUMBER(B3029))), "Unknown",B3029&lt;18,"Underage",B3029&lt;=24,"Young Adult",B3029&lt;=34,"Early Career",B3029&lt;=44,"Mid Career",B3029&lt;=54,"Mature",B3029&lt;=65,"Pre-Senior",B3029&gt;65,"Senior")</f>
        <v>Senior</v>
      </c>
      <c r="D3029" s="1" t="s">
        <v>18</v>
      </c>
      <c r="E3029" s="1" t="s">
        <v>27</v>
      </c>
      <c r="F3029" s="1">
        <v>800000</v>
      </c>
      <c r="G3029" s="1">
        <v>64</v>
      </c>
      <c r="H3029" s="1" t="str" cm="1">
        <f t="array" ref="H3029">_xlfn.IFS( OR(G3029=" ",NOT(ISNUMBER(G3029))),"Unknown",G3029&lt;=33,"Low Spender",G3029&lt;=66,"Medium Spender",TRUE, "High Spender")</f>
        <v>Medium Spender</v>
      </c>
      <c r="I3029" s="1">
        <v>41</v>
      </c>
      <c r="J3029" s="1">
        <v>1300</v>
      </c>
      <c r="K3029" s="1">
        <v>301</v>
      </c>
      <c r="L3029" s="1" t="s">
        <v>16</v>
      </c>
      <c r="M3029" s="1" t="s">
        <v>32</v>
      </c>
      <c r="N3029" s="1" t="str">
        <f t="shared" si="94"/>
        <v>Higher</v>
      </c>
      <c r="O3029" s="1" t="str">
        <f t="shared" si="95"/>
        <v>Senior | Medium Spender | Higher</v>
      </c>
    </row>
    <row r="3030" spans="1:15" x14ac:dyDescent="0.25">
      <c r="A3030" s="1" t="s">
        <v>3060</v>
      </c>
      <c r="B3030" s="1">
        <v>65</v>
      </c>
      <c r="C3030" s="1" t="str" cm="1">
        <f t="array" ref="C3030">_xlfn.IFS(OR(B3030=" ", B3030="NA",NOT(ISNUMBER(B3030))), "Unknown",B3030&lt;18,"Underage",B3030&lt;=24,"Young Adult",B3030&lt;=34,"Early Career",B3030&lt;=44,"Mid Career",B3030&lt;=54,"Mature",B3030&lt;=65,"Pre-Senior",B3030&gt;65,"Senior")</f>
        <v>Pre-Senior</v>
      </c>
      <c r="D3030" s="1" t="s">
        <v>18</v>
      </c>
      <c r="E3030" s="1" t="s">
        <v>49</v>
      </c>
      <c r="F3030" s="1">
        <v>1425000</v>
      </c>
      <c r="G3030" s="1">
        <v>30</v>
      </c>
      <c r="H3030" s="1" t="str" cm="1">
        <f t="array" ref="H3030">_xlfn.IFS( OR(G3030=" ",NOT(ISNUMBER(G3030))),"Unknown",G3030&lt;=33,"Low Spender",G3030&lt;=66,"Medium Spender",TRUE, "High Spender")</f>
        <v>Low Spender</v>
      </c>
      <c r="J3030" s="1">
        <v>9000</v>
      </c>
      <c r="K3030" s="1">
        <v>173</v>
      </c>
      <c r="L3030" s="1" t="s">
        <v>37</v>
      </c>
      <c r="M3030" s="1" t="s">
        <v>41</v>
      </c>
      <c r="N3030" s="1" t="str">
        <f t="shared" si="94"/>
        <v>Higher</v>
      </c>
      <c r="O3030" s="1" t="str">
        <f t="shared" si="95"/>
        <v>Pre-Senior | Low Spender | Higher</v>
      </c>
    </row>
    <row r="3031" spans="1:15" x14ac:dyDescent="0.25">
      <c r="A3031" s="1" t="s">
        <v>3061</v>
      </c>
      <c r="B3031" s="1">
        <v>35</v>
      </c>
      <c r="C3031" s="1" t="str" cm="1">
        <f t="array" ref="C3031">_xlfn.IFS(OR(B3031=" ", B3031="NA",NOT(ISNUMBER(B3031))), "Unknown",B3031&lt;18,"Underage",B3031&lt;=24,"Young Adult",B3031&lt;=34,"Early Career",B3031&lt;=44,"Mid Career",B3031&lt;=54,"Mature",B3031&lt;=65,"Pre-Senior",B3031&gt;65,"Senior")</f>
        <v>Mid Career</v>
      </c>
      <c r="D3031" s="1" t="s">
        <v>29</v>
      </c>
      <c r="E3031" s="1" t="s">
        <v>23</v>
      </c>
      <c r="F3031" s="1">
        <v>575000</v>
      </c>
      <c r="G3031" s="1">
        <v>63</v>
      </c>
      <c r="H3031" s="1" t="str" cm="1">
        <f t="array" ref="H3031">_xlfn.IFS( OR(G3031=" ",NOT(ISNUMBER(G3031))),"Unknown",G3031&lt;=33,"Low Spender",G3031&lt;=66,"Medium Spender",TRUE, "High Spender")</f>
        <v>Medium Spender</v>
      </c>
      <c r="I3031" s="1">
        <v>68</v>
      </c>
      <c r="J3031" s="1">
        <v>8000</v>
      </c>
      <c r="K3031" s="1">
        <v>213</v>
      </c>
      <c r="N3031" s="1" t="str">
        <f t="shared" si="94"/>
        <v>Higher</v>
      </c>
      <c r="O3031" s="1" t="str">
        <f t="shared" si="95"/>
        <v>Mid Career | Medium Spender | Higher</v>
      </c>
    </row>
    <row r="3032" spans="1:15" x14ac:dyDescent="0.25">
      <c r="A3032" s="1" t="s">
        <v>3062</v>
      </c>
      <c r="B3032" s="1">
        <v>57</v>
      </c>
      <c r="C3032" s="1" t="str" cm="1">
        <f t="array" ref="C3032">_xlfn.IFS(OR(B3032=" ", B3032="NA",NOT(ISNUMBER(B3032))), "Unknown",B3032&lt;18,"Underage",B3032&lt;=24,"Young Adult",B3032&lt;=34,"Early Career",B3032&lt;=44,"Mid Career",B3032&lt;=54,"Mature",B3032&lt;=65,"Pre-Senior",B3032&gt;65,"Senior")</f>
        <v>Pre-Senior</v>
      </c>
      <c r="D3032" s="1" t="s">
        <v>18</v>
      </c>
      <c r="E3032" s="1" t="s">
        <v>13</v>
      </c>
      <c r="F3032" s="1">
        <v>525000</v>
      </c>
      <c r="G3032" s="1">
        <v>96</v>
      </c>
      <c r="H3032" s="1" t="str" cm="1">
        <f t="array" ref="H3032">_xlfn.IFS( OR(G3032=" ",NOT(ISNUMBER(G3032))),"Unknown",G3032&lt;=33,"Low Spender",G3032&lt;=66,"Medium Spender",TRUE, "High Spender")</f>
        <v>High Spender</v>
      </c>
      <c r="I3032" s="1">
        <v>39</v>
      </c>
      <c r="J3032" s="1">
        <v>11100</v>
      </c>
      <c r="K3032" s="1">
        <v>321</v>
      </c>
      <c r="M3032" s="1" t="s">
        <v>32</v>
      </c>
      <c r="N3032" s="1" t="str">
        <f t="shared" si="94"/>
        <v>Higher</v>
      </c>
      <c r="O3032" s="1" t="str">
        <f t="shared" si="95"/>
        <v>Pre-Senior | High Spender | Higher</v>
      </c>
    </row>
    <row r="3033" spans="1:15" x14ac:dyDescent="0.25">
      <c r="A3033" s="1" t="s">
        <v>3063</v>
      </c>
      <c r="B3033" s="1">
        <v>52</v>
      </c>
      <c r="C3033" s="1" t="str" cm="1">
        <f t="array" ref="C3033">_xlfn.IFS(OR(B3033=" ", B3033="NA",NOT(ISNUMBER(B3033))), "Unknown",B3033&lt;18,"Underage",B3033&lt;=24,"Young Adult",B3033&lt;=34,"Early Career",B3033&lt;=44,"Mid Career",B3033&lt;=54,"Mature",B3033&lt;=65,"Pre-Senior",B3033&gt;65,"Senior")</f>
        <v>Mature</v>
      </c>
      <c r="D3033" s="1" t="s">
        <v>29</v>
      </c>
      <c r="E3033" s="1" t="s">
        <v>34</v>
      </c>
      <c r="F3033" s="1">
        <v>1775000</v>
      </c>
      <c r="G3033" s="1">
        <v>31</v>
      </c>
      <c r="H3033" s="1" t="str" cm="1">
        <f t="array" ref="H3033">_xlfn.IFS( OR(G3033=" ",NOT(ISNUMBER(G3033))),"Unknown",G3033&lt;=33,"Low Spender",G3033&lt;=66,"Medium Spender",TRUE, "High Spender")</f>
        <v>Low Spender</v>
      </c>
      <c r="I3033" s="1">
        <v>1</v>
      </c>
      <c r="J3033" s="1">
        <v>9600</v>
      </c>
      <c r="K3033" s="1">
        <v>350</v>
      </c>
      <c r="L3033" s="1" t="s">
        <v>35</v>
      </c>
      <c r="M3033" s="1" t="s">
        <v>41</v>
      </c>
      <c r="N3033" s="1" t="str">
        <f t="shared" si="94"/>
        <v>Higher</v>
      </c>
      <c r="O3033" s="1" t="str">
        <f t="shared" si="95"/>
        <v>Mature | Low Spender | Higher</v>
      </c>
    </row>
    <row r="3034" spans="1:15" x14ac:dyDescent="0.25">
      <c r="A3034" s="1" t="s">
        <v>3064</v>
      </c>
      <c r="B3034" s="1">
        <v>58</v>
      </c>
      <c r="C3034" s="1" t="str" cm="1">
        <f t="array" ref="C3034">_xlfn.IFS(OR(B3034=" ", B3034="NA",NOT(ISNUMBER(B3034))), "Unknown",B3034&lt;18,"Underage",B3034&lt;=24,"Young Adult",B3034&lt;=34,"Early Career",B3034&lt;=44,"Mid Career",B3034&lt;=54,"Mature",B3034&lt;=65,"Pre-Senior",B3034&gt;65,"Senior")</f>
        <v>Pre-Senior</v>
      </c>
      <c r="E3034" s="1" t="s">
        <v>34</v>
      </c>
      <c r="F3034" s="1">
        <v>250000</v>
      </c>
      <c r="G3034" s="1">
        <v>87</v>
      </c>
      <c r="H3034" s="1" t="str" cm="1">
        <f t="array" ref="H3034">_xlfn.IFS( OR(G3034=" ",NOT(ISNUMBER(G3034))),"Unknown",G3034&lt;=33,"Low Spender",G3034&lt;=66,"Medium Spender",TRUE, "High Spender")</f>
        <v>High Spender</v>
      </c>
      <c r="I3034" s="1">
        <v>41</v>
      </c>
      <c r="J3034" s="1">
        <v>10600</v>
      </c>
      <c r="K3034" s="1">
        <v>19</v>
      </c>
      <c r="M3034" s="1" t="s">
        <v>41</v>
      </c>
      <c r="N3034" s="1" t="str">
        <f t="shared" si="94"/>
        <v>Lower</v>
      </c>
      <c r="O3034" s="1" t="str">
        <f t="shared" si="95"/>
        <v>Pre-Senior | High Spender | Lower</v>
      </c>
    </row>
    <row r="3035" spans="1:15" x14ac:dyDescent="0.25">
      <c r="A3035" s="1" t="s">
        <v>3065</v>
      </c>
      <c r="B3035" s="1">
        <v>46</v>
      </c>
      <c r="C3035" s="1" t="str" cm="1">
        <f t="array" ref="C3035">_xlfn.IFS(OR(B3035=" ", B3035="NA",NOT(ISNUMBER(B3035))), "Unknown",B3035&lt;18,"Underage",B3035&lt;=24,"Young Adult",B3035&lt;=34,"Early Career",B3035&lt;=44,"Mid Career",B3035&lt;=54,"Mature",B3035&lt;=65,"Pre-Senior",B3035&gt;65,"Senior")</f>
        <v>Mature</v>
      </c>
      <c r="D3035" s="1" t="s">
        <v>29</v>
      </c>
      <c r="E3035" s="1" t="s">
        <v>58</v>
      </c>
      <c r="F3035" s="1">
        <v>200000</v>
      </c>
      <c r="G3035" s="1">
        <v>40</v>
      </c>
      <c r="H3035" s="1" t="str" cm="1">
        <f t="array" ref="H3035">_xlfn.IFS( OR(G3035=" ",NOT(ISNUMBER(G3035))),"Unknown",G3035&lt;=33,"Low Spender",G3035&lt;=66,"Medium Spender",TRUE, "High Spender")</f>
        <v>Medium Spender</v>
      </c>
      <c r="I3035" s="1">
        <v>45</v>
      </c>
      <c r="J3035" s="1">
        <v>11300</v>
      </c>
      <c r="K3035" s="1">
        <v>119</v>
      </c>
      <c r="L3035" s="1" t="s">
        <v>37</v>
      </c>
      <c r="M3035" s="1" t="s">
        <v>30</v>
      </c>
      <c r="N3035" s="1" t="str">
        <f t="shared" si="94"/>
        <v>Higher</v>
      </c>
      <c r="O3035" s="1" t="str">
        <f t="shared" si="95"/>
        <v>Mature | Medium Spender | Higher</v>
      </c>
    </row>
    <row r="3036" spans="1:15" x14ac:dyDescent="0.25">
      <c r="A3036" s="1" t="s">
        <v>3066</v>
      </c>
      <c r="B3036" s="1">
        <v>69</v>
      </c>
      <c r="C3036" s="1" t="str" cm="1">
        <f t="array" ref="C3036">_xlfn.IFS(OR(B3036=" ", B3036="NA",NOT(ISNUMBER(B3036))), "Unknown",B3036&lt;18,"Underage",B3036&lt;=24,"Young Adult",B3036&lt;=34,"Early Career",B3036&lt;=44,"Mid Career",B3036&lt;=54,"Mature",B3036&lt;=65,"Pre-Senior",B3036&gt;65,"Senior")</f>
        <v>Senior</v>
      </c>
      <c r="D3036" s="1" t="s">
        <v>12</v>
      </c>
      <c r="E3036" s="1" t="s">
        <v>15</v>
      </c>
      <c r="F3036" s="1">
        <v>1875000</v>
      </c>
      <c r="G3036" s="1">
        <v>33</v>
      </c>
      <c r="H3036" s="1" t="str" cm="1">
        <f t="array" ref="H3036">_xlfn.IFS( OR(G3036=" ",NOT(ISNUMBER(G3036))),"Unknown",G3036&lt;=33,"Low Spender",G3036&lt;=66,"Medium Spender",TRUE, "High Spender")</f>
        <v>Low Spender</v>
      </c>
      <c r="I3036" s="1">
        <v>79</v>
      </c>
      <c r="J3036" s="1">
        <v>4600</v>
      </c>
      <c r="K3036" s="1">
        <v>303</v>
      </c>
      <c r="L3036" s="1" t="s">
        <v>20</v>
      </c>
      <c r="N3036" s="1" t="str">
        <f t="shared" si="94"/>
        <v>Lower</v>
      </c>
      <c r="O3036" s="1" t="str">
        <f t="shared" si="95"/>
        <v>Senior | Low Spender | Lower</v>
      </c>
    </row>
    <row r="3037" spans="1:15" x14ac:dyDescent="0.25">
      <c r="A3037" s="1" t="s">
        <v>3067</v>
      </c>
      <c r="B3037" s="1">
        <v>46</v>
      </c>
      <c r="C3037" s="1" t="str" cm="1">
        <f t="array" ref="C3037">_xlfn.IFS(OR(B3037=" ", B3037="NA",NOT(ISNUMBER(B3037))), "Unknown",B3037&lt;18,"Underage",B3037&lt;=24,"Young Adult",B3037&lt;=34,"Early Career",B3037&lt;=44,"Mid Career",B3037&lt;=54,"Mature",B3037&lt;=65,"Pre-Senior",B3037&gt;65,"Senior")</f>
        <v>Mature</v>
      </c>
      <c r="D3037" s="1" t="s">
        <v>12</v>
      </c>
      <c r="E3037" s="1" t="s">
        <v>19</v>
      </c>
      <c r="F3037" s="1">
        <v>300000</v>
      </c>
      <c r="G3037" s="1">
        <v>63</v>
      </c>
      <c r="H3037" s="1" t="str" cm="1">
        <f t="array" ref="H3037">_xlfn.IFS( OR(G3037=" ",NOT(ISNUMBER(G3037))),"Unknown",G3037&lt;=33,"Low Spender",G3037&lt;=66,"Medium Spender",TRUE, "High Spender")</f>
        <v>Medium Spender</v>
      </c>
      <c r="J3037" s="1">
        <v>10100</v>
      </c>
      <c r="K3037" s="1">
        <v>302</v>
      </c>
      <c r="L3037" s="1" t="s">
        <v>37</v>
      </c>
      <c r="M3037" s="1" t="s">
        <v>30</v>
      </c>
      <c r="N3037" s="1" t="str">
        <f t="shared" si="94"/>
        <v>Lower</v>
      </c>
      <c r="O3037" s="1" t="str">
        <f t="shared" si="95"/>
        <v>Mature | Medium Spender | Lower</v>
      </c>
    </row>
    <row r="3038" spans="1:15" x14ac:dyDescent="0.25">
      <c r="A3038" s="1" t="s">
        <v>3068</v>
      </c>
      <c r="B3038" s="1">
        <v>55</v>
      </c>
      <c r="C3038" s="1" t="str" cm="1">
        <f t="array" ref="C3038">_xlfn.IFS(OR(B3038=" ", B3038="NA",NOT(ISNUMBER(B3038))), "Unknown",B3038&lt;18,"Underage",B3038&lt;=24,"Young Adult",B3038&lt;=34,"Early Career",B3038&lt;=44,"Mid Career",B3038&lt;=54,"Mature",B3038&lt;=65,"Pre-Senior",B3038&gt;65,"Senior")</f>
        <v>Pre-Senior</v>
      </c>
      <c r="D3038" s="1" t="s">
        <v>18</v>
      </c>
      <c r="E3038" s="1" t="s">
        <v>58</v>
      </c>
      <c r="F3038" s="1">
        <v>1375000</v>
      </c>
      <c r="G3038" s="1">
        <v>25</v>
      </c>
      <c r="H3038" s="1" t="str" cm="1">
        <f t="array" ref="H3038">_xlfn.IFS( OR(G3038=" ",NOT(ISNUMBER(G3038))),"Unknown",G3038&lt;=33,"Low Spender",G3038&lt;=66,"Medium Spender",TRUE, "High Spender")</f>
        <v>Low Spender</v>
      </c>
      <c r="I3038" s="1">
        <v>13</v>
      </c>
      <c r="J3038" s="1">
        <v>8700</v>
      </c>
      <c r="K3038" s="1">
        <v>285</v>
      </c>
      <c r="N3038" s="1" t="str">
        <f t="shared" si="94"/>
        <v>Higher</v>
      </c>
      <c r="O3038" s="1" t="str">
        <f t="shared" si="95"/>
        <v>Pre-Senior | Low Spender | Higher</v>
      </c>
    </row>
    <row r="3039" spans="1:15" x14ac:dyDescent="0.25">
      <c r="A3039" s="1" t="s">
        <v>3069</v>
      </c>
      <c r="B3039" s="1">
        <v>59</v>
      </c>
      <c r="C3039" s="1" t="str" cm="1">
        <f t="array" ref="C3039">_xlfn.IFS(OR(B3039=" ", B3039="NA",NOT(ISNUMBER(B3039))), "Unknown",B3039&lt;18,"Underage",B3039&lt;=24,"Young Adult",B3039&lt;=34,"Early Career",B3039&lt;=44,"Mid Career",B3039&lt;=54,"Mature",B3039&lt;=65,"Pre-Senior",B3039&gt;65,"Senior")</f>
        <v>Pre-Senior</v>
      </c>
      <c r="D3039" s="1" t="s">
        <v>12</v>
      </c>
      <c r="E3039" s="1" t="s">
        <v>34</v>
      </c>
      <c r="F3039" s="1">
        <v>475000</v>
      </c>
      <c r="G3039" s="1">
        <v>36</v>
      </c>
      <c r="H3039" s="1" t="str" cm="1">
        <f t="array" ref="H3039">_xlfn.IFS( OR(G3039=" ",NOT(ISNUMBER(G3039))),"Unknown",G3039&lt;=33,"Low Spender",G3039&lt;=66,"Medium Spender",TRUE, "High Spender")</f>
        <v>Medium Spender</v>
      </c>
      <c r="I3039" s="1">
        <v>71</v>
      </c>
      <c r="K3039" s="1">
        <v>227</v>
      </c>
      <c r="M3039" s="1" t="s">
        <v>32</v>
      </c>
      <c r="N3039" s="1" t="str">
        <f t="shared" si="94"/>
        <v>Lower</v>
      </c>
      <c r="O3039" s="1" t="str">
        <f t="shared" si="95"/>
        <v>Pre-Senior | Medium Spender | Lower</v>
      </c>
    </row>
    <row r="3040" spans="1:15" x14ac:dyDescent="0.25">
      <c r="A3040" s="1" t="s">
        <v>3070</v>
      </c>
      <c r="B3040" s="1">
        <v>38</v>
      </c>
      <c r="C3040" s="1" t="str" cm="1">
        <f t="array" ref="C3040">_xlfn.IFS(OR(B3040=" ", B3040="NA",NOT(ISNUMBER(B3040))), "Unknown",B3040&lt;18,"Underage",B3040&lt;=24,"Young Adult",B3040&lt;=34,"Early Career",B3040&lt;=44,"Mid Career",B3040&lt;=54,"Mature",B3040&lt;=65,"Pre-Senior",B3040&gt;65,"Senior")</f>
        <v>Mid Career</v>
      </c>
      <c r="D3040" s="1" t="s">
        <v>12</v>
      </c>
      <c r="E3040" s="1" t="s">
        <v>34</v>
      </c>
      <c r="F3040" s="1">
        <v>1075000</v>
      </c>
      <c r="G3040" s="1">
        <v>24</v>
      </c>
      <c r="H3040" s="1" t="str" cm="1">
        <f t="array" ref="H3040">_xlfn.IFS( OR(G3040=" ",NOT(ISNUMBER(G3040))),"Unknown",G3040&lt;=33,"Low Spender",G3040&lt;=66,"Medium Spender",TRUE, "High Spender")</f>
        <v>Low Spender</v>
      </c>
      <c r="I3040" s="1">
        <v>9</v>
      </c>
      <c r="J3040" s="1">
        <v>7100</v>
      </c>
      <c r="K3040" s="1">
        <v>212</v>
      </c>
      <c r="L3040" s="1" t="s">
        <v>16</v>
      </c>
      <c r="M3040" s="1" t="s">
        <v>30</v>
      </c>
      <c r="N3040" s="1" t="str">
        <f t="shared" si="94"/>
        <v>Lower</v>
      </c>
      <c r="O3040" s="1" t="str">
        <f t="shared" si="95"/>
        <v>Mid Career | Low Spender | Lower</v>
      </c>
    </row>
    <row r="3041" spans="1:15" x14ac:dyDescent="0.25">
      <c r="A3041" s="1" t="s">
        <v>3071</v>
      </c>
      <c r="B3041" s="1">
        <v>59</v>
      </c>
      <c r="C3041" s="1" t="str" cm="1">
        <f t="array" ref="C3041">_xlfn.IFS(OR(B3041=" ", B3041="NA",NOT(ISNUMBER(B3041))), "Unknown",B3041&lt;18,"Underage",B3041&lt;=24,"Young Adult",B3041&lt;=34,"Early Career",B3041&lt;=44,"Mid Career",B3041&lt;=54,"Mature",B3041&lt;=65,"Pre-Senior",B3041&gt;65,"Senior")</f>
        <v>Pre-Senior</v>
      </c>
      <c r="E3041" s="1" t="s">
        <v>23</v>
      </c>
      <c r="F3041" s="1">
        <v>1300000</v>
      </c>
      <c r="G3041" s="1">
        <v>95</v>
      </c>
      <c r="H3041" s="1" t="str" cm="1">
        <f t="array" ref="H3041">_xlfn.IFS( OR(G3041=" ",NOT(ISNUMBER(G3041))),"Unknown",G3041&lt;=33,"Low Spender",G3041&lt;=66,"Medium Spender",TRUE, "High Spender")</f>
        <v>High Spender</v>
      </c>
      <c r="I3041" s="1">
        <v>63</v>
      </c>
      <c r="J3041" s="1">
        <v>10400</v>
      </c>
      <c r="K3041" s="1">
        <v>356</v>
      </c>
      <c r="N3041" s="1" t="str">
        <f t="shared" si="94"/>
        <v>Lower</v>
      </c>
      <c r="O3041" s="1" t="str">
        <f t="shared" si="95"/>
        <v>Pre-Senior | High Spender | Lower</v>
      </c>
    </row>
    <row r="3042" spans="1:15" x14ac:dyDescent="0.25">
      <c r="A3042" s="1" t="s">
        <v>3072</v>
      </c>
      <c r="B3042" s="1">
        <v>30</v>
      </c>
      <c r="C3042" s="1" t="str" cm="1">
        <f t="array" ref="C3042">_xlfn.IFS(OR(B3042=" ", B3042="NA",NOT(ISNUMBER(B3042))), "Unknown",B3042&lt;18,"Underage",B3042&lt;=24,"Young Adult",B3042&lt;=34,"Early Career",B3042&lt;=44,"Mid Career",B3042&lt;=54,"Mature",B3042&lt;=65,"Pre-Senior",B3042&gt;65,"Senior")</f>
        <v>Early Career</v>
      </c>
      <c r="D3042" s="1" t="s">
        <v>12</v>
      </c>
      <c r="F3042" s="1">
        <v>950000</v>
      </c>
      <c r="G3042" s="1">
        <v>58</v>
      </c>
      <c r="H3042" s="1" t="str" cm="1">
        <f t="array" ref="H3042">_xlfn.IFS( OR(G3042=" ",NOT(ISNUMBER(G3042))),"Unknown",G3042&lt;=33,"Low Spender",G3042&lt;=66,"Medium Spender",TRUE, "High Spender")</f>
        <v>Medium Spender</v>
      </c>
      <c r="I3042" s="1">
        <v>23</v>
      </c>
      <c r="J3042" s="1">
        <v>400</v>
      </c>
      <c r="K3042" s="1">
        <v>189</v>
      </c>
      <c r="L3042" s="1" t="s">
        <v>35</v>
      </c>
      <c r="M3042" s="1" t="s">
        <v>41</v>
      </c>
      <c r="N3042" s="1" t="str">
        <f t="shared" si="94"/>
        <v>Lower</v>
      </c>
      <c r="O3042" s="1" t="str">
        <f t="shared" si="95"/>
        <v>Early Career | Medium Spender | Lower</v>
      </c>
    </row>
    <row r="3043" spans="1:15" x14ac:dyDescent="0.25">
      <c r="A3043" s="1" t="s">
        <v>3073</v>
      </c>
      <c r="B3043" s="1">
        <v>66</v>
      </c>
      <c r="C3043" s="1" t="str" cm="1">
        <f t="array" ref="C3043">_xlfn.IFS(OR(B3043=" ", B3043="NA",NOT(ISNUMBER(B3043))), "Unknown",B3043&lt;18,"Underage",B3043&lt;=24,"Young Adult",B3043&lt;=34,"Early Career",B3043&lt;=44,"Mid Career",B3043&lt;=54,"Mature",B3043&lt;=65,"Pre-Senior",B3043&gt;65,"Senior")</f>
        <v>Senior</v>
      </c>
      <c r="D3043" s="1" t="s">
        <v>29</v>
      </c>
      <c r="E3043" s="1" t="s">
        <v>19</v>
      </c>
      <c r="F3043" s="1">
        <v>1200000</v>
      </c>
      <c r="G3043" s="1">
        <v>39</v>
      </c>
      <c r="H3043" s="1" t="str" cm="1">
        <f t="array" ref="H3043">_xlfn.IFS( OR(G3043=" ",NOT(ISNUMBER(G3043))),"Unknown",G3043&lt;=33,"Low Spender",G3043&lt;=66,"Medium Spender",TRUE, "High Spender")</f>
        <v>Medium Spender</v>
      </c>
      <c r="I3043" s="1">
        <v>54</v>
      </c>
      <c r="J3043" s="1">
        <v>4200</v>
      </c>
      <c r="K3043" s="1">
        <v>321</v>
      </c>
      <c r="M3043" s="1" t="s">
        <v>32</v>
      </c>
      <c r="N3043" s="1" t="str">
        <f t="shared" si="94"/>
        <v>Higher</v>
      </c>
      <c r="O3043" s="1" t="str">
        <f t="shared" si="95"/>
        <v>Senior | Medium Spender | Higher</v>
      </c>
    </row>
    <row r="3044" spans="1:15" x14ac:dyDescent="0.25">
      <c r="A3044" s="1" t="s">
        <v>3074</v>
      </c>
      <c r="B3044" s="1">
        <v>58</v>
      </c>
      <c r="C3044" s="1" t="str" cm="1">
        <f t="array" ref="C3044">_xlfn.IFS(OR(B3044=" ", B3044="NA",NOT(ISNUMBER(B3044))), "Unknown",B3044&lt;18,"Underage",B3044&lt;=24,"Young Adult",B3044&lt;=34,"Early Career",B3044&lt;=44,"Mid Career",B3044&lt;=54,"Mature",B3044&lt;=65,"Pre-Senior",B3044&gt;65,"Senior")</f>
        <v>Pre-Senior</v>
      </c>
      <c r="D3044" s="1" t="s">
        <v>12</v>
      </c>
      <c r="E3044" s="1" t="s">
        <v>58</v>
      </c>
      <c r="F3044" s="1">
        <v>850000</v>
      </c>
      <c r="G3044" s="1">
        <v>46</v>
      </c>
      <c r="H3044" s="1" t="str" cm="1">
        <f t="array" ref="H3044">_xlfn.IFS( OR(G3044=" ",NOT(ISNUMBER(G3044))),"Unknown",G3044&lt;=33,"Low Spender",G3044&lt;=66,"Medium Spender",TRUE, "High Spender")</f>
        <v>Medium Spender</v>
      </c>
      <c r="I3044" s="1">
        <v>47</v>
      </c>
      <c r="J3044" s="1">
        <v>3900</v>
      </c>
      <c r="K3044" s="1">
        <v>151</v>
      </c>
      <c r="L3044" s="1" t="s">
        <v>16</v>
      </c>
      <c r="M3044" s="1" t="s">
        <v>30</v>
      </c>
      <c r="N3044" s="1" t="str">
        <f t="shared" si="94"/>
        <v>Lower</v>
      </c>
      <c r="O3044" s="1" t="str">
        <f t="shared" si="95"/>
        <v>Pre-Senior | Medium Spender | Lower</v>
      </c>
    </row>
    <row r="3045" spans="1:15" x14ac:dyDescent="0.25">
      <c r="A3045" s="1" t="s">
        <v>3075</v>
      </c>
      <c r="B3045" s="1">
        <v>34</v>
      </c>
      <c r="C3045" s="1" t="str" cm="1">
        <f t="array" ref="C3045">_xlfn.IFS(OR(B3045=" ", B3045="NA",NOT(ISNUMBER(B3045))), "Unknown",B3045&lt;18,"Underage",B3045&lt;=24,"Young Adult",B3045&lt;=34,"Early Career",B3045&lt;=44,"Mid Career",B3045&lt;=54,"Mature",B3045&lt;=65,"Pre-Senior",B3045&gt;65,"Senior")</f>
        <v>Early Career</v>
      </c>
      <c r="E3045" s="1" t="s">
        <v>23</v>
      </c>
      <c r="F3045" s="1">
        <v>1550000</v>
      </c>
      <c r="G3045" s="1">
        <v>77</v>
      </c>
      <c r="H3045" s="1" t="str" cm="1">
        <f t="array" ref="H3045">_xlfn.IFS( OR(G3045=" ",NOT(ISNUMBER(G3045))),"Unknown",G3045&lt;=33,"Low Spender",G3045&lt;=66,"Medium Spender",TRUE, "High Spender")</f>
        <v>High Spender</v>
      </c>
      <c r="I3045" s="1">
        <v>39</v>
      </c>
      <c r="K3045" s="1">
        <v>223</v>
      </c>
      <c r="M3045" s="1" t="s">
        <v>21</v>
      </c>
      <c r="N3045" s="1" t="str">
        <f t="shared" si="94"/>
        <v>Lower</v>
      </c>
      <c r="O3045" s="1" t="str">
        <f t="shared" si="95"/>
        <v>Early Career | High Spender | Lower</v>
      </c>
    </row>
    <row r="3046" spans="1:15" x14ac:dyDescent="0.25">
      <c r="A3046" s="1" t="s">
        <v>3076</v>
      </c>
      <c r="B3046" s="1">
        <v>26</v>
      </c>
      <c r="C3046" s="1" t="str" cm="1">
        <f t="array" ref="C3046">_xlfn.IFS(OR(B3046=" ", B3046="NA",NOT(ISNUMBER(B3046))), "Unknown",B3046&lt;18,"Underage",B3046&lt;=24,"Young Adult",B3046&lt;=34,"Early Career",B3046&lt;=44,"Mid Career",B3046&lt;=54,"Mature",B3046&lt;=65,"Pre-Senior",B3046&gt;65,"Senior")</f>
        <v>Early Career</v>
      </c>
      <c r="D3046" s="1" t="s">
        <v>12</v>
      </c>
      <c r="E3046" s="1" t="s">
        <v>15</v>
      </c>
      <c r="F3046" s="1">
        <v>250000</v>
      </c>
      <c r="G3046" s="1">
        <v>10</v>
      </c>
      <c r="H3046" s="1" t="str" cm="1">
        <f t="array" ref="H3046">_xlfn.IFS( OR(G3046=" ",NOT(ISNUMBER(G3046))),"Unknown",G3046&lt;=33,"Low Spender",G3046&lt;=66,"Medium Spender",TRUE, "High Spender")</f>
        <v>Low Spender</v>
      </c>
      <c r="I3046" s="1">
        <v>26</v>
      </c>
      <c r="J3046" s="1">
        <v>5100</v>
      </c>
      <c r="K3046" s="1">
        <v>128</v>
      </c>
      <c r="L3046" s="1" t="s">
        <v>37</v>
      </c>
      <c r="N3046" s="1" t="str">
        <f t="shared" si="94"/>
        <v>Lower</v>
      </c>
      <c r="O3046" s="1" t="str">
        <f t="shared" si="95"/>
        <v>Early Career | Low Spender | Lower</v>
      </c>
    </row>
    <row r="3047" spans="1:15" x14ac:dyDescent="0.25">
      <c r="A3047" s="1" t="s">
        <v>3077</v>
      </c>
      <c r="B3047" s="1">
        <v>58</v>
      </c>
      <c r="C3047" s="1" t="str" cm="1">
        <f t="array" ref="C3047">_xlfn.IFS(OR(B3047=" ", B3047="NA",NOT(ISNUMBER(B3047))), "Unknown",B3047&lt;18,"Underage",B3047&lt;=24,"Young Adult",B3047&lt;=34,"Early Career",B3047&lt;=44,"Mid Career",B3047&lt;=54,"Mature",B3047&lt;=65,"Pre-Senior",B3047&gt;65,"Senior")</f>
        <v>Pre-Senior</v>
      </c>
      <c r="D3047" s="1" t="s">
        <v>12</v>
      </c>
      <c r="E3047" s="1" t="s">
        <v>23</v>
      </c>
      <c r="F3047" s="1">
        <v>1625000</v>
      </c>
      <c r="G3047" s="1">
        <v>87</v>
      </c>
      <c r="H3047" s="1" t="str" cm="1">
        <f t="array" ref="H3047">_xlfn.IFS( OR(G3047=" ",NOT(ISNUMBER(G3047))),"Unknown",G3047&lt;=33,"Low Spender",G3047&lt;=66,"Medium Spender",TRUE, "High Spender")</f>
        <v>High Spender</v>
      </c>
      <c r="I3047" s="1">
        <v>1</v>
      </c>
      <c r="J3047" s="1">
        <v>10000</v>
      </c>
      <c r="K3047" s="1">
        <v>248</v>
      </c>
      <c r="N3047" s="1" t="str">
        <f t="shared" si="94"/>
        <v>Lower</v>
      </c>
      <c r="O3047" s="1" t="str">
        <f t="shared" si="95"/>
        <v>Pre-Senior | High Spender | Lower</v>
      </c>
    </row>
    <row r="3048" spans="1:15" x14ac:dyDescent="0.25">
      <c r="A3048" s="1" t="s">
        <v>3078</v>
      </c>
      <c r="B3048" s="1">
        <v>18</v>
      </c>
      <c r="C3048" s="1" t="str" cm="1">
        <f t="array" ref="C3048">_xlfn.IFS(OR(B3048=" ", B3048="NA",NOT(ISNUMBER(B3048))), "Unknown",B3048&lt;18,"Underage",B3048&lt;=24,"Young Adult",B3048&lt;=34,"Early Career",B3048&lt;=44,"Mid Career",B3048&lt;=54,"Mature",B3048&lt;=65,"Pre-Senior",B3048&gt;65,"Senior")</f>
        <v>Young Adult</v>
      </c>
      <c r="D3048" s="1" t="s">
        <v>29</v>
      </c>
      <c r="E3048" s="1" t="s">
        <v>58</v>
      </c>
      <c r="F3048" s="1">
        <v>1875000</v>
      </c>
      <c r="G3048" s="1">
        <v>82</v>
      </c>
      <c r="H3048" s="1" t="str" cm="1">
        <f t="array" ref="H3048">_xlfn.IFS( OR(G3048=" ",NOT(ISNUMBER(G3048))),"Unknown",G3048&lt;=33,"Low Spender",G3048&lt;=66,"Medium Spender",TRUE, "High Spender")</f>
        <v>High Spender</v>
      </c>
      <c r="I3048" s="1">
        <v>14</v>
      </c>
      <c r="J3048" s="1">
        <v>7700</v>
      </c>
      <c r="K3048" s="1">
        <v>51</v>
      </c>
      <c r="L3048" s="1" t="s">
        <v>37</v>
      </c>
      <c r="N3048" s="1" t="str">
        <f t="shared" si="94"/>
        <v>Higher</v>
      </c>
      <c r="O3048" s="1" t="str">
        <f t="shared" si="95"/>
        <v>Young Adult | High Spender | Higher</v>
      </c>
    </row>
    <row r="3049" spans="1:15" x14ac:dyDescent="0.25">
      <c r="A3049" s="1" t="s">
        <v>3079</v>
      </c>
      <c r="B3049" s="1">
        <v>19</v>
      </c>
      <c r="C3049" s="1" t="str" cm="1">
        <f t="array" ref="C3049">_xlfn.IFS(OR(B3049=" ", B3049="NA",NOT(ISNUMBER(B3049))), "Unknown",B3049&lt;18,"Underage",B3049&lt;=24,"Young Adult",B3049&lt;=34,"Early Career",B3049&lt;=44,"Mid Career",B3049&lt;=54,"Mature",B3049&lt;=65,"Pre-Senior",B3049&gt;65,"Senior")</f>
        <v>Young Adult</v>
      </c>
      <c r="D3049" s="1" t="s">
        <v>29</v>
      </c>
      <c r="F3049" s="1">
        <v>175000</v>
      </c>
      <c r="G3049" s="1">
        <v>32</v>
      </c>
      <c r="H3049" s="1" t="str" cm="1">
        <f t="array" ref="H3049">_xlfn.IFS( OR(G3049=" ",NOT(ISNUMBER(G3049))),"Unknown",G3049&lt;=33,"Low Spender",G3049&lt;=66,"Medium Spender",TRUE, "High Spender")</f>
        <v>Low Spender</v>
      </c>
      <c r="I3049" s="1">
        <v>74</v>
      </c>
      <c r="J3049" s="1">
        <v>3800</v>
      </c>
      <c r="K3049" s="1">
        <v>191</v>
      </c>
      <c r="L3049" s="1" t="s">
        <v>37</v>
      </c>
      <c r="M3049" s="1" t="s">
        <v>21</v>
      </c>
      <c r="N3049" s="1" t="str">
        <f t="shared" si="94"/>
        <v>Higher</v>
      </c>
      <c r="O3049" s="1" t="str">
        <f t="shared" si="95"/>
        <v>Young Adult | Low Spender | Higher</v>
      </c>
    </row>
    <row r="3050" spans="1:15" x14ac:dyDescent="0.25">
      <c r="A3050" s="1" t="s">
        <v>3080</v>
      </c>
      <c r="B3050" s="1">
        <v>65</v>
      </c>
      <c r="C3050" s="1" t="str" cm="1">
        <f t="array" ref="C3050">_xlfn.IFS(OR(B3050=" ", B3050="NA",NOT(ISNUMBER(B3050))), "Unknown",B3050&lt;18,"Underage",B3050&lt;=24,"Young Adult",B3050&lt;=34,"Early Career",B3050&lt;=44,"Mid Career",B3050&lt;=54,"Mature",B3050&lt;=65,"Pre-Senior",B3050&gt;65,"Senior")</f>
        <v>Pre-Senior</v>
      </c>
      <c r="D3050" s="1" t="s">
        <v>18</v>
      </c>
      <c r="E3050" s="1" t="s">
        <v>49</v>
      </c>
      <c r="F3050" s="1">
        <v>1875000</v>
      </c>
      <c r="G3050" s="1">
        <v>97</v>
      </c>
      <c r="H3050" s="1" t="str" cm="1">
        <f t="array" ref="H3050">_xlfn.IFS( OR(G3050=" ",NOT(ISNUMBER(G3050))),"Unknown",G3050&lt;=33,"Low Spender",G3050&lt;=66,"Medium Spender",TRUE, "High Spender")</f>
        <v>High Spender</v>
      </c>
      <c r="I3050" s="1">
        <v>65</v>
      </c>
      <c r="J3050" s="1">
        <v>7700</v>
      </c>
      <c r="K3050" s="1">
        <v>237</v>
      </c>
      <c r="M3050" s="1" t="s">
        <v>32</v>
      </c>
      <c r="N3050" s="1" t="str">
        <f t="shared" si="94"/>
        <v>Higher</v>
      </c>
      <c r="O3050" s="1" t="str">
        <f t="shared" si="95"/>
        <v>Pre-Senior | High Spender | Higher</v>
      </c>
    </row>
    <row r="3051" spans="1:15" x14ac:dyDescent="0.25">
      <c r="A3051" s="1" t="s">
        <v>3081</v>
      </c>
      <c r="B3051" s="1">
        <v>46</v>
      </c>
      <c r="C3051" s="1" t="str" cm="1">
        <f t="array" ref="C3051">_xlfn.IFS(OR(B3051=" ", B3051="NA",NOT(ISNUMBER(B3051))), "Unknown",B3051&lt;18,"Underage",B3051&lt;=24,"Young Adult",B3051&lt;=34,"Early Career",B3051&lt;=44,"Mid Career",B3051&lt;=54,"Mature",B3051&lt;=65,"Pre-Senior",B3051&gt;65,"Senior")</f>
        <v>Mature</v>
      </c>
      <c r="D3051" s="1" t="s">
        <v>29</v>
      </c>
      <c r="E3051" s="1" t="s">
        <v>58</v>
      </c>
      <c r="F3051" s="1">
        <v>1200000</v>
      </c>
      <c r="G3051" s="1">
        <v>36</v>
      </c>
      <c r="H3051" s="1" t="str" cm="1">
        <f t="array" ref="H3051">_xlfn.IFS( OR(G3051=" ",NOT(ISNUMBER(G3051))),"Unknown",G3051&lt;=33,"Low Spender",G3051&lt;=66,"Medium Spender",TRUE, "High Spender")</f>
        <v>Medium Spender</v>
      </c>
      <c r="I3051" s="1">
        <v>69</v>
      </c>
      <c r="J3051" s="1">
        <v>7500</v>
      </c>
      <c r="K3051" s="1">
        <v>22</v>
      </c>
      <c r="L3051" s="1" t="s">
        <v>37</v>
      </c>
      <c r="M3051" s="1" t="s">
        <v>30</v>
      </c>
      <c r="N3051" s="1" t="str">
        <f t="shared" si="94"/>
        <v>Higher</v>
      </c>
      <c r="O3051" s="1" t="str">
        <f t="shared" si="95"/>
        <v>Mature | Medium Spender | Higher</v>
      </c>
    </row>
    <row r="3052" spans="1:15" x14ac:dyDescent="0.25">
      <c r="A3052" s="1" t="s">
        <v>3082</v>
      </c>
      <c r="B3052" s="1">
        <v>50</v>
      </c>
      <c r="C3052" s="1" t="str" cm="1">
        <f t="array" ref="C3052">_xlfn.IFS(OR(B3052=" ", B3052="NA",NOT(ISNUMBER(B3052))), "Unknown",B3052&lt;18,"Underage",B3052&lt;=24,"Young Adult",B3052&lt;=34,"Early Career",B3052&lt;=44,"Mid Career",B3052&lt;=54,"Mature",B3052&lt;=65,"Pre-Senior",B3052&gt;65,"Senior")</f>
        <v>Mature</v>
      </c>
      <c r="D3052" s="1" t="s">
        <v>18</v>
      </c>
      <c r="E3052" s="1" t="s">
        <v>27</v>
      </c>
      <c r="F3052" s="1">
        <v>225000</v>
      </c>
      <c r="G3052" s="1">
        <v>28</v>
      </c>
      <c r="H3052" s="1" t="str" cm="1">
        <f t="array" ref="H3052">_xlfn.IFS( OR(G3052=" ",NOT(ISNUMBER(G3052))),"Unknown",G3052&lt;=33,"Low Spender",G3052&lt;=66,"Medium Spender",TRUE, "High Spender")</f>
        <v>Low Spender</v>
      </c>
      <c r="I3052" s="1">
        <v>67</v>
      </c>
      <c r="J3052" s="1">
        <v>7200</v>
      </c>
      <c r="K3052" s="1">
        <v>110</v>
      </c>
      <c r="M3052" s="1" t="s">
        <v>41</v>
      </c>
      <c r="N3052" s="1" t="str">
        <f t="shared" si="94"/>
        <v>Higher</v>
      </c>
      <c r="O3052" s="1" t="str">
        <f t="shared" si="95"/>
        <v>Mature | Low Spender | Higher</v>
      </c>
    </row>
    <row r="3053" spans="1:15" x14ac:dyDescent="0.25">
      <c r="A3053" s="1" t="s">
        <v>3083</v>
      </c>
      <c r="B3053" s="1">
        <v>27</v>
      </c>
      <c r="C3053" s="1" t="str" cm="1">
        <f t="array" ref="C3053">_xlfn.IFS(OR(B3053=" ", B3053="NA",NOT(ISNUMBER(B3053))), "Unknown",B3053&lt;18,"Underage",B3053&lt;=24,"Young Adult",B3053&lt;=34,"Early Career",B3053&lt;=44,"Mid Career",B3053&lt;=54,"Mature",B3053&lt;=65,"Pre-Senior",B3053&gt;65,"Senior")</f>
        <v>Early Career</v>
      </c>
      <c r="D3053" s="1" t="s">
        <v>29</v>
      </c>
      <c r="E3053" s="1" t="s">
        <v>34</v>
      </c>
      <c r="F3053" s="1">
        <v>1525000</v>
      </c>
      <c r="G3053" s="1">
        <v>16</v>
      </c>
      <c r="H3053" s="1" t="str" cm="1">
        <f t="array" ref="H3053">_xlfn.IFS( OR(G3053=" ",NOT(ISNUMBER(G3053))),"Unknown",G3053&lt;=33,"Low Spender",G3053&lt;=66,"Medium Spender",TRUE, "High Spender")</f>
        <v>Low Spender</v>
      </c>
      <c r="I3053" s="1">
        <v>49</v>
      </c>
      <c r="J3053" s="1">
        <v>3600</v>
      </c>
      <c r="K3053" s="1">
        <v>327</v>
      </c>
      <c r="L3053" s="1" t="s">
        <v>20</v>
      </c>
      <c r="M3053" s="1" t="s">
        <v>30</v>
      </c>
      <c r="N3053" s="1" t="str">
        <f t="shared" si="94"/>
        <v>Higher</v>
      </c>
      <c r="O3053" s="1" t="str">
        <f t="shared" si="95"/>
        <v>Early Career | Low Spender | Higher</v>
      </c>
    </row>
    <row r="3054" spans="1:15" x14ac:dyDescent="0.25">
      <c r="A3054" s="1" t="s">
        <v>3084</v>
      </c>
      <c r="B3054" s="1">
        <v>67</v>
      </c>
      <c r="C3054" s="1" t="str" cm="1">
        <f t="array" ref="C3054">_xlfn.IFS(OR(B3054=" ", B3054="NA",NOT(ISNUMBER(B3054))), "Unknown",B3054&lt;18,"Underage",B3054&lt;=24,"Young Adult",B3054&lt;=34,"Early Career",B3054&lt;=44,"Mid Career",B3054&lt;=54,"Mature",B3054&lt;=65,"Pre-Senior",B3054&gt;65,"Senior")</f>
        <v>Senior</v>
      </c>
      <c r="E3054" s="1" t="s">
        <v>19</v>
      </c>
      <c r="F3054" s="1">
        <v>1600000</v>
      </c>
      <c r="G3054" s="1">
        <v>16</v>
      </c>
      <c r="H3054" s="1" t="str" cm="1">
        <f t="array" ref="H3054">_xlfn.IFS( OR(G3054=" ",NOT(ISNUMBER(G3054))),"Unknown",G3054&lt;=33,"Low Spender",G3054&lt;=66,"Medium Spender",TRUE, "High Spender")</f>
        <v>Low Spender</v>
      </c>
      <c r="I3054" s="1">
        <v>50</v>
      </c>
      <c r="J3054" s="1">
        <v>6000</v>
      </c>
      <c r="K3054" s="1">
        <v>33</v>
      </c>
      <c r="L3054" s="1" t="s">
        <v>16</v>
      </c>
      <c r="M3054" s="1" t="s">
        <v>32</v>
      </c>
      <c r="N3054" s="1" t="str">
        <f t="shared" si="94"/>
        <v>Lower</v>
      </c>
      <c r="O3054" s="1" t="str">
        <f t="shared" si="95"/>
        <v>Senior | Low Spender | Lower</v>
      </c>
    </row>
    <row r="3055" spans="1:15" x14ac:dyDescent="0.25">
      <c r="A3055" s="1" t="s">
        <v>3085</v>
      </c>
      <c r="B3055" s="1">
        <v>57</v>
      </c>
      <c r="C3055" s="1" t="str" cm="1">
        <f t="array" ref="C3055">_xlfn.IFS(OR(B3055=" ", B3055="NA",NOT(ISNUMBER(B3055))), "Unknown",B3055&lt;18,"Underage",B3055&lt;=24,"Young Adult",B3055&lt;=34,"Early Career",B3055&lt;=44,"Mid Career",B3055&lt;=54,"Mature",B3055&lt;=65,"Pre-Senior",B3055&gt;65,"Senior")</f>
        <v>Pre-Senior</v>
      </c>
      <c r="D3055" s="1" t="s">
        <v>29</v>
      </c>
      <c r="E3055" s="1" t="s">
        <v>19</v>
      </c>
      <c r="F3055" s="1">
        <v>350000</v>
      </c>
      <c r="G3055" s="1">
        <v>18</v>
      </c>
      <c r="H3055" s="1" t="str" cm="1">
        <f t="array" ref="H3055">_xlfn.IFS( OR(G3055=" ",NOT(ISNUMBER(G3055))),"Unknown",G3055&lt;=33,"Low Spender",G3055&lt;=66,"Medium Spender",TRUE, "High Spender")</f>
        <v>Low Spender</v>
      </c>
      <c r="I3055" s="1">
        <v>58</v>
      </c>
      <c r="J3055" s="1">
        <v>11300</v>
      </c>
      <c r="K3055" s="1">
        <v>127</v>
      </c>
      <c r="M3055" s="1" t="s">
        <v>32</v>
      </c>
      <c r="N3055" s="1" t="str">
        <f t="shared" si="94"/>
        <v>Higher</v>
      </c>
      <c r="O3055" s="1" t="str">
        <f t="shared" si="95"/>
        <v>Pre-Senior | Low Spender | Higher</v>
      </c>
    </row>
    <row r="3056" spans="1:15" x14ac:dyDescent="0.25">
      <c r="A3056" s="1" t="s">
        <v>3086</v>
      </c>
      <c r="B3056" s="1">
        <v>38</v>
      </c>
      <c r="C3056" s="1" t="str" cm="1">
        <f t="array" ref="C3056">_xlfn.IFS(OR(B3056=" ", B3056="NA",NOT(ISNUMBER(B3056))), "Unknown",B3056&lt;18,"Underage",B3056&lt;=24,"Young Adult",B3056&lt;=34,"Early Career",B3056&lt;=44,"Mid Career",B3056&lt;=54,"Mature",B3056&lt;=65,"Pre-Senior",B3056&gt;65,"Senior")</f>
        <v>Mid Career</v>
      </c>
      <c r="D3056" s="1" t="s">
        <v>18</v>
      </c>
      <c r="F3056" s="1">
        <v>200000</v>
      </c>
      <c r="G3056" s="1">
        <v>8</v>
      </c>
      <c r="H3056" s="1" t="str" cm="1">
        <f t="array" ref="H3056">_xlfn.IFS( OR(G3056=" ",NOT(ISNUMBER(G3056))),"Unknown",G3056&lt;=33,"Low Spender",G3056&lt;=66,"Medium Spender",TRUE, "High Spender")</f>
        <v>Low Spender</v>
      </c>
      <c r="I3056" s="1">
        <v>53</v>
      </c>
      <c r="J3056" s="1">
        <v>3900</v>
      </c>
      <c r="L3056" s="1" t="s">
        <v>20</v>
      </c>
      <c r="M3056" s="1" t="s">
        <v>32</v>
      </c>
      <c r="N3056" s="1" t="str">
        <f t="shared" si="94"/>
        <v>Higher</v>
      </c>
      <c r="O3056" s="1" t="str">
        <f t="shared" si="95"/>
        <v>Mid Career | Low Spender | Higher</v>
      </c>
    </row>
    <row r="3057" spans="1:15" x14ac:dyDescent="0.25">
      <c r="A3057" s="1" t="s">
        <v>3087</v>
      </c>
      <c r="B3057" s="1">
        <v>45</v>
      </c>
      <c r="C3057" s="1" t="str" cm="1">
        <f t="array" ref="C3057">_xlfn.IFS(OR(B3057=" ", B3057="NA",NOT(ISNUMBER(B3057))), "Unknown",B3057&lt;18,"Underage",B3057&lt;=24,"Young Adult",B3057&lt;=34,"Early Career",B3057&lt;=44,"Mid Career",B3057&lt;=54,"Mature",B3057&lt;=65,"Pre-Senior",B3057&gt;65,"Senior")</f>
        <v>Mature</v>
      </c>
      <c r="D3057" s="1" t="s">
        <v>18</v>
      </c>
      <c r="E3057" s="1" t="s">
        <v>49</v>
      </c>
      <c r="F3057" s="1">
        <v>1325000</v>
      </c>
      <c r="G3057" s="1">
        <v>80</v>
      </c>
      <c r="H3057" s="1" t="str" cm="1">
        <f t="array" ref="H3057">_xlfn.IFS( OR(G3057=" ",NOT(ISNUMBER(G3057))),"Unknown",G3057&lt;=33,"Low Spender",G3057&lt;=66,"Medium Spender",TRUE, "High Spender")</f>
        <v>High Spender</v>
      </c>
      <c r="I3057" s="1">
        <v>57</v>
      </c>
      <c r="J3057" s="1">
        <v>9800</v>
      </c>
      <c r="K3057" s="1">
        <v>356</v>
      </c>
      <c r="L3057" s="1" t="s">
        <v>37</v>
      </c>
      <c r="M3057" s="1" t="s">
        <v>32</v>
      </c>
      <c r="N3057" s="1" t="str">
        <f t="shared" si="94"/>
        <v>Higher</v>
      </c>
      <c r="O3057" s="1" t="str">
        <f t="shared" si="95"/>
        <v>Mature | High Spender | Higher</v>
      </c>
    </row>
    <row r="3058" spans="1:15" x14ac:dyDescent="0.25">
      <c r="A3058" s="1" t="s">
        <v>3088</v>
      </c>
      <c r="B3058" s="1">
        <v>28</v>
      </c>
      <c r="C3058" s="1" t="str" cm="1">
        <f t="array" ref="C3058">_xlfn.IFS(OR(B3058=" ", B3058="NA",NOT(ISNUMBER(B3058))), "Unknown",B3058&lt;18,"Underage",B3058&lt;=24,"Young Adult",B3058&lt;=34,"Early Career",B3058&lt;=44,"Mid Career",B3058&lt;=54,"Mature",B3058&lt;=65,"Pre-Senior",B3058&gt;65,"Senior")</f>
        <v>Early Career</v>
      </c>
      <c r="D3058" s="1" t="s">
        <v>18</v>
      </c>
      <c r="E3058" s="1" t="s">
        <v>27</v>
      </c>
      <c r="F3058" s="1">
        <v>1200000</v>
      </c>
      <c r="G3058" s="1">
        <v>75</v>
      </c>
      <c r="H3058" s="1" t="str" cm="1">
        <f t="array" ref="H3058">_xlfn.IFS( OR(G3058=" ",NOT(ISNUMBER(G3058))),"Unknown",G3058&lt;=33,"Low Spender",G3058&lt;=66,"Medium Spender",TRUE, "High Spender")</f>
        <v>High Spender</v>
      </c>
      <c r="I3058" s="1">
        <v>18</v>
      </c>
      <c r="J3058" s="1">
        <v>6200</v>
      </c>
      <c r="K3058" s="1">
        <v>44</v>
      </c>
      <c r="L3058" s="1" t="s">
        <v>37</v>
      </c>
      <c r="N3058" s="1" t="str">
        <f t="shared" si="94"/>
        <v>Higher</v>
      </c>
      <c r="O3058" s="1" t="str">
        <f t="shared" si="95"/>
        <v>Early Career | High Spender | Higher</v>
      </c>
    </row>
    <row r="3059" spans="1:15" x14ac:dyDescent="0.25">
      <c r="A3059" s="1" t="s">
        <v>3089</v>
      </c>
      <c r="B3059" s="1" t="s">
        <v>73</v>
      </c>
      <c r="C3059" s="1" t="str" cm="1">
        <f t="array" ref="C3059">_xlfn.IFS(OR(B3059=" ", B3059="NA",NOT(ISNUMBER(B3059))), "Unknown",B3059&lt;18,"Underage",B3059&lt;=24,"Young Adult",B3059&lt;=34,"Early Career",B3059&lt;=44,"Mid Career",B3059&lt;=54,"Mature",B3059&lt;=65,"Pre-Senior",B3059&gt;65,"Senior")</f>
        <v>Unknown</v>
      </c>
      <c r="E3059" s="1" t="s">
        <v>34</v>
      </c>
      <c r="F3059" s="1">
        <v>150000</v>
      </c>
      <c r="G3059" s="1">
        <v>70</v>
      </c>
      <c r="H3059" s="1" t="str" cm="1">
        <f t="array" ref="H3059">_xlfn.IFS( OR(G3059=" ",NOT(ISNUMBER(G3059))),"Unknown",G3059&lt;=33,"Low Spender",G3059&lt;=66,"Medium Spender",TRUE, "High Spender")</f>
        <v>High Spender</v>
      </c>
      <c r="I3059" s="1">
        <v>16</v>
      </c>
      <c r="J3059" s="1">
        <v>1400</v>
      </c>
      <c r="K3059" s="1">
        <v>7</v>
      </c>
      <c r="L3059" s="1" t="s">
        <v>16</v>
      </c>
      <c r="M3059" s="1" t="s">
        <v>30</v>
      </c>
      <c r="N3059" s="1" t="str">
        <f t="shared" si="94"/>
        <v>Lower</v>
      </c>
      <c r="O3059" s="1" t="str">
        <f t="shared" si="95"/>
        <v>Unknown | High Spender | Lower</v>
      </c>
    </row>
    <row r="3060" spans="1:15" x14ac:dyDescent="0.25">
      <c r="A3060" s="1" t="s">
        <v>3090</v>
      </c>
      <c r="B3060" s="1">
        <v>51</v>
      </c>
      <c r="C3060" s="1" t="str" cm="1">
        <f t="array" ref="C3060">_xlfn.IFS(OR(B3060=" ", B3060="NA",NOT(ISNUMBER(B3060))), "Unknown",B3060&lt;18,"Underage",B3060&lt;=24,"Young Adult",B3060&lt;=34,"Early Career",B3060&lt;=44,"Mid Career",B3060&lt;=54,"Mature",B3060&lt;=65,"Pre-Senior",B3060&gt;65,"Senior")</f>
        <v>Mature</v>
      </c>
      <c r="D3060" s="1" t="s">
        <v>18</v>
      </c>
      <c r="E3060" s="1" t="s">
        <v>19</v>
      </c>
      <c r="F3060" s="1">
        <v>1550000</v>
      </c>
      <c r="G3060" s="1">
        <v>1</v>
      </c>
      <c r="H3060" s="1" t="str" cm="1">
        <f t="array" ref="H3060">_xlfn.IFS( OR(G3060=" ",NOT(ISNUMBER(G3060))),"Unknown",G3060&lt;=33,"Low Spender",G3060&lt;=66,"Medium Spender",TRUE, "High Spender")</f>
        <v>Low Spender</v>
      </c>
      <c r="I3060" s="1">
        <v>2</v>
      </c>
      <c r="J3060" s="1">
        <v>11100</v>
      </c>
      <c r="K3060" s="1">
        <v>128</v>
      </c>
      <c r="L3060" s="1" t="s">
        <v>20</v>
      </c>
      <c r="M3060" s="1" t="s">
        <v>21</v>
      </c>
      <c r="N3060" s="1" t="str">
        <f t="shared" si="94"/>
        <v>Higher</v>
      </c>
      <c r="O3060" s="1" t="str">
        <f t="shared" si="95"/>
        <v>Mature | Low Spender | Higher</v>
      </c>
    </row>
    <row r="3061" spans="1:15" x14ac:dyDescent="0.25">
      <c r="A3061" s="1" t="s">
        <v>3091</v>
      </c>
      <c r="B3061" s="1">
        <v>25</v>
      </c>
      <c r="C3061" s="1" t="str" cm="1">
        <f t="array" ref="C3061">_xlfn.IFS(OR(B3061=" ", B3061="NA",NOT(ISNUMBER(B3061))), "Unknown",B3061&lt;18,"Underage",B3061&lt;=24,"Young Adult",B3061&lt;=34,"Early Career",B3061&lt;=44,"Mid Career",B3061&lt;=54,"Mature",B3061&lt;=65,"Pre-Senior",B3061&gt;65,"Senior")</f>
        <v>Early Career</v>
      </c>
      <c r="D3061" s="1" t="s">
        <v>12</v>
      </c>
      <c r="E3061" s="1" t="s">
        <v>27</v>
      </c>
      <c r="F3061" s="1">
        <v>1450000</v>
      </c>
      <c r="G3061" s="1">
        <v>62</v>
      </c>
      <c r="H3061" s="1" t="str" cm="1">
        <f t="array" ref="H3061">_xlfn.IFS( OR(G3061=" ",NOT(ISNUMBER(G3061))),"Unknown",G3061&lt;=33,"Low Spender",G3061&lt;=66,"Medium Spender",TRUE, "High Spender")</f>
        <v>Medium Spender</v>
      </c>
      <c r="I3061" s="1">
        <v>13</v>
      </c>
      <c r="J3061" s="1">
        <v>3400</v>
      </c>
      <c r="K3061" s="1">
        <v>91</v>
      </c>
      <c r="L3061" s="1" t="s">
        <v>20</v>
      </c>
      <c r="M3061" s="1" t="s">
        <v>41</v>
      </c>
      <c r="N3061" s="1" t="str">
        <f t="shared" si="94"/>
        <v>Lower</v>
      </c>
      <c r="O3061" s="1" t="str">
        <f t="shared" si="95"/>
        <v>Early Career | Medium Spender | Lower</v>
      </c>
    </row>
    <row r="3062" spans="1:15" x14ac:dyDescent="0.25">
      <c r="A3062" s="1" t="s">
        <v>3092</v>
      </c>
      <c r="B3062" s="1">
        <v>39</v>
      </c>
      <c r="C3062" s="1" t="str" cm="1">
        <f t="array" ref="C3062">_xlfn.IFS(OR(B3062=" ", B3062="NA",NOT(ISNUMBER(B3062))), "Unknown",B3062&lt;18,"Underage",B3062&lt;=24,"Young Adult",B3062&lt;=34,"Early Career",B3062&lt;=44,"Mid Career",B3062&lt;=54,"Mature",B3062&lt;=65,"Pre-Senior",B3062&gt;65,"Senior")</f>
        <v>Mid Career</v>
      </c>
      <c r="D3062" s="1" t="s">
        <v>29</v>
      </c>
      <c r="E3062" s="1" t="s">
        <v>23</v>
      </c>
      <c r="F3062" s="1">
        <v>525000</v>
      </c>
      <c r="G3062" s="1">
        <v>76</v>
      </c>
      <c r="H3062" s="1" t="str" cm="1">
        <f t="array" ref="H3062">_xlfn.IFS( OR(G3062=" ",NOT(ISNUMBER(G3062))),"Unknown",G3062&lt;=33,"Low Spender",G3062&lt;=66,"Medium Spender",TRUE, "High Spender")</f>
        <v>High Spender</v>
      </c>
      <c r="I3062" s="1">
        <v>45</v>
      </c>
      <c r="J3062" s="1">
        <v>8300</v>
      </c>
      <c r="K3062" s="1">
        <v>130</v>
      </c>
      <c r="M3062" s="1" t="s">
        <v>41</v>
      </c>
      <c r="N3062" s="1" t="str">
        <f t="shared" si="94"/>
        <v>Higher</v>
      </c>
      <c r="O3062" s="1" t="str">
        <f t="shared" si="95"/>
        <v>Mid Career | High Spender | Higher</v>
      </c>
    </row>
    <row r="3063" spans="1:15" x14ac:dyDescent="0.25">
      <c r="A3063" s="1" t="s">
        <v>3093</v>
      </c>
      <c r="B3063" s="1">
        <v>25</v>
      </c>
      <c r="C3063" s="1" t="str" cm="1">
        <f t="array" ref="C3063">_xlfn.IFS(OR(B3063=" ", B3063="NA",NOT(ISNUMBER(B3063))), "Unknown",B3063&lt;18,"Underage",B3063&lt;=24,"Young Adult",B3063&lt;=34,"Early Career",B3063&lt;=44,"Mid Career",B3063&lt;=54,"Mature",B3063&lt;=65,"Pre-Senior",B3063&gt;65,"Senior")</f>
        <v>Early Career</v>
      </c>
      <c r="F3063" s="1">
        <v>1400000</v>
      </c>
      <c r="G3063" s="1">
        <v>38</v>
      </c>
      <c r="H3063" s="1" t="str" cm="1">
        <f t="array" ref="H3063">_xlfn.IFS( OR(G3063=" ",NOT(ISNUMBER(G3063))),"Unknown",G3063&lt;=33,"Low Spender",G3063&lt;=66,"Medium Spender",TRUE, "High Spender")</f>
        <v>Medium Spender</v>
      </c>
      <c r="J3063" s="1">
        <v>600</v>
      </c>
      <c r="K3063" s="1">
        <v>17</v>
      </c>
      <c r="L3063" s="1" t="s">
        <v>37</v>
      </c>
      <c r="N3063" s="1" t="str">
        <f t="shared" si="94"/>
        <v>Lower</v>
      </c>
      <c r="O3063" s="1" t="str">
        <f t="shared" si="95"/>
        <v>Early Career | Medium Spender | Lower</v>
      </c>
    </row>
    <row r="3064" spans="1:15" x14ac:dyDescent="0.25">
      <c r="A3064" s="1" t="s">
        <v>3094</v>
      </c>
      <c r="B3064" s="1">
        <v>66</v>
      </c>
      <c r="C3064" s="1" t="str" cm="1">
        <f t="array" ref="C3064">_xlfn.IFS(OR(B3064=" ", B3064="NA",NOT(ISNUMBER(B3064))), "Unknown",B3064&lt;18,"Underage",B3064&lt;=24,"Young Adult",B3064&lt;=34,"Early Career",B3064&lt;=44,"Mid Career",B3064&lt;=54,"Mature",B3064&lt;=65,"Pre-Senior",B3064&gt;65,"Senior")</f>
        <v>Senior</v>
      </c>
      <c r="D3064" s="1" t="s">
        <v>12</v>
      </c>
      <c r="E3064" s="1" t="s">
        <v>58</v>
      </c>
      <c r="G3064" s="1">
        <v>92</v>
      </c>
      <c r="H3064" s="1" t="str" cm="1">
        <f t="array" ref="H3064">_xlfn.IFS( OR(G3064=" ",NOT(ISNUMBER(G3064))),"Unknown",G3064&lt;=33,"Low Spender",G3064&lt;=66,"Medium Spender",TRUE, "High Spender")</f>
        <v>High Spender</v>
      </c>
      <c r="I3064" s="1">
        <v>72</v>
      </c>
      <c r="J3064" s="1">
        <v>10800</v>
      </c>
      <c r="K3064" s="1">
        <v>321</v>
      </c>
      <c r="L3064" s="1" t="s">
        <v>35</v>
      </c>
      <c r="N3064" s="1" t="str">
        <f t="shared" si="94"/>
        <v>Lower</v>
      </c>
      <c r="O3064" s="1" t="str">
        <f t="shared" si="95"/>
        <v>Senior | High Spender | Lower</v>
      </c>
    </row>
    <row r="3065" spans="1:15" x14ac:dyDescent="0.25">
      <c r="A3065" s="1" t="s">
        <v>3095</v>
      </c>
      <c r="B3065" s="1">
        <v>32</v>
      </c>
      <c r="C3065" s="1" t="str" cm="1">
        <f t="array" ref="C3065">_xlfn.IFS(OR(B3065=" ", B3065="NA",NOT(ISNUMBER(B3065))), "Unknown",B3065&lt;18,"Underage",B3065&lt;=24,"Young Adult",B3065&lt;=34,"Early Career",B3065&lt;=44,"Mid Career",B3065&lt;=54,"Mature",B3065&lt;=65,"Pre-Senior",B3065&gt;65,"Senior")</f>
        <v>Early Career</v>
      </c>
      <c r="D3065" s="1" t="s">
        <v>12</v>
      </c>
      <c r="E3065" s="1" t="s">
        <v>58</v>
      </c>
      <c r="F3065" s="1">
        <v>1500000</v>
      </c>
      <c r="G3065" s="1">
        <v>45</v>
      </c>
      <c r="H3065" s="1" t="str" cm="1">
        <f t="array" ref="H3065">_xlfn.IFS( OR(G3065=" ",NOT(ISNUMBER(G3065))),"Unknown",G3065&lt;=33,"Low Spender",G3065&lt;=66,"Medium Spender",TRUE, "High Spender")</f>
        <v>Medium Spender</v>
      </c>
      <c r="I3065" s="1">
        <v>43</v>
      </c>
      <c r="J3065" s="1">
        <v>3500</v>
      </c>
      <c r="K3065" s="1">
        <v>186</v>
      </c>
      <c r="M3065" s="1" t="s">
        <v>32</v>
      </c>
      <c r="N3065" s="1" t="str">
        <f t="shared" si="94"/>
        <v>Lower</v>
      </c>
      <c r="O3065" s="1" t="str">
        <f t="shared" si="95"/>
        <v>Early Career | Medium Spender | Lower</v>
      </c>
    </row>
    <row r="3066" spans="1:15" x14ac:dyDescent="0.25">
      <c r="A3066" s="1" t="s">
        <v>3096</v>
      </c>
      <c r="B3066" s="1">
        <v>34</v>
      </c>
      <c r="C3066" s="1" t="str" cm="1">
        <f t="array" ref="C3066">_xlfn.IFS(OR(B3066=" ", B3066="NA",NOT(ISNUMBER(B3066))), "Unknown",B3066&lt;18,"Underage",B3066&lt;=24,"Young Adult",B3066&lt;=34,"Early Career",B3066&lt;=44,"Mid Career",B3066&lt;=54,"Mature",B3066&lt;=65,"Pre-Senior",B3066&gt;65,"Senior")</f>
        <v>Early Career</v>
      </c>
      <c r="F3066" s="1">
        <v>150000</v>
      </c>
      <c r="G3066" s="1">
        <v>58</v>
      </c>
      <c r="H3066" s="1" t="str" cm="1">
        <f t="array" ref="H3066">_xlfn.IFS( OR(G3066=" ",NOT(ISNUMBER(G3066))),"Unknown",G3066&lt;=33,"Low Spender",G3066&lt;=66,"Medium Spender",TRUE, "High Spender")</f>
        <v>Medium Spender</v>
      </c>
      <c r="I3066" s="1">
        <v>72</v>
      </c>
      <c r="J3066" s="1">
        <v>4500</v>
      </c>
      <c r="K3066" s="1">
        <v>110</v>
      </c>
      <c r="M3066" s="1" t="s">
        <v>32</v>
      </c>
      <c r="N3066" s="1" t="str">
        <f t="shared" si="94"/>
        <v>Lower</v>
      </c>
      <c r="O3066" s="1" t="str">
        <f t="shared" si="95"/>
        <v>Early Career | Medium Spender | Lower</v>
      </c>
    </row>
    <row r="3067" spans="1:15" x14ac:dyDescent="0.25">
      <c r="A3067" s="1" t="s">
        <v>3097</v>
      </c>
      <c r="B3067" s="1">
        <v>40</v>
      </c>
      <c r="C3067" s="1" t="str" cm="1">
        <f t="array" ref="C3067">_xlfn.IFS(OR(B3067=" ", B3067="NA",NOT(ISNUMBER(B3067))), "Unknown",B3067&lt;18,"Underage",B3067&lt;=24,"Young Adult",B3067&lt;=34,"Early Career",B3067&lt;=44,"Mid Career",B3067&lt;=54,"Mature",B3067&lt;=65,"Pre-Senior",B3067&gt;65,"Senior")</f>
        <v>Mid Career</v>
      </c>
      <c r="D3067" s="1" t="s">
        <v>18</v>
      </c>
      <c r="E3067" s="1" t="s">
        <v>34</v>
      </c>
      <c r="F3067" s="1">
        <v>825000</v>
      </c>
      <c r="G3067" s="1">
        <v>81</v>
      </c>
      <c r="H3067" s="1" t="str" cm="1">
        <f t="array" ref="H3067">_xlfn.IFS( OR(G3067=" ",NOT(ISNUMBER(G3067))),"Unknown",G3067&lt;=33,"Low Spender",G3067&lt;=66,"Medium Spender",TRUE, "High Spender")</f>
        <v>High Spender</v>
      </c>
      <c r="I3067" s="1">
        <v>54</v>
      </c>
      <c r="J3067" s="1">
        <v>11400</v>
      </c>
      <c r="K3067" s="1">
        <v>286</v>
      </c>
      <c r="M3067" s="1" t="s">
        <v>32</v>
      </c>
      <c r="N3067" s="1" t="str">
        <f t="shared" si="94"/>
        <v>Higher</v>
      </c>
      <c r="O3067" s="1" t="str">
        <f t="shared" si="95"/>
        <v>Mid Career | High Spender | Higher</v>
      </c>
    </row>
    <row r="3068" spans="1:15" x14ac:dyDescent="0.25">
      <c r="A3068" s="1" t="s">
        <v>3098</v>
      </c>
      <c r="B3068" s="1">
        <v>41</v>
      </c>
      <c r="C3068" s="1" t="str" cm="1">
        <f t="array" ref="C3068">_xlfn.IFS(OR(B3068=" ", B3068="NA",NOT(ISNUMBER(B3068))), "Unknown",B3068&lt;18,"Underage",B3068&lt;=24,"Young Adult",B3068&lt;=34,"Early Career",B3068&lt;=44,"Mid Career",B3068&lt;=54,"Mature",B3068&lt;=65,"Pre-Senior",B3068&gt;65,"Senior")</f>
        <v>Mid Career</v>
      </c>
      <c r="D3068" s="1" t="s">
        <v>18</v>
      </c>
      <c r="E3068" s="1" t="s">
        <v>27</v>
      </c>
      <c r="F3068" s="1">
        <v>1450000</v>
      </c>
      <c r="G3068" s="1">
        <v>1</v>
      </c>
      <c r="H3068" s="1" t="str" cm="1">
        <f t="array" ref="H3068">_xlfn.IFS( OR(G3068=" ",NOT(ISNUMBER(G3068))),"Unknown",G3068&lt;=33,"Low Spender",G3068&lt;=66,"Medium Spender",TRUE, "High Spender")</f>
        <v>Low Spender</v>
      </c>
      <c r="I3068" s="1">
        <v>74</v>
      </c>
      <c r="J3068" s="1">
        <v>10900</v>
      </c>
      <c r="K3068" s="1">
        <v>348</v>
      </c>
      <c r="L3068" s="1" t="s">
        <v>16</v>
      </c>
      <c r="N3068" s="1" t="str">
        <f t="shared" si="94"/>
        <v>Higher</v>
      </c>
      <c r="O3068" s="1" t="str">
        <f t="shared" si="95"/>
        <v>Mid Career | Low Spender | Higher</v>
      </c>
    </row>
    <row r="3069" spans="1:15" x14ac:dyDescent="0.25">
      <c r="A3069" s="1" t="s">
        <v>3099</v>
      </c>
      <c r="B3069" s="1">
        <v>62</v>
      </c>
      <c r="C3069" s="1" t="str" cm="1">
        <f t="array" ref="C3069">_xlfn.IFS(OR(B3069=" ", B3069="NA",NOT(ISNUMBER(B3069))), "Unknown",B3069&lt;18,"Underage",B3069&lt;=24,"Young Adult",B3069&lt;=34,"Early Career",B3069&lt;=44,"Mid Career",B3069&lt;=54,"Mature",B3069&lt;=65,"Pre-Senior",B3069&gt;65,"Senior")</f>
        <v>Pre-Senior</v>
      </c>
      <c r="E3069" s="1" t="s">
        <v>13</v>
      </c>
      <c r="F3069" s="1">
        <v>1575000</v>
      </c>
      <c r="G3069" s="1">
        <v>32</v>
      </c>
      <c r="H3069" s="1" t="str" cm="1">
        <f t="array" ref="H3069">_xlfn.IFS( OR(G3069=" ",NOT(ISNUMBER(G3069))),"Unknown",G3069&lt;=33,"Low Spender",G3069&lt;=66,"Medium Spender",TRUE, "High Spender")</f>
        <v>Low Spender</v>
      </c>
      <c r="I3069" s="1">
        <v>31</v>
      </c>
      <c r="J3069" s="1">
        <v>1100</v>
      </c>
      <c r="K3069" s="1">
        <v>163</v>
      </c>
      <c r="L3069" s="1" t="s">
        <v>16</v>
      </c>
      <c r="M3069" s="1" t="s">
        <v>21</v>
      </c>
      <c r="N3069" s="1" t="str">
        <f t="shared" si="94"/>
        <v>Lower</v>
      </c>
      <c r="O3069" s="1" t="str">
        <f t="shared" si="95"/>
        <v>Pre-Senior | Low Spender | Lower</v>
      </c>
    </row>
    <row r="3070" spans="1:15" x14ac:dyDescent="0.25">
      <c r="A3070" s="1" t="s">
        <v>3100</v>
      </c>
      <c r="B3070" s="1">
        <v>36</v>
      </c>
      <c r="C3070" s="1" t="str" cm="1">
        <f t="array" ref="C3070">_xlfn.IFS(OR(B3070=" ", B3070="NA",NOT(ISNUMBER(B3070))), "Unknown",B3070&lt;18,"Underage",B3070&lt;=24,"Young Adult",B3070&lt;=34,"Early Career",B3070&lt;=44,"Mid Career",B3070&lt;=54,"Mature",B3070&lt;=65,"Pre-Senior",B3070&gt;65,"Senior")</f>
        <v>Mid Career</v>
      </c>
      <c r="D3070" s="1" t="s">
        <v>29</v>
      </c>
      <c r="E3070" s="1" t="s">
        <v>19</v>
      </c>
      <c r="F3070" s="1">
        <v>1950000</v>
      </c>
      <c r="G3070" s="1">
        <v>8</v>
      </c>
      <c r="H3070" s="1" t="str" cm="1">
        <f t="array" ref="H3070">_xlfn.IFS( OR(G3070=" ",NOT(ISNUMBER(G3070))),"Unknown",G3070&lt;=33,"Low Spender",G3070&lt;=66,"Medium Spender",TRUE, "High Spender")</f>
        <v>Low Spender</v>
      </c>
      <c r="I3070" s="1">
        <v>76</v>
      </c>
      <c r="J3070" s="1">
        <v>10000</v>
      </c>
      <c r="K3070" s="1">
        <v>75</v>
      </c>
      <c r="M3070" s="1" t="s">
        <v>32</v>
      </c>
      <c r="N3070" s="1" t="str">
        <f t="shared" si="94"/>
        <v>Higher</v>
      </c>
      <c r="O3070" s="1" t="str">
        <f t="shared" si="95"/>
        <v>Mid Career | Low Spender | Higher</v>
      </c>
    </row>
    <row r="3071" spans="1:15" x14ac:dyDescent="0.25">
      <c r="A3071" s="1" t="s">
        <v>3101</v>
      </c>
      <c r="B3071" s="1">
        <v>22</v>
      </c>
      <c r="C3071" s="1" t="str" cm="1">
        <f t="array" ref="C3071">_xlfn.IFS(OR(B3071=" ", B3071="NA",NOT(ISNUMBER(B3071))), "Unknown",B3071&lt;18,"Underage",B3071&lt;=24,"Young Adult",B3071&lt;=34,"Early Career",B3071&lt;=44,"Mid Career",B3071&lt;=54,"Mature",B3071&lt;=65,"Pre-Senior",B3071&gt;65,"Senior")</f>
        <v>Young Adult</v>
      </c>
      <c r="E3071" s="1" t="s">
        <v>15</v>
      </c>
      <c r="F3071" s="1">
        <v>1625000</v>
      </c>
      <c r="G3071" s="1">
        <v>40</v>
      </c>
      <c r="H3071" s="1" t="str" cm="1">
        <f t="array" ref="H3071">_xlfn.IFS( OR(G3071=" ",NOT(ISNUMBER(G3071))),"Unknown",G3071&lt;=33,"Low Spender",G3071&lt;=66,"Medium Spender",TRUE, "High Spender")</f>
        <v>Medium Spender</v>
      </c>
      <c r="I3071" s="1">
        <v>9</v>
      </c>
      <c r="J3071" s="1">
        <v>10500</v>
      </c>
      <c r="K3071" s="1">
        <v>199</v>
      </c>
      <c r="N3071" s="1" t="str">
        <f t="shared" si="94"/>
        <v>Lower</v>
      </c>
      <c r="O3071" s="1" t="str">
        <f t="shared" si="95"/>
        <v>Young Adult | Medium Spender | Lower</v>
      </c>
    </row>
    <row r="3072" spans="1:15" x14ac:dyDescent="0.25">
      <c r="A3072" s="1" t="s">
        <v>3102</v>
      </c>
      <c r="B3072" s="1">
        <v>49</v>
      </c>
      <c r="C3072" s="1" t="str" cm="1">
        <f t="array" ref="C3072">_xlfn.IFS(OR(B3072=" ", B3072="NA",NOT(ISNUMBER(B3072))), "Unknown",B3072&lt;18,"Underage",B3072&lt;=24,"Young Adult",B3072&lt;=34,"Early Career",B3072&lt;=44,"Mid Career",B3072&lt;=54,"Mature",B3072&lt;=65,"Pre-Senior",B3072&gt;65,"Senior")</f>
        <v>Mature</v>
      </c>
      <c r="E3072" s="1" t="s">
        <v>15</v>
      </c>
      <c r="F3072" s="1">
        <v>1600000</v>
      </c>
      <c r="G3072" s="1">
        <v>56</v>
      </c>
      <c r="H3072" s="1" t="str" cm="1">
        <f t="array" ref="H3072">_xlfn.IFS( OR(G3072=" ",NOT(ISNUMBER(G3072))),"Unknown",G3072&lt;=33,"Low Spender",G3072&lt;=66,"Medium Spender",TRUE, "High Spender")</f>
        <v>Medium Spender</v>
      </c>
      <c r="I3072" s="1">
        <v>73</v>
      </c>
      <c r="J3072" s="1">
        <v>5300</v>
      </c>
      <c r="K3072" s="1">
        <v>361</v>
      </c>
      <c r="L3072" s="1" t="s">
        <v>35</v>
      </c>
      <c r="N3072" s="1" t="str">
        <f t="shared" si="94"/>
        <v>Lower</v>
      </c>
      <c r="O3072" s="1" t="str">
        <f t="shared" si="95"/>
        <v>Mature | Medium Spender | Lower</v>
      </c>
    </row>
    <row r="3073" spans="1:15" x14ac:dyDescent="0.25">
      <c r="A3073" s="1" t="s">
        <v>3103</v>
      </c>
      <c r="B3073" s="1">
        <v>61</v>
      </c>
      <c r="C3073" s="1" t="str" cm="1">
        <f t="array" ref="C3073">_xlfn.IFS(OR(B3073=" ", B3073="NA",NOT(ISNUMBER(B3073))), "Unknown",B3073&lt;18,"Underage",B3073&lt;=24,"Young Adult",B3073&lt;=34,"Early Career",B3073&lt;=44,"Mid Career",B3073&lt;=54,"Mature",B3073&lt;=65,"Pre-Senior",B3073&gt;65,"Senior")</f>
        <v>Pre-Senior</v>
      </c>
      <c r="D3073" s="1" t="s">
        <v>18</v>
      </c>
      <c r="E3073" s="1" t="s">
        <v>58</v>
      </c>
      <c r="F3073" s="1">
        <v>675000</v>
      </c>
      <c r="G3073" s="1">
        <v>63</v>
      </c>
      <c r="H3073" s="1" t="str" cm="1">
        <f t="array" ref="H3073">_xlfn.IFS( OR(G3073=" ",NOT(ISNUMBER(G3073))),"Unknown",G3073&lt;=33,"Low Spender",G3073&lt;=66,"Medium Spender",TRUE, "High Spender")</f>
        <v>Medium Spender</v>
      </c>
      <c r="I3073" s="1">
        <v>48</v>
      </c>
      <c r="J3073" s="1">
        <v>9600</v>
      </c>
      <c r="K3073" s="1">
        <v>287</v>
      </c>
      <c r="L3073" s="1" t="s">
        <v>20</v>
      </c>
      <c r="M3073" s="1" t="s">
        <v>21</v>
      </c>
      <c r="N3073" s="1" t="str">
        <f t="shared" si="94"/>
        <v>Higher</v>
      </c>
      <c r="O3073" s="1" t="str">
        <f t="shared" si="95"/>
        <v>Pre-Senior | Medium Spender | Higher</v>
      </c>
    </row>
    <row r="3074" spans="1:15" x14ac:dyDescent="0.25">
      <c r="A3074" s="1" t="s">
        <v>3104</v>
      </c>
      <c r="B3074" s="1">
        <v>18</v>
      </c>
      <c r="C3074" s="1" t="str" cm="1">
        <f t="array" ref="C3074">_xlfn.IFS(OR(B3074=" ", B3074="NA",NOT(ISNUMBER(B3074))), "Unknown",B3074&lt;18,"Underage",B3074&lt;=24,"Young Adult",B3074&lt;=34,"Early Career",B3074&lt;=44,"Mid Career",B3074&lt;=54,"Mature",B3074&lt;=65,"Pre-Senior",B3074&gt;65,"Senior")</f>
        <v>Young Adult</v>
      </c>
      <c r="D3074" s="1" t="s">
        <v>12</v>
      </c>
      <c r="E3074" s="1" t="s">
        <v>13</v>
      </c>
      <c r="F3074" s="1">
        <v>325000</v>
      </c>
      <c r="G3074" s="1">
        <v>88</v>
      </c>
      <c r="H3074" s="1" t="str" cm="1">
        <f t="array" ref="H3074">_xlfn.IFS( OR(G3074=" ",NOT(ISNUMBER(G3074))),"Unknown",G3074&lt;=33,"Low Spender",G3074&lt;=66,"Medium Spender",TRUE, "High Spender")</f>
        <v>High Spender</v>
      </c>
      <c r="I3074" s="1">
        <v>18</v>
      </c>
      <c r="J3074" s="1">
        <v>11600</v>
      </c>
      <c r="K3074" s="1">
        <v>182</v>
      </c>
      <c r="L3074" s="1" t="s">
        <v>20</v>
      </c>
      <c r="N3074" s="1" t="str">
        <f t="shared" ref="N3074:N3137" si="96">IF(OR(UPPER(TRIM(D3074))="Male",UPPER(TRIM(D3074))="Female"),"Higher","Lower")</f>
        <v>Lower</v>
      </c>
      <c r="O3074" s="1" t="str">
        <f t="shared" ref="O3074:O3137" si="97">_xlfn.TEXTJOIN(" | ", TRUE, C3074, H3074, N3074)</f>
        <v>Young Adult | High Spender | Lower</v>
      </c>
    </row>
    <row r="3075" spans="1:15" x14ac:dyDescent="0.25">
      <c r="A3075" s="1" t="s">
        <v>3105</v>
      </c>
      <c r="B3075" s="1">
        <v>40</v>
      </c>
      <c r="C3075" s="1" t="str" cm="1">
        <f t="array" ref="C3075">_xlfn.IFS(OR(B3075=" ", B3075="NA",NOT(ISNUMBER(B3075))), "Unknown",B3075&lt;18,"Underage",B3075&lt;=24,"Young Adult",B3075&lt;=34,"Early Career",B3075&lt;=44,"Mid Career",B3075&lt;=54,"Mature",B3075&lt;=65,"Pre-Senior",B3075&gt;65,"Senior")</f>
        <v>Mid Career</v>
      </c>
      <c r="E3075" s="1" t="s">
        <v>15</v>
      </c>
      <c r="F3075" s="1">
        <v>1350000</v>
      </c>
      <c r="G3075" s="1">
        <v>74</v>
      </c>
      <c r="H3075" s="1" t="str" cm="1">
        <f t="array" ref="H3075">_xlfn.IFS( OR(G3075=" ",NOT(ISNUMBER(G3075))),"Unknown",G3075&lt;=33,"Low Spender",G3075&lt;=66,"Medium Spender",TRUE, "High Spender")</f>
        <v>High Spender</v>
      </c>
      <c r="I3075" s="1">
        <v>11</v>
      </c>
      <c r="J3075" s="1">
        <v>2200</v>
      </c>
      <c r="K3075" s="1">
        <v>97</v>
      </c>
      <c r="L3075" s="1" t="s">
        <v>37</v>
      </c>
      <c r="M3075" s="1" t="s">
        <v>32</v>
      </c>
      <c r="N3075" s="1" t="str">
        <f t="shared" si="96"/>
        <v>Lower</v>
      </c>
      <c r="O3075" s="1" t="str">
        <f t="shared" si="97"/>
        <v>Mid Career | High Spender | Lower</v>
      </c>
    </row>
    <row r="3076" spans="1:15" x14ac:dyDescent="0.25">
      <c r="A3076" s="1" t="s">
        <v>3106</v>
      </c>
      <c r="B3076" s="1">
        <v>54</v>
      </c>
      <c r="C3076" s="1" t="str" cm="1">
        <f t="array" ref="C3076">_xlfn.IFS(OR(B3076=" ", B3076="NA",NOT(ISNUMBER(B3076))), "Unknown",B3076&lt;18,"Underage",B3076&lt;=24,"Young Adult",B3076&lt;=34,"Early Career",B3076&lt;=44,"Mid Career",B3076&lt;=54,"Mature",B3076&lt;=65,"Pre-Senior",B3076&gt;65,"Senior")</f>
        <v>Mature</v>
      </c>
      <c r="D3076" s="1" t="s">
        <v>18</v>
      </c>
      <c r="E3076" s="1" t="s">
        <v>49</v>
      </c>
      <c r="F3076" s="1">
        <v>1175000</v>
      </c>
      <c r="G3076" s="1">
        <v>74</v>
      </c>
      <c r="H3076" s="1" t="str" cm="1">
        <f t="array" ref="H3076">_xlfn.IFS( OR(G3076=" ",NOT(ISNUMBER(G3076))),"Unknown",G3076&lt;=33,"Low Spender",G3076&lt;=66,"Medium Spender",TRUE, "High Spender")</f>
        <v>High Spender</v>
      </c>
      <c r="I3076" s="1">
        <v>62</v>
      </c>
      <c r="J3076" s="1">
        <v>4100</v>
      </c>
      <c r="K3076" s="1">
        <v>51</v>
      </c>
      <c r="L3076" s="1" t="s">
        <v>20</v>
      </c>
      <c r="M3076" s="1" t="s">
        <v>30</v>
      </c>
      <c r="N3076" s="1" t="str">
        <f t="shared" si="96"/>
        <v>Higher</v>
      </c>
      <c r="O3076" s="1" t="str">
        <f t="shared" si="97"/>
        <v>Mature | High Spender | Higher</v>
      </c>
    </row>
    <row r="3077" spans="1:15" x14ac:dyDescent="0.25">
      <c r="A3077" s="1" t="s">
        <v>3107</v>
      </c>
      <c r="B3077" s="1">
        <v>25</v>
      </c>
      <c r="C3077" s="1" t="str" cm="1">
        <f t="array" ref="C3077">_xlfn.IFS(OR(B3077=" ", B3077="NA",NOT(ISNUMBER(B3077))), "Unknown",B3077&lt;18,"Underage",B3077&lt;=24,"Young Adult",B3077&lt;=34,"Early Career",B3077&lt;=44,"Mid Career",B3077&lt;=54,"Mature",B3077&lt;=65,"Pre-Senior",B3077&gt;65,"Senior")</f>
        <v>Early Career</v>
      </c>
      <c r="E3077" s="1" t="s">
        <v>49</v>
      </c>
      <c r="F3077" s="1">
        <v>800000</v>
      </c>
      <c r="G3077" s="1">
        <v>36</v>
      </c>
      <c r="H3077" s="1" t="str" cm="1">
        <f t="array" ref="H3077">_xlfn.IFS( OR(G3077=" ",NOT(ISNUMBER(G3077))),"Unknown",G3077&lt;=33,"Low Spender",G3077&lt;=66,"Medium Spender",TRUE, "High Spender")</f>
        <v>Medium Spender</v>
      </c>
      <c r="I3077" s="1">
        <v>19</v>
      </c>
      <c r="J3077" s="1">
        <v>2500</v>
      </c>
      <c r="K3077" s="1">
        <v>314</v>
      </c>
      <c r="L3077" s="1" t="s">
        <v>20</v>
      </c>
      <c r="M3077" s="1" t="s">
        <v>30</v>
      </c>
      <c r="N3077" s="1" t="str">
        <f t="shared" si="96"/>
        <v>Lower</v>
      </c>
      <c r="O3077" s="1" t="str">
        <f t="shared" si="97"/>
        <v>Early Career | Medium Spender | Lower</v>
      </c>
    </row>
    <row r="3078" spans="1:15" x14ac:dyDescent="0.25">
      <c r="A3078" s="1" t="s">
        <v>3108</v>
      </c>
      <c r="B3078" s="1">
        <v>30</v>
      </c>
      <c r="C3078" s="1" t="str" cm="1">
        <f t="array" ref="C3078">_xlfn.IFS(OR(B3078=" ", B3078="NA",NOT(ISNUMBER(B3078))), "Unknown",B3078&lt;18,"Underage",B3078&lt;=24,"Young Adult",B3078&lt;=34,"Early Career",B3078&lt;=44,"Mid Career",B3078&lt;=54,"Mature",B3078&lt;=65,"Pre-Senior",B3078&gt;65,"Senior")</f>
        <v>Early Career</v>
      </c>
      <c r="E3078" s="1" t="s">
        <v>34</v>
      </c>
      <c r="F3078" s="1">
        <v>1100000</v>
      </c>
      <c r="G3078" s="1">
        <v>89</v>
      </c>
      <c r="H3078" s="1" t="str" cm="1">
        <f t="array" ref="H3078">_xlfn.IFS( OR(G3078=" ",NOT(ISNUMBER(G3078))),"Unknown",G3078&lt;=33,"Low Spender",G3078&lt;=66,"Medium Spender",TRUE, "High Spender")</f>
        <v>High Spender</v>
      </c>
      <c r="I3078" s="1">
        <v>74</v>
      </c>
      <c r="J3078" s="1">
        <v>4300</v>
      </c>
      <c r="K3078" s="1">
        <v>34</v>
      </c>
      <c r="L3078" s="1" t="s">
        <v>35</v>
      </c>
      <c r="M3078" s="1" t="s">
        <v>41</v>
      </c>
      <c r="N3078" s="1" t="str">
        <f t="shared" si="96"/>
        <v>Lower</v>
      </c>
      <c r="O3078" s="1" t="str">
        <f t="shared" si="97"/>
        <v>Early Career | High Spender | Lower</v>
      </c>
    </row>
    <row r="3079" spans="1:15" x14ac:dyDescent="0.25">
      <c r="A3079" s="1" t="s">
        <v>3109</v>
      </c>
      <c r="B3079" s="1">
        <v>25</v>
      </c>
      <c r="C3079" s="1" t="str" cm="1">
        <f t="array" ref="C3079">_xlfn.IFS(OR(B3079=" ", B3079="NA",NOT(ISNUMBER(B3079))), "Unknown",B3079&lt;18,"Underage",B3079&lt;=24,"Young Adult",B3079&lt;=34,"Early Career",B3079&lt;=44,"Mid Career",B3079&lt;=54,"Mature",B3079&lt;=65,"Pre-Senior",B3079&gt;65,"Senior")</f>
        <v>Early Career</v>
      </c>
      <c r="D3079" s="1" t="s">
        <v>18</v>
      </c>
      <c r="E3079" s="1" t="s">
        <v>13</v>
      </c>
      <c r="F3079" s="1">
        <v>750000</v>
      </c>
      <c r="G3079" s="1">
        <v>57</v>
      </c>
      <c r="H3079" s="1" t="str" cm="1">
        <f t="array" ref="H3079">_xlfn.IFS( OR(G3079=" ",NOT(ISNUMBER(G3079))),"Unknown",G3079&lt;=33,"Low Spender",G3079&lt;=66,"Medium Spender",TRUE, "High Spender")</f>
        <v>Medium Spender</v>
      </c>
      <c r="I3079" s="1">
        <v>24</v>
      </c>
      <c r="J3079" s="1">
        <v>4600</v>
      </c>
      <c r="K3079" s="1">
        <v>21</v>
      </c>
      <c r="L3079" s="1" t="s">
        <v>20</v>
      </c>
      <c r="M3079" s="1" t="s">
        <v>21</v>
      </c>
      <c r="N3079" s="1" t="str">
        <f t="shared" si="96"/>
        <v>Higher</v>
      </c>
      <c r="O3079" s="1" t="str">
        <f t="shared" si="97"/>
        <v>Early Career | Medium Spender | Higher</v>
      </c>
    </row>
    <row r="3080" spans="1:15" x14ac:dyDescent="0.25">
      <c r="A3080" s="1" t="s">
        <v>3110</v>
      </c>
      <c r="B3080" s="1">
        <v>40</v>
      </c>
      <c r="C3080" s="1" t="str" cm="1">
        <f t="array" ref="C3080">_xlfn.IFS(OR(B3080=" ", B3080="NA",NOT(ISNUMBER(B3080))), "Unknown",B3080&lt;18,"Underage",B3080&lt;=24,"Young Adult",B3080&lt;=34,"Early Career",B3080&lt;=44,"Mid Career",B3080&lt;=54,"Mature",B3080&lt;=65,"Pre-Senior",B3080&gt;65,"Senior")</f>
        <v>Mid Career</v>
      </c>
      <c r="D3080" s="1" t="s">
        <v>29</v>
      </c>
      <c r="E3080" s="1" t="s">
        <v>49</v>
      </c>
      <c r="F3080" s="1">
        <v>1075000</v>
      </c>
      <c r="G3080" s="1">
        <v>74</v>
      </c>
      <c r="H3080" s="1" t="str" cm="1">
        <f t="array" ref="H3080">_xlfn.IFS( OR(G3080=" ",NOT(ISNUMBER(G3080))),"Unknown",G3080&lt;=33,"Low Spender",G3080&lt;=66,"Medium Spender",TRUE, "High Spender")</f>
        <v>High Spender</v>
      </c>
      <c r="I3080" s="1">
        <v>13</v>
      </c>
      <c r="J3080" s="1">
        <v>3700</v>
      </c>
      <c r="K3080" s="1">
        <v>184</v>
      </c>
      <c r="L3080" s="1" t="s">
        <v>35</v>
      </c>
      <c r="M3080" s="1" t="s">
        <v>30</v>
      </c>
      <c r="N3080" s="1" t="str">
        <f t="shared" si="96"/>
        <v>Higher</v>
      </c>
      <c r="O3080" s="1" t="str">
        <f t="shared" si="97"/>
        <v>Mid Career | High Spender | Higher</v>
      </c>
    </row>
    <row r="3081" spans="1:15" x14ac:dyDescent="0.25">
      <c r="A3081" s="1" t="s">
        <v>3111</v>
      </c>
      <c r="B3081" s="1">
        <v>60</v>
      </c>
      <c r="C3081" s="1" t="str" cm="1">
        <f t="array" ref="C3081">_xlfn.IFS(OR(B3081=" ", B3081="NA",NOT(ISNUMBER(B3081))), "Unknown",B3081&lt;18,"Underage",B3081&lt;=24,"Young Adult",B3081&lt;=34,"Early Career",B3081&lt;=44,"Mid Career",B3081&lt;=54,"Mature",B3081&lt;=65,"Pre-Senior",B3081&gt;65,"Senior")</f>
        <v>Pre-Senior</v>
      </c>
      <c r="D3081" s="1" t="s">
        <v>18</v>
      </c>
      <c r="E3081" s="1" t="s">
        <v>49</v>
      </c>
      <c r="F3081" s="1">
        <v>725000</v>
      </c>
      <c r="G3081" s="1">
        <v>83</v>
      </c>
      <c r="H3081" s="1" t="str" cm="1">
        <f t="array" ref="H3081">_xlfn.IFS( OR(G3081=" ",NOT(ISNUMBER(G3081))),"Unknown",G3081&lt;=33,"Low Spender",G3081&lt;=66,"Medium Spender",TRUE, "High Spender")</f>
        <v>High Spender</v>
      </c>
      <c r="I3081" s="1">
        <v>46</v>
      </c>
      <c r="J3081" s="1">
        <v>2500</v>
      </c>
      <c r="K3081" s="1">
        <v>293</v>
      </c>
      <c r="L3081" s="1" t="s">
        <v>16</v>
      </c>
      <c r="M3081" s="1" t="s">
        <v>41</v>
      </c>
      <c r="N3081" s="1" t="str">
        <f t="shared" si="96"/>
        <v>Higher</v>
      </c>
      <c r="O3081" s="1" t="str">
        <f t="shared" si="97"/>
        <v>Pre-Senior | High Spender | Higher</v>
      </c>
    </row>
    <row r="3082" spans="1:15" x14ac:dyDescent="0.25">
      <c r="A3082" s="1" t="s">
        <v>3112</v>
      </c>
      <c r="B3082" s="1">
        <v>18</v>
      </c>
      <c r="C3082" s="1" t="str" cm="1">
        <f t="array" ref="C3082">_xlfn.IFS(OR(B3082=" ", B3082="NA",NOT(ISNUMBER(B3082))), "Unknown",B3082&lt;18,"Underage",B3082&lt;=24,"Young Adult",B3082&lt;=34,"Early Career",B3082&lt;=44,"Mid Career",B3082&lt;=54,"Mature",B3082&lt;=65,"Pre-Senior",B3082&gt;65,"Senior")</f>
        <v>Young Adult</v>
      </c>
      <c r="D3082" s="1" t="s">
        <v>29</v>
      </c>
      <c r="E3082" s="1" t="s">
        <v>58</v>
      </c>
      <c r="F3082" s="1">
        <v>725000</v>
      </c>
      <c r="G3082" s="1">
        <v>45</v>
      </c>
      <c r="H3082" s="1" t="str" cm="1">
        <f t="array" ref="H3082">_xlfn.IFS( OR(G3082=" ",NOT(ISNUMBER(G3082))),"Unknown",G3082&lt;=33,"Low Spender",G3082&lt;=66,"Medium Spender",TRUE, "High Spender")</f>
        <v>Medium Spender</v>
      </c>
      <c r="I3082" s="1">
        <v>53</v>
      </c>
      <c r="K3082" s="1">
        <v>64</v>
      </c>
      <c r="L3082" s="1" t="s">
        <v>35</v>
      </c>
      <c r="N3082" s="1" t="str">
        <f t="shared" si="96"/>
        <v>Higher</v>
      </c>
      <c r="O3082" s="1" t="str">
        <f t="shared" si="97"/>
        <v>Young Adult | Medium Spender | Higher</v>
      </c>
    </row>
    <row r="3083" spans="1:15" x14ac:dyDescent="0.25">
      <c r="A3083" s="1" t="s">
        <v>3113</v>
      </c>
      <c r="B3083" s="1">
        <v>62</v>
      </c>
      <c r="C3083" s="1" t="str" cm="1">
        <f t="array" ref="C3083">_xlfn.IFS(OR(B3083=" ", B3083="NA",NOT(ISNUMBER(B3083))), "Unknown",B3083&lt;18,"Underage",B3083&lt;=24,"Young Adult",B3083&lt;=34,"Early Career",B3083&lt;=44,"Mid Career",B3083&lt;=54,"Mature",B3083&lt;=65,"Pre-Senior",B3083&gt;65,"Senior")</f>
        <v>Pre-Senior</v>
      </c>
      <c r="E3083" s="1" t="s">
        <v>15</v>
      </c>
      <c r="F3083" s="1">
        <v>1625000</v>
      </c>
      <c r="G3083" s="1">
        <v>79</v>
      </c>
      <c r="H3083" s="1" t="str" cm="1">
        <f t="array" ref="H3083">_xlfn.IFS( OR(G3083=" ",NOT(ISNUMBER(G3083))),"Unknown",G3083&lt;=33,"Low Spender",G3083&lt;=66,"Medium Spender",TRUE, "High Spender")</f>
        <v>High Spender</v>
      </c>
      <c r="I3083" s="1">
        <v>29</v>
      </c>
      <c r="J3083" s="1">
        <v>6000</v>
      </c>
      <c r="K3083" s="1">
        <v>124</v>
      </c>
      <c r="L3083" s="1" t="s">
        <v>16</v>
      </c>
      <c r="M3083" s="1" t="s">
        <v>41</v>
      </c>
      <c r="N3083" s="1" t="str">
        <f t="shared" si="96"/>
        <v>Lower</v>
      </c>
      <c r="O3083" s="1" t="str">
        <f t="shared" si="97"/>
        <v>Pre-Senior | High Spender | Lower</v>
      </c>
    </row>
    <row r="3084" spans="1:15" x14ac:dyDescent="0.25">
      <c r="A3084" s="1" t="s">
        <v>3114</v>
      </c>
      <c r="B3084" s="1">
        <v>68</v>
      </c>
      <c r="C3084" s="1" t="str" cm="1">
        <f t="array" ref="C3084">_xlfn.IFS(OR(B3084=" ", B3084="NA",NOT(ISNUMBER(B3084))), "Unknown",B3084&lt;18,"Underage",B3084&lt;=24,"Young Adult",B3084&lt;=34,"Early Career",B3084&lt;=44,"Mid Career",B3084&lt;=54,"Mature",B3084&lt;=65,"Pre-Senior",B3084&gt;65,"Senior")</f>
        <v>Senior</v>
      </c>
      <c r="E3084" s="1" t="s">
        <v>34</v>
      </c>
      <c r="F3084" s="1">
        <v>1375000</v>
      </c>
      <c r="G3084" s="1">
        <v>80</v>
      </c>
      <c r="H3084" s="1" t="str" cm="1">
        <f t="array" ref="H3084">_xlfn.IFS( OR(G3084=" ",NOT(ISNUMBER(G3084))),"Unknown",G3084&lt;=33,"Low Spender",G3084&lt;=66,"Medium Spender",TRUE, "High Spender")</f>
        <v>High Spender</v>
      </c>
      <c r="I3084" s="1">
        <v>36</v>
      </c>
      <c r="J3084" s="1">
        <v>5000</v>
      </c>
      <c r="K3084" s="1">
        <v>101</v>
      </c>
      <c r="L3084" s="1" t="s">
        <v>35</v>
      </c>
      <c r="M3084" s="1" t="s">
        <v>32</v>
      </c>
      <c r="N3084" s="1" t="str">
        <f t="shared" si="96"/>
        <v>Lower</v>
      </c>
      <c r="O3084" s="1" t="str">
        <f t="shared" si="97"/>
        <v>Senior | High Spender | Lower</v>
      </c>
    </row>
    <row r="3085" spans="1:15" x14ac:dyDescent="0.25">
      <c r="A3085" s="1" t="s">
        <v>3115</v>
      </c>
      <c r="B3085" s="1">
        <v>41</v>
      </c>
      <c r="C3085" s="1" t="str" cm="1">
        <f t="array" ref="C3085">_xlfn.IFS(OR(B3085=" ", B3085="NA",NOT(ISNUMBER(B3085))), "Unknown",B3085&lt;18,"Underage",B3085&lt;=24,"Young Adult",B3085&lt;=34,"Early Career",B3085&lt;=44,"Mid Career",B3085&lt;=54,"Mature",B3085&lt;=65,"Pre-Senior",B3085&gt;65,"Senior")</f>
        <v>Mid Career</v>
      </c>
      <c r="D3085" s="1" t="s">
        <v>12</v>
      </c>
      <c r="E3085" s="1" t="s">
        <v>27</v>
      </c>
      <c r="F3085" s="1">
        <v>1775000</v>
      </c>
      <c r="G3085" s="1">
        <v>2</v>
      </c>
      <c r="H3085" s="1" t="str" cm="1">
        <f t="array" ref="H3085">_xlfn.IFS( OR(G3085=" ",NOT(ISNUMBER(G3085))),"Unknown",G3085&lt;=33,"Low Spender",G3085&lt;=66,"Medium Spender",TRUE, "High Spender")</f>
        <v>Low Spender</v>
      </c>
      <c r="I3085" s="1">
        <v>71</v>
      </c>
      <c r="J3085" s="1">
        <v>10500</v>
      </c>
      <c r="K3085" s="1">
        <v>119</v>
      </c>
      <c r="M3085" s="1" t="s">
        <v>32</v>
      </c>
      <c r="N3085" s="1" t="str">
        <f t="shared" si="96"/>
        <v>Lower</v>
      </c>
      <c r="O3085" s="1" t="str">
        <f t="shared" si="97"/>
        <v>Mid Career | Low Spender | Lower</v>
      </c>
    </row>
    <row r="3086" spans="1:15" x14ac:dyDescent="0.25">
      <c r="A3086" s="1" t="s">
        <v>3116</v>
      </c>
      <c r="B3086" s="1">
        <v>52</v>
      </c>
      <c r="C3086" s="1" t="str" cm="1">
        <f t="array" ref="C3086">_xlfn.IFS(OR(B3086=" ", B3086="NA",NOT(ISNUMBER(B3086))), "Unknown",B3086&lt;18,"Underage",B3086&lt;=24,"Young Adult",B3086&lt;=34,"Early Career",B3086&lt;=44,"Mid Career",B3086&lt;=54,"Mature",B3086&lt;=65,"Pre-Senior",B3086&gt;65,"Senior")</f>
        <v>Mature</v>
      </c>
      <c r="E3086" s="1" t="s">
        <v>23</v>
      </c>
      <c r="F3086" s="1">
        <v>475000</v>
      </c>
      <c r="G3086" s="1">
        <v>93</v>
      </c>
      <c r="H3086" s="1" t="str" cm="1">
        <f t="array" ref="H3086">_xlfn.IFS( OR(G3086=" ",NOT(ISNUMBER(G3086))),"Unknown",G3086&lt;=33,"Low Spender",G3086&lt;=66,"Medium Spender",TRUE, "High Spender")</f>
        <v>High Spender</v>
      </c>
      <c r="I3086" s="1">
        <v>17</v>
      </c>
      <c r="J3086" s="1">
        <v>8900</v>
      </c>
      <c r="K3086" s="1">
        <v>341</v>
      </c>
      <c r="N3086" s="1" t="str">
        <f t="shared" si="96"/>
        <v>Lower</v>
      </c>
      <c r="O3086" s="1" t="str">
        <f t="shared" si="97"/>
        <v>Mature | High Spender | Lower</v>
      </c>
    </row>
    <row r="3087" spans="1:15" x14ac:dyDescent="0.25">
      <c r="A3087" s="1" t="s">
        <v>3117</v>
      </c>
      <c r="B3087" s="1">
        <v>41</v>
      </c>
      <c r="C3087" s="1" t="str" cm="1">
        <f t="array" ref="C3087">_xlfn.IFS(OR(B3087=" ", B3087="NA",NOT(ISNUMBER(B3087))), "Unknown",B3087&lt;18,"Underage",B3087&lt;=24,"Young Adult",B3087&lt;=34,"Early Career",B3087&lt;=44,"Mid Career",B3087&lt;=54,"Mature",B3087&lt;=65,"Pre-Senior",B3087&gt;65,"Senior")</f>
        <v>Mid Career</v>
      </c>
      <c r="D3087" s="1" t="s">
        <v>29</v>
      </c>
      <c r="E3087" s="1" t="s">
        <v>19</v>
      </c>
      <c r="F3087" s="1">
        <v>1450000</v>
      </c>
      <c r="G3087" s="1">
        <v>68</v>
      </c>
      <c r="H3087" s="1" t="str" cm="1">
        <f t="array" ref="H3087">_xlfn.IFS( OR(G3087=" ",NOT(ISNUMBER(G3087))),"Unknown",G3087&lt;=33,"Low Spender",G3087&lt;=66,"Medium Spender",TRUE, "High Spender")</f>
        <v>High Spender</v>
      </c>
      <c r="I3087" s="1">
        <v>48</v>
      </c>
      <c r="J3087" s="1">
        <v>6000</v>
      </c>
      <c r="K3087" s="1">
        <v>78</v>
      </c>
      <c r="L3087" s="1" t="s">
        <v>16</v>
      </c>
      <c r="M3087" s="1" t="s">
        <v>21</v>
      </c>
      <c r="N3087" s="1" t="str">
        <f t="shared" si="96"/>
        <v>Higher</v>
      </c>
      <c r="O3087" s="1" t="str">
        <f t="shared" si="97"/>
        <v>Mid Career | High Spender | Higher</v>
      </c>
    </row>
    <row r="3088" spans="1:15" x14ac:dyDescent="0.25">
      <c r="A3088" s="1" t="s">
        <v>3118</v>
      </c>
      <c r="B3088" s="1">
        <v>34</v>
      </c>
      <c r="C3088" s="1" t="str" cm="1">
        <f t="array" ref="C3088">_xlfn.IFS(OR(B3088=" ", B3088="NA",NOT(ISNUMBER(B3088))), "Unknown",B3088&lt;18,"Underage",B3088&lt;=24,"Young Adult",B3088&lt;=34,"Early Career",B3088&lt;=44,"Mid Career",B3088&lt;=54,"Mature",B3088&lt;=65,"Pre-Senior",B3088&gt;65,"Senior")</f>
        <v>Early Career</v>
      </c>
      <c r="D3088" s="1" t="s">
        <v>29</v>
      </c>
      <c r="E3088" s="1" t="s">
        <v>19</v>
      </c>
      <c r="F3088" s="1">
        <v>925000</v>
      </c>
      <c r="G3088" s="1">
        <v>50</v>
      </c>
      <c r="H3088" s="1" t="str" cm="1">
        <f t="array" ref="H3088">_xlfn.IFS( OR(G3088=" ",NOT(ISNUMBER(G3088))),"Unknown",G3088&lt;=33,"Low Spender",G3088&lt;=66,"Medium Spender",TRUE, "High Spender")</f>
        <v>Medium Spender</v>
      </c>
      <c r="I3088" s="1">
        <v>77</v>
      </c>
      <c r="J3088" s="1">
        <v>10300</v>
      </c>
      <c r="K3088" s="1">
        <v>181</v>
      </c>
      <c r="L3088" s="1" t="s">
        <v>16</v>
      </c>
      <c r="N3088" s="1" t="str">
        <f t="shared" si="96"/>
        <v>Higher</v>
      </c>
      <c r="O3088" s="1" t="str">
        <f t="shared" si="97"/>
        <v>Early Career | Medium Spender | Higher</v>
      </c>
    </row>
    <row r="3089" spans="1:15" x14ac:dyDescent="0.25">
      <c r="A3089" s="1" t="s">
        <v>3119</v>
      </c>
      <c r="B3089" s="1">
        <v>22</v>
      </c>
      <c r="C3089" s="1" t="str" cm="1">
        <f t="array" ref="C3089">_xlfn.IFS(OR(B3089=" ", B3089="NA",NOT(ISNUMBER(B3089))), "Unknown",B3089&lt;18,"Underage",B3089&lt;=24,"Young Adult",B3089&lt;=34,"Early Career",B3089&lt;=44,"Mid Career",B3089&lt;=54,"Mature",B3089&lt;=65,"Pre-Senior",B3089&gt;65,"Senior")</f>
        <v>Young Adult</v>
      </c>
      <c r="D3089" s="1" t="s">
        <v>29</v>
      </c>
      <c r="F3089" s="1">
        <v>1325000</v>
      </c>
      <c r="G3089" s="1">
        <v>29</v>
      </c>
      <c r="H3089" s="1" t="str" cm="1">
        <f t="array" ref="H3089">_xlfn.IFS( OR(G3089=" ",NOT(ISNUMBER(G3089))),"Unknown",G3089&lt;=33,"Low Spender",G3089&lt;=66,"Medium Spender",TRUE, "High Spender")</f>
        <v>Low Spender</v>
      </c>
      <c r="I3089" s="1">
        <v>24</v>
      </c>
      <c r="J3089" s="1">
        <v>5900</v>
      </c>
      <c r="K3089" s="1">
        <v>199</v>
      </c>
      <c r="L3089" s="1" t="s">
        <v>20</v>
      </c>
      <c r="M3089" s="1" t="s">
        <v>32</v>
      </c>
      <c r="N3089" s="1" t="str">
        <f t="shared" si="96"/>
        <v>Higher</v>
      </c>
      <c r="O3089" s="1" t="str">
        <f t="shared" si="97"/>
        <v>Young Adult | Low Spender | Higher</v>
      </c>
    </row>
    <row r="3090" spans="1:15" x14ac:dyDescent="0.25">
      <c r="A3090" s="1" t="s">
        <v>3120</v>
      </c>
      <c r="B3090" s="1">
        <v>37</v>
      </c>
      <c r="C3090" s="1" t="str" cm="1">
        <f t="array" ref="C3090">_xlfn.IFS(OR(B3090=" ", B3090="NA",NOT(ISNUMBER(B3090))), "Unknown",B3090&lt;18,"Underage",B3090&lt;=24,"Young Adult",B3090&lt;=34,"Early Career",B3090&lt;=44,"Mid Career",B3090&lt;=54,"Mature",B3090&lt;=65,"Pre-Senior",B3090&gt;65,"Senior")</f>
        <v>Mid Career</v>
      </c>
      <c r="E3090" s="1" t="s">
        <v>23</v>
      </c>
      <c r="F3090" s="1">
        <v>1100000</v>
      </c>
      <c r="G3090" s="1">
        <v>95</v>
      </c>
      <c r="H3090" s="1" t="str" cm="1">
        <f t="array" ref="H3090">_xlfn.IFS( OR(G3090=" ",NOT(ISNUMBER(G3090))),"Unknown",G3090&lt;=33,"Low Spender",G3090&lt;=66,"Medium Spender",TRUE, "High Spender")</f>
        <v>High Spender</v>
      </c>
      <c r="I3090" s="1">
        <v>54</v>
      </c>
      <c r="J3090" s="1">
        <v>8900</v>
      </c>
      <c r="K3090" s="1">
        <v>360</v>
      </c>
      <c r="L3090" s="1" t="s">
        <v>16</v>
      </c>
      <c r="M3090" s="1" t="s">
        <v>32</v>
      </c>
      <c r="N3090" s="1" t="str">
        <f t="shared" si="96"/>
        <v>Lower</v>
      </c>
      <c r="O3090" s="1" t="str">
        <f t="shared" si="97"/>
        <v>Mid Career | High Spender | Lower</v>
      </c>
    </row>
    <row r="3091" spans="1:15" x14ac:dyDescent="0.25">
      <c r="A3091" s="1" t="s">
        <v>3121</v>
      </c>
      <c r="B3091" s="1">
        <v>38</v>
      </c>
      <c r="C3091" s="1" t="str" cm="1">
        <f t="array" ref="C3091">_xlfn.IFS(OR(B3091=" ", B3091="NA",NOT(ISNUMBER(B3091))), "Unknown",B3091&lt;18,"Underage",B3091&lt;=24,"Young Adult",B3091&lt;=34,"Early Career",B3091&lt;=44,"Mid Career",B3091&lt;=54,"Mature",B3091&lt;=65,"Pre-Senior",B3091&gt;65,"Senior")</f>
        <v>Mid Career</v>
      </c>
      <c r="D3091" s="1" t="s">
        <v>18</v>
      </c>
      <c r="E3091" s="1" t="s">
        <v>23</v>
      </c>
      <c r="F3091" s="1">
        <v>1125000</v>
      </c>
      <c r="G3091" s="1">
        <v>81</v>
      </c>
      <c r="H3091" s="1" t="str" cm="1">
        <f t="array" ref="H3091">_xlfn.IFS( OR(G3091=" ",NOT(ISNUMBER(G3091))),"Unknown",G3091&lt;=33,"Low Spender",G3091&lt;=66,"Medium Spender",TRUE, "High Spender")</f>
        <v>High Spender</v>
      </c>
      <c r="I3091" s="1">
        <v>1</v>
      </c>
      <c r="J3091" s="1">
        <v>4100</v>
      </c>
      <c r="K3091" s="1">
        <v>190</v>
      </c>
      <c r="L3091" s="1" t="s">
        <v>35</v>
      </c>
      <c r="M3091" s="1" t="s">
        <v>41</v>
      </c>
      <c r="N3091" s="1" t="str">
        <f t="shared" si="96"/>
        <v>Higher</v>
      </c>
      <c r="O3091" s="1" t="str">
        <f t="shared" si="97"/>
        <v>Mid Career | High Spender | Higher</v>
      </c>
    </row>
    <row r="3092" spans="1:15" x14ac:dyDescent="0.25">
      <c r="A3092" s="1" t="s">
        <v>3122</v>
      </c>
      <c r="B3092" s="1">
        <v>57</v>
      </c>
      <c r="C3092" s="1" t="str" cm="1">
        <f t="array" ref="C3092">_xlfn.IFS(OR(B3092=" ", B3092="NA",NOT(ISNUMBER(B3092))), "Unknown",B3092&lt;18,"Underage",B3092&lt;=24,"Young Adult",B3092&lt;=34,"Early Career",B3092&lt;=44,"Mid Career",B3092&lt;=54,"Mature",B3092&lt;=65,"Pre-Senior",B3092&gt;65,"Senior")</f>
        <v>Pre-Senior</v>
      </c>
      <c r="E3092" s="1" t="s">
        <v>19</v>
      </c>
      <c r="F3092" s="1">
        <v>1175000</v>
      </c>
      <c r="G3092" s="1">
        <v>10</v>
      </c>
      <c r="H3092" s="1" t="str" cm="1">
        <f t="array" ref="H3092">_xlfn.IFS( OR(G3092=" ",NOT(ISNUMBER(G3092))),"Unknown",G3092&lt;=33,"Low Spender",G3092&lt;=66,"Medium Spender",TRUE, "High Spender")</f>
        <v>Low Spender</v>
      </c>
      <c r="I3092" s="1">
        <v>79</v>
      </c>
      <c r="J3092" s="1">
        <v>3000</v>
      </c>
      <c r="K3092" s="1">
        <v>328</v>
      </c>
      <c r="M3092" s="1" t="s">
        <v>41</v>
      </c>
      <c r="N3092" s="1" t="str">
        <f t="shared" si="96"/>
        <v>Lower</v>
      </c>
      <c r="O3092" s="1" t="str">
        <f t="shared" si="97"/>
        <v>Pre-Senior | Low Spender | Lower</v>
      </c>
    </row>
    <row r="3093" spans="1:15" x14ac:dyDescent="0.25">
      <c r="A3093" s="1" t="s">
        <v>3123</v>
      </c>
      <c r="B3093" s="1">
        <v>48</v>
      </c>
      <c r="C3093" s="1" t="str" cm="1">
        <f t="array" ref="C3093">_xlfn.IFS(OR(B3093=" ", B3093="NA",NOT(ISNUMBER(B3093))), "Unknown",B3093&lt;18,"Underage",B3093&lt;=24,"Young Adult",B3093&lt;=34,"Early Career",B3093&lt;=44,"Mid Career",B3093&lt;=54,"Mature",B3093&lt;=65,"Pre-Senior",B3093&gt;65,"Senior")</f>
        <v>Mature</v>
      </c>
      <c r="D3093" s="1" t="s">
        <v>18</v>
      </c>
      <c r="E3093" s="1" t="s">
        <v>19</v>
      </c>
      <c r="F3093" s="1" t="s">
        <v>25</v>
      </c>
      <c r="G3093" s="1">
        <v>27</v>
      </c>
      <c r="H3093" s="1" t="str" cm="1">
        <f t="array" ref="H3093">_xlfn.IFS( OR(G3093=" ",NOT(ISNUMBER(G3093))),"Unknown",G3093&lt;=33,"Low Spender",G3093&lt;=66,"Medium Spender",TRUE, "High Spender")</f>
        <v>Low Spender</v>
      </c>
      <c r="I3093" s="1">
        <v>67</v>
      </c>
      <c r="J3093" s="1">
        <v>6600</v>
      </c>
      <c r="K3093" s="1">
        <v>103</v>
      </c>
      <c r="M3093" s="1" t="s">
        <v>41</v>
      </c>
      <c r="N3093" s="1" t="str">
        <f t="shared" si="96"/>
        <v>Higher</v>
      </c>
      <c r="O3093" s="1" t="str">
        <f t="shared" si="97"/>
        <v>Mature | Low Spender | Higher</v>
      </c>
    </row>
    <row r="3094" spans="1:15" x14ac:dyDescent="0.25">
      <c r="A3094" s="1" t="s">
        <v>3124</v>
      </c>
      <c r="B3094" s="1">
        <v>63</v>
      </c>
      <c r="C3094" s="1" t="str" cm="1">
        <f t="array" ref="C3094">_xlfn.IFS(OR(B3094=" ", B3094="NA",NOT(ISNUMBER(B3094))), "Unknown",B3094&lt;18,"Underage",B3094&lt;=24,"Young Adult",B3094&lt;=34,"Early Career",B3094&lt;=44,"Mid Career",B3094&lt;=54,"Mature",B3094&lt;=65,"Pre-Senior",B3094&gt;65,"Senior")</f>
        <v>Pre-Senior</v>
      </c>
      <c r="D3094" s="1" t="s">
        <v>12</v>
      </c>
      <c r="E3094" s="1" t="s">
        <v>27</v>
      </c>
      <c r="G3094" s="1">
        <v>15</v>
      </c>
      <c r="H3094" s="1" t="str" cm="1">
        <f t="array" ref="H3094">_xlfn.IFS( OR(G3094=" ",NOT(ISNUMBER(G3094))),"Unknown",G3094&lt;=33,"Low Spender",G3094&lt;=66,"Medium Spender",TRUE, "High Spender")</f>
        <v>Low Spender</v>
      </c>
      <c r="I3094" s="1">
        <v>6</v>
      </c>
      <c r="J3094" s="1">
        <v>6400</v>
      </c>
      <c r="K3094" s="1">
        <v>333</v>
      </c>
      <c r="L3094" s="1" t="s">
        <v>20</v>
      </c>
      <c r="M3094" s="1" t="s">
        <v>30</v>
      </c>
      <c r="N3094" s="1" t="str">
        <f t="shared" si="96"/>
        <v>Lower</v>
      </c>
      <c r="O3094" s="1" t="str">
        <f t="shared" si="97"/>
        <v>Pre-Senior | Low Spender | Lower</v>
      </c>
    </row>
    <row r="3095" spans="1:15" x14ac:dyDescent="0.25">
      <c r="A3095" s="1" t="s">
        <v>3125</v>
      </c>
      <c r="B3095" s="1">
        <v>53</v>
      </c>
      <c r="C3095" s="1" t="str" cm="1">
        <f t="array" ref="C3095">_xlfn.IFS(OR(B3095=" ", B3095="NA",NOT(ISNUMBER(B3095))), "Unknown",B3095&lt;18,"Underage",B3095&lt;=24,"Young Adult",B3095&lt;=34,"Early Career",B3095&lt;=44,"Mid Career",B3095&lt;=54,"Mature",B3095&lt;=65,"Pre-Senior",B3095&gt;65,"Senior")</f>
        <v>Mature</v>
      </c>
      <c r="E3095" s="1" t="s">
        <v>13</v>
      </c>
      <c r="F3095" s="1">
        <v>325000</v>
      </c>
      <c r="G3095" s="1">
        <v>60</v>
      </c>
      <c r="H3095" s="1" t="str" cm="1">
        <f t="array" ref="H3095">_xlfn.IFS( OR(G3095=" ",NOT(ISNUMBER(G3095))),"Unknown",G3095&lt;=33,"Low Spender",G3095&lt;=66,"Medium Spender",TRUE, "High Spender")</f>
        <v>Medium Spender</v>
      </c>
      <c r="I3095" s="1">
        <v>78</v>
      </c>
      <c r="J3095" s="1">
        <v>8500</v>
      </c>
      <c r="L3095" s="1" t="s">
        <v>35</v>
      </c>
      <c r="N3095" s="1" t="str">
        <f t="shared" si="96"/>
        <v>Lower</v>
      </c>
      <c r="O3095" s="1" t="str">
        <f t="shared" si="97"/>
        <v>Mature | Medium Spender | Lower</v>
      </c>
    </row>
    <row r="3096" spans="1:15" x14ac:dyDescent="0.25">
      <c r="A3096" s="1" t="s">
        <v>3126</v>
      </c>
      <c r="B3096" s="1">
        <v>28</v>
      </c>
      <c r="C3096" s="1" t="str" cm="1">
        <f t="array" ref="C3096">_xlfn.IFS(OR(B3096=" ", B3096="NA",NOT(ISNUMBER(B3096))), "Unknown",B3096&lt;18,"Underage",B3096&lt;=24,"Young Adult",B3096&lt;=34,"Early Career",B3096&lt;=44,"Mid Career",B3096&lt;=54,"Mature",B3096&lt;=65,"Pre-Senior",B3096&gt;65,"Senior")</f>
        <v>Early Career</v>
      </c>
      <c r="D3096" s="1" t="s">
        <v>29</v>
      </c>
      <c r="E3096" s="1" t="s">
        <v>13</v>
      </c>
      <c r="F3096" s="1">
        <v>775000</v>
      </c>
      <c r="G3096" s="1">
        <v>31</v>
      </c>
      <c r="H3096" s="1" t="str" cm="1">
        <f t="array" ref="H3096">_xlfn.IFS( OR(G3096=" ",NOT(ISNUMBER(G3096))),"Unknown",G3096&lt;=33,"Low Spender",G3096&lt;=66,"Medium Spender",TRUE, "High Spender")</f>
        <v>Low Spender</v>
      </c>
      <c r="I3096" s="1">
        <v>55</v>
      </c>
      <c r="J3096" s="1">
        <v>11500</v>
      </c>
      <c r="K3096" s="1">
        <v>275</v>
      </c>
      <c r="L3096" s="1" t="s">
        <v>35</v>
      </c>
      <c r="M3096" s="1" t="s">
        <v>21</v>
      </c>
      <c r="N3096" s="1" t="str">
        <f t="shared" si="96"/>
        <v>Higher</v>
      </c>
      <c r="O3096" s="1" t="str">
        <f t="shared" si="97"/>
        <v>Early Career | Low Spender | Higher</v>
      </c>
    </row>
    <row r="3097" spans="1:15" x14ac:dyDescent="0.25">
      <c r="A3097" s="1" t="s">
        <v>3127</v>
      </c>
      <c r="B3097" s="1">
        <v>69</v>
      </c>
      <c r="C3097" s="1" t="str" cm="1">
        <f t="array" ref="C3097">_xlfn.IFS(OR(B3097=" ", B3097="NA",NOT(ISNUMBER(B3097))), "Unknown",B3097&lt;18,"Underage",B3097&lt;=24,"Young Adult",B3097&lt;=34,"Early Career",B3097&lt;=44,"Mid Career",B3097&lt;=54,"Mature",B3097&lt;=65,"Pre-Senior",B3097&gt;65,"Senior")</f>
        <v>Senior</v>
      </c>
      <c r="E3097" s="1" t="s">
        <v>27</v>
      </c>
      <c r="F3097" s="1">
        <v>425000</v>
      </c>
      <c r="G3097" s="1">
        <v>21</v>
      </c>
      <c r="H3097" s="1" t="str" cm="1">
        <f t="array" ref="H3097">_xlfn.IFS( OR(G3097=" ",NOT(ISNUMBER(G3097))),"Unknown",G3097&lt;=33,"Low Spender",G3097&lt;=66,"Medium Spender",TRUE, "High Spender")</f>
        <v>Low Spender</v>
      </c>
      <c r="I3097" s="1">
        <v>38</v>
      </c>
      <c r="J3097" s="1">
        <v>11400</v>
      </c>
      <c r="K3097" s="1">
        <v>130</v>
      </c>
      <c r="L3097" s="1" t="s">
        <v>37</v>
      </c>
      <c r="M3097" s="1" t="s">
        <v>41</v>
      </c>
      <c r="N3097" s="1" t="str">
        <f t="shared" si="96"/>
        <v>Lower</v>
      </c>
      <c r="O3097" s="1" t="str">
        <f t="shared" si="97"/>
        <v>Senior | Low Spender | Lower</v>
      </c>
    </row>
    <row r="3098" spans="1:15" x14ac:dyDescent="0.25">
      <c r="A3098" s="1" t="s">
        <v>3128</v>
      </c>
      <c r="B3098" s="1">
        <v>32</v>
      </c>
      <c r="C3098" s="1" t="str" cm="1">
        <f t="array" ref="C3098">_xlfn.IFS(OR(B3098=" ", B3098="NA",NOT(ISNUMBER(B3098))), "Unknown",B3098&lt;18,"Underage",B3098&lt;=24,"Young Adult",B3098&lt;=34,"Early Career",B3098&lt;=44,"Mid Career",B3098&lt;=54,"Mature",B3098&lt;=65,"Pre-Senior",B3098&gt;65,"Senior")</f>
        <v>Early Career</v>
      </c>
      <c r="E3098" s="1" t="s">
        <v>15</v>
      </c>
      <c r="F3098" s="1">
        <v>1200000</v>
      </c>
      <c r="G3098" s="1">
        <v>60</v>
      </c>
      <c r="H3098" s="1" t="str" cm="1">
        <f t="array" ref="H3098">_xlfn.IFS( OR(G3098=" ",NOT(ISNUMBER(G3098))),"Unknown",G3098&lt;=33,"Low Spender",G3098&lt;=66,"Medium Spender",TRUE, "High Spender")</f>
        <v>Medium Spender</v>
      </c>
      <c r="I3098" s="1">
        <v>33</v>
      </c>
      <c r="J3098" s="1">
        <v>6400</v>
      </c>
      <c r="K3098" s="1">
        <v>241</v>
      </c>
      <c r="L3098" s="1" t="s">
        <v>16</v>
      </c>
      <c r="M3098" s="1" t="s">
        <v>21</v>
      </c>
      <c r="N3098" s="1" t="str">
        <f t="shared" si="96"/>
        <v>Lower</v>
      </c>
      <c r="O3098" s="1" t="str">
        <f t="shared" si="97"/>
        <v>Early Career | Medium Spender | Lower</v>
      </c>
    </row>
    <row r="3099" spans="1:15" x14ac:dyDescent="0.25">
      <c r="A3099" s="1" t="s">
        <v>3129</v>
      </c>
      <c r="B3099" s="1">
        <v>36</v>
      </c>
      <c r="C3099" s="1" t="str" cm="1">
        <f t="array" ref="C3099">_xlfn.IFS(OR(B3099=" ", B3099="NA",NOT(ISNUMBER(B3099))), "Unknown",B3099&lt;18,"Underage",B3099&lt;=24,"Young Adult",B3099&lt;=34,"Early Career",B3099&lt;=44,"Mid Career",B3099&lt;=54,"Mature",B3099&lt;=65,"Pre-Senior",B3099&gt;65,"Senior")</f>
        <v>Mid Career</v>
      </c>
      <c r="D3099" s="1" t="s">
        <v>29</v>
      </c>
      <c r="E3099" s="1" t="s">
        <v>23</v>
      </c>
      <c r="F3099" s="1">
        <v>1400000</v>
      </c>
      <c r="G3099" s="1">
        <v>58</v>
      </c>
      <c r="H3099" s="1" t="str" cm="1">
        <f t="array" ref="H3099">_xlfn.IFS( OR(G3099=" ",NOT(ISNUMBER(G3099))),"Unknown",G3099&lt;=33,"Low Spender",G3099&lt;=66,"Medium Spender",TRUE, "High Spender")</f>
        <v>Medium Spender</v>
      </c>
      <c r="I3099" s="1">
        <v>8</v>
      </c>
      <c r="J3099" s="1">
        <v>9600</v>
      </c>
      <c r="K3099" s="1">
        <v>134</v>
      </c>
      <c r="L3099" s="1" t="s">
        <v>20</v>
      </c>
      <c r="M3099" s="1" t="s">
        <v>41</v>
      </c>
      <c r="N3099" s="1" t="str">
        <f t="shared" si="96"/>
        <v>Higher</v>
      </c>
      <c r="O3099" s="1" t="str">
        <f t="shared" si="97"/>
        <v>Mid Career | Medium Spender | Higher</v>
      </c>
    </row>
    <row r="3100" spans="1:15" x14ac:dyDescent="0.25">
      <c r="A3100" s="1" t="s">
        <v>3130</v>
      </c>
      <c r="B3100" s="1">
        <v>24</v>
      </c>
      <c r="C3100" s="1" t="str" cm="1">
        <f t="array" ref="C3100">_xlfn.IFS(OR(B3100=" ", B3100="NA",NOT(ISNUMBER(B3100))), "Unknown",B3100&lt;18,"Underage",B3100&lt;=24,"Young Adult",B3100&lt;=34,"Early Career",B3100&lt;=44,"Mid Career",B3100&lt;=54,"Mature",B3100&lt;=65,"Pre-Senior",B3100&gt;65,"Senior")</f>
        <v>Young Adult</v>
      </c>
      <c r="D3100" s="1" t="s">
        <v>12</v>
      </c>
      <c r="F3100" s="1">
        <v>1700000</v>
      </c>
      <c r="G3100" s="1">
        <v>41</v>
      </c>
      <c r="H3100" s="1" t="str" cm="1">
        <f t="array" ref="H3100">_xlfn.IFS( OR(G3100=" ",NOT(ISNUMBER(G3100))),"Unknown",G3100&lt;=33,"Low Spender",G3100&lt;=66,"Medium Spender",TRUE, "High Spender")</f>
        <v>Medium Spender</v>
      </c>
      <c r="I3100" s="1">
        <v>79</v>
      </c>
      <c r="J3100" s="1">
        <v>8700</v>
      </c>
      <c r="K3100" s="1">
        <v>157</v>
      </c>
      <c r="M3100" s="1" t="s">
        <v>32</v>
      </c>
      <c r="N3100" s="1" t="str">
        <f t="shared" si="96"/>
        <v>Lower</v>
      </c>
      <c r="O3100" s="1" t="str">
        <f t="shared" si="97"/>
        <v>Young Adult | Medium Spender | Lower</v>
      </c>
    </row>
    <row r="3101" spans="1:15" x14ac:dyDescent="0.25">
      <c r="A3101" s="1" t="s">
        <v>3131</v>
      </c>
      <c r="B3101" s="1">
        <v>68</v>
      </c>
      <c r="C3101" s="1" t="str" cm="1">
        <f t="array" ref="C3101">_xlfn.IFS(OR(B3101=" ", B3101="NA",NOT(ISNUMBER(B3101))), "Unknown",B3101&lt;18,"Underage",B3101&lt;=24,"Young Adult",B3101&lt;=34,"Early Career",B3101&lt;=44,"Mid Career",B3101&lt;=54,"Mature",B3101&lt;=65,"Pre-Senior",B3101&gt;65,"Senior")</f>
        <v>Senior</v>
      </c>
      <c r="E3101" s="1" t="s">
        <v>23</v>
      </c>
      <c r="F3101" s="1">
        <v>1350000</v>
      </c>
      <c r="G3101" s="1">
        <v>46</v>
      </c>
      <c r="H3101" s="1" t="str" cm="1">
        <f t="array" ref="H3101">_xlfn.IFS( OR(G3101=" ",NOT(ISNUMBER(G3101))),"Unknown",G3101&lt;=33,"Low Spender",G3101&lt;=66,"Medium Spender",TRUE, "High Spender")</f>
        <v>Medium Spender</v>
      </c>
      <c r="I3101" s="1">
        <v>78</v>
      </c>
      <c r="J3101" s="1">
        <v>9000</v>
      </c>
      <c r="K3101" s="1">
        <v>318</v>
      </c>
      <c r="M3101" s="1" t="s">
        <v>21</v>
      </c>
      <c r="N3101" s="1" t="str">
        <f t="shared" si="96"/>
        <v>Lower</v>
      </c>
      <c r="O3101" s="1" t="str">
        <f t="shared" si="97"/>
        <v>Senior | Medium Spender | Lower</v>
      </c>
    </row>
    <row r="3102" spans="1:15" x14ac:dyDescent="0.25">
      <c r="A3102" s="1" t="s">
        <v>3132</v>
      </c>
      <c r="B3102" s="1">
        <v>45</v>
      </c>
      <c r="C3102" s="1" t="str" cm="1">
        <f t="array" ref="C3102">_xlfn.IFS(OR(B3102=" ", B3102="NA",NOT(ISNUMBER(B3102))), "Unknown",B3102&lt;18,"Underage",B3102&lt;=24,"Young Adult",B3102&lt;=34,"Early Career",B3102&lt;=44,"Mid Career",B3102&lt;=54,"Mature",B3102&lt;=65,"Pre-Senior",B3102&gt;65,"Senior")</f>
        <v>Mature</v>
      </c>
      <c r="F3102" s="1">
        <v>800000</v>
      </c>
      <c r="G3102" s="1">
        <v>45</v>
      </c>
      <c r="H3102" s="1" t="str" cm="1">
        <f t="array" ref="H3102">_xlfn.IFS( OR(G3102=" ",NOT(ISNUMBER(G3102))),"Unknown",G3102&lt;=33,"Low Spender",G3102&lt;=66,"Medium Spender",TRUE, "High Spender")</f>
        <v>Medium Spender</v>
      </c>
      <c r="I3102" s="1">
        <v>20</v>
      </c>
      <c r="J3102" s="1">
        <v>8700</v>
      </c>
      <c r="K3102" s="1">
        <v>158</v>
      </c>
      <c r="L3102" s="1" t="s">
        <v>37</v>
      </c>
      <c r="M3102" s="1" t="s">
        <v>30</v>
      </c>
      <c r="N3102" s="1" t="str">
        <f t="shared" si="96"/>
        <v>Lower</v>
      </c>
      <c r="O3102" s="1" t="str">
        <f t="shared" si="97"/>
        <v>Mature | Medium Spender | Lower</v>
      </c>
    </row>
    <row r="3103" spans="1:15" x14ac:dyDescent="0.25">
      <c r="A3103" s="1" t="s">
        <v>3133</v>
      </c>
      <c r="B3103" s="1">
        <v>68</v>
      </c>
      <c r="C3103" s="1" t="str" cm="1">
        <f t="array" ref="C3103">_xlfn.IFS(OR(B3103=" ", B3103="NA",NOT(ISNUMBER(B3103))), "Unknown",B3103&lt;18,"Underage",B3103&lt;=24,"Young Adult",B3103&lt;=34,"Early Career",B3103&lt;=44,"Mid Career",B3103&lt;=54,"Mature",B3103&lt;=65,"Pre-Senior",B3103&gt;65,"Senior")</f>
        <v>Senior</v>
      </c>
      <c r="D3103" s="1" t="s">
        <v>29</v>
      </c>
      <c r="E3103" s="1" t="s">
        <v>19</v>
      </c>
      <c r="F3103" s="1">
        <v>350000</v>
      </c>
      <c r="G3103" s="1">
        <v>26</v>
      </c>
      <c r="H3103" s="1" t="str" cm="1">
        <f t="array" ref="H3103">_xlfn.IFS( OR(G3103=" ",NOT(ISNUMBER(G3103))),"Unknown",G3103&lt;=33,"Low Spender",G3103&lt;=66,"Medium Spender",TRUE, "High Spender")</f>
        <v>Low Spender</v>
      </c>
      <c r="I3103" s="1">
        <v>55</v>
      </c>
      <c r="J3103" s="1">
        <v>2800</v>
      </c>
      <c r="K3103" s="1">
        <v>359</v>
      </c>
      <c r="L3103" s="1" t="s">
        <v>35</v>
      </c>
      <c r="M3103" s="1" t="s">
        <v>41</v>
      </c>
      <c r="N3103" s="1" t="str">
        <f t="shared" si="96"/>
        <v>Higher</v>
      </c>
      <c r="O3103" s="1" t="str">
        <f t="shared" si="97"/>
        <v>Senior | Low Spender | Higher</v>
      </c>
    </row>
    <row r="3104" spans="1:15" x14ac:dyDescent="0.25">
      <c r="A3104" s="1" t="s">
        <v>3134</v>
      </c>
      <c r="B3104" s="1">
        <v>60</v>
      </c>
      <c r="C3104" s="1" t="str" cm="1">
        <f t="array" ref="C3104">_xlfn.IFS(OR(B3104=" ", B3104="NA",NOT(ISNUMBER(B3104))), "Unknown",B3104&lt;18,"Underage",B3104&lt;=24,"Young Adult",B3104&lt;=34,"Early Career",B3104&lt;=44,"Mid Career",B3104&lt;=54,"Mature",B3104&lt;=65,"Pre-Senior",B3104&gt;65,"Senior")</f>
        <v>Pre-Senior</v>
      </c>
      <c r="D3104" s="1" t="s">
        <v>29</v>
      </c>
      <c r="E3104" s="1" t="s">
        <v>23</v>
      </c>
      <c r="F3104" s="1">
        <v>1100000</v>
      </c>
      <c r="H3104" s="1" t="str" cm="1">
        <f t="array" ref="H3104">_xlfn.IFS( OR(G3104=" ",NOT(ISNUMBER(G3104))),"Unknown",G3104&lt;=33,"Low Spender",G3104&lt;=66,"Medium Spender",TRUE, "High Spender")</f>
        <v>Unknown</v>
      </c>
      <c r="I3104" s="1">
        <v>48</v>
      </c>
      <c r="J3104" s="1">
        <v>5300</v>
      </c>
      <c r="K3104" s="1">
        <v>190</v>
      </c>
      <c r="L3104" s="1" t="s">
        <v>16</v>
      </c>
      <c r="N3104" s="1" t="str">
        <f t="shared" si="96"/>
        <v>Higher</v>
      </c>
      <c r="O3104" s="1" t="str">
        <f t="shared" si="97"/>
        <v>Pre-Senior | Unknown | Higher</v>
      </c>
    </row>
    <row r="3105" spans="1:15" x14ac:dyDescent="0.25">
      <c r="A3105" s="1" t="s">
        <v>3135</v>
      </c>
      <c r="B3105" s="1">
        <v>22</v>
      </c>
      <c r="C3105" s="1" t="str" cm="1">
        <f t="array" ref="C3105">_xlfn.IFS(OR(B3105=" ", B3105="NA",NOT(ISNUMBER(B3105))), "Unknown",B3105&lt;18,"Underage",B3105&lt;=24,"Young Adult",B3105&lt;=34,"Early Career",B3105&lt;=44,"Mid Career",B3105&lt;=54,"Mature",B3105&lt;=65,"Pre-Senior",B3105&gt;65,"Senior")</f>
        <v>Young Adult</v>
      </c>
      <c r="E3105" s="1" t="s">
        <v>19</v>
      </c>
      <c r="F3105" s="1">
        <v>1750000</v>
      </c>
      <c r="G3105" s="1">
        <v>51</v>
      </c>
      <c r="H3105" s="1" t="str" cm="1">
        <f t="array" ref="H3105">_xlfn.IFS( OR(G3105=" ",NOT(ISNUMBER(G3105))),"Unknown",G3105&lt;=33,"Low Spender",G3105&lt;=66,"Medium Spender",TRUE, "High Spender")</f>
        <v>Medium Spender</v>
      </c>
      <c r="I3105" s="1">
        <v>56</v>
      </c>
      <c r="J3105" s="1">
        <v>5200</v>
      </c>
      <c r="K3105" s="1">
        <v>100</v>
      </c>
      <c r="N3105" s="1" t="str">
        <f t="shared" si="96"/>
        <v>Lower</v>
      </c>
      <c r="O3105" s="1" t="str">
        <f t="shared" si="97"/>
        <v>Young Adult | Medium Spender | Lower</v>
      </c>
    </row>
    <row r="3106" spans="1:15" x14ac:dyDescent="0.25">
      <c r="A3106" s="1" t="s">
        <v>3136</v>
      </c>
      <c r="B3106" s="1">
        <v>22</v>
      </c>
      <c r="C3106" s="1" t="str" cm="1">
        <f t="array" ref="C3106">_xlfn.IFS(OR(B3106=" ", B3106="NA",NOT(ISNUMBER(B3106))), "Unknown",B3106&lt;18,"Underage",B3106&lt;=24,"Young Adult",B3106&lt;=34,"Early Career",B3106&lt;=44,"Mid Career",B3106&lt;=54,"Mature",B3106&lt;=65,"Pre-Senior",B3106&gt;65,"Senior")</f>
        <v>Young Adult</v>
      </c>
      <c r="D3106" s="1" t="s">
        <v>18</v>
      </c>
      <c r="E3106" s="1" t="s">
        <v>23</v>
      </c>
      <c r="F3106" s="1">
        <v>1900000</v>
      </c>
      <c r="G3106" s="1">
        <v>36</v>
      </c>
      <c r="H3106" s="1" t="str" cm="1">
        <f t="array" ref="H3106">_xlfn.IFS( OR(G3106=" ",NOT(ISNUMBER(G3106))),"Unknown",G3106&lt;=33,"Low Spender",G3106&lt;=66,"Medium Spender",TRUE, "High Spender")</f>
        <v>Medium Spender</v>
      </c>
      <c r="I3106" s="1">
        <v>10</v>
      </c>
      <c r="J3106" s="1">
        <v>11700</v>
      </c>
      <c r="K3106" s="1">
        <v>52</v>
      </c>
      <c r="L3106" s="1" t="s">
        <v>37</v>
      </c>
      <c r="M3106" s="1" t="s">
        <v>32</v>
      </c>
      <c r="N3106" s="1" t="str">
        <f t="shared" si="96"/>
        <v>Higher</v>
      </c>
      <c r="O3106" s="1" t="str">
        <f t="shared" si="97"/>
        <v>Young Adult | Medium Spender | Higher</v>
      </c>
    </row>
    <row r="3107" spans="1:15" x14ac:dyDescent="0.25">
      <c r="A3107" s="1" t="s">
        <v>3137</v>
      </c>
      <c r="B3107" s="1">
        <v>47</v>
      </c>
      <c r="C3107" s="1" t="str" cm="1">
        <f t="array" ref="C3107">_xlfn.IFS(OR(B3107=" ", B3107="NA",NOT(ISNUMBER(B3107))), "Unknown",B3107&lt;18,"Underage",B3107&lt;=24,"Young Adult",B3107&lt;=34,"Early Career",B3107&lt;=44,"Mid Career",B3107&lt;=54,"Mature",B3107&lt;=65,"Pre-Senior",B3107&gt;65,"Senior")</f>
        <v>Mature</v>
      </c>
      <c r="D3107" s="1" t="s">
        <v>12</v>
      </c>
      <c r="F3107" s="1">
        <v>1900000</v>
      </c>
      <c r="G3107" s="1">
        <v>52</v>
      </c>
      <c r="H3107" s="1" t="str" cm="1">
        <f t="array" ref="H3107">_xlfn.IFS( OR(G3107=" ",NOT(ISNUMBER(G3107))),"Unknown",G3107&lt;=33,"Low Spender",G3107&lt;=66,"Medium Spender",TRUE, "High Spender")</f>
        <v>Medium Spender</v>
      </c>
      <c r="I3107" s="1">
        <v>52</v>
      </c>
      <c r="J3107" s="1">
        <v>3800</v>
      </c>
      <c r="K3107" s="1">
        <v>49</v>
      </c>
      <c r="L3107" s="1" t="s">
        <v>35</v>
      </c>
      <c r="M3107" s="1" t="s">
        <v>41</v>
      </c>
      <c r="N3107" s="1" t="str">
        <f t="shared" si="96"/>
        <v>Lower</v>
      </c>
      <c r="O3107" s="1" t="str">
        <f t="shared" si="97"/>
        <v>Mature | Medium Spender | Lower</v>
      </c>
    </row>
    <row r="3108" spans="1:15" x14ac:dyDescent="0.25">
      <c r="A3108" s="1" t="s">
        <v>3138</v>
      </c>
      <c r="C3108" s="1" t="str" cm="1">
        <f t="array" ref="C3108">_xlfn.IFS(OR(B3108=" ", B3108="NA",NOT(ISNUMBER(B3108))), "Unknown",B3108&lt;18,"Underage",B3108&lt;=24,"Young Adult",B3108&lt;=34,"Early Career",B3108&lt;=44,"Mid Career",B3108&lt;=54,"Mature",B3108&lt;=65,"Pre-Senior",B3108&gt;65,"Senior")</f>
        <v>Unknown</v>
      </c>
      <c r="D3108" s="1" t="s">
        <v>29</v>
      </c>
      <c r="E3108" s="1" t="s">
        <v>15</v>
      </c>
      <c r="F3108" s="1">
        <v>300000</v>
      </c>
      <c r="G3108" s="1">
        <v>81</v>
      </c>
      <c r="H3108" s="1" t="str" cm="1">
        <f t="array" ref="H3108">_xlfn.IFS( OR(G3108=" ",NOT(ISNUMBER(G3108))),"Unknown",G3108&lt;=33,"Low Spender",G3108&lt;=66,"Medium Spender",TRUE, "High Spender")</f>
        <v>High Spender</v>
      </c>
      <c r="I3108" s="1">
        <v>50</v>
      </c>
      <c r="J3108" s="1">
        <v>2800</v>
      </c>
      <c r="K3108" s="1">
        <v>100</v>
      </c>
      <c r="M3108" s="1" t="s">
        <v>21</v>
      </c>
      <c r="N3108" s="1" t="str">
        <f t="shared" si="96"/>
        <v>Higher</v>
      </c>
      <c r="O3108" s="1" t="str">
        <f t="shared" si="97"/>
        <v>Unknown | High Spender | Higher</v>
      </c>
    </row>
    <row r="3109" spans="1:15" x14ac:dyDescent="0.25">
      <c r="A3109" s="1" t="s">
        <v>3139</v>
      </c>
      <c r="B3109" s="1">
        <v>49</v>
      </c>
      <c r="C3109" s="1" t="str" cm="1">
        <f t="array" ref="C3109">_xlfn.IFS(OR(B3109=" ", B3109="NA",NOT(ISNUMBER(B3109))), "Unknown",B3109&lt;18,"Underage",B3109&lt;=24,"Young Adult",B3109&lt;=34,"Early Career",B3109&lt;=44,"Mid Career",B3109&lt;=54,"Mature",B3109&lt;=65,"Pre-Senior",B3109&gt;65,"Senior")</f>
        <v>Mature</v>
      </c>
      <c r="F3109" s="1">
        <v>1925000</v>
      </c>
      <c r="G3109" s="1">
        <v>51</v>
      </c>
      <c r="H3109" s="1" t="str" cm="1">
        <f t="array" ref="H3109">_xlfn.IFS( OR(G3109=" ",NOT(ISNUMBER(G3109))),"Unknown",G3109&lt;=33,"Low Spender",G3109&lt;=66,"Medium Spender",TRUE, "High Spender")</f>
        <v>Medium Spender</v>
      </c>
      <c r="I3109" s="1">
        <v>34</v>
      </c>
      <c r="J3109" s="1">
        <v>3500</v>
      </c>
      <c r="K3109" s="1">
        <v>251</v>
      </c>
      <c r="M3109" s="1" t="s">
        <v>41</v>
      </c>
      <c r="N3109" s="1" t="str">
        <f t="shared" si="96"/>
        <v>Lower</v>
      </c>
      <c r="O3109" s="1" t="str">
        <f t="shared" si="97"/>
        <v>Mature | Medium Spender | Lower</v>
      </c>
    </row>
    <row r="3110" spans="1:15" x14ac:dyDescent="0.25">
      <c r="A3110" s="1" t="s">
        <v>3140</v>
      </c>
      <c r="B3110" s="1">
        <v>25</v>
      </c>
      <c r="C3110" s="1" t="str" cm="1">
        <f t="array" ref="C3110">_xlfn.IFS(OR(B3110=" ", B3110="NA",NOT(ISNUMBER(B3110))), "Unknown",B3110&lt;18,"Underage",B3110&lt;=24,"Young Adult",B3110&lt;=34,"Early Career",B3110&lt;=44,"Mid Career",B3110&lt;=54,"Mature",B3110&lt;=65,"Pre-Senior",B3110&gt;65,"Senior")</f>
        <v>Early Career</v>
      </c>
      <c r="D3110" s="1" t="s">
        <v>29</v>
      </c>
      <c r="E3110" s="1" t="s">
        <v>49</v>
      </c>
      <c r="F3110" s="1">
        <v>1800000</v>
      </c>
      <c r="G3110" s="1">
        <v>3</v>
      </c>
      <c r="H3110" s="1" t="str" cm="1">
        <f t="array" ref="H3110">_xlfn.IFS( OR(G3110=" ",NOT(ISNUMBER(G3110))),"Unknown",G3110&lt;=33,"Low Spender",G3110&lt;=66,"Medium Spender",TRUE, "High Spender")</f>
        <v>Low Spender</v>
      </c>
      <c r="I3110" s="1">
        <v>36</v>
      </c>
      <c r="J3110" s="1">
        <v>10200</v>
      </c>
      <c r="K3110" s="1">
        <v>54</v>
      </c>
      <c r="L3110" s="1" t="s">
        <v>35</v>
      </c>
      <c r="M3110" s="1" t="s">
        <v>32</v>
      </c>
      <c r="N3110" s="1" t="str">
        <f t="shared" si="96"/>
        <v>Higher</v>
      </c>
      <c r="O3110" s="1" t="str">
        <f t="shared" si="97"/>
        <v>Early Career | Low Spender | Higher</v>
      </c>
    </row>
    <row r="3111" spans="1:15" x14ac:dyDescent="0.25">
      <c r="A3111" s="1" t="s">
        <v>3141</v>
      </c>
      <c r="B3111" s="1">
        <v>27</v>
      </c>
      <c r="C3111" s="1" t="str" cm="1">
        <f t="array" ref="C3111">_xlfn.IFS(OR(B3111=" ", B3111="NA",NOT(ISNUMBER(B3111))), "Unknown",B3111&lt;18,"Underage",B3111&lt;=24,"Young Adult",B3111&lt;=34,"Early Career",B3111&lt;=44,"Mid Career",B3111&lt;=54,"Mature",B3111&lt;=65,"Pre-Senior",B3111&gt;65,"Senior")</f>
        <v>Early Career</v>
      </c>
      <c r="E3111" s="1" t="s">
        <v>27</v>
      </c>
      <c r="F3111" s="1">
        <v>375000</v>
      </c>
      <c r="G3111" s="1">
        <v>14</v>
      </c>
      <c r="H3111" s="1" t="str" cm="1">
        <f t="array" ref="H3111">_xlfn.IFS( OR(G3111=" ",NOT(ISNUMBER(G3111))),"Unknown",G3111&lt;=33,"Low Spender",G3111&lt;=66,"Medium Spender",TRUE, "High Spender")</f>
        <v>Low Spender</v>
      </c>
      <c r="I3111" s="1">
        <v>61</v>
      </c>
      <c r="J3111" s="1">
        <v>7000</v>
      </c>
      <c r="K3111" s="1">
        <v>137</v>
      </c>
      <c r="L3111" s="1" t="s">
        <v>35</v>
      </c>
      <c r="N3111" s="1" t="str">
        <f t="shared" si="96"/>
        <v>Lower</v>
      </c>
      <c r="O3111" s="1" t="str">
        <f t="shared" si="97"/>
        <v>Early Career | Low Spender | Lower</v>
      </c>
    </row>
    <row r="3112" spans="1:15" x14ac:dyDescent="0.25">
      <c r="A3112" s="1" t="s">
        <v>3142</v>
      </c>
      <c r="B3112" s="1">
        <v>55</v>
      </c>
      <c r="C3112" s="1" t="str" cm="1">
        <f t="array" ref="C3112">_xlfn.IFS(OR(B3112=" ", B3112="NA",NOT(ISNUMBER(B3112))), "Unknown",B3112&lt;18,"Underage",B3112&lt;=24,"Young Adult",B3112&lt;=34,"Early Career",B3112&lt;=44,"Mid Career",B3112&lt;=54,"Mature",B3112&lt;=65,"Pre-Senior",B3112&gt;65,"Senior")</f>
        <v>Pre-Senior</v>
      </c>
      <c r="D3112" s="1" t="s">
        <v>12</v>
      </c>
      <c r="E3112" s="1" t="s">
        <v>27</v>
      </c>
      <c r="F3112" s="1">
        <v>1900000</v>
      </c>
      <c r="G3112" s="1">
        <v>49</v>
      </c>
      <c r="H3112" s="1" t="str" cm="1">
        <f t="array" ref="H3112">_xlfn.IFS( OR(G3112=" ",NOT(ISNUMBER(G3112))),"Unknown",G3112&lt;=33,"Low Spender",G3112&lt;=66,"Medium Spender",TRUE, "High Spender")</f>
        <v>Medium Spender</v>
      </c>
      <c r="I3112" s="1">
        <v>16</v>
      </c>
      <c r="J3112" s="1">
        <v>7500</v>
      </c>
      <c r="K3112" s="1">
        <v>162</v>
      </c>
      <c r="L3112" s="1" t="s">
        <v>20</v>
      </c>
      <c r="N3112" s="1" t="str">
        <f t="shared" si="96"/>
        <v>Lower</v>
      </c>
      <c r="O3112" s="1" t="str">
        <f t="shared" si="97"/>
        <v>Pre-Senior | Medium Spender | Lower</v>
      </c>
    </row>
    <row r="3113" spans="1:15" x14ac:dyDescent="0.25">
      <c r="A3113" s="1" t="s">
        <v>3143</v>
      </c>
      <c r="B3113" s="1">
        <v>64</v>
      </c>
      <c r="C3113" s="1" t="str" cm="1">
        <f t="array" ref="C3113">_xlfn.IFS(OR(B3113=" ", B3113="NA",NOT(ISNUMBER(B3113))), "Unknown",B3113&lt;18,"Underage",B3113&lt;=24,"Young Adult",B3113&lt;=34,"Early Career",B3113&lt;=44,"Mid Career",B3113&lt;=54,"Mature",B3113&lt;=65,"Pre-Senior",B3113&gt;65,"Senior")</f>
        <v>Pre-Senior</v>
      </c>
      <c r="F3113" s="1">
        <v>1450000</v>
      </c>
      <c r="G3113" s="1">
        <v>77</v>
      </c>
      <c r="H3113" s="1" t="str" cm="1">
        <f t="array" ref="H3113">_xlfn.IFS( OR(G3113=" ",NOT(ISNUMBER(G3113))),"Unknown",G3113&lt;=33,"Low Spender",G3113&lt;=66,"Medium Spender",TRUE, "High Spender")</f>
        <v>High Spender</v>
      </c>
      <c r="I3113" s="1">
        <v>79</v>
      </c>
      <c r="J3113" s="1">
        <v>1000</v>
      </c>
      <c r="K3113" s="1">
        <v>354</v>
      </c>
      <c r="N3113" s="1" t="str">
        <f t="shared" si="96"/>
        <v>Lower</v>
      </c>
      <c r="O3113" s="1" t="str">
        <f t="shared" si="97"/>
        <v>Pre-Senior | High Spender | Lower</v>
      </c>
    </row>
    <row r="3114" spans="1:15" x14ac:dyDescent="0.25">
      <c r="A3114" s="1" t="s">
        <v>3144</v>
      </c>
      <c r="B3114" s="1">
        <v>49</v>
      </c>
      <c r="C3114" s="1" t="str" cm="1">
        <f t="array" ref="C3114">_xlfn.IFS(OR(B3114=" ", B3114="NA",NOT(ISNUMBER(B3114))), "Unknown",B3114&lt;18,"Underage",B3114&lt;=24,"Young Adult",B3114&lt;=34,"Early Career",B3114&lt;=44,"Mid Career",B3114&lt;=54,"Mature",B3114&lt;=65,"Pre-Senior",B3114&gt;65,"Senior")</f>
        <v>Mature</v>
      </c>
      <c r="D3114" s="1" t="s">
        <v>29</v>
      </c>
      <c r="E3114" s="1" t="s">
        <v>23</v>
      </c>
      <c r="F3114" s="1">
        <v>1550000</v>
      </c>
      <c r="G3114" s="1">
        <v>91</v>
      </c>
      <c r="H3114" s="1" t="str" cm="1">
        <f t="array" ref="H3114">_xlfn.IFS( OR(G3114=" ",NOT(ISNUMBER(G3114))),"Unknown",G3114&lt;=33,"Low Spender",G3114&lt;=66,"Medium Spender",TRUE, "High Spender")</f>
        <v>High Spender</v>
      </c>
      <c r="I3114" s="1">
        <v>18</v>
      </c>
      <c r="J3114" s="1">
        <v>6800</v>
      </c>
      <c r="K3114" s="1">
        <v>292</v>
      </c>
      <c r="L3114" s="1" t="s">
        <v>35</v>
      </c>
      <c r="N3114" s="1" t="str">
        <f t="shared" si="96"/>
        <v>Higher</v>
      </c>
      <c r="O3114" s="1" t="str">
        <f t="shared" si="97"/>
        <v>Mature | High Spender | Higher</v>
      </c>
    </row>
    <row r="3115" spans="1:15" x14ac:dyDescent="0.25">
      <c r="A3115" s="1" t="s">
        <v>3145</v>
      </c>
      <c r="B3115" s="1">
        <v>65</v>
      </c>
      <c r="C3115" s="1" t="str" cm="1">
        <f t="array" ref="C3115">_xlfn.IFS(OR(B3115=" ", B3115="NA",NOT(ISNUMBER(B3115))), "Unknown",B3115&lt;18,"Underage",B3115&lt;=24,"Young Adult",B3115&lt;=34,"Early Career",B3115&lt;=44,"Mid Career",B3115&lt;=54,"Mature",B3115&lt;=65,"Pre-Senior",B3115&gt;65,"Senior")</f>
        <v>Pre-Senior</v>
      </c>
      <c r="E3115" s="1" t="s">
        <v>49</v>
      </c>
      <c r="F3115" s="1">
        <v>800000</v>
      </c>
      <c r="G3115" s="1">
        <v>1</v>
      </c>
      <c r="H3115" s="1" t="str" cm="1">
        <f t="array" ref="H3115">_xlfn.IFS( OR(G3115=" ",NOT(ISNUMBER(G3115))),"Unknown",G3115&lt;=33,"Low Spender",G3115&lt;=66,"Medium Spender",TRUE, "High Spender")</f>
        <v>Low Spender</v>
      </c>
      <c r="I3115" s="1">
        <v>71</v>
      </c>
      <c r="J3115" s="1">
        <v>9500</v>
      </c>
      <c r="K3115" s="1">
        <v>81</v>
      </c>
      <c r="M3115" s="1" t="s">
        <v>32</v>
      </c>
      <c r="N3115" s="1" t="str">
        <f t="shared" si="96"/>
        <v>Lower</v>
      </c>
      <c r="O3115" s="1" t="str">
        <f t="shared" si="97"/>
        <v>Pre-Senior | Low Spender | Lower</v>
      </c>
    </row>
    <row r="3116" spans="1:15" x14ac:dyDescent="0.25">
      <c r="A3116" s="1" t="s">
        <v>3146</v>
      </c>
      <c r="B3116" s="1">
        <v>45</v>
      </c>
      <c r="C3116" s="1" t="str" cm="1">
        <f t="array" ref="C3116">_xlfn.IFS(OR(B3116=" ", B3116="NA",NOT(ISNUMBER(B3116))), "Unknown",B3116&lt;18,"Underage",B3116&lt;=24,"Young Adult",B3116&lt;=34,"Early Career",B3116&lt;=44,"Mid Career",B3116&lt;=54,"Mature",B3116&lt;=65,"Pre-Senior",B3116&gt;65,"Senior")</f>
        <v>Mature</v>
      </c>
      <c r="F3116" s="1">
        <v>1475000</v>
      </c>
      <c r="G3116" s="1">
        <v>57</v>
      </c>
      <c r="H3116" s="1" t="str" cm="1">
        <f t="array" ref="H3116">_xlfn.IFS( OR(G3116=" ",NOT(ISNUMBER(G3116))),"Unknown",G3116&lt;=33,"Low Spender",G3116&lt;=66,"Medium Spender",TRUE, "High Spender")</f>
        <v>Medium Spender</v>
      </c>
      <c r="I3116" s="1">
        <v>47</v>
      </c>
      <c r="J3116" s="1">
        <v>2500</v>
      </c>
      <c r="K3116" s="1">
        <v>220</v>
      </c>
      <c r="N3116" s="1" t="str">
        <f t="shared" si="96"/>
        <v>Lower</v>
      </c>
      <c r="O3116" s="1" t="str">
        <f t="shared" si="97"/>
        <v>Mature | Medium Spender | Lower</v>
      </c>
    </row>
    <row r="3117" spans="1:15" x14ac:dyDescent="0.25">
      <c r="A3117" s="1" t="s">
        <v>3147</v>
      </c>
      <c r="B3117" s="1">
        <v>34</v>
      </c>
      <c r="C3117" s="1" t="str" cm="1">
        <f t="array" ref="C3117">_xlfn.IFS(OR(B3117=" ", B3117="NA",NOT(ISNUMBER(B3117))), "Unknown",B3117&lt;18,"Underage",B3117&lt;=24,"Young Adult",B3117&lt;=34,"Early Career",B3117&lt;=44,"Mid Career",B3117&lt;=54,"Mature",B3117&lt;=65,"Pre-Senior",B3117&gt;65,"Senior")</f>
        <v>Early Career</v>
      </c>
      <c r="E3117" s="1" t="s">
        <v>13</v>
      </c>
      <c r="F3117" s="1">
        <v>225000</v>
      </c>
      <c r="G3117" s="1">
        <v>17</v>
      </c>
      <c r="H3117" s="1" t="str" cm="1">
        <f t="array" ref="H3117">_xlfn.IFS( OR(G3117=" ",NOT(ISNUMBER(G3117))),"Unknown",G3117&lt;=33,"Low Spender",G3117&lt;=66,"Medium Spender",TRUE, "High Spender")</f>
        <v>Low Spender</v>
      </c>
      <c r="I3117" s="1">
        <v>32</v>
      </c>
      <c r="J3117" s="1">
        <v>7200</v>
      </c>
      <c r="K3117" s="1">
        <v>85</v>
      </c>
      <c r="L3117" s="1" t="s">
        <v>37</v>
      </c>
      <c r="N3117" s="1" t="str">
        <f t="shared" si="96"/>
        <v>Lower</v>
      </c>
      <c r="O3117" s="1" t="str">
        <f t="shared" si="97"/>
        <v>Early Career | Low Spender | Lower</v>
      </c>
    </row>
    <row r="3118" spans="1:15" x14ac:dyDescent="0.25">
      <c r="A3118" s="1" t="s">
        <v>3148</v>
      </c>
      <c r="B3118" s="1">
        <v>48</v>
      </c>
      <c r="C3118" s="1" t="str" cm="1">
        <f t="array" ref="C3118">_xlfn.IFS(OR(B3118=" ", B3118="NA",NOT(ISNUMBER(B3118))), "Unknown",B3118&lt;18,"Underage",B3118&lt;=24,"Young Adult",B3118&lt;=34,"Early Career",B3118&lt;=44,"Mid Career",B3118&lt;=54,"Mature",B3118&lt;=65,"Pre-Senior",B3118&gt;65,"Senior")</f>
        <v>Mature</v>
      </c>
      <c r="D3118" s="1" t="s">
        <v>12</v>
      </c>
      <c r="E3118" s="1" t="s">
        <v>23</v>
      </c>
      <c r="F3118" s="1">
        <v>700000</v>
      </c>
      <c r="G3118" s="1">
        <v>50</v>
      </c>
      <c r="H3118" s="1" t="str" cm="1">
        <f t="array" ref="H3118">_xlfn.IFS( OR(G3118=" ",NOT(ISNUMBER(G3118))),"Unknown",G3118&lt;=33,"Low Spender",G3118&lt;=66,"Medium Spender",TRUE, "High Spender")</f>
        <v>Medium Spender</v>
      </c>
      <c r="I3118" s="1">
        <v>43</v>
      </c>
      <c r="J3118" s="1">
        <v>5700</v>
      </c>
      <c r="K3118" s="1">
        <v>83</v>
      </c>
      <c r="L3118" s="1" t="s">
        <v>16</v>
      </c>
      <c r="M3118" s="1" t="s">
        <v>41</v>
      </c>
      <c r="N3118" s="1" t="str">
        <f t="shared" si="96"/>
        <v>Lower</v>
      </c>
      <c r="O3118" s="1" t="str">
        <f t="shared" si="97"/>
        <v>Mature | Medium Spender | Lower</v>
      </c>
    </row>
    <row r="3119" spans="1:15" x14ac:dyDescent="0.25">
      <c r="A3119" s="1" t="s">
        <v>3149</v>
      </c>
      <c r="B3119" s="1">
        <v>25</v>
      </c>
      <c r="C3119" s="1" t="str" cm="1">
        <f t="array" ref="C3119">_xlfn.IFS(OR(B3119=" ", B3119="NA",NOT(ISNUMBER(B3119))), "Unknown",B3119&lt;18,"Underage",B3119&lt;=24,"Young Adult",B3119&lt;=34,"Early Career",B3119&lt;=44,"Mid Career",B3119&lt;=54,"Mature",B3119&lt;=65,"Pre-Senior",B3119&gt;65,"Senior")</f>
        <v>Early Career</v>
      </c>
      <c r="E3119" s="1" t="s">
        <v>15</v>
      </c>
      <c r="F3119" s="1">
        <v>1325000</v>
      </c>
      <c r="G3119" s="1">
        <v>98</v>
      </c>
      <c r="H3119" s="1" t="str" cm="1">
        <f t="array" ref="H3119">_xlfn.IFS( OR(G3119=" ",NOT(ISNUMBER(G3119))),"Unknown",G3119&lt;=33,"Low Spender",G3119&lt;=66,"Medium Spender",TRUE, "High Spender")</f>
        <v>High Spender</v>
      </c>
      <c r="I3119" s="1">
        <v>40</v>
      </c>
      <c r="J3119" s="1">
        <v>4500</v>
      </c>
      <c r="K3119" s="1">
        <v>319</v>
      </c>
      <c r="M3119" s="1" t="s">
        <v>32</v>
      </c>
      <c r="N3119" s="1" t="str">
        <f t="shared" si="96"/>
        <v>Lower</v>
      </c>
      <c r="O3119" s="1" t="str">
        <f t="shared" si="97"/>
        <v>Early Career | High Spender | Lower</v>
      </c>
    </row>
    <row r="3120" spans="1:15" x14ac:dyDescent="0.25">
      <c r="A3120" s="1" t="s">
        <v>3150</v>
      </c>
      <c r="B3120" s="1">
        <v>57</v>
      </c>
      <c r="C3120" s="1" t="str" cm="1">
        <f t="array" ref="C3120">_xlfn.IFS(OR(B3120=" ", B3120="NA",NOT(ISNUMBER(B3120))), "Unknown",B3120&lt;18,"Underage",B3120&lt;=24,"Young Adult",B3120&lt;=34,"Early Career",B3120&lt;=44,"Mid Career",B3120&lt;=54,"Mature",B3120&lt;=65,"Pre-Senior",B3120&gt;65,"Senior")</f>
        <v>Pre-Senior</v>
      </c>
      <c r="E3120" s="1" t="s">
        <v>19</v>
      </c>
      <c r="F3120" s="1">
        <v>1175000</v>
      </c>
      <c r="G3120" s="1">
        <v>14</v>
      </c>
      <c r="H3120" s="1" t="str" cm="1">
        <f t="array" ref="H3120">_xlfn.IFS( OR(G3120=" ",NOT(ISNUMBER(G3120))),"Unknown",G3120&lt;=33,"Low Spender",G3120&lt;=66,"Medium Spender",TRUE, "High Spender")</f>
        <v>Low Spender</v>
      </c>
      <c r="I3120" s="1">
        <v>65</v>
      </c>
      <c r="J3120" s="1">
        <v>10200</v>
      </c>
      <c r="K3120" s="1">
        <v>67</v>
      </c>
      <c r="L3120" s="1" t="s">
        <v>20</v>
      </c>
      <c r="M3120" s="1" t="s">
        <v>32</v>
      </c>
      <c r="N3120" s="1" t="str">
        <f t="shared" si="96"/>
        <v>Lower</v>
      </c>
      <c r="O3120" s="1" t="str">
        <f t="shared" si="97"/>
        <v>Pre-Senior | Low Spender | Lower</v>
      </c>
    </row>
    <row r="3121" spans="1:15" x14ac:dyDescent="0.25">
      <c r="A3121" s="1" t="s">
        <v>3151</v>
      </c>
      <c r="B3121" s="1">
        <v>42</v>
      </c>
      <c r="C3121" s="1" t="str" cm="1">
        <f t="array" ref="C3121">_xlfn.IFS(OR(B3121=" ", B3121="NA",NOT(ISNUMBER(B3121))), "Unknown",B3121&lt;18,"Underage",B3121&lt;=24,"Young Adult",B3121&lt;=34,"Early Career",B3121&lt;=44,"Mid Career",B3121&lt;=54,"Mature",B3121&lt;=65,"Pre-Senior",B3121&gt;65,"Senior")</f>
        <v>Mid Career</v>
      </c>
      <c r="D3121" s="1" t="s">
        <v>12</v>
      </c>
      <c r="E3121" s="1" t="s">
        <v>34</v>
      </c>
      <c r="F3121" s="1">
        <v>200000</v>
      </c>
      <c r="G3121" s="1">
        <v>59</v>
      </c>
      <c r="H3121" s="1" t="str" cm="1">
        <f t="array" ref="H3121">_xlfn.IFS( OR(G3121=" ",NOT(ISNUMBER(G3121))),"Unknown",G3121&lt;=33,"Low Spender",G3121&lt;=66,"Medium Spender",TRUE, "High Spender")</f>
        <v>Medium Spender</v>
      </c>
      <c r="I3121" s="1">
        <v>35</v>
      </c>
      <c r="J3121" s="1">
        <v>11200</v>
      </c>
      <c r="K3121" s="1">
        <v>234</v>
      </c>
      <c r="L3121" s="1" t="s">
        <v>35</v>
      </c>
      <c r="M3121" s="1" t="s">
        <v>41</v>
      </c>
      <c r="N3121" s="1" t="str">
        <f t="shared" si="96"/>
        <v>Lower</v>
      </c>
      <c r="O3121" s="1" t="str">
        <f t="shared" si="97"/>
        <v>Mid Career | Medium Spender | Lower</v>
      </c>
    </row>
    <row r="3122" spans="1:15" x14ac:dyDescent="0.25">
      <c r="A3122" s="1" t="s">
        <v>3152</v>
      </c>
      <c r="B3122" s="1">
        <v>26</v>
      </c>
      <c r="C3122" s="1" t="str" cm="1">
        <f t="array" ref="C3122">_xlfn.IFS(OR(B3122=" ", B3122="NA",NOT(ISNUMBER(B3122))), "Unknown",B3122&lt;18,"Underage",B3122&lt;=24,"Young Adult",B3122&lt;=34,"Early Career",B3122&lt;=44,"Mid Career",B3122&lt;=54,"Mature",B3122&lt;=65,"Pre-Senior",B3122&gt;65,"Senior")</f>
        <v>Early Career</v>
      </c>
      <c r="D3122" s="1" t="s">
        <v>29</v>
      </c>
      <c r="E3122" s="1" t="s">
        <v>23</v>
      </c>
      <c r="F3122" s="1">
        <v>200000</v>
      </c>
      <c r="G3122" s="1">
        <v>81</v>
      </c>
      <c r="H3122" s="1" t="str" cm="1">
        <f t="array" ref="H3122">_xlfn.IFS( OR(G3122=" ",NOT(ISNUMBER(G3122))),"Unknown",G3122&lt;=33,"Low Spender",G3122&lt;=66,"Medium Spender",TRUE, "High Spender")</f>
        <v>High Spender</v>
      </c>
      <c r="I3122" s="1">
        <v>69</v>
      </c>
      <c r="J3122" s="1">
        <v>2300</v>
      </c>
      <c r="K3122" s="1">
        <v>198</v>
      </c>
      <c r="L3122" s="1" t="s">
        <v>16</v>
      </c>
      <c r="M3122" s="1" t="s">
        <v>30</v>
      </c>
      <c r="N3122" s="1" t="str">
        <f t="shared" si="96"/>
        <v>Higher</v>
      </c>
      <c r="O3122" s="1" t="str">
        <f t="shared" si="97"/>
        <v>Early Career | High Spender | Higher</v>
      </c>
    </row>
    <row r="3123" spans="1:15" x14ac:dyDescent="0.25">
      <c r="A3123" s="1" t="s">
        <v>3153</v>
      </c>
      <c r="B3123" s="1">
        <v>19</v>
      </c>
      <c r="C3123" s="1" t="str" cm="1">
        <f t="array" ref="C3123">_xlfn.IFS(OR(B3123=" ", B3123="NA",NOT(ISNUMBER(B3123))), "Unknown",B3123&lt;18,"Underage",B3123&lt;=24,"Young Adult",B3123&lt;=34,"Early Career",B3123&lt;=44,"Mid Career",B3123&lt;=54,"Mature",B3123&lt;=65,"Pre-Senior",B3123&gt;65,"Senior")</f>
        <v>Young Adult</v>
      </c>
      <c r="D3123" s="1" t="s">
        <v>12</v>
      </c>
      <c r="E3123" s="1" t="s">
        <v>34</v>
      </c>
      <c r="F3123" s="1">
        <v>825000</v>
      </c>
      <c r="G3123" s="1">
        <v>3</v>
      </c>
      <c r="H3123" s="1" t="str" cm="1">
        <f t="array" ref="H3123">_xlfn.IFS( OR(G3123=" ",NOT(ISNUMBER(G3123))),"Unknown",G3123&lt;=33,"Low Spender",G3123&lt;=66,"Medium Spender",TRUE, "High Spender")</f>
        <v>Low Spender</v>
      </c>
      <c r="I3123" s="1">
        <v>50</v>
      </c>
      <c r="J3123" s="1">
        <v>2400</v>
      </c>
      <c r="K3123" s="1">
        <v>259</v>
      </c>
      <c r="L3123" s="1" t="s">
        <v>20</v>
      </c>
      <c r="N3123" s="1" t="str">
        <f t="shared" si="96"/>
        <v>Lower</v>
      </c>
      <c r="O3123" s="1" t="str">
        <f t="shared" si="97"/>
        <v>Young Adult | Low Spender | Lower</v>
      </c>
    </row>
    <row r="3124" spans="1:15" x14ac:dyDescent="0.25">
      <c r="A3124" s="1" t="s">
        <v>3154</v>
      </c>
      <c r="B3124" s="1">
        <v>32</v>
      </c>
      <c r="C3124" s="1" t="str" cm="1">
        <f t="array" ref="C3124">_xlfn.IFS(OR(B3124=" ", B3124="NA",NOT(ISNUMBER(B3124))), "Unknown",B3124&lt;18,"Underage",B3124&lt;=24,"Young Adult",B3124&lt;=34,"Early Career",B3124&lt;=44,"Mid Career",B3124&lt;=54,"Mature",B3124&lt;=65,"Pre-Senior",B3124&gt;65,"Senior")</f>
        <v>Early Career</v>
      </c>
      <c r="D3124" s="1" t="s">
        <v>29</v>
      </c>
      <c r="E3124" s="1" t="s">
        <v>23</v>
      </c>
      <c r="F3124" s="1">
        <v>1700000</v>
      </c>
      <c r="G3124" s="1">
        <v>98</v>
      </c>
      <c r="H3124" s="1" t="str" cm="1">
        <f t="array" ref="H3124">_xlfn.IFS( OR(G3124=" ",NOT(ISNUMBER(G3124))),"Unknown",G3124&lt;=33,"Low Spender",G3124&lt;=66,"Medium Spender",TRUE, "High Spender")</f>
        <v>High Spender</v>
      </c>
      <c r="I3124" s="1">
        <v>12</v>
      </c>
      <c r="J3124" s="1">
        <v>1100</v>
      </c>
      <c r="K3124" s="1">
        <v>177</v>
      </c>
      <c r="N3124" s="1" t="str">
        <f t="shared" si="96"/>
        <v>Higher</v>
      </c>
      <c r="O3124" s="1" t="str">
        <f t="shared" si="97"/>
        <v>Early Career | High Spender | Higher</v>
      </c>
    </row>
    <row r="3125" spans="1:15" x14ac:dyDescent="0.25">
      <c r="A3125" s="1" t="s">
        <v>3155</v>
      </c>
      <c r="B3125" s="1">
        <v>67</v>
      </c>
      <c r="C3125" s="1" t="str" cm="1">
        <f t="array" ref="C3125">_xlfn.IFS(OR(B3125=" ", B3125="NA",NOT(ISNUMBER(B3125))), "Unknown",B3125&lt;18,"Underage",B3125&lt;=24,"Young Adult",B3125&lt;=34,"Early Career",B3125&lt;=44,"Mid Career",B3125&lt;=54,"Mature",B3125&lt;=65,"Pre-Senior",B3125&gt;65,"Senior")</f>
        <v>Senior</v>
      </c>
      <c r="F3125" s="1">
        <v>900000</v>
      </c>
      <c r="G3125" s="1">
        <v>40</v>
      </c>
      <c r="H3125" s="1" t="str" cm="1">
        <f t="array" ref="H3125">_xlfn.IFS( OR(G3125=" ",NOT(ISNUMBER(G3125))),"Unknown",G3125&lt;=33,"Low Spender",G3125&lt;=66,"Medium Spender",TRUE, "High Spender")</f>
        <v>Medium Spender</v>
      </c>
      <c r="I3125" s="1">
        <v>76</v>
      </c>
      <c r="J3125" s="1">
        <v>3600</v>
      </c>
      <c r="K3125" s="1">
        <v>298</v>
      </c>
      <c r="L3125" s="1" t="s">
        <v>16</v>
      </c>
      <c r="M3125" s="1" t="s">
        <v>21</v>
      </c>
      <c r="N3125" s="1" t="str">
        <f t="shared" si="96"/>
        <v>Lower</v>
      </c>
      <c r="O3125" s="1" t="str">
        <f t="shared" si="97"/>
        <v>Senior | Medium Spender | Lower</v>
      </c>
    </row>
    <row r="3126" spans="1:15" x14ac:dyDescent="0.25">
      <c r="A3126" s="1" t="s">
        <v>3156</v>
      </c>
      <c r="B3126" s="1">
        <v>20</v>
      </c>
      <c r="C3126" s="1" t="str" cm="1">
        <f t="array" ref="C3126">_xlfn.IFS(OR(B3126=" ", B3126="NA",NOT(ISNUMBER(B3126))), "Unknown",B3126&lt;18,"Underage",B3126&lt;=24,"Young Adult",B3126&lt;=34,"Early Career",B3126&lt;=44,"Mid Career",B3126&lt;=54,"Mature",B3126&lt;=65,"Pre-Senior",B3126&gt;65,"Senior")</f>
        <v>Young Adult</v>
      </c>
      <c r="D3126" s="1" t="s">
        <v>12</v>
      </c>
      <c r="E3126" s="1" t="s">
        <v>34</v>
      </c>
      <c r="F3126" s="1">
        <v>375000</v>
      </c>
      <c r="G3126" s="1">
        <v>89</v>
      </c>
      <c r="H3126" s="1" t="str" cm="1">
        <f t="array" ref="H3126">_xlfn.IFS( OR(G3126=" ",NOT(ISNUMBER(G3126))),"Unknown",G3126&lt;=33,"Low Spender",G3126&lt;=66,"Medium Spender",TRUE, "High Spender")</f>
        <v>High Spender</v>
      </c>
      <c r="I3126" s="1">
        <v>58</v>
      </c>
      <c r="J3126" s="1">
        <v>6100</v>
      </c>
      <c r="K3126" s="1">
        <v>280</v>
      </c>
      <c r="N3126" s="1" t="str">
        <f t="shared" si="96"/>
        <v>Lower</v>
      </c>
      <c r="O3126" s="1" t="str">
        <f t="shared" si="97"/>
        <v>Young Adult | High Spender | Lower</v>
      </c>
    </row>
    <row r="3127" spans="1:15" x14ac:dyDescent="0.25">
      <c r="A3127" s="1" t="s">
        <v>3157</v>
      </c>
      <c r="B3127" s="1">
        <v>66</v>
      </c>
      <c r="C3127" s="1" t="str" cm="1">
        <f t="array" ref="C3127">_xlfn.IFS(OR(B3127=" ", B3127="NA",NOT(ISNUMBER(B3127))), "Unknown",B3127&lt;18,"Underage",B3127&lt;=24,"Young Adult",B3127&lt;=34,"Early Career",B3127&lt;=44,"Mid Career",B3127&lt;=54,"Mature",B3127&lt;=65,"Pre-Senior",B3127&gt;65,"Senior")</f>
        <v>Senior</v>
      </c>
      <c r="D3127" s="1" t="s">
        <v>29</v>
      </c>
      <c r="E3127" s="1" t="s">
        <v>23</v>
      </c>
      <c r="F3127" s="1">
        <v>1350000</v>
      </c>
      <c r="G3127" s="1">
        <v>66</v>
      </c>
      <c r="H3127" s="1" t="str" cm="1">
        <f t="array" ref="H3127">_xlfn.IFS( OR(G3127=" ",NOT(ISNUMBER(G3127))),"Unknown",G3127&lt;=33,"Low Spender",G3127&lt;=66,"Medium Spender",TRUE, "High Spender")</f>
        <v>Medium Spender</v>
      </c>
      <c r="I3127" s="1">
        <v>63</v>
      </c>
      <c r="J3127" s="1">
        <v>2800</v>
      </c>
      <c r="K3127" s="1">
        <v>300</v>
      </c>
      <c r="L3127" s="1" t="s">
        <v>20</v>
      </c>
      <c r="M3127" s="1" t="s">
        <v>21</v>
      </c>
      <c r="N3127" s="1" t="str">
        <f t="shared" si="96"/>
        <v>Higher</v>
      </c>
      <c r="O3127" s="1" t="str">
        <f t="shared" si="97"/>
        <v>Senior | Medium Spender | Higher</v>
      </c>
    </row>
    <row r="3128" spans="1:15" x14ac:dyDescent="0.25">
      <c r="A3128" s="1" t="s">
        <v>3158</v>
      </c>
      <c r="B3128" s="1">
        <v>53</v>
      </c>
      <c r="C3128" s="1" t="str" cm="1">
        <f t="array" ref="C3128">_xlfn.IFS(OR(B3128=" ", B3128="NA",NOT(ISNUMBER(B3128))), "Unknown",B3128&lt;18,"Underage",B3128&lt;=24,"Young Adult",B3128&lt;=34,"Early Career",B3128&lt;=44,"Mid Career",B3128&lt;=54,"Mature",B3128&lt;=65,"Pre-Senior",B3128&gt;65,"Senior")</f>
        <v>Mature</v>
      </c>
      <c r="D3128" s="1" t="s">
        <v>18</v>
      </c>
      <c r="E3128" s="1" t="s">
        <v>27</v>
      </c>
      <c r="F3128" s="1">
        <v>650000</v>
      </c>
      <c r="G3128" s="1">
        <v>34</v>
      </c>
      <c r="H3128" s="1" t="str" cm="1">
        <f t="array" ref="H3128">_xlfn.IFS( OR(G3128=" ",NOT(ISNUMBER(G3128))),"Unknown",G3128&lt;=33,"Low Spender",G3128&lt;=66,"Medium Spender",TRUE, "High Spender")</f>
        <v>Medium Spender</v>
      </c>
      <c r="I3128" s="1">
        <v>73</v>
      </c>
      <c r="J3128" s="1">
        <v>300</v>
      </c>
      <c r="K3128" s="1">
        <v>129</v>
      </c>
      <c r="L3128" s="1" t="s">
        <v>35</v>
      </c>
      <c r="M3128" s="1" t="s">
        <v>41</v>
      </c>
      <c r="N3128" s="1" t="str">
        <f t="shared" si="96"/>
        <v>Higher</v>
      </c>
      <c r="O3128" s="1" t="str">
        <f t="shared" si="97"/>
        <v>Mature | Medium Spender | Higher</v>
      </c>
    </row>
    <row r="3129" spans="1:15" x14ac:dyDescent="0.25">
      <c r="A3129" s="1" t="s">
        <v>3159</v>
      </c>
      <c r="B3129" s="1">
        <v>21</v>
      </c>
      <c r="C3129" s="1" t="str" cm="1">
        <f t="array" ref="C3129">_xlfn.IFS(OR(B3129=" ", B3129="NA",NOT(ISNUMBER(B3129))), "Unknown",B3129&lt;18,"Underage",B3129&lt;=24,"Young Adult",B3129&lt;=34,"Early Career",B3129&lt;=44,"Mid Career",B3129&lt;=54,"Mature",B3129&lt;=65,"Pre-Senior",B3129&gt;65,"Senior")</f>
        <v>Young Adult</v>
      </c>
      <c r="E3129" s="1" t="s">
        <v>34</v>
      </c>
      <c r="F3129" s="1">
        <v>1450000</v>
      </c>
      <c r="G3129" s="1">
        <v>90</v>
      </c>
      <c r="H3129" s="1" t="str" cm="1">
        <f t="array" ref="H3129">_xlfn.IFS( OR(G3129=" ",NOT(ISNUMBER(G3129))),"Unknown",G3129&lt;=33,"Low Spender",G3129&lt;=66,"Medium Spender",TRUE, "High Spender")</f>
        <v>High Spender</v>
      </c>
      <c r="I3129" s="1">
        <v>49</v>
      </c>
      <c r="J3129" s="1">
        <v>10200</v>
      </c>
      <c r="K3129" s="1">
        <v>180</v>
      </c>
      <c r="L3129" s="1" t="s">
        <v>35</v>
      </c>
      <c r="M3129" s="1" t="s">
        <v>21</v>
      </c>
      <c r="N3129" s="1" t="str">
        <f t="shared" si="96"/>
        <v>Lower</v>
      </c>
      <c r="O3129" s="1" t="str">
        <f t="shared" si="97"/>
        <v>Young Adult | High Spender | Lower</v>
      </c>
    </row>
    <row r="3130" spans="1:15" x14ac:dyDescent="0.25">
      <c r="A3130" s="1" t="s">
        <v>3160</v>
      </c>
      <c r="B3130" s="1">
        <v>31</v>
      </c>
      <c r="C3130" s="1" t="str" cm="1">
        <f t="array" ref="C3130">_xlfn.IFS(OR(B3130=" ", B3130="NA",NOT(ISNUMBER(B3130))), "Unknown",B3130&lt;18,"Underage",B3130&lt;=24,"Young Adult",B3130&lt;=34,"Early Career",B3130&lt;=44,"Mid Career",B3130&lt;=54,"Mature",B3130&lt;=65,"Pre-Senior",B3130&gt;65,"Senior")</f>
        <v>Early Career</v>
      </c>
      <c r="D3130" s="1" t="s">
        <v>12</v>
      </c>
      <c r="E3130" s="1" t="s">
        <v>23</v>
      </c>
      <c r="G3130" s="1">
        <v>95</v>
      </c>
      <c r="H3130" s="1" t="str" cm="1">
        <f t="array" ref="H3130">_xlfn.IFS( OR(G3130=" ",NOT(ISNUMBER(G3130))),"Unknown",G3130&lt;=33,"Low Spender",G3130&lt;=66,"Medium Spender",TRUE, "High Spender")</f>
        <v>High Spender</v>
      </c>
      <c r="I3130" s="1">
        <v>36</v>
      </c>
      <c r="J3130" s="1">
        <v>11000</v>
      </c>
      <c r="K3130" s="1">
        <v>292</v>
      </c>
      <c r="L3130" s="1" t="s">
        <v>20</v>
      </c>
      <c r="M3130" s="1" t="s">
        <v>30</v>
      </c>
      <c r="N3130" s="1" t="str">
        <f t="shared" si="96"/>
        <v>Lower</v>
      </c>
      <c r="O3130" s="1" t="str">
        <f t="shared" si="97"/>
        <v>Early Career | High Spender | Lower</v>
      </c>
    </row>
    <row r="3131" spans="1:15" x14ac:dyDescent="0.25">
      <c r="A3131" s="1" t="s">
        <v>3161</v>
      </c>
      <c r="B3131" s="1">
        <v>58</v>
      </c>
      <c r="C3131" s="1" t="str" cm="1">
        <f t="array" ref="C3131">_xlfn.IFS(OR(B3131=" ", B3131="NA",NOT(ISNUMBER(B3131))), "Unknown",B3131&lt;18,"Underage",B3131&lt;=24,"Young Adult",B3131&lt;=34,"Early Career",B3131&lt;=44,"Mid Career",B3131&lt;=54,"Mature",B3131&lt;=65,"Pre-Senior",B3131&gt;65,"Senior")</f>
        <v>Pre-Senior</v>
      </c>
      <c r="E3131" s="1" t="s">
        <v>13</v>
      </c>
      <c r="F3131" s="1">
        <v>1475000</v>
      </c>
      <c r="G3131" s="1">
        <v>9</v>
      </c>
      <c r="H3131" s="1" t="str" cm="1">
        <f t="array" ref="H3131">_xlfn.IFS( OR(G3131=" ",NOT(ISNUMBER(G3131))),"Unknown",G3131&lt;=33,"Low Spender",G3131&lt;=66,"Medium Spender",TRUE, "High Spender")</f>
        <v>Low Spender</v>
      </c>
      <c r="I3131" s="1">
        <v>54</v>
      </c>
      <c r="J3131" s="1">
        <v>700</v>
      </c>
      <c r="K3131" s="1">
        <v>207</v>
      </c>
      <c r="M3131" s="1" t="s">
        <v>32</v>
      </c>
      <c r="N3131" s="1" t="str">
        <f t="shared" si="96"/>
        <v>Lower</v>
      </c>
      <c r="O3131" s="1" t="str">
        <f t="shared" si="97"/>
        <v>Pre-Senior | Low Spender | Lower</v>
      </c>
    </row>
    <row r="3132" spans="1:15" x14ac:dyDescent="0.25">
      <c r="A3132" s="1" t="s">
        <v>3162</v>
      </c>
      <c r="B3132" s="1">
        <v>58</v>
      </c>
      <c r="C3132" s="1" t="str" cm="1">
        <f t="array" ref="C3132">_xlfn.IFS(OR(B3132=" ", B3132="NA",NOT(ISNUMBER(B3132))), "Unknown",B3132&lt;18,"Underage",B3132&lt;=24,"Young Adult",B3132&lt;=34,"Early Career",B3132&lt;=44,"Mid Career",B3132&lt;=54,"Mature",B3132&lt;=65,"Pre-Senior",B3132&gt;65,"Senior")</f>
        <v>Pre-Senior</v>
      </c>
      <c r="D3132" s="1" t="s">
        <v>18</v>
      </c>
      <c r="E3132" s="1" t="s">
        <v>19</v>
      </c>
      <c r="F3132" s="1">
        <v>1550000</v>
      </c>
      <c r="G3132" s="1">
        <v>94</v>
      </c>
      <c r="H3132" s="1" t="str" cm="1">
        <f t="array" ref="H3132">_xlfn.IFS( OR(G3132=" ",NOT(ISNUMBER(G3132))),"Unknown",G3132&lt;=33,"Low Spender",G3132&lt;=66,"Medium Spender",TRUE, "High Spender")</f>
        <v>High Spender</v>
      </c>
      <c r="I3132" s="1">
        <v>47</v>
      </c>
      <c r="J3132" s="1">
        <v>4300</v>
      </c>
      <c r="K3132" s="1">
        <v>294</v>
      </c>
      <c r="N3132" s="1" t="str">
        <f t="shared" si="96"/>
        <v>Higher</v>
      </c>
      <c r="O3132" s="1" t="str">
        <f t="shared" si="97"/>
        <v>Pre-Senior | High Spender | Higher</v>
      </c>
    </row>
    <row r="3133" spans="1:15" x14ac:dyDescent="0.25">
      <c r="A3133" s="1" t="s">
        <v>3163</v>
      </c>
      <c r="B3133" s="1">
        <v>42</v>
      </c>
      <c r="C3133" s="1" t="str" cm="1">
        <f t="array" ref="C3133">_xlfn.IFS(OR(B3133=" ", B3133="NA",NOT(ISNUMBER(B3133))), "Unknown",B3133&lt;18,"Underage",B3133&lt;=24,"Young Adult",B3133&lt;=34,"Early Career",B3133&lt;=44,"Mid Career",B3133&lt;=54,"Mature",B3133&lt;=65,"Pre-Senior",B3133&gt;65,"Senior")</f>
        <v>Mid Career</v>
      </c>
      <c r="D3133" s="1" t="s">
        <v>29</v>
      </c>
      <c r="E3133" s="1" t="s">
        <v>13</v>
      </c>
      <c r="F3133" s="1">
        <v>625000</v>
      </c>
      <c r="G3133" s="1">
        <v>84</v>
      </c>
      <c r="H3133" s="1" t="str" cm="1">
        <f t="array" ref="H3133">_xlfn.IFS( OR(G3133=" ",NOT(ISNUMBER(G3133))),"Unknown",G3133&lt;=33,"Low Spender",G3133&lt;=66,"Medium Spender",TRUE, "High Spender")</f>
        <v>High Spender</v>
      </c>
      <c r="I3133" s="1">
        <v>32</v>
      </c>
      <c r="J3133" s="1">
        <v>6500</v>
      </c>
      <c r="K3133" s="1">
        <v>338</v>
      </c>
      <c r="L3133" s="1" t="s">
        <v>20</v>
      </c>
      <c r="M3133" s="1" t="s">
        <v>21</v>
      </c>
      <c r="N3133" s="1" t="str">
        <f t="shared" si="96"/>
        <v>Higher</v>
      </c>
      <c r="O3133" s="1" t="str">
        <f t="shared" si="97"/>
        <v>Mid Career | High Spender | Higher</v>
      </c>
    </row>
    <row r="3134" spans="1:15" x14ac:dyDescent="0.25">
      <c r="A3134" s="1" t="s">
        <v>3164</v>
      </c>
      <c r="B3134" s="1" t="s">
        <v>73</v>
      </c>
      <c r="C3134" s="1" t="str" cm="1">
        <f t="array" ref="C3134">_xlfn.IFS(OR(B3134=" ", B3134="NA",NOT(ISNUMBER(B3134))), "Unknown",B3134&lt;18,"Underage",B3134&lt;=24,"Young Adult",B3134&lt;=34,"Early Career",B3134&lt;=44,"Mid Career",B3134&lt;=54,"Mature",B3134&lt;=65,"Pre-Senior",B3134&gt;65,"Senior")</f>
        <v>Unknown</v>
      </c>
      <c r="E3134" s="1" t="s">
        <v>49</v>
      </c>
      <c r="F3134" s="1">
        <v>1350000</v>
      </c>
      <c r="G3134" s="1">
        <v>21</v>
      </c>
      <c r="H3134" s="1" t="str" cm="1">
        <f t="array" ref="H3134">_xlfn.IFS( OR(G3134=" ",NOT(ISNUMBER(G3134))),"Unknown",G3134&lt;=33,"Low Spender",G3134&lt;=66,"Medium Spender",TRUE, "High Spender")</f>
        <v>Low Spender</v>
      </c>
      <c r="I3134" s="1">
        <v>53</v>
      </c>
      <c r="J3134" s="1">
        <v>2400</v>
      </c>
      <c r="K3134" s="1">
        <v>175</v>
      </c>
      <c r="L3134" s="1" t="s">
        <v>37</v>
      </c>
      <c r="M3134" s="1" t="s">
        <v>21</v>
      </c>
      <c r="N3134" s="1" t="str">
        <f t="shared" si="96"/>
        <v>Lower</v>
      </c>
      <c r="O3134" s="1" t="str">
        <f t="shared" si="97"/>
        <v>Unknown | Low Spender | Lower</v>
      </c>
    </row>
    <row r="3135" spans="1:15" x14ac:dyDescent="0.25">
      <c r="A3135" s="1" t="s">
        <v>3165</v>
      </c>
      <c r="B3135" s="1">
        <v>67</v>
      </c>
      <c r="C3135" s="1" t="str" cm="1">
        <f t="array" ref="C3135">_xlfn.IFS(OR(B3135=" ", B3135="NA",NOT(ISNUMBER(B3135))), "Unknown",B3135&lt;18,"Underage",B3135&lt;=24,"Young Adult",B3135&lt;=34,"Early Career",B3135&lt;=44,"Mid Career",B3135&lt;=54,"Mature",B3135&lt;=65,"Pre-Senior",B3135&gt;65,"Senior")</f>
        <v>Senior</v>
      </c>
      <c r="D3135" s="1" t="s">
        <v>29</v>
      </c>
      <c r="E3135" s="1" t="s">
        <v>23</v>
      </c>
      <c r="F3135" s="1">
        <v>300000</v>
      </c>
      <c r="G3135" s="1">
        <v>93</v>
      </c>
      <c r="H3135" s="1" t="str" cm="1">
        <f t="array" ref="H3135">_xlfn.IFS( OR(G3135=" ",NOT(ISNUMBER(G3135))),"Unknown",G3135&lt;=33,"Low Spender",G3135&lt;=66,"Medium Spender",TRUE, "High Spender")</f>
        <v>High Spender</v>
      </c>
      <c r="I3135" s="1">
        <v>32</v>
      </c>
      <c r="J3135" s="1">
        <v>7000</v>
      </c>
      <c r="K3135" s="1">
        <v>29</v>
      </c>
      <c r="L3135" s="1" t="s">
        <v>20</v>
      </c>
      <c r="M3135" s="1" t="s">
        <v>41</v>
      </c>
      <c r="N3135" s="1" t="str">
        <f t="shared" si="96"/>
        <v>Higher</v>
      </c>
      <c r="O3135" s="1" t="str">
        <f t="shared" si="97"/>
        <v>Senior | High Spender | Higher</v>
      </c>
    </row>
    <row r="3136" spans="1:15" x14ac:dyDescent="0.25">
      <c r="A3136" s="1" t="s">
        <v>3166</v>
      </c>
      <c r="B3136" s="1">
        <v>27</v>
      </c>
      <c r="C3136" s="1" t="str" cm="1">
        <f t="array" ref="C3136">_xlfn.IFS(OR(B3136=" ", B3136="NA",NOT(ISNUMBER(B3136))), "Unknown",B3136&lt;18,"Underage",B3136&lt;=24,"Young Adult",B3136&lt;=34,"Early Career",B3136&lt;=44,"Mid Career",B3136&lt;=54,"Mature",B3136&lt;=65,"Pre-Senior",B3136&gt;65,"Senior")</f>
        <v>Early Career</v>
      </c>
      <c r="D3136" s="1" t="s">
        <v>18</v>
      </c>
      <c r="E3136" s="1" t="s">
        <v>58</v>
      </c>
      <c r="F3136" s="1">
        <v>850000</v>
      </c>
      <c r="G3136" s="1">
        <v>25</v>
      </c>
      <c r="H3136" s="1" t="str" cm="1">
        <f t="array" ref="H3136">_xlfn.IFS( OR(G3136=" ",NOT(ISNUMBER(G3136))),"Unknown",G3136&lt;=33,"Low Spender",G3136&lt;=66,"Medium Spender",TRUE, "High Spender")</f>
        <v>Low Spender</v>
      </c>
      <c r="I3136" s="1">
        <v>62</v>
      </c>
      <c r="J3136" s="1">
        <v>5000</v>
      </c>
      <c r="K3136" s="1">
        <v>179</v>
      </c>
      <c r="L3136" s="1" t="s">
        <v>20</v>
      </c>
      <c r="M3136" s="1" t="s">
        <v>41</v>
      </c>
      <c r="N3136" s="1" t="str">
        <f t="shared" si="96"/>
        <v>Higher</v>
      </c>
      <c r="O3136" s="1" t="str">
        <f t="shared" si="97"/>
        <v>Early Career | Low Spender | Higher</v>
      </c>
    </row>
    <row r="3137" spans="1:15" x14ac:dyDescent="0.25">
      <c r="A3137" s="1" t="s">
        <v>3167</v>
      </c>
      <c r="B3137" s="1">
        <v>38</v>
      </c>
      <c r="C3137" s="1" t="str" cm="1">
        <f t="array" ref="C3137">_xlfn.IFS(OR(B3137=" ", B3137="NA",NOT(ISNUMBER(B3137))), "Unknown",B3137&lt;18,"Underage",B3137&lt;=24,"Young Adult",B3137&lt;=34,"Early Career",B3137&lt;=44,"Mid Career",B3137&lt;=54,"Mature",B3137&lt;=65,"Pre-Senior",B3137&gt;65,"Senior")</f>
        <v>Mid Career</v>
      </c>
      <c r="D3137" s="1" t="s">
        <v>18</v>
      </c>
      <c r="E3137" s="1" t="s">
        <v>15</v>
      </c>
      <c r="F3137" s="1">
        <v>1325000</v>
      </c>
      <c r="H3137" s="1" t="str" cm="1">
        <f t="array" ref="H3137">_xlfn.IFS( OR(G3137=" ",NOT(ISNUMBER(G3137))),"Unknown",G3137&lt;=33,"Low Spender",G3137&lt;=66,"Medium Spender",TRUE, "High Spender")</f>
        <v>Unknown</v>
      </c>
      <c r="I3137" s="1">
        <v>37</v>
      </c>
      <c r="J3137" s="1">
        <v>6800</v>
      </c>
      <c r="K3137" s="1">
        <v>41</v>
      </c>
      <c r="M3137" s="1" t="s">
        <v>32</v>
      </c>
      <c r="N3137" s="1" t="str">
        <f t="shared" si="96"/>
        <v>Higher</v>
      </c>
      <c r="O3137" s="1" t="str">
        <f t="shared" si="97"/>
        <v>Mid Career | Unknown | Higher</v>
      </c>
    </row>
    <row r="3138" spans="1:15" x14ac:dyDescent="0.25">
      <c r="A3138" s="1" t="s">
        <v>3168</v>
      </c>
      <c r="B3138" s="1">
        <v>53</v>
      </c>
      <c r="C3138" s="1" t="str" cm="1">
        <f t="array" ref="C3138">_xlfn.IFS(OR(B3138=" ", B3138="NA",NOT(ISNUMBER(B3138))), "Unknown",B3138&lt;18,"Underage",B3138&lt;=24,"Young Adult",B3138&lt;=34,"Early Career",B3138&lt;=44,"Mid Career",B3138&lt;=54,"Mature",B3138&lt;=65,"Pre-Senior",B3138&gt;65,"Senior")</f>
        <v>Mature</v>
      </c>
      <c r="E3138" s="1" t="s">
        <v>13</v>
      </c>
      <c r="F3138" s="1">
        <v>450000</v>
      </c>
      <c r="G3138" s="1">
        <v>44</v>
      </c>
      <c r="H3138" s="1" t="str" cm="1">
        <f t="array" ref="H3138">_xlfn.IFS( OR(G3138=" ",NOT(ISNUMBER(G3138))),"Unknown",G3138&lt;=33,"Low Spender",G3138&lt;=66,"Medium Spender",TRUE, "High Spender")</f>
        <v>Medium Spender</v>
      </c>
      <c r="I3138" s="1">
        <v>38</v>
      </c>
      <c r="J3138" s="1">
        <v>1800</v>
      </c>
      <c r="K3138" s="1">
        <v>192</v>
      </c>
      <c r="L3138" s="1" t="s">
        <v>35</v>
      </c>
      <c r="N3138" s="1" t="str">
        <f t="shared" ref="N3138:N3201" si="98">IF(OR(UPPER(TRIM(D3138))="Male",UPPER(TRIM(D3138))="Female"),"Higher","Lower")</f>
        <v>Lower</v>
      </c>
      <c r="O3138" s="1" t="str">
        <f t="shared" ref="O3138:O3201" si="99">_xlfn.TEXTJOIN(" | ", TRUE, C3138, H3138, N3138)</f>
        <v>Mature | Medium Spender | Lower</v>
      </c>
    </row>
    <row r="3139" spans="1:15" x14ac:dyDescent="0.25">
      <c r="A3139" s="1" t="s">
        <v>3169</v>
      </c>
      <c r="B3139" s="1">
        <v>29</v>
      </c>
      <c r="C3139" s="1" t="str" cm="1">
        <f t="array" ref="C3139">_xlfn.IFS(OR(B3139=" ", B3139="NA",NOT(ISNUMBER(B3139))), "Unknown",B3139&lt;18,"Underage",B3139&lt;=24,"Young Adult",B3139&lt;=34,"Early Career",B3139&lt;=44,"Mid Career",B3139&lt;=54,"Mature",B3139&lt;=65,"Pre-Senior",B3139&gt;65,"Senior")</f>
        <v>Early Career</v>
      </c>
      <c r="D3139" s="1" t="s">
        <v>12</v>
      </c>
      <c r="E3139" s="1" t="s">
        <v>34</v>
      </c>
      <c r="F3139" s="1">
        <v>200000</v>
      </c>
      <c r="G3139" s="1">
        <v>25</v>
      </c>
      <c r="H3139" s="1" t="str" cm="1">
        <f t="array" ref="H3139">_xlfn.IFS( OR(G3139=" ",NOT(ISNUMBER(G3139))),"Unknown",G3139&lt;=33,"Low Spender",G3139&lt;=66,"Medium Spender",TRUE, "High Spender")</f>
        <v>Low Spender</v>
      </c>
      <c r="I3139" s="1">
        <v>30</v>
      </c>
      <c r="J3139" s="1">
        <v>8200</v>
      </c>
      <c r="K3139" s="1">
        <v>344</v>
      </c>
      <c r="M3139" s="1" t="s">
        <v>21</v>
      </c>
      <c r="N3139" s="1" t="str">
        <f t="shared" si="98"/>
        <v>Lower</v>
      </c>
      <c r="O3139" s="1" t="str">
        <f t="shared" si="99"/>
        <v>Early Career | Low Spender | Lower</v>
      </c>
    </row>
    <row r="3140" spans="1:15" x14ac:dyDescent="0.25">
      <c r="A3140" s="1" t="s">
        <v>3170</v>
      </c>
      <c r="B3140" s="1">
        <v>44</v>
      </c>
      <c r="C3140" s="1" t="str" cm="1">
        <f t="array" ref="C3140">_xlfn.IFS(OR(B3140=" ", B3140="NA",NOT(ISNUMBER(B3140))), "Unknown",B3140&lt;18,"Underage",B3140&lt;=24,"Young Adult",B3140&lt;=34,"Early Career",B3140&lt;=44,"Mid Career",B3140&lt;=54,"Mature",B3140&lt;=65,"Pre-Senior",B3140&gt;65,"Senior")</f>
        <v>Mid Career</v>
      </c>
      <c r="D3140" s="1" t="s">
        <v>18</v>
      </c>
      <c r="F3140" s="1">
        <v>175000</v>
      </c>
      <c r="G3140" s="1">
        <v>9</v>
      </c>
      <c r="H3140" s="1" t="str" cm="1">
        <f t="array" ref="H3140">_xlfn.IFS( OR(G3140=" ",NOT(ISNUMBER(G3140))),"Unknown",G3140&lt;=33,"Low Spender",G3140&lt;=66,"Medium Spender",TRUE, "High Spender")</f>
        <v>Low Spender</v>
      </c>
      <c r="I3140" s="1">
        <v>58</v>
      </c>
      <c r="J3140" s="1">
        <v>5500</v>
      </c>
      <c r="K3140" s="1">
        <v>237</v>
      </c>
      <c r="L3140" s="1" t="s">
        <v>20</v>
      </c>
      <c r="M3140" s="1" t="s">
        <v>32</v>
      </c>
      <c r="N3140" s="1" t="str">
        <f t="shared" si="98"/>
        <v>Higher</v>
      </c>
      <c r="O3140" s="1" t="str">
        <f t="shared" si="99"/>
        <v>Mid Career | Low Spender | Higher</v>
      </c>
    </row>
    <row r="3141" spans="1:15" x14ac:dyDescent="0.25">
      <c r="A3141" s="1" t="s">
        <v>3171</v>
      </c>
      <c r="B3141" s="1">
        <v>57</v>
      </c>
      <c r="C3141" s="1" t="str" cm="1">
        <f t="array" ref="C3141">_xlfn.IFS(OR(B3141=" ", B3141="NA",NOT(ISNUMBER(B3141))), "Unknown",B3141&lt;18,"Underage",B3141&lt;=24,"Young Adult",B3141&lt;=34,"Early Career",B3141&lt;=44,"Mid Career",B3141&lt;=54,"Mature",B3141&lt;=65,"Pre-Senior",B3141&gt;65,"Senior")</f>
        <v>Pre-Senior</v>
      </c>
      <c r="D3141" s="1" t="s">
        <v>18</v>
      </c>
      <c r="E3141" s="1" t="s">
        <v>15</v>
      </c>
      <c r="F3141" s="1">
        <v>525000</v>
      </c>
      <c r="G3141" s="1">
        <v>62</v>
      </c>
      <c r="H3141" s="1" t="str" cm="1">
        <f t="array" ref="H3141">_xlfn.IFS( OR(G3141=" ",NOT(ISNUMBER(G3141))),"Unknown",G3141&lt;=33,"Low Spender",G3141&lt;=66,"Medium Spender",TRUE, "High Spender")</f>
        <v>Medium Spender</v>
      </c>
      <c r="I3141" s="1">
        <v>32</v>
      </c>
      <c r="J3141" s="1">
        <v>8800</v>
      </c>
      <c r="K3141" s="1">
        <v>304</v>
      </c>
      <c r="L3141" s="1" t="s">
        <v>16</v>
      </c>
      <c r="N3141" s="1" t="str">
        <f t="shared" si="98"/>
        <v>Higher</v>
      </c>
      <c r="O3141" s="1" t="str">
        <f t="shared" si="99"/>
        <v>Pre-Senior | Medium Spender | Higher</v>
      </c>
    </row>
    <row r="3142" spans="1:15" x14ac:dyDescent="0.25">
      <c r="A3142" s="1" t="s">
        <v>3172</v>
      </c>
      <c r="B3142" s="1">
        <v>19</v>
      </c>
      <c r="C3142" s="1" t="str" cm="1">
        <f t="array" ref="C3142">_xlfn.IFS(OR(B3142=" ", B3142="NA",NOT(ISNUMBER(B3142))), "Unknown",B3142&lt;18,"Underage",B3142&lt;=24,"Young Adult",B3142&lt;=34,"Early Career",B3142&lt;=44,"Mid Career",B3142&lt;=54,"Mature",B3142&lt;=65,"Pre-Senior",B3142&gt;65,"Senior")</f>
        <v>Young Adult</v>
      </c>
      <c r="E3142" s="1" t="s">
        <v>58</v>
      </c>
      <c r="F3142" s="1">
        <v>275000</v>
      </c>
      <c r="G3142" s="1">
        <v>26</v>
      </c>
      <c r="H3142" s="1" t="str" cm="1">
        <f t="array" ref="H3142">_xlfn.IFS( OR(G3142=" ",NOT(ISNUMBER(G3142))),"Unknown",G3142&lt;=33,"Low Spender",G3142&lt;=66,"Medium Spender",TRUE, "High Spender")</f>
        <v>Low Spender</v>
      </c>
      <c r="I3142" s="1">
        <v>66</v>
      </c>
      <c r="J3142" s="1">
        <v>10900</v>
      </c>
      <c r="K3142" s="1">
        <v>225</v>
      </c>
      <c r="L3142" s="1" t="s">
        <v>35</v>
      </c>
      <c r="M3142" s="1" t="s">
        <v>32</v>
      </c>
      <c r="N3142" s="1" t="str">
        <f t="shared" si="98"/>
        <v>Lower</v>
      </c>
      <c r="O3142" s="1" t="str">
        <f t="shared" si="99"/>
        <v>Young Adult | Low Spender | Lower</v>
      </c>
    </row>
    <row r="3143" spans="1:15" x14ac:dyDescent="0.25">
      <c r="A3143" s="1" t="s">
        <v>3173</v>
      </c>
      <c r="C3143" s="1" t="str" cm="1">
        <f t="array" ref="C3143">_xlfn.IFS(OR(B3143=" ", B3143="NA",NOT(ISNUMBER(B3143))), "Unknown",B3143&lt;18,"Underage",B3143&lt;=24,"Young Adult",B3143&lt;=34,"Early Career",B3143&lt;=44,"Mid Career",B3143&lt;=54,"Mature",B3143&lt;=65,"Pre-Senior",B3143&gt;65,"Senior")</f>
        <v>Unknown</v>
      </c>
      <c r="F3143" s="1">
        <v>1250000</v>
      </c>
      <c r="G3143" s="1">
        <v>57</v>
      </c>
      <c r="H3143" s="1" t="str" cm="1">
        <f t="array" ref="H3143">_xlfn.IFS( OR(G3143=" ",NOT(ISNUMBER(G3143))),"Unknown",G3143&lt;=33,"Low Spender",G3143&lt;=66,"Medium Spender",TRUE, "High Spender")</f>
        <v>Medium Spender</v>
      </c>
      <c r="I3143" s="1">
        <v>51</v>
      </c>
      <c r="J3143" s="1">
        <v>6700</v>
      </c>
      <c r="K3143" s="1">
        <v>114</v>
      </c>
      <c r="L3143" s="1" t="s">
        <v>35</v>
      </c>
      <c r="M3143" s="1" t="s">
        <v>21</v>
      </c>
      <c r="N3143" s="1" t="str">
        <f t="shared" si="98"/>
        <v>Lower</v>
      </c>
      <c r="O3143" s="1" t="str">
        <f t="shared" si="99"/>
        <v>Unknown | Medium Spender | Lower</v>
      </c>
    </row>
    <row r="3144" spans="1:15" x14ac:dyDescent="0.25">
      <c r="A3144" s="1" t="s">
        <v>3174</v>
      </c>
      <c r="B3144" s="1">
        <v>30</v>
      </c>
      <c r="C3144" s="1" t="str" cm="1">
        <f t="array" ref="C3144">_xlfn.IFS(OR(B3144=" ", B3144="NA",NOT(ISNUMBER(B3144))), "Unknown",B3144&lt;18,"Underage",B3144&lt;=24,"Young Adult",B3144&lt;=34,"Early Career",B3144&lt;=44,"Mid Career",B3144&lt;=54,"Mature",B3144&lt;=65,"Pre-Senior",B3144&gt;65,"Senior")</f>
        <v>Early Career</v>
      </c>
      <c r="D3144" s="1" t="s">
        <v>29</v>
      </c>
      <c r="E3144" s="1" t="s">
        <v>23</v>
      </c>
      <c r="F3144" s="1">
        <v>1900000</v>
      </c>
      <c r="G3144" s="1">
        <v>37</v>
      </c>
      <c r="H3144" s="1" t="str" cm="1">
        <f t="array" ref="H3144">_xlfn.IFS( OR(G3144=" ",NOT(ISNUMBER(G3144))),"Unknown",G3144&lt;=33,"Low Spender",G3144&lt;=66,"Medium Spender",TRUE, "High Spender")</f>
        <v>Medium Spender</v>
      </c>
      <c r="I3144" s="1">
        <v>11</v>
      </c>
      <c r="J3144" s="1">
        <v>8100</v>
      </c>
      <c r="K3144" s="1">
        <v>278</v>
      </c>
      <c r="L3144" s="1" t="s">
        <v>20</v>
      </c>
      <c r="M3144" s="1" t="s">
        <v>41</v>
      </c>
      <c r="N3144" s="1" t="str">
        <f t="shared" si="98"/>
        <v>Higher</v>
      </c>
      <c r="O3144" s="1" t="str">
        <f t="shared" si="99"/>
        <v>Early Career | Medium Spender | Higher</v>
      </c>
    </row>
    <row r="3145" spans="1:15" x14ac:dyDescent="0.25">
      <c r="A3145" s="1" t="s">
        <v>3175</v>
      </c>
      <c r="C3145" s="1" t="str" cm="1">
        <f t="array" ref="C3145">_xlfn.IFS(OR(B3145=" ", B3145="NA",NOT(ISNUMBER(B3145))), "Unknown",B3145&lt;18,"Underage",B3145&lt;=24,"Young Adult",B3145&lt;=34,"Early Career",B3145&lt;=44,"Mid Career",B3145&lt;=54,"Mature",B3145&lt;=65,"Pre-Senior",B3145&gt;65,"Senior")</f>
        <v>Unknown</v>
      </c>
      <c r="D3145" s="1" t="s">
        <v>18</v>
      </c>
      <c r="F3145" s="1">
        <v>250000</v>
      </c>
      <c r="G3145" s="1">
        <v>16</v>
      </c>
      <c r="H3145" s="1" t="str" cm="1">
        <f t="array" ref="H3145">_xlfn.IFS( OR(G3145=" ",NOT(ISNUMBER(G3145))),"Unknown",G3145&lt;=33,"Low Spender",G3145&lt;=66,"Medium Spender",TRUE, "High Spender")</f>
        <v>Low Spender</v>
      </c>
      <c r="I3145" s="1">
        <v>59</v>
      </c>
      <c r="J3145" s="1">
        <v>6600</v>
      </c>
      <c r="K3145" s="1">
        <v>355</v>
      </c>
      <c r="M3145" s="1" t="s">
        <v>41</v>
      </c>
      <c r="N3145" s="1" t="str">
        <f t="shared" si="98"/>
        <v>Higher</v>
      </c>
      <c r="O3145" s="1" t="str">
        <f t="shared" si="99"/>
        <v>Unknown | Low Spender | Higher</v>
      </c>
    </row>
    <row r="3146" spans="1:15" x14ac:dyDescent="0.25">
      <c r="A3146" s="1" t="s">
        <v>3176</v>
      </c>
      <c r="B3146" s="1">
        <v>49</v>
      </c>
      <c r="C3146" s="1" t="str" cm="1">
        <f t="array" ref="C3146">_xlfn.IFS(OR(B3146=" ", B3146="NA",NOT(ISNUMBER(B3146))), "Unknown",B3146&lt;18,"Underage",B3146&lt;=24,"Young Adult",B3146&lt;=34,"Early Career",B3146&lt;=44,"Mid Career",B3146&lt;=54,"Mature",B3146&lt;=65,"Pre-Senior",B3146&gt;65,"Senior")</f>
        <v>Mature</v>
      </c>
      <c r="D3146" s="1" t="s">
        <v>18</v>
      </c>
      <c r="E3146" s="1" t="s">
        <v>23</v>
      </c>
      <c r="F3146" s="1">
        <v>1525000</v>
      </c>
      <c r="G3146" s="1">
        <v>37</v>
      </c>
      <c r="H3146" s="1" t="str" cm="1">
        <f t="array" ref="H3146">_xlfn.IFS( OR(G3146=" ",NOT(ISNUMBER(G3146))),"Unknown",G3146&lt;=33,"Low Spender",G3146&lt;=66,"Medium Spender",TRUE, "High Spender")</f>
        <v>Medium Spender</v>
      </c>
      <c r="I3146" s="1">
        <v>20</v>
      </c>
      <c r="J3146" s="1">
        <v>9000</v>
      </c>
      <c r="K3146" s="1">
        <v>17</v>
      </c>
      <c r="L3146" s="1" t="s">
        <v>16</v>
      </c>
      <c r="M3146" s="1" t="s">
        <v>41</v>
      </c>
      <c r="N3146" s="1" t="str">
        <f t="shared" si="98"/>
        <v>Higher</v>
      </c>
      <c r="O3146" s="1" t="str">
        <f t="shared" si="99"/>
        <v>Mature | Medium Spender | Higher</v>
      </c>
    </row>
    <row r="3147" spans="1:15" x14ac:dyDescent="0.25">
      <c r="A3147" s="1" t="s">
        <v>3177</v>
      </c>
      <c r="B3147" s="1">
        <v>48</v>
      </c>
      <c r="C3147" s="1" t="str" cm="1">
        <f t="array" ref="C3147">_xlfn.IFS(OR(B3147=" ", B3147="NA",NOT(ISNUMBER(B3147))), "Unknown",B3147&lt;18,"Underage",B3147&lt;=24,"Young Adult",B3147&lt;=34,"Early Career",B3147&lt;=44,"Mid Career",B3147&lt;=54,"Mature",B3147&lt;=65,"Pre-Senior",B3147&gt;65,"Senior")</f>
        <v>Mature</v>
      </c>
      <c r="D3147" s="1" t="s">
        <v>18</v>
      </c>
      <c r="E3147" s="1" t="s">
        <v>49</v>
      </c>
      <c r="F3147" s="1">
        <v>1900000</v>
      </c>
      <c r="G3147" s="1">
        <v>76</v>
      </c>
      <c r="H3147" s="1" t="str" cm="1">
        <f t="array" ref="H3147">_xlfn.IFS( OR(G3147=" ",NOT(ISNUMBER(G3147))),"Unknown",G3147&lt;=33,"Low Spender",G3147&lt;=66,"Medium Spender",TRUE, "High Spender")</f>
        <v>High Spender</v>
      </c>
      <c r="I3147" s="1">
        <v>37</v>
      </c>
      <c r="J3147" s="1">
        <v>7000</v>
      </c>
      <c r="K3147" s="1">
        <v>86</v>
      </c>
      <c r="L3147" s="1" t="s">
        <v>20</v>
      </c>
      <c r="M3147" s="1" t="s">
        <v>30</v>
      </c>
      <c r="N3147" s="1" t="str">
        <f t="shared" si="98"/>
        <v>Higher</v>
      </c>
      <c r="O3147" s="1" t="str">
        <f t="shared" si="99"/>
        <v>Mature | High Spender | Higher</v>
      </c>
    </row>
    <row r="3148" spans="1:15" x14ac:dyDescent="0.25">
      <c r="A3148" s="1" t="s">
        <v>3178</v>
      </c>
      <c r="B3148" s="1">
        <v>33</v>
      </c>
      <c r="C3148" s="1" t="str" cm="1">
        <f t="array" ref="C3148">_xlfn.IFS(OR(B3148=" ", B3148="NA",NOT(ISNUMBER(B3148))), "Unknown",B3148&lt;18,"Underage",B3148&lt;=24,"Young Adult",B3148&lt;=34,"Early Career",B3148&lt;=44,"Mid Career",B3148&lt;=54,"Mature",B3148&lt;=65,"Pre-Senior",B3148&gt;65,"Senior")</f>
        <v>Early Career</v>
      </c>
      <c r="D3148" s="1" t="s">
        <v>29</v>
      </c>
      <c r="E3148" s="1" t="s">
        <v>58</v>
      </c>
      <c r="F3148" s="1">
        <v>925000</v>
      </c>
      <c r="G3148" s="1">
        <v>24</v>
      </c>
      <c r="H3148" s="1" t="str" cm="1">
        <f t="array" ref="H3148">_xlfn.IFS( OR(G3148=" ",NOT(ISNUMBER(G3148))),"Unknown",G3148&lt;=33,"Low Spender",G3148&lt;=66,"Medium Spender",TRUE, "High Spender")</f>
        <v>Low Spender</v>
      </c>
      <c r="I3148" s="1">
        <v>73</v>
      </c>
      <c r="J3148" s="1">
        <v>6500</v>
      </c>
      <c r="K3148" s="1">
        <v>317</v>
      </c>
      <c r="L3148" s="1" t="s">
        <v>16</v>
      </c>
      <c r="M3148" s="1" t="s">
        <v>32</v>
      </c>
      <c r="N3148" s="1" t="str">
        <f t="shared" si="98"/>
        <v>Higher</v>
      </c>
      <c r="O3148" s="1" t="str">
        <f t="shared" si="99"/>
        <v>Early Career | Low Spender | Higher</v>
      </c>
    </row>
    <row r="3149" spans="1:15" x14ac:dyDescent="0.25">
      <c r="A3149" s="1" t="s">
        <v>3179</v>
      </c>
      <c r="B3149" s="1">
        <v>49</v>
      </c>
      <c r="C3149" s="1" t="str" cm="1">
        <f t="array" ref="C3149">_xlfn.IFS(OR(B3149=" ", B3149="NA",NOT(ISNUMBER(B3149))), "Unknown",B3149&lt;18,"Underage",B3149&lt;=24,"Young Adult",B3149&lt;=34,"Early Career",B3149&lt;=44,"Mid Career",B3149&lt;=54,"Mature",B3149&lt;=65,"Pre-Senior",B3149&gt;65,"Senior")</f>
        <v>Mature</v>
      </c>
      <c r="D3149" s="1" t="s">
        <v>29</v>
      </c>
      <c r="E3149" s="1" t="s">
        <v>23</v>
      </c>
      <c r="F3149" s="1">
        <v>1350000</v>
      </c>
      <c r="G3149" s="1">
        <v>26</v>
      </c>
      <c r="H3149" s="1" t="str" cm="1">
        <f t="array" ref="H3149">_xlfn.IFS( OR(G3149=" ",NOT(ISNUMBER(G3149))),"Unknown",G3149&lt;=33,"Low Spender",G3149&lt;=66,"Medium Spender",TRUE, "High Spender")</f>
        <v>Low Spender</v>
      </c>
      <c r="I3149" s="1">
        <v>49</v>
      </c>
      <c r="J3149" s="1">
        <v>6400</v>
      </c>
      <c r="K3149" s="1">
        <v>345</v>
      </c>
      <c r="L3149" s="1" t="s">
        <v>35</v>
      </c>
      <c r="M3149" s="1" t="s">
        <v>21</v>
      </c>
      <c r="N3149" s="1" t="str">
        <f t="shared" si="98"/>
        <v>Higher</v>
      </c>
      <c r="O3149" s="1" t="str">
        <f t="shared" si="99"/>
        <v>Mature | Low Spender | Higher</v>
      </c>
    </row>
    <row r="3150" spans="1:15" x14ac:dyDescent="0.25">
      <c r="A3150" s="1" t="s">
        <v>3180</v>
      </c>
      <c r="B3150" s="1">
        <v>49</v>
      </c>
      <c r="C3150" s="1" t="str" cm="1">
        <f t="array" ref="C3150">_xlfn.IFS(OR(B3150=" ", B3150="NA",NOT(ISNUMBER(B3150))), "Unknown",B3150&lt;18,"Underage",B3150&lt;=24,"Young Adult",B3150&lt;=34,"Early Career",B3150&lt;=44,"Mid Career",B3150&lt;=54,"Mature",B3150&lt;=65,"Pre-Senior",B3150&gt;65,"Senior")</f>
        <v>Mature</v>
      </c>
      <c r="E3150" s="1" t="s">
        <v>34</v>
      </c>
      <c r="F3150" s="1">
        <v>450000</v>
      </c>
      <c r="G3150" s="1">
        <v>20</v>
      </c>
      <c r="H3150" s="1" t="str" cm="1">
        <f t="array" ref="H3150">_xlfn.IFS( OR(G3150=" ",NOT(ISNUMBER(G3150))),"Unknown",G3150&lt;=33,"Low Spender",G3150&lt;=66,"Medium Spender",TRUE, "High Spender")</f>
        <v>Low Spender</v>
      </c>
      <c r="I3150" s="1">
        <v>19</v>
      </c>
      <c r="J3150" s="1">
        <v>8400</v>
      </c>
      <c r="K3150" s="1">
        <v>181</v>
      </c>
      <c r="L3150" s="1" t="s">
        <v>16</v>
      </c>
      <c r="M3150" s="1" t="s">
        <v>32</v>
      </c>
      <c r="N3150" s="1" t="str">
        <f t="shared" si="98"/>
        <v>Lower</v>
      </c>
      <c r="O3150" s="1" t="str">
        <f t="shared" si="99"/>
        <v>Mature | Low Spender | Lower</v>
      </c>
    </row>
    <row r="3151" spans="1:15" x14ac:dyDescent="0.25">
      <c r="A3151" s="1" t="s">
        <v>3181</v>
      </c>
      <c r="B3151" s="1">
        <v>51</v>
      </c>
      <c r="C3151" s="1" t="str" cm="1">
        <f t="array" ref="C3151">_xlfn.IFS(OR(B3151=" ", B3151="NA",NOT(ISNUMBER(B3151))), "Unknown",B3151&lt;18,"Underage",B3151&lt;=24,"Young Adult",B3151&lt;=34,"Early Career",B3151&lt;=44,"Mid Career",B3151&lt;=54,"Mature",B3151&lt;=65,"Pre-Senior",B3151&gt;65,"Senior")</f>
        <v>Mature</v>
      </c>
      <c r="E3151" s="1" t="s">
        <v>49</v>
      </c>
      <c r="F3151" s="1">
        <v>875000</v>
      </c>
      <c r="G3151" s="1">
        <v>9</v>
      </c>
      <c r="H3151" s="1" t="str" cm="1">
        <f t="array" ref="H3151">_xlfn.IFS( OR(G3151=" ",NOT(ISNUMBER(G3151))),"Unknown",G3151&lt;=33,"Low Spender",G3151&lt;=66,"Medium Spender",TRUE, "High Spender")</f>
        <v>Low Spender</v>
      </c>
      <c r="I3151" s="1">
        <v>55</v>
      </c>
      <c r="J3151" s="1">
        <v>8300</v>
      </c>
      <c r="K3151" s="1">
        <v>337</v>
      </c>
      <c r="L3151" s="1" t="s">
        <v>20</v>
      </c>
      <c r="M3151" s="1" t="s">
        <v>41</v>
      </c>
      <c r="N3151" s="1" t="str">
        <f t="shared" si="98"/>
        <v>Lower</v>
      </c>
      <c r="O3151" s="1" t="str">
        <f t="shared" si="99"/>
        <v>Mature | Low Spender | Lower</v>
      </c>
    </row>
    <row r="3152" spans="1:15" x14ac:dyDescent="0.25">
      <c r="A3152" s="1" t="s">
        <v>3182</v>
      </c>
      <c r="B3152" s="1">
        <v>28</v>
      </c>
      <c r="C3152" s="1" t="str" cm="1">
        <f t="array" ref="C3152">_xlfn.IFS(OR(B3152=" ", B3152="NA",NOT(ISNUMBER(B3152))), "Unknown",B3152&lt;18,"Underage",B3152&lt;=24,"Young Adult",B3152&lt;=34,"Early Career",B3152&lt;=44,"Mid Career",B3152&lt;=54,"Mature",B3152&lt;=65,"Pre-Senior",B3152&gt;65,"Senior")</f>
        <v>Early Career</v>
      </c>
      <c r="D3152" s="1" t="s">
        <v>12</v>
      </c>
      <c r="E3152" s="1" t="s">
        <v>27</v>
      </c>
      <c r="F3152" s="1">
        <v>750000</v>
      </c>
      <c r="G3152" s="1">
        <v>87</v>
      </c>
      <c r="H3152" s="1" t="str" cm="1">
        <f t="array" ref="H3152">_xlfn.IFS( OR(G3152=" ",NOT(ISNUMBER(G3152))),"Unknown",G3152&lt;=33,"Low Spender",G3152&lt;=66,"Medium Spender",TRUE, "High Spender")</f>
        <v>High Spender</v>
      </c>
      <c r="I3152" s="1">
        <v>40</v>
      </c>
      <c r="J3152" s="1">
        <v>7300</v>
      </c>
      <c r="K3152" s="1">
        <v>351</v>
      </c>
      <c r="L3152" s="1" t="s">
        <v>37</v>
      </c>
      <c r="N3152" s="1" t="str">
        <f t="shared" si="98"/>
        <v>Lower</v>
      </c>
      <c r="O3152" s="1" t="str">
        <f t="shared" si="99"/>
        <v>Early Career | High Spender | Lower</v>
      </c>
    </row>
    <row r="3153" spans="1:15" x14ac:dyDescent="0.25">
      <c r="A3153" s="1" t="s">
        <v>3183</v>
      </c>
      <c r="B3153" s="1">
        <v>27</v>
      </c>
      <c r="C3153" s="1" t="str" cm="1">
        <f t="array" ref="C3153">_xlfn.IFS(OR(B3153=" ", B3153="NA",NOT(ISNUMBER(B3153))), "Unknown",B3153&lt;18,"Underage",B3153&lt;=24,"Young Adult",B3153&lt;=34,"Early Career",B3153&lt;=44,"Mid Career",B3153&lt;=54,"Mature",B3153&lt;=65,"Pre-Senior",B3153&gt;65,"Senior")</f>
        <v>Early Career</v>
      </c>
      <c r="F3153" s="1">
        <v>1625000</v>
      </c>
      <c r="G3153" s="1">
        <v>29</v>
      </c>
      <c r="H3153" s="1" t="str" cm="1">
        <f t="array" ref="H3153">_xlfn.IFS( OR(G3153=" ",NOT(ISNUMBER(G3153))),"Unknown",G3153&lt;=33,"Low Spender",G3153&lt;=66,"Medium Spender",TRUE, "High Spender")</f>
        <v>Low Spender</v>
      </c>
      <c r="I3153" s="1">
        <v>7</v>
      </c>
      <c r="J3153" s="1">
        <v>11600</v>
      </c>
      <c r="K3153" s="1">
        <v>145</v>
      </c>
      <c r="L3153" s="1" t="s">
        <v>37</v>
      </c>
      <c r="N3153" s="1" t="str">
        <f t="shared" si="98"/>
        <v>Lower</v>
      </c>
      <c r="O3153" s="1" t="str">
        <f t="shared" si="99"/>
        <v>Early Career | Low Spender | Lower</v>
      </c>
    </row>
    <row r="3154" spans="1:15" x14ac:dyDescent="0.25">
      <c r="A3154" s="1" t="s">
        <v>3184</v>
      </c>
      <c r="B3154" s="1">
        <v>32</v>
      </c>
      <c r="C3154" s="1" t="str" cm="1">
        <f t="array" ref="C3154">_xlfn.IFS(OR(B3154=" ", B3154="NA",NOT(ISNUMBER(B3154))), "Unknown",B3154&lt;18,"Underage",B3154&lt;=24,"Young Adult",B3154&lt;=34,"Early Career",B3154&lt;=44,"Mid Career",B3154&lt;=54,"Mature",B3154&lt;=65,"Pre-Senior",B3154&gt;65,"Senior")</f>
        <v>Early Career</v>
      </c>
      <c r="D3154" s="1" t="s">
        <v>18</v>
      </c>
      <c r="E3154" s="1" t="s">
        <v>58</v>
      </c>
      <c r="F3154" s="1">
        <v>1600000</v>
      </c>
      <c r="G3154" s="1">
        <v>31</v>
      </c>
      <c r="H3154" s="1" t="str" cm="1">
        <f t="array" ref="H3154">_xlfn.IFS( OR(G3154=" ",NOT(ISNUMBER(G3154))),"Unknown",G3154&lt;=33,"Low Spender",G3154&lt;=66,"Medium Spender",TRUE, "High Spender")</f>
        <v>Low Spender</v>
      </c>
      <c r="I3154" s="1">
        <v>5</v>
      </c>
      <c r="J3154" s="1">
        <v>4700</v>
      </c>
      <c r="K3154" s="1">
        <v>315</v>
      </c>
      <c r="L3154" s="1" t="s">
        <v>16</v>
      </c>
      <c r="M3154" s="1" t="s">
        <v>32</v>
      </c>
      <c r="N3154" s="1" t="str">
        <f t="shared" si="98"/>
        <v>Higher</v>
      </c>
      <c r="O3154" s="1" t="str">
        <f t="shared" si="99"/>
        <v>Early Career | Low Spender | Higher</v>
      </c>
    </row>
    <row r="3155" spans="1:15" x14ac:dyDescent="0.25">
      <c r="A3155" s="1" t="s">
        <v>3185</v>
      </c>
      <c r="B3155" s="1">
        <v>34</v>
      </c>
      <c r="C3155" s="1" t="str" cm="1">
        <f t="array" ref="C3155">_xlfn.IFS(OR(B3155=" ", B3155="NA",NOT(ISNUMBER(B3155))), "Unknown",B3155&lt;18,"Underage",B3155&lt;=24,"Young Adult",B3155&lt;=34,"Early Career",B3155&lt;=44,"Mid Career",B3155&lt;=54,"Mature",B3155&lt;=65,"Pre-Senior",B3155&gt;65,"Senior")</f>
        <v>Early Career</v>
      </c>
      <c r="E3155" s="1" t="s">
        <v>19</v>
      </c>
      <c r="F3155" s="1">
        <v>825000</v>
      </c>
      <c r="G3155" s="1">
        <v>19</v>
      </c>
      <c r="H3155" s="1" t="str" cm="1">
        <f t="array" ref="H3155">_xlfn.IFS( OR(G3155=" ",NOT(ISNUMBER(G3155))),"Unknown",G3155&lt;=33,"Low Spender",G3155&lt;=66,"Medium Spender",TRUE, "High Spender")</f>
        <v>Low Spender</v>
      </c>
      <c r="I3155" s="1">
        <v>42</v>
      </c>
      <c r="J3155" s="1">
        <v>5400</v>
      </c>
      <c r="K3155" s="1">
        <v>225</v>
      </c>
      <c r="N3155" s="1" t="str">
        <f t="shared" si="98"/>
        <v>Lower</v>
      </c>
      <c r="O3155" s="1" t="str">
        <f t="shared" si="99"/>
        <v>Early Career | Low Spender | Lower</v>
      </c>
    </row>
    <row r="3156" spans="1:15" x14ac:dyDescent="0.25">
      <c r="A3156" s="1" t="s">
        <v>3186</v>
      </c>
      <c r="B3156" s="1">
        <v>57</v>
      </c>
      <c r="C3156" s="1" t="str" cm="1">
        <f t="array" ref="C3156">_xlfn.IFS(OR(B3156=" ", B3156="NA",NOT(ISNUMBER(B3156))), "Unknown",B3156&lt;18,"Underage",B3156&lt;=24,"Young Adult",B3156&lt;=34,"Early Career",B3156&lt;=44,"Mid Career",B3156&lt;=54,"Mature",B3156&lt;=65,"Pre-Senior",B3156&gt;65,"Senior")</f>
        <v>Pre-Senior</v>
      </c>
      <c r="F3156" s="1">
        <v>1575000</v>
      </c>
      <c r="G3156" s="1">
        <v>20</v>
      </c>
      <c r="H3156" s="1" t="str" cm="1">
        <f t="array" ref="H3156">_xlfn.IFS( OR(G3156=" ",NOT(ISNUMBER(G3156))),"Unknown",G3156&lt;=33,"Low Spender",G3156&lt;=66,"Medium Spender",TRUE, "High Spender")</f>
        <v>Low Spender</v>
      </c>
      <c r="I3156" s="1">
        <v>48</v>
      </c>
      <c r="J3156" s="1">
        <v>11800</v>
      </c>
      <c r="K3156" s="1">
        <v>54</v>
      </c>
      <c r="L3156" s="1" t="s">
        <v>20</v>
      </c>
      <c r="N3156" s="1" t="str">
        <f t="shared" si="98"/>
        <v>Lower</v>
      </c>
      <c r="O3156" s="1" t="str">
        <f t="shared" si="99"/>
        <v>Pre-Senior | Low Spender | Lower</v>
      </c>
    </row>
    <row r="3157" spans="1:15" x14ac:dyDescent="0.25">
      <c r="A3157" s="1" t="s">
        <v>3187</v>
      </c>
      <c r="B3157" s="1">
        <v>35</v>
      </c>
      <c r="C3157" s="1" t="str" cm="1">
        <f t="array" ref="C3157">_xlfn.IFS(OR(B3157=" ", B3157="NA",NOT(ISNUMBER(B3157))), "Unknown",B3157&lt;18,"Underage",B3157&lt;=24,"Young Adult",B3157&lt;=34,"Early Career",B3157&lt;=44,"Mid Career",B3157&lt;=54,"Mature",B3157&lt;=65,"Pre-Senior",B3157&gt;65,"Senior")</f>
        <v>Mid Career</v>
      </c>
      <c r="D3157" s="1" t="s">
        <v>29</v>
      </c>
      <c r="E3157" s="1" t="s">
        <v>13</v>
      </c>
      <c r="F3157" s="1">
        <v>625000</v>
      </c>
      <c r="G3157" s="1">
        <v>87</v>
      </c>
      <c r="H3157" s="1" t="str" cm="1">
        <f t="array" ref="H3157">_xlfn.IFS( OR(G3157=" ",NOT(ISNUMBER(G3157))),"Unknown",G3157&lt;=33,"Low Spender",G3157&lt;=66,"Medium Spender",TRUE, "High Spender")</f>
        <v>High Spender</v>
      </c>
      <c r="I3157" s="1">
        <v>7</v>
      </c>
      <c r="J3157" s="1">
        <v>7600</v>
      </c>
      <c r="K3157" s="1">
        <v>304</v>
      </c>
      <c r="N3157" s="1" t="str">
        <f t="shared" si="98"/>
        <v>Higher</v>
      </c>
      <c r="O3157" s="1" t="str">
        <f t="shared" si="99"/>
        <v>Mid Career | High Spender | Higher</v>
      </c>
    </row>
    <row r="3158" spans="1:15" x14ac:dyDescent="0.25">
      <c r="A3158" s="1" t="s">
        <v>3188</v>
      </c>
      <c r="B3158" s="1" t="s">
        <v>73</v>
      </c>
      <c r="C3158" s="1" t="str" cm="1">
        <f t="array" ref="C3158">_xlfn.IFS(OR(B3158=" ", B3158="NA",NOT(ISNUMBER(B3158))), "Unknown",B3158&lt;18,"Underage",B3158&lt;=24,"Young Adult",B3158&lt;=34,"Early Career",B3158&lt;=44,"Mid Career",B3158&lt;=54,"Mature",B3158&lt;=65,"Pre-Senior",B3158&gt;65,"Senior")</f>
        <v>Unknown</v>
      </c>
      <c r="E3158" s="1" t="s">
        <v>23</v>
      </c>
      <c r="F3158" s="1">
        <v>975000</v>
      </c>
      <c r="G3158" s="1">
        <v>27</v>
      </c>
      <c r="H3158" s="1" t="str" cm="1">
        <f t="array" ref="H3158">_xlfn.IFS( OR(G3158=" ",NOT(ISNUMBER(G3158))),"Unknown",G3158&lt;=33,"Low Spender",G3158&lt;=66,"Medium Spender",TRUE, "High Spender")</f>
        <v>Low Spender</v>
      </c>
      <c r="I3158" s="1">
        <v>11</v>
      </c>
      <c r="J3158" s="1">
        <v>6700</v>
      </c>
      <c r="K3158" s="1">
        <v>68</v>
      </c>
      <c r="L3158" s="1" t="s">
        <v>37</v>
      </c>
      <c r="M3158" s="1" t="s">
        <v>32</v>
      </c>
      <c r="N3158" s="1" t="str">
        <f t="shared" si="98"/>
        <v>Lower</v>
      </c>
      <c r="O3158" s="1" t="str">
        <f t="shared" si="99"/>
        <v>Unknown | Low Spender | Lower</v>
      </c>
    </row>
    <row r="3159" spans="1:15" x14ac:dyDescent="0.25">
      <c r="A3159" s="1" t="s">
        <v>3189</v>
      </c>
      <c r="B3159" s="1">
        <v>26</v>
      </c>
      <c r="C3159" s="1" t="str" cm="1">
        <f t="array" ref="C3159">_xlfn.IFS(OR(B3159=" ", B3159="NA",NOT(ISNUMBER(B3159))), "Unknown",B3159&lt;18,"Underage",B3159&lt;=24,"Young Adult",B3159&lt;=34,"Early Career",B3159&lt;=44,"Mid Career",B3159&lt;=54,"Mature",B3159&lt;=65,"Pre-Senior",B3159&gt;65,"Senior")</f>
        <v>Early Career</v>
      </c>
      <c r="D3159" s="1" t="s">
        <v>29</v>
      </c>
      <c r="F3159" s="1">
        <v>250000</v>
      </c>
      <c r="G3159" s="1">
        <v>94</v>
      </c>
      <c r="H3159" s="1" t="str" cm="1">
        <f t="array" ref="H3159">_xlfn.IFS( OR(G3159=" ",NOT(ISNUMBER(G3159))),"Unknown",G3159&lt;=33,"Low Spender",G3159&lt;=66,"Medium Spender",TRUE, "High Spender")</f>
        <v>High Spender</v>
      </c>
      <c r="I3159" s="1">
        <v>73</v>
      </c>
      <c r="J3159" s="1">
        <v>400</v>
      </c>
      <c r="K3159" s="1">
        <v>107</v>
      </c>
      <c r="L3159" s="1" t="s">
        <v>35</v>
      </c>
      <c r="M3159" s="1" t="s">
        <v>30</v>
      </c>
      <c r="N3159" s="1" t="str">
        <f t="shared" si="98"/>
        <v>Higher</v>
      </c>
      <c r="O3159" s="1" t="str">
        <f t="shared" si="99"/>
        <v>Early Career | High Spender | Higher</v>
      </c>
    </row>
    <row r="3160" spans="1:15" x14ac:dyDescent="0.25">
      <c r="A3160" s="1" t="s">
        <v>3190</v>
      </c>
      <c r="B3160" s="1">
        <v>42</v>
      </c>
      <c r="C3160" s="1" t="str" cm="1">
        <f t="array" ref="C3160">_xlfn.IFS(OR(B3160=" ", B3160="NA",NOT(ISNUMBER(B3160))), "Unknown",B3160&lt;18,"Underage",B3160&lt;=24,"Young Adult",B3160&lt;=34,"Early Career",B3160&lt;=44,"Mid Career",B3160&lt;=54,"Mature",B3160&lt;=65,"Pre-Senior",B3160&gt;65,"Senior")</f>
        <v>Mid Career</v>
      </c>
      <c r="F3160" s="1">
        <v>1625000</v>
      </c>
      <c r="G3160" s="1">
        <v>85</v>
      </c>
      <c r="H3160" s="1" t="str" cm="1">
        <f t="array" ref="H3160">_xlfn.IFS( OR(G3160=" ",NOT(ISNUMBER(G3160))),"Unknown",G3160&lt;=33,"Low Spender",G3160&lt;=66,"Medium Spender",TRUE, "High Spender")</f>
        <v>High Spender</v>
      </c>
      <c r="I3160" s="1">
        <v>49</v>
      </c>
      <c r="J3160" s="1">
        <v>5100</v>
      </c>
      <c r="K3160" s="1">
        <v>334</v>
      </c>
      <c r="L3160" s="1" t="s">
        <v>20</v>
      </c>
      <c r="M3160" s="1" t="s">
        <v>30</v>
      </c>
      <c r="N3160" s="1" t="str">
        <f t="shared" si="98"/>
        <v>Lower</v>
      </c>
      <c r="O3160" s="1" t="str">
        <f t="shared" si="99"/>
        <v>Mid Career | High Spender | Lower</v>
      </c>
    </row>
    <row r="3161" spans="1:15" x14ac:dyDescent="0.25">
      <c r="A3161" s="1" t="s">
        <v>3191</v>
      </c>
      <c r="B3161" s="1">
        <v>57</v>
      </c>
      <c r="C3161" s="1" t="str" cm="1">
        <f t="array" ref="C3161">_xlfn.IFS(OR(B3161=" ", B3161="NA",NOT(ISNUMBER(B3161))), "Unknown",B3161&lt;18,"Underage",B3161&lt;=24,"Young Adult",B3161&lt;=34,"Early Career",B3161&lt;=44,"Mid Career",B3161&lt;=54,"Mature",B3161&lt;=65,"Pre-Senior",B3161&gt;65,"Senior")</f>
        <v>Pre-Senior</v>
      </c>
      <c r="D3161" s="1" t="s">
        <v>18</v>
      </c>
      <c r="E3161" s="1" t="s">
        <v>19</v>
      </c>
      <c r="F3161" s="1">
        <v>1200000</v>
      </c>
      <c r="G3161" s="1">
        <v>44</v>
      </c>
      <c r="H3161" s="1" t="str" cm="1">
        <f t="array" ref="H3161">_xlfn.IFS( OR(G3161=" ",NOT(ISNUMBER(G3161))),"Unknown",G3161&lt;=33,"Low Spender",G3161&lt;=66,"Medium Spender",TRUE, "High Spender")</f>
        <v>Medium Spender</v>
      </c>
      <c r="I3161" s="1">
        <v>30</v>
      </c>
      <c r="J3161" s="1">
        <v>2400</v>
      </c>
      <c r="K3161" s="1">
        <v>77</v>
      </c>
      <c r="L3161" s="1" t="s">
        <v>20</v>
      </c>
      <c r="M3161" s="1" t="s">
        <v>41</v>
      </c>
      <c r="N3161" s="1" t="str">
        <f t="shared" si="98"/>
        <v>Higher</v>
      </c>
      <c r="O3161" s="1" t="str">
        <f t="shared" si="99"/>
        <v>Pre-Senior | Medium Spender | Higher</v>
      </c>
    </row>
    <row r="3162" spans="1:15" x14ac:dyDescent="0.25">
      <c r="A3162" s="1" t="s">
        <v>3192</v>
      </c>
      <c r="B3162" s="1">
        <v>31</v>
      </c>
      <c r="C3162" s="1" t="str" cm="1">
        <f t="array" ref="C3162">_xlfn.IFS(OR(B3162=" ", B3162="NA",NOT(ISNUMBER(B3162))), "Unknown",B3162&lt;18,"Underage",B3162&lt;=24,"Young Adult",B3162&lt;=34,"Early Career",B3162&lt;=44,"Mid Career",B3162&lt;=54,"Mature",B3162&lt;=65,"Pre-Senior",B3162&gt;65,"Senior")</f>
        <v>Early Career</v>
      </c>
      <c r="D3162" s="1" t="s">
        <v>29</v>
      </c>
      <c r="E3162" s="1" t="s">
        <v>19</v>
      </c>
      <c r="F3162" s="1">
        <v>1550000</v>
      </c>
      <c r="G3162" s="1">
        <v>35</v>
      </c>
      <c r="H3162" s="1" t="str" cm="1">
        <f t="array" ref="H3162">_xlfn.IFS( OR(G3162=" ",NOT(ISNUMBER(G3162))),"Unknown",G3162&lt;=33,"Low Spender",G3162&lt;=66,"Medium Spender",TRUE, "High Spender")</f>
        <v>Medium Spender</v>
      </c>
      <c r="I3162" s="1">
        <v>41</v>
      </c>
      <c r="J3162" s="1">
        <v>9800</v>
      </c>
      <c r="K3162" s="1">
        <v>27</v>
      </c>
      <c r="L3162" s="1" t="s">
        <v>37</v>
      </c>
      <c r="M3162" s="1" t="s">
        <v>21</v>
      </c>
      <c r="N3162" s="1" t="str">
        <f t="shared" si="98"/>
        <v>Higher</v>
      </c>
      <c r="O3162" s="1" t="str">
        <f t="shared" si="99"/>
        <v>Early Career | Medium Spender | Higher</v>
      </c>
    </row>
    <row r="3163" spans="1:15" x14ac:dyDescent="0.25">
      <c r="A3163" s="1" t="s">
        <v>3193</v>
      </c>
      <c r="B3163" s="1">
        <v>42</v>
      </c>
      <c r="C3163" s="1" t="str" cm="1">
        <f t="array" ref="C3163">_xlfn.IFS(OR(B3163=" ", B3163="NA",NOT(ISNUMBER(B3163))), "Unknown",B3163&lt;18,"Underage",B3163&lt;=24,"Young Adult",B3163&lt;=34,"Early Career",B3163&lt;=44,"Mid Career",B3163&lt;=54,"Mature",B3163&lt;=65,"Pre-Senior",B3163&gt;65,"Senior")</f>
        <v>Mid Career</v>
      </c>
      <c r="D3163" s="1" t="s">
        <v>29</v>
      </c>
      <c r="E3163" s="1" t="s">
        <v>49</v>
      </c>
      <c r="F3163" s="1">
        <v>1550000</v>
      </c>
      <c r="G3163" s="1">
        <v>71</v>
      </c>
      <c r="H3163" s="1" t="str" cm="1">
        <f t="array" ref="H3163">_xlfn.IFS( OR(G3163=" ",NOT(ISNUMBER(G3163))),"Unknown",G3163&lt;=33,"Low Spender",G3163&lt;=66,"Medium Spender",TRUE, "High Spender")</f>
        <v>High Spender</v>
      </c>
      <c r="I3163" s="1">
        <v>3</v>
      </c>
      <c r="J3163" s="1">
        <v>3100</v>
      </c>
      <c r="K3163" s="1">
        <v>344</v>
      </c>
      <c r="N3163" s="1" t="str">
        <f t="shared" si="98"/>
        <v>Higher</v>
      </c>
      <c r="O3163" s="1" t="str">
        <f t="shared" si="99"/>
        <v>Mid Career | High Spender | Higher</v>
      </c>
    </row>
    <row r="3164" spans="1:15" x14ac:dyDescent="0.25">
      <c r="A3164" s="1" t="s">
        <v>3194</v>
      </c>
      <c r="B3164" s="1">
        <v>67</v>
      </c>
      <c r="C3164" s="1" t="str" cm="1">
        <f t="array" ref="C3164">_xlfn.IFS(OR(B3164=" ", B3164="NA",NOT(ISNUMBER(B3164))), "Unknown",B3164&lt;18,"Underage",B3164&lt;=24,"Young Adult",B3164&lt;=34,"Early Career",B3164&lt;=44,"Mid Career",B3164&lt;=54,"Mature",B3164&lt;=65,"Pre-Senior",B3164&gt;65,"Senior")</f>
        <v>Senior</v>
      </c>
      <c r="D3164" s="1" t="s">
        <v>29</v>
      </c>
      <c r="E3164" s="1" t="s">
        <v>58</v>
      </c>
      <c r="G3164" s="1">
        <v>22</v>
      </c>
      <c r="H3164" s="1" t="str" cm="1">
        <f t="array" ref="H3164">_xlfn.IFS( OR(G3164=" ",NOT(ISNUMBER(G3164))),"Unknown",G3164&lt;=33,"Low Spender",G3164&lt;=66,"Medium Spender",TRUE, "High Spender")</f>
        <v>Low Spender</v>
      </c>
      <c r="I3164" s="1">
        <v>40</v>
      </c>
      <c r="J3164" s="1">
        <v>3700</v>
      </c>
      <c r="K3164" s="1">
        <v>155</v>
      </c>
      <c r="L3164" s="1" t="s">
        <v>35</v>
      </c>
      <c r="M3164" s="1" t="s">
        <v>21</v>
      </c>
      <c r="N3164" s="1" t="str">
        <f t="shared" si="98"/>
        <v>Higher</v>
      </c>
      <c r="O3164" s="1" t="str">
        <f t="shared" si="99"/>
        <v>Senior | Low Spender | Higher</v>
      </c>
    </row>
    <row r="3165" spans="1:15" x14ac:dyDescent="0.25">
      <c r="A3165" s="1" t="s">
        <v>3195</v>
      </c>
      <c r="B3165" s="1">
        <v>39</v>
      </c>
      <c r="C3165" s="1" t="str" cm="1">
        <f t="array" ref="C3165">_xlfn.IFS(OR(B3165=" ", B3165="NA",NOT(ISNUMBER(B3165))), "Unknown",B3165&lt;18,"Underage",B3165&lt;=24,"Young Adult",B3165&lt;=34,"Early Career",B3165&lt;=44,"Mid Career",B3165&lt;=54,"Mature",B3165&lt;=65,"Pre-Senior",B3165&gt;65,"Senior")</f>
        <v>Mid Career</v>
      </c>
      <c r="D3165" s="1" t="s">
        <v>29</v>
      </c>
      <c r="E3165" s="1" t="s">
        <v>34</v>
      </c>
      <c r="F3165" s="1">
        <v>1475000</v>
      </c>
      <c r="G3165" s="1">
        <v>74</v>
      </c>
      <c r="H3165" s="1" t="str" cm="1">
        <f t="array" ref="H3165">_xlfn.IFS( OR(G3165=" ",NOT(ISNUMBER(G3165))),"Unknown",G3165&lt;=33,"Low Spender",G3165&lt;=66,"Medium Spender",TRUE, "High Spender")</f>
        <v>High Spender</v>
      </c>
      <c r="I3165" s="1">
        <v>51</v>
      </c>
      <c r="J3165" s="1">
        <v>8300</v>
      </c>
      <c r="K3165" s="1">
        <v>72</v>
      </c>
      <c r="M3165" s="1" t="s">
        <v>21</v>
      </c>
      <c r="N3165" s="1" t="str">
        <f t="shared" si="98"/>
        <v>Higher</v>
      </c>
      <c r="O3165" s="1" t="str">
        <f t="shared" si="99"/>
        <v>Mid Career | High Spender | Higher</v>
      </c>
    </row>
    <row r="3166" spans="1:15" x14ac:dyDescent="0.25">
      <c r="A3166" s="1" t="s">
        <v>3196</v>
      </c>
      <c r="B3166" s="1">
        <v>69</v>
      </c>
      <c r="C3166" s="1" t="str" cm="1">
        <f t="array" ref="C3166">_xlfn.IFS(OR(B3166=" ", B3166="NA",NOT(ISNUMBER(B3166))), "Unknown",B3166&lt;18,"Underage",B3166&lt;=24,"Young Adult",B3166&lt;=34,"Early Career",B3166&lt;=44,"Mid Career",B3166&lt;=54,"Mature",B3166&lt;=65,"Pre-Senior",B3166&gt;65,"Senior")</f>
        <v>Senior</v>
      </c>
      <c r="D3166" s="1" t="s">
        <v>18</v>
      </c>
      <c r="F3166" s="1">
        <v>1250000</v>
      </c>
      <c r="G3166" s="1">
        <v>87</v>
      </c>
      <c r="H3166" s="1" t="str" cm="1">
        <f t="array" ref="H3166">_xlfn.IFS( OR(G3166=" ",NOT(ISNUMBER(G3166))),"Unknown",G3166&lt;=33,"Low Spender",G3166&lt;=66,"Medium Spender",TRUE, "High Spender")</f>
        <v>High Spender</v>
      </c>
      <c r="I3166" s="1">
        <v>32</v>
      </c>
      <c r="J3166" s="1">
        <v>7800</v>
      </c>
      <c r="K3166" s="1">
        <v>180</v>
      </c>
      <c r="L3166" s="1" t="s">
        <v>35</v>
      </c>
      <c r="N3166" s="1" t="str">
        <f t="shared" si="98"/>
        <v>Higher</v>
      </c>
      <c r="O3166" s="1" t="str">
        <f t="shared" si="99"/>
        <v>Senior | High Spender | Higher</v>
      </c>
    </row>
    <row r="3167" spans="1:15" x14ac:dyDescent="0.25">
      <c r="A3167" s="1" t="s">
        <v>3197</v>
      </c>
      <c r="B3167" s="1">
        <v>47</v>
      </c>
      <c r="C3167" s="1" t="str" cm="1">
        <f t="array" ref="C3167">_xlfn.IFS(OR(B3167=" ", B3167="NA",NOT(ISNUMBER(B3167))), "Unknown",B3167&lt;18,"Underage",B3167&lt;=24,"Young Adult",B3167&lt;=34,"Early Career",B3167&lt;=44,"Mid Career",B3167&lt;=54,"Mature",B3167&lt;=65,"Pre-Senior",B3167&gt;65,"Senior")</f>
        <v>Mature</v>
      </c>
      <c r="D3167" s="1" t="s">
        <v>18</v>
      </c>
      <c r="E3167" s="1" t="s">
        <v>19</v>
      </c>
      <c r="F3167" s="1">
        <v>1050000</v>
      </c>
      <c r="G3167" s="1">
        <v>15</v>
      </c>
      <c r="H3167" s="1" t="str" cm="1">
        <f t="array" ref="H3167">_xlfn.IFS( OR(G3167=" ",NOT(ISNUMBER(G3167))),"Unknown",G3167&lt;=33,"Low Spender",G3167&lt;=66,"Medium Spender",TRUE, "High Spender")</f>
        <v>Low Spender</v>
      </c>
      <c r="I3167" s="1">
        <v>48</v>
      </c>
      <c r="J3167" s="1">
        <v>2600</v>
      </c>
      <c r="K3167" s="1">
        <v>47</v>
      </c>
      <c r="L3167" s="1" t="s">
        <v>37</v>
      </c>
      <c r="M3167" s="1" t="s">
        <v>30</v>
      </c>
      <c r="N3167" s="1" t="str">
        <f t="shared" si="98"/>
        <v>Higher</v>
      </c>
      <c r="O3167" s="1" t="str">
        <f t="shared" si="99"/>
        <v>Mature | Low Spender | Higher</v>
      </c>
    </row>
    <row r="3168" spans="1:15" x14ac:dyDescent="0.25">
      <c r="A3168" s="1" t="s">
        <v>3198</v>
      </c>
      <c r="B3168" s="1">
        <v>37</v>
      </c>
      <c r="C3168" s="1" t="str" cm="1">
        <f t="array" ref="C3168">_xlfn.IFS(OR(B3168=" ", B3168="NA",NOT(ISNUMBER(B3168))), "Unknown",B3168&lt;18,"Underage",B3168&lt;=24,"Young Adult",B3168&lt;=34,"Early Career",B3168&lt;=44,"Mid Career",B3168&lt;=54,"Mature",B3168&lt;=65,"Pre-Senior",B3168&gt;65,"Senior")</f>
        <v>Mid Career</v>
      </c>
      <c r="D3168" s="1" t="s">
        <v>29</v>
      </c>
      <c r="E3168" s="1" t="s">
        <v>19</v>
      </c>
      <c r="F3168" s="1">
        <v>1325000</v>
      </c>
      <c r="G3168" s="1">
        <v>94</v>
      </c>
      <c r="H3168" s="1" t="str" cm="1">
        <f t="array" ref="H3168">_xlfn.IFS( OR(G3168=" ",NOT(ISNUMBER(G3168))),"Unknown",G3168&lt;=33,"Low Spender",G3168&lt;=66,"Medium Spender",TRUE, "High Spender")</f>
        <v>High Spender</v>
      </c>
      <c r="I3168" s="1">
        <v>71</v>
      </c>
      <c r="J3168" s="1">
        <v>9600</v>
      </c>
      <c r="K3168" s="1">
        <v>242</v>
      </c>
      <c r="L3168" s="1" t="s">
        <v>20</v>
      </c>
      <c r="N3168" s="1" t="str">
        <f t="shared" si="98"/>
        <v>Higher</v>
      </c>
      <c r="O3168" s="1" t="str">
        <f t="shared" si="99"/>
        <v>Mid Career | High Spender | Higher</v>
      </c>
    </row>
    <row r="3169" spans="1:15" x14ac:dyDescent="0.25">
      <c r="A3169" s="1" t="s">
        <v>3199</v>
      </c>
      <c r="B3169" s="1">
        <v>38</v>
      </c>
      <c r="C3169" s="1" t="str" cm="1">
        <f t="array" ref="C3169">_xlfn.IFS(OR(B3169=" ", B3169="NA",NOT(ISNUMBER(B3169))), "Unknown",B3169&lt;18,"Underage",B3169&lt;=24,"Young Adult",B3169&lt;=34,"Early Career",B3169&lt;=44,"Mid Career",B3169&lt;=54,"Mature",B3169&lt;=65,"Pre-Senior",B3169&gt;65,"Senior")</f>
        <v>Mid Career</v>
      </c>
      <c r="D3169" s="1" t="s">
        <v>18</v>
      </c>
      <c r="E3169" s="1" t="s">
        <v>13</v>
      </c>
      <c r="F3169" s="1">
        <v>1475000</v>
      </c>
      <c r="G3169" s="1">
        <v>98</v>
      </c>
      <c r="H3169" s="1" t="str" cm="1">
        <f t="array" ref="H3169">_xlfn.IFS( OR(G3169=" ",NOT(ISNUMBER(G3169))),"Unknown",G3169&lt;=33,"Low Spender",G3169&lt;=66,"Medium Spender",TRUE, "High Spender")</f>
        <v>High Spender</v>
      </c>
      <c r="I3169" s="1">
        <v>71</v>
      </c>
      <c r="J3169" s="1">
        <v>11000</v>
      </c>
      <c r="K3169" s="1">
        <v>359</v>
      </c>
      <c r="L3169" s="1" t="s">
        <v>35</v>
      </c>
      <c r="M3169" s="1" t="s">
        <v>41</v>
      </c>
      <c r="N3169" s="1" t="str">
        <f t="shared" si="98"/>
        <v>Higher</v>
      </c>
      <c r="O3169" s="1" t="str">
        <f t="shared" si="99"/>
        <v>Mid Career | High Spender | Higher</v>
      </c>
    </row>
    <row r="3170" spans="1:15" x14ac:dyDescent="0.25">
      <c r="A3170" s="1" t="s">
        <v>3200</v>
      </c>
      <c r="B3170" s="1">
        <v>61</v>
      </c>
      <c r="C3170" s="1" t="str" cm="1">
        <f t="array" ref="C3170">_xlfn.IFS(OR(B3170=" ", B3170="NA",NOT(ISNUMBER(B3170))), "Unknown",B3170&lt;18,"Underage",B3170&lt;=24,"Young Adult",B3170&lt;=34,"Early Career",B3170&lt;=44,"Mid Career",B3170&lt;=54,"Mature",B3170&lt;=65,"Pre-Senior",B3170&gt;65,"Senior")</f>
        <v>Pre-Senior</v>
      </c>
      <c r="D3170" s="1" t="s">
        <v>18</v>
      </c>
      <c r="E3170" s="1" t="s">
        <v>27</v>
      </c>
      <c r="F3170" s="1">
        <v>1325000</v>
      </c>
      <c r="G3170" s="1">
        <v>13</v>
      </c>
      <c r="H3170" s="1" t="str" cm="1">
        <f t="array" ref="H3170">_xlfn.IFS( OR(G3170=" ",NOT(ISNUMBER(G3170))),"Unknown",G3170&lt;=33,"Low Spender",G3170&lt;=66,"Medium Spender",TRUE, "High Spender")</f>
        <v>Low Spender</v>
      </c>
      <c r="I3170" s="1">
        <v>20</v>
      </c>
      <c r="J3170" s="1">
        <v>3200</v>
      </c>
      <c r="K3170" s="1">
        <v>277</v>
      </c>
      <c r="L3170" s="1" t="s">
        <v>20</v>
      </c>
      <c r="M3170" s="1" t="s">
        <v>32</v>
      </c>
      <c r="N3170" s="1" t="str">
        <f t="shared" si="98"/>
        <v>Higher</v>
      </c>
      <c r="O3170" s="1" t="str">
        <f t="shared" si="99"/>
        <v>Pre-Senior | Low Spender | Higher</v>
      </c>
    </row>
    <row r="3171" spans="1:15" x14ac:dyDescent="0.25">
      <c r="A3171" s="1" t="s">
        <v>3201</v>
      </c>
      <c r="B3171" s="1">
        <v>49</v>
      </c>
      <c r="C3171" s="1" t="str" cm="1">
        <f t="array" ref="C3171">_xlfn.IFS(OR(B3171=" ", B3171="NA",NOT(ISNUMBER(B3171))), "Unknown",B3171&lt;18,"Underage",B3171&lt;=24,"Young Adult",B3171&lt;=34,"Early Career",B3171&lt;=44,"Mid Career",B3171&lt;=54,"Mature",B3171&lt;=65,"Pre-Senior",B3171&gt;65,"Senior")</f>
        <v>Mature</v>
      </c>
      <c r="D3171" s="1" t="s">
        <v>12</v>
      </c>
      <c r="E3171" s="1" t="s">
        <v>19</v>
      </c>
      <c r="F3171" s="1">
        <v>275000</v>
      </c>
      <c r="G3171" s="1">
        <v>4</v>
      </c>
      <c r="H3171" s="1" t="str" cm="1">
        <f t="array" ref="H3171">_xlfn.IFS( OR(G3171=" ",NOT(ISNUMBER(G3171))),"Unknown",G3171&lt;=33,"Low Spender",G3171&lt;=66,"Medium Spender",TRUE, "High Spender")</f>
        <v>Low Spender</v>
      </c>
      <c r="I3171" s="1">
        <v>35</v>
      </c>
      <c r="J3171" s="1">
        <v>8600</v>
      </c>
      <c r="K3171" s="1">
        <v>313</v>
      </c>
      <c r="L3171" s="1" t="s">
        <v>16</v>
      </c>
      <c r="M3171" s="1" t="s">
        <v>30</v>
      </c>
      <c r="N3171" s="1" t="str">
        <f t="shared" si="98"/>
        <v>Lower</v>
      </c>
      <c r="O3171" s="1" t="str">
        <f t="shared" si="99"/>
        <v>Mature | Low Spender | Lower</v>
      </c>
    </row>
    <row r="3172" spans="1:15" x14ac:dyDescent="0.25">
      <c r="A3172" s="1" t="s">
        <v>3202</v>
      </c>
      <c r="B3172" s="1">
        <v>68</v>
      </c>
      <c r="C3172" s="1" t="str" cm="1">
        <f t="array" ref="C3172">_xlfn.IFS(OR(B3172=" ", B3172="NA",NOT(ISNUMBER(B3172))), "Unknown",B3172&lt;18,"Underage",B3172&lt;=24,"Young Adult",B3172&lt;=34,"Early Career",B3172&lt;=44,"Mid Career",B3172&lt;=54,"Mature",B3172&lt;=65,"Pre-Senior",B3172&gt;65,"Senior")</f>
        <v>Senior</v>
      </c>
      <c r="D3172" s="1" t="s">
        <v>12</v>
      </c>
      <c r="E3172" s="1" t="s">
        <v>27</v>
      </c>
      <c r="F3172" s="1">
        <v>975000</v>
      </c>
      <c r="G3172" s="1">
        <v>82</v>
      </c>
      <c r="H3172" s="1" t="str" cm="1">
        <f t="array" ref="H3172">_xlfn.IFS( OR(G3172=" ",NOT(ISNUMBER(G3172))),"Unknown",G3172&lt;=33,"Low Spender",G3172&lt;=66,"Medium Spender",TRUE, "High Spender")</f>
        <v>High Spender</v>
      </c>
      <c r="I3172" s="1">
        <v>24</v>
      </c>
      <c r="J3172" s="1">
        <v>4400</v>
      </c>
      <c r="K3172" s="1">
        <v>105</v>
      </c>
      <c r="L3172" s="1" t="s">
        <v>16</v>
      </c>
      <c r="M3172" s="1" t="s">
        <v>41</v>
      </c>
      <c r="N3172" s="1" t="str">
        <f t="shared" si="98"/>
        <v>Lower</v>
      </c>
      <c r="O3172" s="1" t="str">
        <f t="shared" si="99"/>
        <v>Senior | High Spender | Lower</v>
      </c>
    </row>
    <row r="3173" spans="1:15" x14ac:dyDescent="0.25">
      <c r="A3173" s="1" t="s">
        <v>3203</v>
      </c>
      <c r="B3173" s="1">
        <v>63</v>
      </c>
      <c r="C3173" s="1" t="str" cm="1">
        <f t="array" ref="C3173">_xlfn.IFS(OR(B3173=" ", B3173="NA",NOT(ISNUMBER(B3173))), "Unknown",B3173&lt;18,"Underage",B3173&lt;=24,"Young Adult",B3173&lt;=34,"Early Career",B3173&lt;=44,"Mid Career",B3173&lt;=54,"Mature",B3173&lt;=65,"Pre-Senior",B3173&gt;65,"Senior")</f>
        <v>Pre-Senior</v>
      </c>
      <c r="D3173" s="1" t="s">
        <v>29</v>
      </c>
      <c r="E3173" s="1" t="s">
        <v>49</v>
      </c>
      <c r="F3173" s="1">
        <v>1700000</v>
      </c>
      <c r="G3173" s="1">
        <v>56</v>
      </c>
      <c r="H3173" s="1" t="str" cm="1">
        <f t="array" ref="H3173">_xlfn.IFS( OR(G3173=" ",NOT(ISNUMBER(G3173))),"Unknown",G3173&lt;=33,"Low Spender",G3173&lt;=66,"Medium Spender",TRUE, "High Spender")</f>
        <v>Medium Spender</v>
      </c>
      <c r="I3173" s="1">
        <v>40</v>
      </c>
      <c r="J3173" s="1">
        <v>7300</v>
      </c>
      <c r="K3173" s="1">
        <v>95</v>
      </c>
      <c r="L3173" s="1" t="s">
        <v>37</v>
      </c>
      <c r="N3173" s="1" t="str">
        <f t="shared" si="98"/>
        <v>Higher</v>
      </c>
      <c r="O3173" s="1" t="str">
        <f t="shared" si="99"/>
        <v>Pre-Senior | Medium Spender | Higher</v>
      </c>
    </row>
    <row r="3174" spans="1:15" x14ac:dyDescent="0.25">
      <c r="A3174" s="1" t="s">
        <v>3204</v>
      </c>
      <c r="B3174" s="1">
        <v>66</v>
      </c>
      <c r="C3174" s="1" t="str" cm="1">
        <f t="array" ref="C3174">_xlfn.IFS(OR(B3174=" ", B3174="NA",NOT(ISNUMBER(B3174))), "Unknown",B3174&lt;18,"Underage",B3174&lt;=24,"Young Adult",B3174&lt;=34,"Early Career",B3174&lt;=44,"Mid Career",B3174&lt;=54,"Mature",B3174&lt;=65,"Pre-Senior",B3174&gt;65,"Senior")</f>
        <v>Senior</v>
      </c>
      <c r="E3174" s="1" t="s">
        <v>34</v>
      </c>
      <c r="F3174" s="1">
        <v>1325000</v>
      </c>
      <c r="G3174" s="1">
        <v>23</v>
      </c>
      <c r="H3174" s="1" t="str" cm="1">
        <f t="array" ref="H3174">_xlfn.IFS( OR(G3174=" ",NOT(ISNUMBER(G3174))),"Unknown",G3174&lt;=33,"Low Spender",G3174&lt;=66,"Medium Spender",TRUE, "High Spender")</f>
        <v>Low Spender</v>
      </c>
      <c r="I3174" s="1">
        <v>77</v>
      </c>
      <c r="J3174" s="1">
        <v>10800</v>
      </c>
      <c r="K3174" s="1">
        <v>219</v>
      </c>
      <c r="L3174" s="1" t="s">
        <v>37</v>
      </c>
      <c r="M3174" s="1" t="s">
        <v>30</v>
      </c>
      <c r="N3174" s="1" t="str">
        <f t="shared" si="98"/>
        <v>Lower</v>
      </c>
      <c r="O3174" s="1" t="str">
        <f t="shared" si="99"/>
        <v>Senior | Low Spender | Lower</v>
      </c>
    </row>
    <row r="3175" spans="1:15" x14ac:dyDescent="0.25">
      <c r="A3175" s="1" t="s">
        <v>3205</v>
      </c>
      <c r="B3175" s="1">
        <v>38</v>
      </c>
      <c r="C3175" s="1" t="str" cm="1">
        <f t="array" ref="C3175">_xlfn.IFS(OR(B3175=" ", B3175="NA",NOT(ISNUMBER(B3175))), "Unknown",B3175&lt;18,"Underage",B3175&lt;=24,"Young Adult",B3175&lt;=34,"Early Career",B3175&lt;=44,"Mid Career",B3175&lt;=54,"Mature",B3175&lt;=65,"Pre-Senior",B3175&gt;65,"Senior")</f>
        <v>Mid Career</v>
      </c>
      <c r="D3175" s="1" t="s">
        <v>29</v>
      </c>
      <c r="F3175" s="1">
        <v>700000</v>
      </c>
      <c r="G3175" s="1">
        <v>97</v>
      </c>
      <c r="H3175" s="1" t="str" cm="1">
        <f t="array" ref="H3175">_xlfn.IFS( OR(G3175=" ",NOT(ISNUMBER(G3175))),"Unknown",G3175&lt;=33,"Low Spender",G3175&lt;=66,"Medium Spender",TRUE, "High Spender")</f>
        <v>High Spender</v>
      </c>
      <c r="I3175" s="1">
        <v>52</v>
      </c>
      <c r="J3175" s="1">
        <v>5200</v>
      </c>
      <c r="K3175" s="1">
        <v>170</v>
      </c>
      <c r="N3175" s="1" t="str">
        <f t="shared" si="98"/>
        <v>Higher</v>
      </c>
      <c r="O3175" s="1" t="str">
        <f t="shared" si="99"/>
        <v>Mid Career | High Spender | Higher</v>
      </c>
    </row>
    <row r="3176" spans="1:15" x14ac:dyDescent="0.25">
      <c r="A3176" s="1" t="s">
        <v>3206</v>
      </c>
      <c r="B3176" s="1">
        <v>52</v>
      </c>
      <c r="C3176" s="1" t="str" cm="1">
        <f t="array" ref="C3176">_xlfn.IFS(OR(B3176=" ", B3176="NA",NOT(ISNUMBER(B3176))), "Unknown",B3176&lt;18,"Underage",B3176&lt;=24,"Young Adult",B3176&lt;=34,"Early Career",B3176&lt;=44,"Mid Career",B3176&lt;=54,"Mature",B3176&lt;=65,"Pre-Senior",B3176&gt;65,"Senior")</f>
        <v>Mature</v>
      </c>
      <c r="D3176" s="1" t="s">
        <v>18</v>
      </c>
      <c r="E3176" s="1" t="s">
        <v>19</v>
      </c>
      <c r="F3176" s="1">
        <v>450000</v>
      </c>
      <c r="G3176" s="1">
        <v>98</v>
      </c>
      <c r="H3176" s="1" t="str" cm="1">
        <f t="array" ref="H3176">_xlfn.IFS( OR(G3176=" ",NOT(ISNUMBER(G3176))),"Unknown",G3176&lt;=33,"Low Spender",G3176&lt;=66,"Medium Spender",TRUE, "High Spender")</f>
        <v>High Spender</v>
      </c>
      <c r="I3176" s="1">
        <v>39</v>
      </c>
      <c r="L3176" s="1" t="s">
        <v>37</v>
      </c>
      <c r="M3176" s="1" t="s">
        <v>21</v>
      </c>
      <c r="N3176" s="1" t="str">
        <f t="shared" si="98"/>
        <v>Higher</v>
      </c>
      <c r="O3176" s="1" t="str">
        <f t="shared" si="99"/>
        <v>Mature | High Spender | Higher</v>
      </c>
    </row>
    <row r="3177" spans="1:15" x14ac:dyDescent="0.25">
      <c r="A3177" s="1" t="s">
        <v>3207</v>
      </c>
      <c r="B3177" s="1">
        <v>49</v>
      </c>
      <c r="C3177" s="1" t="str" cm="1">
        <f t="array" ref="C3177">_xlfn.IFS(OR(B3177=" ", B3177="NA",NOT(ISNUMBER(B3177))), "Unknown",B3177&lt;18,"Underage",B3177&lt;=24,"Young Adult",B3177&lt;=34,"Early Career",B3177&lt;=44,"Mid Career",B3177&lt;=54,"Mature",B3177&lt;=65,"Pre-Senior",B3177&gt;65,"Senior")</f>
        <v>Mature</v>
      </c>
      <c r="D3177" s="1" t="s">
        <v>29</v>
      </c>
      <c r="E3177" s="1" t="s">
        <v>23</v>
      </c>
      <c r="F3177" s="1">
        <v>1300000</v>
      </c>
      <c r="G3177" s="1">
        <v>34</v>
      </c>
      <c r="H3177" s="1" t="str" cm="1">
        <f t="array" ref="H3177">_xlfn.IFS( OR(G3177=" ",NOT(ISNUMBER(G3177))),"Unknown",G3177&lt;=33,"Low Spender",G3177&lt;=66,"Medium Spender",TRUE, "High Spender")</f>
        <v>Medium Spender</v>
      </c>
      <c r="I3177" s="1">
        <v>68</v>
      </c>
      <c r="J3177" s="1">
        <v>10400</v>
      </c>
      <c r="K3177" s="1">
        <v>283</v>
      </c>
      <c r="L3177" s="1" t="s">
        <v>16</v>
      </c>
      <c r="N3177" s="1" t="str">
        <f t="shared" si="98"/>
        <v>Higher</v>
      </c>
      <c r="O3177" s="1" t="str">
        <f t="shared" si="99"/>
        <v>Mature | Medium Spender | Higher</v>
      </c>
    </row>
    <row r="3178" spans="1:15" x14ac:dyDescent="0.25">
      <c r="A3178" s="1" t="s">
        <v>3208</v>
      </c>
      <c r="B3178" s="1">
        <v>47</v>
      </c>
      <c r="C3178" s="1" t="str" cm="1">
        <f t="array" ref="C3178">_xlfn.IFS(OR(B3178=" ", B3178="NA",NOT(ISNUMBER(B3178))), "Unknown",B3178&lt;18,"Underage",B3178&lt;=24,"Young Adult",B3178&lt;=34,"Early Career",B3178&lt;=44,"Mid Career",B3178&lt;=54,"Mature",B3178&lt;=65,"Pre-Senior",B3178&gt;65,"Senior")</f>
        <v>Mature</v>
      </c>
      <c r="D3178" s="1" t="s">
        <v>29</v>
      </c>
      <c r="E3178" s="1" t="s">
        <v>27</v>
      </c>
      <c r="F3178" s="1">
        <v>1225000</v>
      </c>
      <c r="G3178" s="1">
        <v>100</v>
      </c>
      <c r="H3178" s="1" t="str" cm="1">
        <f t="array" ref="H3178">_xlfn.IFS( OR(G3178=" ",NOT(ISNUMBER(G3178))),"Unknown",G3178&lt;=33,"Low Spender",G3178&lt;=66,"Medium Spender",TRUE, "High Spender")</f>
        <v>High Spender</v>
      </c>
      <c r="I3178" s="1">
        <v>61</v>
      </c>
      <c r="J3178" s="1">
        <v>7300</v>
      </c>
      <c r="K3178" s="1">
        <v>128</v>
      </c>
      <c r="L3178" s="1" t="s">
        <v>35</v>
      </c>
      <c r="N3178" s="1" t="str">
        <f t="shared" si="98"/>
        <v>Higher</v>
      </c>
      <c r="O3178" s="1" t="str">
        <f t="shared" si="99"/>
        <v>Mature | High Spender | Higher</v>
      </c>
    </row>
    <row r="3179" spans="1:15" x14ac:dyDescent="0.25">
      <c r="A3179" s="1" t="s">
        <v>3209</v>
      </c>
      <c r="B3179" s="1" t="s">
        <v>73</v>
      </c>
      <c r="C3179" s="1" t="str" cm="1">
        <f t="array" ref="C3179">_xlfn.IFS(OR(B3179=" ", B3179="NA",NOT(ISNUMBER(B3179))), "Unknown",B3179&lt;18,"Underage",B3179&lt;=24,"Young Adult",B3179&lt;=34,"Early Career",B3179&lt;=44,"Mid Career",B3179&lt;=54,"Mature",B3179&lt;=65,"Pre-Senior",B3179&gt;65,"Senior")</f>
        <v>Unknown</v>
      </c>
      <c r="D3179" s="1" t="s">
        <v>18</v>
      </c>
      <c r="E3179" s="1" t="s">
        <v>13</v>
      </c>
      <c r="F3179" s="1">
        <v>925000</v>
      </c>
      <c r="G3179" s="1">
        <v>99</v>
      </c>
      <c r="H3179" s="1" t="str" cm="1">
        <f t="array" ref="H3179">_xlfn.IFS( OR(G3179=" ",NOT(ISNUMBER(G3179))),"Unknown",G3179&lt;=33,"Low Spender",G3179&lt;=66,"Medium Spender",TRUE, "High Spender")</f>
        <v>High Spender</v>
      </c>
      <c r="I3179" s="1">
        <v>76</v>
      </c>
      <c r="J3179" s="1">
        <v>6200</v>
      </c>
      <c r="K3179" s="1">
        <v>200</v>
      </c>
      <c r="M3179" s="1" t="s">
        <v>32</v>
      </c>
      <c r="N3179" s="1" t="str">
        <f t="shared" si="98"/>
        <v>Higher</v>
      </c>
      <c r="O3179" s="1" t="str">
        <f t="shared" si="99"/>
        <v>Unknown | High Spender | Higher</v>
      </c>
    </row>
    <row r="3180" spans="1:15" x14ac:dyDescent="0.25">
      <c r="A3180" s="1" t="s">
        <v>3210</v>
      </c>
      <c r="B3180" s="1">
        <v>56</v>
      </c>
      <c r="C3180" s="1" t="str" cm="1">
        <f t="array" ref="C3180">_xlfn.IFS(OR(B3180=" ", B3180="NA",NOT(ISNUMBER(B3180))), "Unknown",B3180&lt;18,"Underage",B3180&lt;=24,"Young Adult",B3180&lt;=34,"Early Career",B3180&lt;=44,"Mid Career",B3180&lt;=54,"Mature",B3180&lt;=65,"Pre-Senior",B3180&gt;65,"Senior")</f>
        <v>Pre-Senior</v>
      </c>
      <c r="D3180" s="1" t="s">
        <v>12</v>
      </c>
      <c r="F3180" s="1">
        <v>775000</v>
      </c>
      <c r="G3180" s="1">
        <v>17</v>
      </c>
      <c r="H3180" s="1" t="str" cm="1">
        <f t="array" ref="H3180">_xlfn.IFS( OR(G3180=" ",NOT(ISNUMBER(G3180))),"Unknown",G3180&lt;=33,"Low Spender",G3180&lt;=66,"Medium Spender",TRUE, "High Spender")</f>
        <v>Low Spender</v>
      </c>
      <c r="J3180" s="1">
        <v>11500</v>
      </c>
      <c r="K3180" s="1">
        <v>332</v>
      </c>
      <c r="L3180" s="1" t="s">
        <v>37</v>
      </c>
      <c r="N3180" s="1" t="str">
        <f t="shared" si="98"/>
        <v>Lower</v>
      </c>
      <c r="O3180" s="1" t="str">
        <f t="shared" si="99"/>
        <v>Pre-Senior | Low Spender | Lower</v>
      </c>
    </row>
    <row r="3181" spans="1:15" x14ac:dyDescent="0.25">
      <c r="A3181" s="1" t="s">
        <v>3211</v>
      </c>
      <c r="B3181" s="1">
        <v>66</v>
      </c>
      <c r="C3181" s="1" t="str" cm="1">
        <f t="array" ref="C3181">_xlfn.IFS(OR(B3181=" ", B3181="NA",NOT(ISNUMBER(B3181))), "Unknown",B3181&lt;18,"Underage",B3181&lt;=24,"Young Adult",B3181&lt;=34,"Early Career",B3181&lt;=44,"Mid Career",B3181&lt;=54,"Mature",B3181&lt;=65,"Pre-Senior",B3181&gt;65,"Senior")</f>
        <v>Senior</v>
      </c>
      <c r="E3181" s="1" t="s">
        <v>13</v>
      </c>
      <c r="F3181" s="1">
        <v>1450000</v>
      </c>
      <c r="G3181" s="1">
        <v>28</v>
      </c>
      <c r="H3181" s="1" t="str" cm="1">
        <f t="array" ref="H3181">_xlfn.IFS( OR(G3181=" ",NOT(ISNUMBER(G3181))),"Unknown",G3181&lt;=33,"Low Spender",G3181&lt;=66,"Medium Spender",TRUE, "High Spender")</f>
        <v>Low Spender</v>
      </c>
      <c r="I3181" s="1">
        <v>65</v>
      </c>
      <c r="J3181" s="1">
        <v>3200</v>
      </c>
      <c r="K3181" s="1">
        <v>35</v>
      </c>
      <c r="N3181" s="1" t="str">
        <f t="shared" si="98"/>
        <v>Lower</v>
      </c>
      <c r="O3181" s="1" t="str">
        <f t="shared" si="99"/>
        <v>Senior | Low Spender | Lower</v>
      </c>
    </row>
    <row r="3182" spans="1:15" x14ac:dyDescent="0.25">
      <c r="A3182" s="1" t="s">
        <v>3212</v>
      </c>
      <c r="B3182" s="1">
        <v>29</v>
      </c>
      <c r="C3182" s="1" t="str" cm="1">
        <f t="array" ref="C3182">_xlfn.IFS(OR(B3182=" ", B3182="NA",NOT(ISNUMBER(B3182))), "Unknown",B3182&lt;18,"Underage",B3182&lt;=24,"Young Adult",B3182&lt;=34,"Early Career",B3182&lt;=44,"Mid Career",B3182&lt;=54,"Mature",B3182&lt;=65,"Pre-Senior",B3182&gt;65,"Senior")</f>
        <v>Early Career</v>
      </c>
      <c r="D3182" s="1" t="s">
        <v>18</v>
      </c>
      <c r="E3182" s="1" t="s">
        <v>19</v>
      </c>
      <c r="F3182" s="1">
        <v>475000</v>
      </c>
      <c r="G3182" s="1">
        <v>14</v>
      </c>
      <c r="H3182" s="1" t="str" cm="1">
        <f t="array" ref="H3182">_xlfn.IFS( OR(G3182=" ",NOT(ISNUMBER(G3182))),"Unknown",G3182&lt;=33,"Low Spender",G3182&lt;=66,"Medium Spender",TRUE, "High Spender")</f>
        <v>Low Spender</v>
      </c>
      <c r="I3182" s="1">
        <v>62</v>
      </c>
      <c r="J3182" s="1">
        <v>1400</v>
      </c>
      <c r="K3182" s="1">
        <v>354</v>
      </c>
      <c r="M3182" s="1" t="s">
        <v>21</v>
      </c>
      <c r="N3182" s="1" t="str">
        <f t="shared" si="98"/>
        <v>Higher</v>
      </c>
      <c r="O3182" s="1" t="str">
        <f t="shared" si="99"/>
        <v>Early Career | Low Spender | Higher</v>
      </c>
    </row>
    <row r="3183" spans="1:15" x14ac:dyDescent="0.25">
      <c r="A3183" s="1" t="s">
        <v>3213</v>
      </c>
      <c r="B3183" s="1">
        <v>58</v>
      </c>
      <c r="C3183" s="1" t="str" cm="1">
        <f t="array" ref="C3183">_xlfn.IFS(OR(B3183=" ", B3183="NA",NOT(ISNUMBER(B3183))), "Unknown",B3183&lt;18,"Underage",B3183&lt;=24,"Young Adult",B3183&lt;=34,"Early Career",B3183&lt;=44,"Mid Career",B3183&lt;=54,"Mature",B3183&lt;=65,"Pre-Senior",B3183&gt;65,"Senior")</f>
        <v>Pre-Senior</v>
      </c>
      <c r="E3183" s="1" t="s">
        <v>58</v>
      </c>
      <c r="F3183" s="1">
        <v>1425000</v>
      </c>
      <c r="G3183" s="1">
        <v>34</v>
      </c>
      <c r="H3183" s="1" t="str" cm="1">
        <f t="array" ref="H3183">_xlfn.IFS( OR(G3183=" ",NOT(ISNUMBER(G3183))),"Unknown",G3183&lt;=33,"Low Spender",G3183&lt;=66,"Medium Spender",TRUE, "High Spender")</f>
        <v>Medium Spender</v>
      </c>
      <c r="J3183" s="1">
        <v>5100</v>
      </c>
      <c r="K3183" s="1">
        <v>144</v>
      </c>
      <c r="L3183" s="1" t="s">
        <v>16</v>
      </c>
      <c r="M3183" s="1" t="s">
        <v>30</v>
      </c>
      <c r="N3183" s="1" t="str">
        <f t="shared" si="98"/>
        <v>Lower</v>
      </c>
      <c r="O3183" s="1" t="str">
        <f t="shared" si="99"/>
        <v>Pre-Senior | Medium Spender | Lower</v>
      </c>
    </row>
    <row r="3184" spans="1:15" x14ac:dyDescent="0.25">
      <c r="A3184" s="1" t="s">
        <v>3214</v>
      </c>
      <c r="B3184" s="1">
        <v>64</v>
      </c>
      <c r="C3184" s="1" t="str" cm="1">
        <f t="array" ref="C3184">_xlfn.IFS(OR(B3184=" ", B3184="NA",NOT(ISNUMBER(B3184))), "Unknown",B3184&lt;18,"Underage",B3184&lt;=24,"Young Adult",B3184&lt;=34,"Early Career",B3184&lt;=44,"Mid Career",B3184&lt;=54,"Mature",B3184&lt;=65,"Pre-Senior",B3184&gt;65,"Senior")</f>
        <v>Pre-Senior</v>
      </c>
      <c r="D3184" s="1" t="s">
        <v>12</v>
      </c>
      <c r="F3184" s="1">
        <v>1025000</v>
      </c>
      <c r="G3184" s="1">
        <v>75</v>
      </c>
      <c r="H3184" s="1" t="str" cm="1">
        <f t="array" ref="H3184">_xlfn.IFS( OR(G3184=" ",NOT(ISNUMBER(G3184))),"Unknown",G3184&lt;=33,"Low Spender",G3184&lt;=66,"Medium Spender",TRUE, "High Spender")</f>
        <v>High Spender</v>
      </c>
      <c r="I3184" s="1">
        <v>2</v>
      </c>
      <c r="J3184" s="1">
        <v>9700</v>
      </c>
      <c r="K3184" s="1">
        <v>292</v>
      </c>
      <c r="M3184" s="1" t="s">
        <v>41</v>
      </c>
      <c r="N3184" s="1" t="str">
        <f t="shared" si="98"/>
        <v>Lower</v>
      </c>
      <c r="O3184" s="1" t="str">
        <f t="shared" si="99"/>
        <v>Pre-Senior | High Spender | Lower</v>
      </c>
    </row>
    <row r="3185" spans="1:15" x14ac:dyDescent="0.25">
      <c r="A3185" s="1" t="s">
        <v>3215</v>
      </c>
      <c r="B3185" s="1">
        <v>35</v>
      </c>
      <c r="C3185" s="1" t="str" cm="1">
        <f t="array" ref="C3185">_xlfn.IFS(OR(B3185=" ", B3185="NA",NOT(ISNUMBER(B3185))), "Unknown",B3185&lt;18,"Underage",B3185&lt;=24,"Young Adult",B3185&lt;=34,"Early Career",B3185&lt;=44,"Mid Career",B3185&lt;=54,"Mature",B3185&lt;=65,"Pre-Senior",B3185&gt;65,"Senior")</f>
        <v>Mid Career</v>
      </c>
      <c r="E3185" s="1" t="s">
        <v>34</v>
      </c>
      <c r="F3185" s="1">
        <v>325000</v>
      </c>
      <c r="G3185" s="1">
        <v>57</v>
      </c>
      <c r="H3185" s="1" t="str" cm="1">
        <f t="array" ref="H3185">_xlfn.IFS( OR(G3185=" ",NOT(ISNUMBER(G3185))),"Unknown",G3185&lt;=33,"Low Spender",G3185&lt;=66,"Medium Spender",TRUE, "High Spender")</f>
        <v>Medium Spender</v>
      </c>
      <c r="I3185" s="1">
        <v>6</v>
      </c>
      <c r="J3185" s="1">
        <v>8400</v>
      </c>
      <c r="K3185" s="1">
        <v>66</v>
      </c>
      <c r="L3185" s="1" t="s">
        <v>35</v>
      </c>
      <c r="N3185" s="1" t="str">
        <f t="shared" si="98"/>
        <v>Lower</v>
      </c>
      <c r="O3185" s="1" t="str">
        <f t="shared" si="99"/>
        <v>Mid Career | Medium Spender | Lower</v>
      </c>
    </row>
    <row r="3186" spans="1:15" x14ac:dyDescent="0.25">
      <c r="A3186" s="1" t="s">
        <v>3216</v>
      </c>
      <c r="B3186" s="1">
        <v>38</v>
      </c>
      <c r="C3186" s="1" t="str" cm="1">
        <f t="array" ref="C3186">_xlfn.IFS(OR(B3186=" ", B3186="NA",NOT(ISNUMBER(B3186))), "Unknown",B3186&lt;18,"Underage",B3186&lt;=24,"Young Adult",B3186&lt;=34,"Early Career",B3186&lt;=44,"Mid Career",B3186&lt;=54,"Mature",B3186&lt;=65,"Pre-Senior",B3186&gt;65,"Senior")</f>
        <v>Mid Career</v>
      </c>
      <c r="E3186" s="1" t="s">
        <v>23</v>
      </c>
      <c r="F3186" s="1">
        <v>1125000</v>
      </c>
      <c r="G3186" s="1">
        <v>77</v>
      </c>
      <c r="H3186" s="1" t="str" cm="1">
        <f t="array" ref="H3186">_xlfn.IFS( OR(G3186=" ",NOT(ISNUMBER(G3186))),"Unknown",G3186&lt;=33,"Low Spender",G3186&lt;=66,"Medium Spender",TRUE, "High Spender")</f>
        <v>High Spender</v>
      </c>
      <c r="I3186" s="1">
        <v>75</v>
      </c>
      <c r="J3186" s="1">
        <v>4800</v>
      </c>
      <c r="K3186" s="1">
        <v>219</v>
      </c>
      <c r="L3186" s="1" t="s">
        <v>16</v>
      </c>
      <c r="N3186" s="1" t="str">
        <f t="shared" si="98"/>
        <v>Lower</v>
      </c>
      <c r="O3186" s="1" t="str">
        <f t="shared" si="99"/>
        <v>Mid Career | High Spender | Lower</v>
      </c>
    </row>
    <row r="3187" spans="1:15" x14ac:dyDescent="0.25">
      <c r="A3187" s="1" t="s">
        <v>3217</v>
      </c>
      <c r="B3187" s="1">
        <v>30</v>
      </c>
      <c r="C3187" s="1" t="str" cm="1">
        <f t="array" ref="C3187">_xlfn.IFS(OR(B3187=" ", B3187="NA",NOT(ISNUMBER(B3187))), "Unknown",B3187&lt;18,"Underage",B3187&lt;=24,"Young Adult",B3187&lt;=34,"Early Career",B3187&lt;=44,"Mid Career",B3187&lt;=54,"Mature",B3187&lt;=65,"Pre-Senior",B3187&gt;65,"Senior")</f>
        <v>Early Career</v>
      </c>
      <c r="E3187" s="1" t="s">
        <v>58</v>
      </c>
      <c r="F3187" s="1">
        <v>675000</v>
      </c>
      <c r="G3187" s="1">
        <v>97</v>
      </c>
      <c r="H3187" s="1" t="str" cm="1">
        <f t="array" ref="H3187">_xlfn.IFS( OR(G3187=" ",NOT(ISNUMBER(G3187))),"Unknown",G3187&lt;=33,"Low Spender",G3187&lt;=66,"Medium Spender",TRUE, "High Spender")</f>
        <v>High Spender</v>
      </c>
      <c r="I3187" s="1">
        <v>43</v>
      </c>
      <c r="J3187" s="1">
        <v>4500</v>
      </c>
      <c r="K3187" s="1">
        <v>56</v>
      </c>
      <c r="L3187" s="1" t="s">
        <v>37</v>
      </c>
      <c r="M3187" s="1" t="s">
        <v>32</v>
      </c>
      <c r="N3187" s="1" t="str">
        <f t="shared" si="98"/>
        <v>Lower</v>
      </c>
      <c r="O3187" s="1" t="str">
        <f t="shared" si="99"/>
        <v>Early Career | High Spender | Lower</v>
      </c>
    </row>
    <row r="3188" spans="1:15" x14ac:dyDescent="0.25">
      <c r="A3188" s="1" t="s">
        <v>3218</v>
      </c>
      <c r="B3188" s="1">
        <v>38</v>
      </c>
      <c r="C3188" s="1" t="str" cm="1">
        <f t="array" ref="C3188">_xlfn.IFS(OR(B3188=" ", B3188="NA",NOT(ISNUMBER(B3188))), "Unknown",B3188&lt;18,"Underage",B3188&lt;=24,"Young Adult",B3188&lt;=34,"Early Career",B3188&lt;=44,"Mid Career",B3188&lt;=54,"Mature",B3188&lt;=65,"Pre-Senior",B3188&gt;65,"Senior")</f>
        <v>Mid Career</v>
      </c>
      <c r="D3188" s="1" t="s">
        <v>18</v>
      </c>
      <c r="E3188" s="1" t="s">
        <v>13</v>
      </c>
      <c r="F3188" s="1">
        <v>525000</v>
      </c>
      <c r="G3188" s="1">
        <v>55</v>
      </c>
      <c r="H3188" s="1" t="str" cm="1">
        <f t="array" ref="H3188">_xlfn.IFS( OR(G3188=" ",NOT(ISNUMBER(G3188))),"Unknown",G3188&lt;=33,"Low Spender",G3188&lt;=66,"Medium Spender",TRUE, "High Spender")</f>
        <v>Medium Spender</v>
      </c>
      <c r="I3188" s="1">
        <v>40</v>
      </c>
      <c r="J3188" s="1">
        <v>400</v>
      </c>
      <c r="K3188" s="1">
        <v>145</v>
      </c>
      <c r="L3188" s="1" t="s">
        <v>16</v>
      </c>
      <c r="M3188" s="1" t="s">
        <v>30</v>
      </c>
      <c r="N3188" s="1" t="str">
        <f t="shared" si="98"/>
        <v>Higher</v>
      </c>
      <c r="O3188" s="1" t="str">
        <f t="shared" si="99"/>
        <v>Mid Career | Medium Spender | Higher</v>
      </c>
    </row>
    <row r="3189" spans="1:15" x14ac:dyDescent="0.25">
      <c r="A3189" s="1" t="s">
        <v>3219</v>
      </c>
      <c r="B3189" s="1">
        <v>25</v>
      </c>
      <c r="C3189" s="1" t="str" cm="1">
        <f t="array" ref="C3189">_xlfn.IFS(OR(B3189=" ", B3189="NA",NOT(ISNUMBER(B3189))), "Unknown",B3189&lt;18,"Underage",B3189&lt;=24,"Young Adult",B3189&lt;=34,"Early Career",B3189&lt;=44,"Mid Career",B3189&lt;=54,"Mature",B3189&lt;=65,"Pre-Senior",B3189&gt;65,"Senior")</f>
        <v>Early Career</v>
      </c>
      <c r="D3189" s="1" t="s">
        <v>29</v>
      </c>
      <c r="E3189" s="1" t="s">
        <v>27</v>
      </c>
      <c r="F3189" s="1">
        <v>1625000</v>
      </c>
      <c r="G3189" s="1">
        <v>66</v>
      </c>
      <c r="H3189" s="1" t="str" cm="1">
        <f t="array" ref="H3189">_xlfn.IFS( OR(G3189=" ",NOT(ISNUMBER(G3189))),"Unknown",G3189&lt;=33,"Low Spender",G3189&lt;=66,"Medium Spender",TRUE, "High Spender")</f>
        <v>Medium Spender</v>
      </c>
      <c r="I3189" s="1">
        <v>39</v>
      </c>
      <c r="J3189" s="1">
        <v>11900</v>
      </c>
      <c r="K3189" s="1">
        <v>213</v>
      </c>
      <c r="L3189" s="1" t="s">
        <v>16</v>
      </c>
      <c r="N3189" s="1" t="str">
        <f t="shared" si="98"/>
        <v>Higher</v>
      </c>
      <c r="O3189" s="1" t="str">
        <f t="shared" si="99"/>
        <v>Early Career | Medium Spender | Higher</v>
      </c>
    </row>
    <row r="3190" spans="1:15" x14ac:dyDescent="0.25">
      <c r="A3190" s="1" t="s">
        <v>3220</v>
      </c>
      <c r="B3190" s="1">
        <v>63</v>
      </c>
      <c r="C3190" s="1" t="str" cm="1">
        <f t="array" ref="C3190">_xlfn.IFS(OR(B3190=" ", B3190="NA",NOT(ISNUMBER(B3190))), "Unknown",B3190&lt;18,"Underage",B3190&lt;=24,"Young Adult",B3190&lt;=34,"Early Career",B3190&lt;=44,"Mid Career",B3190&lt;=54,"Mature",B3190&lt;=65,"Pre-Senior",B3190&gt;65,"Senior")</f>
        <v>Pre-Senior</v>
      </c>
      <c r="D3190" s="1" t="s">
        <v>18</v>
      </c>
      <c r="E3190" s="1" t="s">
        <v>27</v>
      </c>
      <c r="F3190" s="1">
        <v>1625000</v>
      </c>
      <c r="G3190" s="1">
        <v>98</v>
      </c>
      <c r="H3190" s="1" t="str" cm="1">
        <f t="array" ref="H3190">_xlfn.IFS( OR(G3190=" ",NOT(ISNUMBER(G3190))),"Unknown",G3190&lt;=33,"Low Spender",G3190&lt;=66,"Medium Spender",TRUE, "High Spender")</f>
        <v>High Spender</v>
      </c>
      <c r="I3190" s="1">
        <v>28</v>
      </c>
      <c r="J3190" s="1">
        <v>9900</v>
      </c>
      <c r="K3190" s="1">
        <v>94</v>
      </c>
      <c r="L3190" s="1" t="s">
        <v>16</v>
      </c>
      <c r="N3190" s="1" t="str">
        <f t="shared" si="98"/>
        <v>Higher</v>
      </c>
      <c r="O3190" s="1" t="str">
        <f t="shared" si="99"/>
        <v>Pre-Senior | High Spender | Higher</v>
      </c>
    </row>
    <row r="3191" spans="1:15" x14ac:dyDescent="0.25">
      <c r="A3191" s="1" t="s">
        <v>3221</v>
      </c>
      <c r="B3191" s="1">
        <v>57</v>
      </c>
      <c r="C3191" s="1" t="str" cm="1">
        <f t="array" ref="C3191">_xlfn.IFS(OR(B3191=" ", B3191="NA",NOT(ISNUMBER(B3191))), "Unknown",B3191&lt;18,"Underage",B3191&lt;=24,"Young Adult",B3191&lt;=34,"Early Career",B3191&lt;=44,"Mid Career",B3191&lt;=54,"Mature",B3191&lt;=65,"Pre-Senior",B3191&gt;65,"Senior")</f>
        <v>Pre-Senior</v>
      </c>
      <c r="E3191" s="1" t="s">
        <v>58</v>
      </c>
      <c r="F3191" s="1">
        <v>375000</v>
      </c>
      <c r="G3191" s="1">
        <v>93</v>
      </c>
      <c r="H3191" s="1" t="str" cm="1">
        <f t="array" ref="H3191">_xlfn.IFS( OR(G3191=" ",NOT(ISNUMBER(G3191))),"Unknown",G3191&lt;=33,"Low Spender",G3191&lt;=66,"Medium Spender",TRUE, "High Spender")</f>
        <v>High Spender</v>
      </c>
      <c r="J3191" s="1">
        <v>7700</v>
      </c>
      <c r="K3191" s="1">
        <v>106</v>
      </c>
      <c r="L3191" s="1" t="s">
        <v>37</v>
      </c>
      <c r="M3191" s="1" t="s">
        <v>41</v>
      </c>
      <c r="N3191" s="1" t="str">
        <f t="shared" si="98"/>
        <v>Lower</v>
      </c>
      <c r="O3191" s="1" t="str">
        <f t="shared" si="99"/>
        <v>Pre-Senior | High Spender | Lower</v>
      </c>
    </row>
    <row r="3192" spans="1:15" x14ac:dyDescent="0.25">
      <c r="A3192" s="1" t="s">
        <v>3222</v>
      </c>
      <c r="B3192" s="1">
        <v>63</v>
      </c>
      <c r="C3192" s="1" t="str" cm="1">
        <f t="array" ref="C3192">_xlfn.IFS(OR(B3192=" ", B3192="NA",NOT(ISNUMBER(B3192))), "Unknown",B3192&lt;18,"Underage",B3192&lt;=24,"Young Adult",B3192&lt;=34,"Early Career",B3192&lt;=44,"Mid Career",B3192&lt;=54,"Mature",B3192&lt;=65,"Pre-Senior",B3192&gt;65,"Senior")</f>
        <v>Pre-Senior</v>
      </c>
      <c r="D3192" s="1" t="s">
        <v>18</v>
      </c>
      <c r="E3192" s="1" t="s">
        <v>27</v>
      </c>
      <c r="F3192" s="1">
        <v>750000</v>
      </c>
      <c r="G3192" s="1">
        <v>37</v>
      </c>
      <c r="H3192" s="1" t="str" cm="1">
        <f t="array" ref="H3192">_xlfn.IFS( OR(G3192=" ",NOT(ISNUMBER(G3192))),"Unknown",G3192&lt;=33,"Low Spender",G3192&lt;=66,"Medium Spender",TRUE, "High Spender")</f>
        <v>Medium Spender</v>
      </c>
      <c r="I3192" s="1">
        <v>63</v>
      </c>
      <c r="J3192" s="1">
        <v>10000</v>
      </c>
      <c r="K3192" s="1">
        <v>84</v>
      </c>
      <c r="L3192" s="1" t="s">
        <v>37</v>
      </c>
      <c r="M3192" s="1" t="s">
        <v>21</v>
      </c>
      <c r="N3192" s="1" t="str">
        <f t="shared" si="98"/>
        <v>Higher</v>
      </c>
      <c r="O3192" s="1" t="str">
        <f t="shared" si="99"/>
        <v>Pre-Senior | Medium Spender | Higher</v>
      </c>
    </row>
    <row r="3193" spans="1:15" x14ac:dyDescent="0.25">
      <c r="A3193" s="1" t="s">
        <v>3223</v>
      </c>
      <c r="B3193" s="1">
        <v>24</v>
      </c>
      <c r="C3193" s="1" t="str" cm="1">
        <f t="array" ref="C3193">_xlfn.IFS(OR(B3193=" ", B3193="NA",NOT(ISNUMBER(B3193))), "Unknown",B3193&lt;18,"Underage",B3193&lt;=24,"Young Adult",B3193&lt;=34,"Early Career",B3193&lt;=44,"Mid Career",B3193&lt;=54,"Mature",B3193&lt;=65,"Pre-Senior",B3193&gt;65,"Senior")</f>
        <v>Young Adult</v>
      </c>
      <c r="D3193" s="1" t="s">
        <v>12</v>
      </c>
      <c r="E3193" s="1" t="s">
        <v>13</v>
      </c>
      <c r="F3193" s="1">
        <v>900000</v>
      </c>
      <c r="G3193" s="1">
        <v>68</v>
      </c>
      <c r="H3193" s="1" t="str" cm="1">
        <f t="array" ref="H3193">_xlfn.IFS( OR(G3193=" ",NOT(ISNUMBER(G3193))),"Unknown",G3193&lt;=33,"Low Spender",G3193&lt;=66,"Medium Spender",TRUE, "High Spender")</f>
        <v>High Spender</v>
      </c>
      <c r="I3193" s="1">
        <v>64</v>
      </c>
      <c r="J3193" s="1">
        <v>8200</v>
      </c>
      <c r="K3193" s="1">
        <v>136</v>
      </c>
      <c r="L3193" s="1" t="s">
        <v>16</v>
      </c>
      <c r="N3193" s="1" t="str">
        <f t="shared" si="98"/>
        <v>Lower</v>
      </c>
      <c r="O3193" s="1" t="str">
        <f t="shared" si="99"/>
        <v>Young Adult | High Spender | Lower</v>
      </c>
    </row>
    <row r="3194" spans="1:15" x14ac:dyDescent="0.25">
      <c r="A3194" s="1" t="s">
        <v>3224</v>
      </c>
      <c r="B3194" s="1">
        <v>40</v>
      </c>
      <c r="C3194" s="1" t="str" cm="1">
        <f t="array" ref="C3194">_xlfn.IFS(OR(B3194=" ", B3194="NA",NOT(ISNUMBER(B3194))), "Unknown",B3194&lt;18,"Underage",B3194&lt;=24,"Young Adult",B3194&lt;=34,"Early Career",B3194&lt;=44,"Mid Career",B3194&lt;=54,"Mature",B3194&lt;=65,"Pre-Senior",B3194&gt;65,"Senior")</f>
        <v>Mid Career</v>
      </c>
      <c r="D3194" s="1" t="s">
        <v>18</v>
      </c>
      <c r="E3194" s="1" t="s">
        <v>58</v>
      </c>
      <c r="F3194" s="1">
        <v>650000</v>
      </c>
      <c r="G3194" s="1">
        <v>76</v>
      </c>
      <c r="H3194" s="1" t="str" cm="1">
        <f t="array" ref="H3194">_xlfn.IFS( OR(G3194=" ",NOT(ISNUMBER(G3194))),"Unknown",G3194&lt;=33,"Low Spender",G3194&lt;=66,"Medium Spender",TRUE, "High Spender")</f>
        <v>High Spender</v>
      </c>
      <c r="I3194" s="1">
        <v>12</v>
      </c>
      <c r="J3194" s="1">
        <v>5600</v>
      </c>
      <c r="K3194" s="1">
        <v>146</v>
      </c>
      <c r="L3194" s="1" t="s">
        <v>16</v>
      </c>
      <c r="M3194" s="1" t="s">
        <v>30</v>
      </c>
      <c r="N3194" s="1" t="str">
        <f t="shared" si="98"/>
        <v>Higher</v>
      </c>
      <c r="O3194" s="1" t="str">
        <f t="shared" si="99"/>
        <v>Mid Career | High Spender | Higher</v>
      </c>
    </row>
    <row r="3195" spans="1:15" x14ac:dyDescent="0.25">
      <c r="A3195" s="1" t="s">
        <v>3225</v>
      </c>
      <c r="B3195" s="1">
        <v>61</v>
      </c>
      <c r="C3195" s="1" t="str" cm="1">
        <f t="array" ref="C3195">_xlfn.IFS(OR(B3195=" ", B3195="NA",NOT(ISNUMBER(B3195))), "Unknown",B3195&lt;18,"Underage",B3195&lt;=24,"Young Adult",B3195&lt;=34,"Early Career",B3195&lt;=44,"Mid Career",B3195&lt;=54,"Mature",B3195&lt;=65,"Pre-Senior",B3195&gt;65,"Senior")</f>
        <v>Pre-Senior</v>
      </c>
      <c r="D3195" s="1" t="s">
        <v>18</v>
      </c>
      <c r="E3195" s="1" t="s">
        <v>13</v>
      </c>
      <c r="F3195" s="1">
        <v>950000</v>
      </c>
      <c r="G3195" s="1">
        <v>26</v>
      </c>
      <c r="H3195" s="1" t="str" cm="1">
        <f t="array" ref="H3195">_xlfn.IFS( OR(G3195=" ",NOT(ISNUMBER(G3195))),"Unknown",G3195&lt;=33,"Low Spender",G3195&lt;=66,"Medium Spender",TRUE, "High Spender")</f>
        <v>Low Spender</v>
      </c>
      <c r="I3195" s="1">
        <v>41</v>
      </c>
      <c r="J3195" s="1">
        <v>3700</v>
      </c>
      <c r="K3195" s="1">
        <v>249</v>
      </c>
      <c r="M3195" s="1" t="s">
        <v>41</v>
      </c>
      <c r="N3195" s="1" t="str">
        <f t="shared" si="98"/>
        <v>Higher</v>
      </c>
      <c r="O3195" s="1" t="str">
        <f t="shared" si="99"/>
        <v>Pre-Senior | Low Spender | Higher</v>
      </c>
    </row>
    <row r="3196" spans="1:15" x14ac:dyDescent="0.25">
      <c r="A3196" s="1" t="s">
        <v>3226</v>
      </c>
      <c r="B3196" s="1">
        <v>49</v>
      </c>
      <c r="C3196" s="1" t="str" cm="1">
        <f t="array" ref="C3196">_xlfn.IFS(OR(B3196=" ", B3196="NA",NOT(ISNUMBER(B3196))), "Unknown",B3196&lt;18,"Underage",B3196&lt;=24,"Young Adult",B3196&lt;=34,"Early Career",B3196&lt;=44,"Mid Career",B3196&lt;=54,"Mature",B3196&lt;=65,"Pre-Senior",B3196&gt;65,"Senior")</f>
        <v>Mature</v>
      </c>
      <c r="D3196" s="1" t="s">
        <v>12</v>
      </c>
      <c r="E3196" s="1" t="s">
        <v>23</v>
      </c>
      <c r="F3196" s="1">
        <v>900000</v>
      </c>
      <c r="G3196" s="1">
        <v>61</v>
      </c>
      <c r="H3196" s="1" t="str" cm="1">
        <f t="array" ref="H3196">_xlfn.IFS( OR(G3196=" ",NOT(ISNUMBER(G3196))),"Unknown",G3196&lt;=33,"Low Spender",G3196&lt;=66,"Medium Spender",TRUE, "High Spender")</f>
        <v>Medium Spender</v>
      </c>
      <c r="I3196" s="1">
        <v>29</v>
      </c>
      <c r="J3196" s="1">
        <v>5400</v>
      </c>
      <c r="K3196" s="1">
        <v>18</v>
      </c>
      <c r="L3196" s="1" t="s">
        <v>35</v>
      </c>
      <c r="M3196" s="1" t="s">
        <v>41</v>
      </c>
      <c r="N3196" s="1" t="str">
        <f t="shared" si="98"/>
        <v>Lower</v>
      </c>
      <c r="O3196" s="1" t="str">
        <f t="shared" si="99"/>
        <v>Mature | Medium Spender | Lower</v>
      </c>
    </row>
    <row r="3197" spans="1:15" x14ac:dyDescent="0.25">
      <c r="A3197" s="1" t="s">
        <v>3227</v>
      </c>
      <c r="B3197" s="1">
        <v>28</v>
      </c>
      <c r="C3197" s="1" t="str" cm="1">
        <f t="array" ref="C3197">_xlfn.IFS(OR(B3197=" ", B3197="NA",NOT(ISNUMBER(B3197))), "Unknown",B3197&lt;18,"Underage",B3197&lt;=24,"Young Adult",B3197&lt;=34,"Early Career",B3197&lt;=44,"Mid Career",B3197&lt;=54,"Mature",B3197&lt;=65,"Pre-Senior",B3197&gt;65,"Senior")</f>
        <v>Early Career</v>
      </c>
      <c r="D3197" s="1" t="s">
        <v>18</v>
      </c>
      <c r="F3197" s="1">
        <v>650000</v>
      </c>
      <c r="G3197" s="1">
        <v>92</v>
      </c>
      <c r="H3197" s="1" t="str" cm="1">
        <f t="array" ref="H3197">_xlfn.IFS( OR(G3197=" ",NOT(ISNUMBER(G3197))),"Unknown",G3197&lt;=33,"Low Spender",G3197&lt;=66,"Medium Spender",TRUE, "High Spender")</f>
        <v>High Spender</v>
      </c>
      <c r="I3197" s="1">
        <v>23</v>
      </c>
      <c r="J3197" s="1">
        <v>3500</v>
      </c>
      <c r="K3197" s="1">
        <v>125</v>
      </c>
      <c r="N3197" s="1" t="str">
        <f t="shared" si="98"/>
        <v>Higher</v>
      </c>
      <c r="O3197" s="1" t="str">
        <f t="shared" si="99"/>
        <v>Early Career | High Spender | Higher</v>
      </c>
    </row>
    <row r="3198" spans="1:15" x14ac:dyDescent="0.25">
      <c r="A3198" s="1" t="s">
        <v>3228</v>
      </c>
      <c r="B3198" s="1">
        <v>39</v>
      </c>
      <c r="C3198" s="1" t="str" cm="1">
        <f t="array" ref="C3198">_xlfn.IFS(OR(B3198=" ", B3198="NA",NOT(ISNUMBER(B3198))), "Unknown",B3198&lt;18,"Underage",B3198&lt;=24,"Young Adult",B3198&lt;=34,"Early Career",B3198&lt;=44,"Mid Career",B3198&lt;=54,"Mature",B3198&lt;=65,"Pre-Senior",B3198&gt;65,"Senior")</f>
        <v>Mid Career</v>
      </c>
      <c r="F3198" s="1">
        <v>1025000</v>
      </c>
      <c r="G3198" s="1">
        <v>67</v>
      </c>
      <c r="H3198" s="1" t="str" cm="1">
        <f t="array" ref="H3198">_xlfn.IFS( OR(G3198=" ",NOT(ISNUMBER(G3198))),"Unknown",G3198&lt;=33,"Low Spender",G3198&lt;=66,"Medium Spender",TRUE, "High Spender")</f>
        <v>High Spender</v>
      </c>
      <c r="J3198" s="1">
        <v>8700</v>
      </c>
      <c r="K3198" s="1">
        <v>2</v>
      </c>
      <c r="M3198" s="1" t="s">
        <v>30</v>
      </c>
      <c r="N3198" s="1" t="str">
        <f t="shared" si="98"/>
        <v>Lower</v>
      </c>
      <c r="O3198" s="1" t="str">
        <f t="shared" si="99"/>
        <v>Mid Career | High Spender | Lower</v>
      </c>
    </row>
    <row r="3199" spans="1:15" x14ac:dyDescent="0.25">
      <c r="A3199" s="1" t="s">
        <v>3229</v>
      </c>
      <c r="B3199" s="1">
        <v>39</v>
      </c>
      <c r="C3199" s="1" t="str" cm="1">
        <f t="array" ref="C3199">_xlfn.IFS(OR(B3199=" ", B3199="NA",NOT(ISNUMBER(B3199))), "Unknown",B3199&lt;18,"Underage",B3199&lt;=24,"Young Adult",B3199&lt;=34,"Early Career",B3199&lt;=44,"Mid Career",B3199&lt;=54,"Mature",B3199&lt;=65,"Pre-Senior",B3199&gt;65,"Senior")</f>
        <v>Mid Career</v>
      </c>
      <c r="D3199" s="1" t="s">
        <v>29</v>
      </c>
      <c r="E3199" s="1" t="s">
        <v>23</v>
      </c>
      <c r="F3199" s="1">
        <v>1750000</v>
      </c>
      <c r="G3199" s="1">
        <v>84</v>
      </c>
      <c r="H3199" s="1" t="str" cm="1">
        <f t="array" ref="H3199">_xlfn.IFS( OR(G3199=" ",NOT(ISNUMBER(G3199))),"Unknown",G3199&lt;=33,"Low Spender",G3199&lt;=66,"Medium Spender",TRUE, "High Spender")</f>
        <v>High Spender</v>
      </c>
      <c r="I3199" s="1">
        <v>51</v>
      </c>
      <c r="J3199" s="1">
        <v>8600</v>
      </c>
      <c r="K3199" s="1">
        <v>332</v>
      </c>
      <c r="L3199" s="1" t="s">
        <v>35</v>
      </c>
      <c r="M3199" s="1" t="s">
        <v>30</v>
      </c>
      <c r="N3199" s="1" t="str">
        <f t="shared" si="98"/>
        <v>Higher</v>
      </c>
      <c r="O3199" s="1" t="str">
        <f t="shared" si="99"/>
        <v>Mid Career | High Spender | Higher</v>
      </c>
    </row>
    <row r="3200" spans="1:15" x14ac:dyDescent="0.25">
      <c r="A3200" s="1" t="s">
        <v>3230</v>
      </c>
      <c r="B3200" s="1">
        <v>60</v>
      </c>
      <c r="C3200" s="1" t="str" cm="1">
        <f t="array" ref="C3200">_xlfn.IFS(OR(B3200=" ", B3200="NA",NOT(ISNUMBER(B3200))), "Unknown",B3200&lt;18,"Underage",B3200&lt;=24,"Young Adult",B3200&lt;=34,"Early Career",B3200&lt;=44,"Mid Career",B3200&lt;=54,"Mature",B3200&lt;=65,"Pre-Senior",B3200&gt;65,"Senior")</f>
        <v>Pre-Senior</v>
      </c>
      <c r="E3200" s="1" t="s">
        <v>23</v>
      </c>
      <c r="F3200" s="1">
        <v>225000</v>
      </c>
      <c r="G3200" s="1">
        <v>74</v>
      </c>
      <c r="H3200" s="1" t="str" cm="1">
        <f t="array" ref="H3200">_xlfn.IFS( OR(G3200=" ",NOT(ISNUMBER(G3200))),"Unknown",G3200&lt;=33,"Low Spender",G3200&lt;=66,"Medium Spender",TRUE, "High Spender")</f>
        <v>High Spender</v>
      </c>
      <c r="I3200" s="1">
        <v>45</v>
      </c>
      <c r="J3200" s="1">
        <v>7400</v>
      </c>
      <c r="K3200" s="1">
        <v>200</v>
      </c>
      <c r="M3200" s="1" t="s">
        <v>21</v>
      </c>
      <c r="N3200" s="1" t="str">
        <f t="shared" si="98"/>
        <v>Lower</v>
      </c>
      <c r="O3200" s="1" t="str">
        <f t="shared" si="99"/>
        <v>Pre-Senior | High Spender | Lower</v>
      </c>
    </row>
    <row r="3201" spans="1:15" x14ac:dyDescent="0.25">
      <c r="A3201" s="1" t="s">
        <v>3231</v>
      </c>
      <c r="B3201" s="1">
        <v>42</v>
      </c>
      <c r="C3201" s="1" t="str" cm="1">
        <f t="array" ref="C3201">_xlfn.IFS(OR(B3201=" ", B3201="NA",NOT(ISNUMBER(B3201))), "Unknown",B3201&lt;18,"Underage",B3201&lt;=24,"Young Adult",B3201&lt;=34,"Early Career",B3201&lt;=44,"Mid Career",B3201&lt;=54,"Mature",B3201&lt;=65,"Pre-Senior",B3201&gt;65,"Senior")</f>
        <v>Mid Career</v>
      </c>
      <c r="E3201" s="1" t="s">
        <v>27</v>
      </c>
      <c r="F3201" s="1">
        <v>1825000</v>
      </c>
      <c r="G3201" s="1">
        <v>52</v>
      </c>
      <c r="H3201" s="1" t="str" cm="1">
        <f t="array" ref="H3201">_xlfn.IFS( OR(G3201=" ",NOT(ISNUMBER(G3201))),"Unknown",G3201&lt;=33,"Low Spender",G3201&lt;=66,"Medium Spender",TRUE, "High Spender")</f>
        <v>Medium Spender</v>
      </c>
      <c r="I3201" s="1">
        <v>22</v>
      </c>
      <c r="J3201" s="1">
        <v>5300</v>
      </c>
      <c r="K3201" s="1">
        <v>138</v>
      </c>
      <c r="L3201" s="1" t="s">
        <v>35</v>
      </c>
      <c r="M3201" s="1" t="s">
        <v>30</v>
      </c>
      <c r="N3201" s="1" t="str">
        <f t="shared" si="98"/>
        <v>Lower</v>
      </c>
      <c r="O3201" s="1" t="str">
        <f t="shared" si="99"/>
        <v>Mid Career | Medium Spender | Lower</v>
      </c>
    </row>
    <row r="3202" spans="1:15" x14ac:dyDescent="0.25">
      <c r="A3202" s="1" t="s">
        <v>3232</v>
      </c>
      <c r="B3202" s="1">
        <v>39</v>
      </c>
      <c r="C3202" s="1" t="str" cm="1">
        <f t="array" ref="C3202">_xlfn.IFS(OR(B3202=" ", B3202="NA",NOT(ISNUMBER(B3202))), "Unknown",B3202&lt;18,"Underage",B3202&lt;=24,"Young Adult",B3202&lt;=34,"Early Career",B3202&lt;=44,"Mid Career",B3202&lt;=54,"Mature",B3202&lt;=65,"Pre-Senior",B3202&gt;65,"Senior")</f>
        <v>Mid Career</v>
      </c>
      <c r="D3202" s="1" t="s">
        <v>29</v>
      </c>
      <c r="E3202" s="1" t="s">
        <v>19</v>
      </c>
      <c r="F3202" s="1">
        <v>225000</v>
      </c>
      <c r="G3202" s="1">
        <v>18</v>
      </c>
      <c r="H3202" s="1" t="str" cm="1">
        <f t="array" ref="H3202">_xlfn.IFS( OR(G3202=" ",NOT(ISNUMBER(G3202))),"Unknown",G3202&lt;=33,"Low Spender",G3202&lt;=66,"Medium Spender",TRUE, "High Spender")</f>
        <v>Low Spender</v>
      </c>
      <c r="I3202" s="1">
        <v>10</v>
      </c>
      <c r="J3202" s="1">
        <v>2800</v>
      </c>
      <c r="K3202" s="1">
        <v>203</v>
      </c>
      <c r="L3202" s="1" t="s">
        <v>16</v>
      </c>
      <c r="N3202" s="1" t="str">
        <f t="shared" ref="N3202:N3265" si="100">IF(OR(UPPER(TRIM(D3202))="Male",UPPER(TRIM(D3202))="Female"),"Higher","Lower")</f>
        <v>Higher</v>
      </c>
      <c r="O3202" s="1" t="str">
        <f t="shared" ref="O3202:O3265" si="101">_xlfn.TEXTJOIN(" | ", TRUE, C3202, H3202, N3202)</f>
        <v>Mid Career | Low Spender | Higher</v>
      </c>
    </row>
    <row r="3203" spans="1:15" x14ac:dyDescent="0.25">
      <c r="A3203" s="1" t="s">
        <v>3233</v>
      </c>
      <c r="B3203" s="1">
        <v>45</v>
      </c>
      <c r="C3203" s="1" t="str" cm="1">
        <f t="array" ref="C3203">_xlfn.IFS(OR(B3203=" ", B3203="NA",NOT(ISNUMBER(B3203))), "Unknown",B3203&lt;18,"Underage",B3203&lt;=24,"Young Adult",B3203&lt;=34,"Early Career",B3203&lt;=44,"Mid Career",B3203&lt;=54,"Mature",B3203&lt;=65,"Pre-Senior",B3203&gt;65,"Senior")</f>
        <v>Mature</v>
      </c>
      <c r="E3203" s="1" t="s">
        <v>15</v>
      </c>
      <c r="F3203" s="1">
        <v>350000</v>
      </c>
      <c r="G3203" s="1">
        <v>53</v>
      </c>
      <c r="H3203" s="1" t="str" cm="1">
        <f t="array" ref="H3203">_xlfn.IFS( OR(G3203=" ",NOT(ISNUMBER(G3203))),"Unknown",G3203&lt;=33,"Low Spender",G3203&lt;=66,"Medium Spender",TRUE, "High Spender")</f>
        <v>Medium Spender</v>
      </c>
      <c r="I3203" s="1">
        <v>7</v>
      </c>
      <c r="J3203" s="1">
        <v>9900</v>
      </c>
      <c r="K3203" s="1">
        <v>282</v>
      </c>
      <c r="N3203" s="1" t="str">
        <f t="shared" si="100"/>
        <v>Lower</v>
      </c>
      <c r="O3203" s="1" t="str">
        <f t="shared" si="101"/>
        <v>Mature | Medium Spender | Lower</v>
      </c>
    </row>
    <row r="3204" spans="1:15" x14ac:dyDescent="0.25">
      <c r="A3204" s="1" t="s">
        <v>3234</v>
      </c>
      <c r="B3204" s="1">
        <v>46</v>
      </c>
      <c r="C3204" s="1" t="str" cm="1">
        <f t="array" ref="C3204">_xlfn.IFS(OR(B3204=" ", B3204="NA",NOT(ISNUMBER(B3204))), "Unknown",B3204&lt;18,"Underage",B3204&lt;=24,"Young Adult",B3204&lt;=34,"Early Career",B3204&lt;=44,"Mid Career",B3204&lt;=54,"Mature",B3204&lt;=65,"Pre-Senior",B3204&gt;65,"Senior")</f>
        <v>Mature</v>
      </c>
      <c r="D3204" s="1" t="s">
        <v>29</v>
      </c>
      <c r="E3204" s="1" t="s">
        <v>27</v>
      </c>
      <c r="F3204" s="1">
        <v>875000</v>
      </c>
      <c r="G3204" s="1">
        <v>63</v>
      </c>
      <c r="H3204" s="1" t="str" cm="1">
        <f t="array" ref="H3204">_xlfn.IFS( OR(G3204=" ",NOT(ISNUMBER(G3204))),"Unknown",G3204&lt;=33,"Low Spender",G3204&lt;=66,"Medium Spender",TRUE, "High Spender")</f>
        <v>Medium Spender</v>
      </c>
      <c r="I3204" s="1">
        <v>73</v>
      </c>
      <c r="J3204" s="1">
        <v>6400</v>
      </c>
      <c r="K3204" s="1">
        <v>303</v>
      </c>
      <c r="L3204" s="1" t="s">
        <v>35</v>
      </c>
      <c r="M3204" s="1" t="s">
        <v>30</v>
      </c>
      <c r="N3204" s="1" t="str">
        <f t="shared" si="100"/>
        <v>Higher</v>
      </c>
      <c r="O3204" s="1" t="str">
        <f t="shared" si="101"/>
        <v>Mature | Medium Spender | Higher</v>
      </c>
    </row>
    <row r="3205" spans="1:15" x14ac:dyDescent="0.25">
      <c r="A3205" s="1" t="s">
        <v>3235</v>
      </c>
      <c r="B3205" s="1">
        <v>30</v>
      </c>
      <c r="C3205" s="1" t="str" cm="1">
        <f t="array" ref="C3205">_xlfn.IFS(OR(B3205=" ", B3205="NA",NOT(ISNUMBER(B3205))), "Unknown",B3205&lt;18,"Underage",B3205&lt;=24,"Young Adult",B3205&lt;=34,"Early Career",B3205&lt;=44,"Mid Career",B3205&lt;=54,"Mature",B3205&lt;=65,"Pre-Senior",B3205&gt;65,"Senior")</f>
        <v>Early Career</v>
      </c>
      <c r="E3205" s="1" t="s">
        <v>19</v>
      </c>
      <c r="F3205" s="1">
        <v>1250000</v>
      </c>
      <c r="G3205" s="1">
        <v>53</v>
      </c>
      <c r="H3205" s="1" t="str" cm="1">
        <f t="array" ref="H3205">_xlfn.IFS( OR(G3205=" ",NOT(ISNUMBER(G3205))),"Unknown",G3205&lt;=33,"Low Spender",G3205&lt;=66,"Medium Spender",TRUE, "High Spender")</f>
        <v>Medium Spender</v>
      </c>
      <c r="I3205" s="1">
        <v>15</v>
      </c>
      <c r="J3205" s="1">
        <v>6300</v>
      </c>
      <c r="K3205" s="1">
        <v>30</v>
      </c>
      <c r="M3205" s="1" t="s">
        <v>21</v>
      </c>
      <c r="N3205" s="1" t="str">
        <f t="shared" si="100"/>
        <v>Lower</v>
      </c>
      <c r="O3205" s="1" t="str">
        <f t="shared" si="101"/>
        <v>Early Career | Medium Spender | Lower</v>
      </c>
    </row>
    <row r="3206" spans="1:15" x14ac:dyDescent="0.25">
      <c r="A3206" s="1" t="s">
        <v>3236</v>
      </c>
      <c r="B3206" s="1">
        <v>35</v>
      </c>
      <c r="C3206" s="1" t="str" cm="1">
        <f t="array" ref="C3206">_xlfn.IFS(OR(B3206=" ", B3206="NA",NOT(ISNUMBER(B3206))), "Unknown",B3206&lt;18,"Underage",B3206&lt;=24,"Young Adult",B3206&lt;=34,"Early Career",B3206&lt;=44,"Mid Career",B3206&lt;=54,"Mature",B3206&lt;=65,"Pre-Senior",B3206&gt;65,"Senior")</f>
        <v>Mid Career</v>
      </c>
      <c r="D3206" s="1" t="s">
        <v>12</v>
      </c>
      <c r="E3206" s="1" t="s">
        <v>13</v>
      </c>
      <c r="F3206" s="1">
        <v>225000</v>
      </c>
      <c r="G3206" s="1">
        <v>27</v>
      </c>
      <c r="H3206" s="1" t="str" cm="1">
        <f t="array" ref="H3206">_xlfn.IFS( OR(G3206=" ",NOT(ISNUMBER(G3206))),"Unknown",G3206&lt;=33,"Low Spender",G3206&lt;=66,"Medium Spender",TRUE, "High Spender")</f>
        <v>Low Spender</v>
      </c>
      <c r="I3206" s="1">
        <v>77</v>
      </c>
      <c r="J3206" s="1">
        <v>2800</v>
      </c>
      <c r="K3206" s="1">
        <v>56</v>
      </c>
      <c r="L3206" s="1" t="s">
        <v>35</v>
      </c>
      <c r="M3206" s="1" t="s">
        <v>41</v>
      </c>
      <c r="N3206" s="1" t="str">
        <f t="shared" si="100"/>
        <v>Lower</v>
      </c>
      <c r="O3206" s="1" t="str">
        <f t="shared" si="101"/>
        <v>Mid Career | Low Spender | Lower</v>
      </c>
    </row>
    <row r="3207" spans="1:15" x14ac:dyDescent="0.25">
      <c r="A3207" s="1" t="s">
        <v>3237</v>
      </c>
      <c r="B3207" s="1">
        <v>19</v>
      </c>
      <c r="C3207" s="1" t="str" cm="1">
        <f t="array" ref="C3207">_xlfn.IFS(OR(B3207=" ", B3207="NA",NOT(ISNUMBER(B3207))), "Unknown",B3207&lt;18,"Underage",B3207&lt;=24,"Young Adult",B3207&lt;=34,"Early Career",B3207&lt;=44,"Mid Career",B3207&lt;=54,"Mature",B3207&lt;=65,"Pre-Senior",B3207&gt;65,"Senior")</f>
        <v>Young Adult</v>
      </c>
      <c r="D3207" s="1" t="s">
        <v>18</v>
      </c>
      <c r="E3207" s="1" t="s">
        <v>15</v>
      </c>
      <c r="F3207" s="1">
        <v>1850000</v>
      </c>
      <c r="G3207" s="1">
        <v>31</v>
      </c>
      <c r="H3207" s="1" t="str" cm="1">
        <f t="array" ref="H3207">_xlfn.IFS( OR(G3207=" ",NOT(ISNUMBER(G3207))),"Unknown",G3207&lt;=33,"Low Spender",G3207&lt;=66,"Medium Spender",TRUE, "High Spender")</f>
        <v>Low Spender</v>
      </c>
      <c r="I3207" s="1">
        <v>46</v>
      </c>
      <c r="J3207" s="1">
        <v>3900</v>
      </c>
      <c r="K3207" s="1">
        <v>119</v>
      </c>
      <c r="L3207" s="1" t="s">
        <v>37</v>
      </c>
      <c r="N3207" s="1" t="str">
        <f t="shared" si="100"/>
        <v>Higher</v>
      </c>
      <c r="O3207" s="1" t="str">
        <f t="shared" si="101"/>
        <v>Young Adult | Low Spender | Higher</v>
      </c>
    </row>
    <row r="3208" spans="1:15" x14ac:dyDescent="0.25">
      <c r="A3208" s="1" t="s">
        <v>3238</v>
      </c>
      <c r="B3208" s="1">
        <v>46</v>
      </c>
      <c r="C3208" s="1" t="str" cm="1">
        <f t="array" ref="C3208">_xlfn.IFS(OR(B3208=" ", B3208="NA",NOT(ISNUMBER(B3208))), "Unknown",B3208&lt;18,"Underage",B3208&lt;=24,"Young Adult",B3208&lt;=34,"Early Career",B3208&lt;=44,"Mid Career",B3208&lt;=54,"Mature",B3208&lt;=65,"Pre-Senior",B3208&gt;65,"Senior")</f>
        <v>Mature</v>
      </c>
      <c r="E3208" s="1" t="s">
        <v>27</v>
      </c>
      <c r="F3208" s="1">
        <v>700000</v>
      </c>
      <c r="G3208" s="1">
        <v>91</v>
      </c>
      <c r="H3208" s="1" t="str" cm="1">
        <f t="array" ref="H3208">_xlfn.IFS( OR(G3208=" ",NOT(ISNUMBER(G3208))),"Unknown",G3208&lt;=33,"Low Spender",G3208&lt;=66,"Medium Spender",TRUE, "High Spender")</f>
        <v>High Spender</v>
      </c>
      <c r="I3208" s="1">
        <v>61</v>
      </c>
      <c r="J3208" s="1">
        <v>3200</v>
      </c>
      <c r="K3208" s="1">
        <v>132</v>
      </c>
      <c r="L3208" s="1" t="s">
        <v>35</v>
      </c>
      <c r="M3208" s="1" t="s">
        <v>30</v>
      </c>
      <c r="N3208" s="1" t="str">
        <f t="shared" si="100"/>
        <v>Lower</v>
      </c>
      <c r="O3208" s="1" t="str">
        <f t="shared" si="101"/>
        <v>Mature | High Spender | Lower</v>
      </c>
    </row>
    <row r="3209" spans="1:15" x14ac:dyDescent="0.25">
      <c r="A3209" s="1" t="s">
        <v>3239</v>
      </c>
      <c r="B3209" s="1">
        <v>38</v>
      </c>
      <c r="C3209" s="1" t="str" cm="1">
        <f t="array" ref="C3209">_xlfn.IFS(OR(B3209=" ", B3209="NA",NOT(ISNUMBER(B3209))), "Unknown",B3209&lt;18,"Underage",B3209&lt;=24,"Young Adult",B3209&lt;=34,"Early Career",B3209&lt;=44,"Mid Career",B3209&lt;=54,"Mature",B3209&lt;=65,"Pre-Senior",B3209&gt;65,"Senior")</f>
        <v>Mid Career</v>
      </c>
      <c r="D3209" s="1" t="s">
        <v>18</v>
      </c>
      <c r="E3209" s="1" t="s">
        <v>15</v>
      </c>
      <c r="F3209" s="1">
        <v>525000</v>
      </c>
      <c r="G3209" s="1">
        <v>1</v>
      </c>
      <c r="H3209" s="1" t="str" cm="1">
        <f t="array" ref="H3209">_xlfn.IFS( OR(G3209=" ",NOT(ISNUMBER(G3209))),"Unknown",G3209&lt;=33,"Low Spender",G3209&lt;=66,"Medium Spender",TRUE, "High Spender")</f>
        <v>Low Spender</v>
      </c>
      <c r="I3209" s="1">
        <v>61</v>
      </c>
      <c r="J3209" s="1">
        <v>9700</v>
      </c>
      <c r="K3209" s="1">
        <v>231</v>
      </c>
      <c r="L3209" s="1" t="s">
        <v>16</v>
      </c>
      <c r="N3209" s="1" t="str">
        <f t="shared" si="100"/>
        <v>Higher</v>
      </c>
      <c r="O3209" s="1" t="str">
        <f t="shared" si="101"/>
        <v>Mid Career | Low Spender | Higher</v>
      </c>
    </row>
    <row r="3210" spans="1:15" x14ac:dyDescent="0.25">
      <c r="A3210" s="1" t="s">
        <v>3240</v>
      </c>
      <c r="B3210" s="1">
        <v>32</v>
      </c>
      <c r="C3210" s="1" t="str" cm="1">
        <f t="array" ref="C3210">_xlfn.IFS(OR(B3210=" ", B3210="NA",NOT(ISNUMBER(B3210))), "Unknown",B3210&lt;18,"Underage",B3210&lt;=24,"Young Adult",B3210&lt;=34,"Early Career",B3210&lt;=44,"Mid Career",B3210&lt;=54,"Mature",B3210&lt;=65,"Pre-Senior",B3210&gt;65,"Senior")</f>
        <v>Early Career</v>
      </c>
      <c r="D3210" s="1" t="s">
        <v>29</v>
      </c>
      <c r="E3210" s="1" t="s">
        <v>15</v>
      </c>
      <c r="F3210" s="1">
        <v>675000</v>
      </c>
      <c r="G3210" s="1">
        <v>6</v>
      </c>
      <c r="H3210" s="1" t="str" cm="1">
        <f t="array" ref="H3210">_xlfn.IFS( OR(G3210=" ",NOT(ISNUMBER(G3210))),"Unknown",G3210&lt;=33,"Low Spender",G3210&lt;=66,"Medium Spender",TRUE, "High Spender")</f>
        <v>Low Spender</v>
      </c>
      <c r="I3210" s="1">
        <v>51</v>
      </c>
      <c r="J3210" s="1">
        <v>9900</v>
      </c>
      <c r="K3210" s="1">
        <v>152</v>
      </c>
      <c r="L3210" s="1" t="s">
        <v>20</v>
      </c>
      <c r="M3210" s="1" t="s">
        <v>30</v>
      </c>
      <c r="N3210" s="1" t="str">
        <f t="shared" si="100"/>
        <v>Higher</v>
      </c>
      <c r="O3210" s="1" t="str">
        <f t="shared" si="101"/>
        <v>Early Career | Low Spender | Higher</v>
      </c>
    </row>
    <row r="3211" spans="1:15" x14ac:dyDescent="0.25">
      <c r="A3211" s="1" t="s">
        <v>3241</v>
      </c>
      <c r="B3211" s="1">
        <v>69</v>
      </c>
      <c r="C3211" s="1" t="str" cm="1">
        <f t="array" ref="C3211">_xlfn.IFS(OR(B3211=" ", B3211="NA",NOT(ISNUMBER(B3211))), "Unknown",B3211&lt;18,"Underage",B3211&lt;=24,"Young Adult",B3211&lt;=34,"Early Career",B3211&lt;=44,"Mid Career",B3211&lt;=54,"Mature",B3211&lt;=65,"Pre-Senior",B3211&gt;65,"Senior")</f>
        <v>Senior</v>
      </c>
      <c r="E3211" s="1" t="s">
        <v>49</v>
      </c>
      <c r="F3211" s="1">
        <v>1925000</v>
      </c>
      <c r="G3211" s="1">
        <v>11</v>
      </c>
      <c r="H3211" s="1" t="str" cm="1">
        <f t="array" ref="H3211">_xlfn.IFS( OR(G3211=" ",NOT(ISNUMBER(G3211))),"Unknown",G3211&lt;=33,"Low Spender",G3211&lt;=66,"Medium Spender",TRUE, "High Spender")</f>
        <v>Low Spender</v>
      </c>
      <c r="I3211" s="1">
        <v>38</v>
      </c>
      <c r="J3211" s="1">
        <v>1300</v>
      </c>
      <c r="K3211" s="1">
        <v>21</v>
      </c>
      <c r="L3211" s="1" t="s">
        <v>37</v>
      </c>
      <c r="M3211" s="1" t="s">
        <v>32</v>
      </c>
      <c r="N3211" s="1" t="str">
        <f t="shared" si="100"/>
        <v>Lower</v>
      </c>
      <c r="O3211" s="1" t="str">
        <f t="shared" si="101"/>
        <v>Senior | Low Spender | Lower</v>
      </c>
    </row>
    <row r="3212" spans="1:15" x14ac:dyDescent="0.25">
      <c r="A3212" s="1" t="s">
        <v>3242</v>
      </c>
      <c r="B3212" s="1">
        <v>44</v>
      </c>
      <c r="C3212" s="1" t="str" cm="1">
        <f t="array" ref="C3212">_xlfn.IFS(OR(B3212=" ", B3212="NA",NOT(ISNUMBER(B3212))), "Unknown",B3212&lt;18,"Underage",B3212&lt;=24,"Young Adult",B3212&lt;=34,"Early Career",B3212&lt;=44,"Mid Career",B3212&lt;=54,"Mature",B3212&lt;=65,"Pre-Senior",B3212&gt;65,"Senior")</f>
        <v>Mid Career</v>
      </c>
      <c r="D3212" s="1" t="s">
        <v>18</v>
      </c>
      <c r="F3212" s="1">
        <v>1325000</v>
      </c>
      <c r="G3212" s="1">
        <v>34</v>
      </c>
      <c r="H3212" s="1" t="str" cm="1">
        <f t="array" ref="H3212">_xlfn.IFS( OR(G3212=" ",NOT(ISNUMBER(G3212))),"Unknown",G3212&lt;=33,"Low Spender",G3212&lt;=66,"Medium Spender",TRUE, "High Spender")</f>
        <v>Medium Spender</v>
      </c>
      <c r="I3212" s="1">
        <v>12</v>
      </c>
      <c r="J3212" s="1">
        <v>5500</v>
      </c>
      <c r="K3212" s="1">
        <v>68</v>
      </c>
      <c r="L3212" s="1" t="s">
        <v>20</v>
      </c>
      <c r="M3212" s="1" t="s">
        <v>21</v>
      </c>
      <c r="N3212" s="1" t="str">
        <f t="shared" si="100"/>
        <v>Higher</v>
      </c>
      <c r="O3212" s="1" t="str">
        <f t="shared" si="101"/>
        <v>Mid Career | Medium Spender | Higher</v>
      </c>
    </row>
    <row r="3213" spans="1:15" x14ac:dyDescent="0.25">
      <c r="A3213" s="1" t="s">
        <v>3243</v>
      </c>
      <c r="B3213" s="1">
        <v>67</v>
      </c>
      <c r="C3213" s="1" t="str" cm="1">
        <f t="array" ref="C3213">_xlfn.IFS(OR(B3213=" ", B3213="NA",NOT(ISNUMBER(B3213))), "Unknown",B3213&lt;18,"Underage",B3213&lt;=24,"Young Adult",B3213&lt;=34,"Early Career",B3213&lt;=44,"Mid Career",B3213&lt;=54,"Mature",B3213&lt;=65,"Pre-Senior",B3213&gt;65,"Senior")</f>
        <v>Senior</v>
      </c>
      <c r="D3213" s="1" t="s">
        <v>12</v>
      </c>
      <c r="E3213" s="1" t="s">
        <v>49</v>
      </c>
      <c r="F3213" s="1">
        <v>1675000</v>
      </c>
      <c r="G3213" s="1">
        <v>84</v>
      </c>
      <c r="H3213" s="1" t="str" cm="1">
        <f t="array" ref="H3213">_xlfn.IFS( OR(G3213=" ",NOT(ISNUMBER(G3213))),"Unknown",G3213&lt;=33,"Low Spender",G3213&lt;=66,"Medium Spender",TRUE, "High Spender")</f>
        <v>High Spender</v>
      </c>
      <c r="I3213" s="1">
        <v>77</v>
      </c>
      <c r="J3213" s="1">
        <v>4300</v>
      </c>
      <c r="K3213" s="1">
        <v>126</v>
      </c>
      <c r="L3213" s="1" t="s">
        <v>16</v>
      </c>
      <c r="M3213" s="1" t="s">
        <v>41</v>
      </c>
      <c r="N3213" s="1" t="str">
        <f t="shared" si="100"/>
        <v>Lower</v>
      </c>
      <c r="O3213" s="1" t="str">
        <f t="shared" si="101"/>
        <v>Senior | High Spender | Lower</v>
      </c>
    </row>
    <row r="3214" spans="1:15" x14ac:dyDescent="0.25">
      <c r="A3214" s="1" t="s">
        <v>3244</v>
      </c>
      <c r="B3214" s="1">
        <v>48</v>
      </c>
      <c r="C3214" s="1" t="str" cm="1">
        <f t="array" ref="C3214">_xlfn.IFS(OR(B3214=" ", B3214="NA",NOT(ISNUMBER(B3214))), "Unknown",B3214&lt;18,"Underage",B3214&lt;=24,"Young Adult",B3214&lt;=34,"Early Career",B3214&lt;=44,"Mid Career",B3214&lt;=54,"Mature",B3214&lt;=65,"Pre-Senior",B3214&gt;65,"Senior")</f>
        <v>Mature</v>
      </c>
      <c r="D3214" s="1" t="s">
        <v>29</v>
      </c>
      <c r="E3214" s="1" t="s">
        <v>19</v>
      </c>
      <c r="F3214" s="1">
        <v>1625000</v>
      </c>
      <c r="G3214" s="1">
        <v>63</v>
      </c>
      <c r="H3214" s="1" t="str" cm="1">
        <f t="array" ref="H3214">_xlfn.IFS( OR(G3214=" ",NOT(ISNUMBER(G3214))),"Unknown",G3214&lt;=33,"Low Spender",G3214&lt;=66,"Medium Spender",TRUE, "High Spender")</f>
        <v>Medium Spender</v>
      </c>
      <c r="I3214" s="1">
        <v>66</v>
      </c>
      <c r="J3214" s="1">
        <v>700</v>
      </c>
      <c r="K3214" s="1">
        <v>43</v>
      </c>
      <c r="L3214" s="1" t="s">
        <v>20</v>
      </c>
      <c r="M3214" s="1" t="s">
        <v>32</v>
      </c>
      <c r="N3214" s="1" t="str">
        <f t="shared" si="100"/>
        <v>Higher</v>
      </c>
      <c r="O3214" s="1" t="str">
        <f t="shared" si="101"/>
        <v>Mature | Medium Spender | Higher</v>
      </c>
    </row>
    <row r="3215" spans="1:15" x14ac:dyDescent="0.25">
      <c r="A3215" s="1" t="s">
        <v>3245</v>
      </c>
      <c r="B3215" s="1">
        <v>32</v>
      </c>
      <c r="C3215" s="1" t="str" cm="1">
        <f t="array" ref="C3215">_xlfn.IFS(OR(B3215=" ", B3215="NA",NOT(ISNUMBER(B3215))), "Unknown",B3215&lt;18,"Underage",B3215&lt;=24,"Young Adult",B3215&lt;=34,"Early Career",B3215&lt;=44,"Mid Career",B3215&lt;=54,"Mature",B3215&lt;=65,"Pre-Senior",B3215&gt;65,"Senior")</f>
        <v>Early Career</v>
      </c>
      <c r="D3215" s="1" t="s">
        <v>29</v>
      </c>
      <c r="E3215" s="1" t="s">
        <v>34</v>
      </c>
      <c r="F3215" s="1">
        <v>250000</v>
      </c>
      <c r="G3215" s="1">
        <v>53</v>
      </c>
      <c r="H3215" s="1" t="str" cm="1">
        <f t="array" ref="H3215">_xlfn.IFS( OR(G3215=" ",NOT(ISNUMBER(G3215))),"Unknown",G3215&lt;=33,"Low Spender",G3215&lt;=66,"Medium Spender",TRUE, "High Spender")</f>
        <v>Medium Spender</v>
      </c>
      <c r="I3215" s="1">
        <v>54</v>
      </c>
      <c r="J3215" s="1">
        <v>6800</v>
      </c>
      <c r="K3215" s="1">
        <v>182</v>
      </c>
      <c r="L3215" s="1" t="s">
        <v>35</v>
      </c>
      <c r="N3215" s="1" t="str">
        <f t="shared" si="100"/>
        <v>Higher</v>
      </c>
      <c r="O3215" s="1" t="str">
        <f t="shared" si="101"/>
        <v>Early Career | Medium Spender | Higher</v>
      </c>
    </row>
    <row r="3216" spans="1:15" x14ac:dyDescent="0.25">
      <c r="A3216" s="1" t="s">
        <v>3246</v>
      </c>
      <c r="B3216" s="1">
        <v>68</v>
      </c>
      <c r="C3216" s="1" t="str" cm="1">
        <f t="array" ref="C3216">_xlfn.IFS(OR(B3216=" ", B3216="NA",NOT(ISNUMBER(B3216))), "Unknown",B3216&lt;18,"Underage",B3216&lt;=24,"Young Adult",B3216&lt;=34,"Early Career",B3216&lt;=44,"Mid Career",B3216&lt;=54,"Mature",B3216&lt;=65,"Pre-Senior",B3216&gt;65,"Senior")</f>
        <v>Senior</v>
      </c>
      <c r="E3216" s="1" t="s">
        <v>58</v>
      </c>
      <c r="F3216" s="1">
        <v>300000</v>
      </c>
      <c r="G3216" s="1">
        <v>85</v>
      </c>
      <c r="H3216" s="1" t="str" cm="1">
        <f t="array" ref="H3216">_xlfn.IFS( OR(G3216=" ",NOT(ISNUMBER(G3216))),"Unknown",G3216&lt;=33,"Low Spender",G3216&lt;=66,"Medium Spender",TRUE, "High Spender")</f>
        <v>High Spender</v>
      </c>
      <c r="I3216" s="1">
        <v>39</v>
      </c>
      <c r="J3216" s="1">
        <v>1500</v>
      </c>
      <c r="K3216" s="1">
        <v>100</v>
      </c>
      <c r="L3216" s="1" t="s">
        <v>20</v>
      </c>
      <c r="M3216" s="1" t="s">
        <v>30</v>
      </c>
      <c r="N3216" s="1" t="str">
        <f t="shared" si="100"/>
        <v>Lower</v>
      </c>
      <c r="O3216" s="1" t="str">
        <f t="shared" si="101"/>
        <v>Senior | High Spender | Lower</v>
      </c>
    </row>
    <row r="3217" spans="1:15" x14ac:dyDescent="0.25">
      <c r="A3217" s="1" t="s">
        <v>3247</v>
      </c>
      <c r="B3217" s="1">
        <v>40</v>
      </c>
      <c r="C3217" s="1" t="str" cm="1">
        <f t="array" ref="C3217">_xlfn.IFS(OR(B3217=" ", B3217="NA",NOT(ISNUMBER(B3217))), "Unknown",B3217&lt;18,"Underage",B3217&lt;=24,"Young Adult",B3217&lt;=34,"Early Career",B3217&lt;=44,"Mid Career",B3217&lt;=54,"Mature",B3217&lt;=65,"Pre-Senior",B3217&gt;65,"Senior")</f>
        <v>Mid Career</v>
      </c>
      <c r="D3217" s="1" t="s">
        <v>18</v>
      </c>
      <c r="F3217" s="1">
        <v>1400000</v>
      </c>
      <c r="G3217" s="1">
        <v>85</v>
      </c>
      <c r="H3217" s="1" t="str" cm="1">
        <f t="array" ref="H3217">_xlfn.IFS( OR(G3217=" ",NOT(ISNUMBER(G3217))),"Unknown",G3217&lt;=33,"Low Spender",G3217&lt;=66,"Medium Spender",TRUE, "High Spender")</f>
        <v>High Spender</v>
      </c>
      <c r="I3217" s="1">
        <v>76</v>
      </c>
      <c r="J3217" s="1">
        <v>6500</v>
      </c>
      <c r="K3217" s="1">
        <v>349</v>
      </c>
      <c r="M3217" s="1" t="s">
        <v>21</v>
      </c>
      <c r="N3217" s="1" t="str">
        <f t="shared" si="100"/>
        <v>Higher</v>
      </c>
      <c r="O3217" s="1" t="str">
        <f t="shared" si="101"/>
        <v>Mid Career | High Spender | Higher</v>
      </c>
    </row>
    <row r="3218" spans="1:15" x14ac:dyDescent="0.25">
      <c r="A3218" s="1" t="s">
        <v>3248</v>
      </c>
      <c r="B3218" s="1">
        <v>41</v>
      </c>
      <c r="C3218" s="1" t="str" cm="1">
        <f t="array" ref="C3218">_xlfn.IFS(OR(B3218=" ", B3218="NA",NOT(ISNUMBER(B3218))), "Unknown",B3218&lt;18,"Underage",B3218&lt;=24,"Young Adult",B3218&lt;=34,"Early Career",B3218&lt;=44,"Mid Career",B3218&lt;=54,"Mature",B3218&lt;=65,"Pre-Senior",B3218&gt;65,"Senior")</f>
        <v>Mid Career</v>
      </c>
      <c r="E3218" s="1" t="s">
        <v>34</v>
      </c>
      <c r="F3218" s="1">
        <v>1750000</v>
      </c>
      <c r="G3218" s="1">
        <v>18</v>
      </c>
      <c r="H3218" s="1" t="str" cm="1">
        <f t="array" ref="H3218">_xlfn.IFS( OR(G3218=" ",NOT(ISNUMBER(G3218))),"Unknown",G3218&lt;=33,"Low Spender",G3218&lt;=66,"Medium Spender",TRUE, "High Spender")</f>
        <v>Low Spender</v>
      </c>
      <c r="I3218" s="1">
        <v>39</v>
      </c>
      <c r="J3218" s="1">
        <v>8400</v>
      </c>
      <c r="K3218" s="1">
        <v>240</v>
      </c>
      <c r="L3218" s="1" t="s">
        <v>16</v>
      </c>
      <c r="N3218" s="1" t="str">
        <f t="shared" si="100"/>
        <v>Lower</v>
      </c>
      <c r="O3218" s="1" t="str">
        <f t="shared" si="101"/>
        <v>Mid Career | Low Spender | Lower</v>
      </c>
    </row>
    <row r="3219" spans="1:15" x14ac:dyDescent="0.25">
      <c r="A3219" s="1" t="s">
        <v>3249</v>
      </c>
      <c r="B3219" s="1">
        <v>61</v>
      </c>
      <c r="C3219" s="1" t="str" cm="1">
        <f t="array" ref="C3219">_xlfn.IFS(OR(B3219=" ", B3219="NA",NOT(ISNUMBER(B3219))), "Unknown",B3219&lt;18,"Underage",B3219&lt;=24,"Young Adult",B3219&lt;=34,"Early Career",B3219&lt;=44,"Mid Career",B3219&lt;=54,"Mature",B3219&lt;=65,"Pre-Senior",B3219&gt;65,"Senior")</f>
        <v>Pre-Senior</v>
      </c>
      <c r="D3219" s="1" t="s">
        <v>18</v>
      </c>
      <c r="E3219" s="1" t="s">
        <v>58</v>
      </c>
      <c r="F3219" s="1">
        <v>350000</v>
      </c>
      <c r="G3219" s="1">
        <v>21</v>
      </c>
      <c r="H3219" s="1" t="str" cm="1">
        <f t="array" ref="H3219">_xlfn.IFS( OR(G3219=" ",NOT(ISNUMBER(G3219))),"Unknown",G3219&lt;=33,"Low Spender",G3219&lt;=66,"Medium Spender",TRUE, "High Spender")</f>
        <v>Low Spender</v>
      </c>
      <c r="I3219" s="1">
        <v>78</v>
      </c>
      <c r="J3219" s="1">
        <v>9200</v>
      </c>
      <c r="K3219" s="1">
        <v>200</v>
      </c>
      <c r="M3219" s="1" t="s">
        <v>30</v>
      </c>
      <c r="N3219" s="1" t="str">
        <f t="shared" si="100"/>
        <v>Higher</v>
      </c>
      <c r="O3219" s="1" t="str">
        <f t="shared" si="101"/>
        <v>Pre-Senior | Low Spender | Higher</v>
      </c>
    </row>
    <row r="3220" spans="1:15" x14ac:dyDescent="0.25">
      <c r="A3220" s="1" t="s">
        <v>3250</v>
      </c>
      <c r="B3220" s="1">
        <v>30</v>
      </c>
      <c r="C3220" s="1" t="str" cm="1">
        <f t="array" ref="C3220">_xlfn.IFS(OR(B3220=" ", B3220="NA",NOT(ISNUMBER(B3220))), "Unknown",B3220&lt;18,"Underage",B3220&lt;=24,"Young Adult",B3220&lt;=34,"Early Career",B3220&lt;=44,"Mid Career",B3220&lt;=54,"Mature",B3220&lt;=65,"Pre-Senior",B3220&gt;65,"Senior")</f>
        <v>Early Career</v>
      </c>
      <c r="D3220" s="1" t="s">
        <v>18</v>
      </c>
      <c r="E3220" s="1" t="s">
        <v>19</v>
      </c>
      <c r="F3220" s="1">
        <v>1250000</v>
      </c>
      <c r="G3220" s="1">
        <v>19</v>
      </c>
      <c r="H3220" s="1" t="str" cm="1">
        <f t="array" ref="H3220">_xlfn.IFS( OR(G3220=" ",NOT(ISNUMBER(G3220))),"Unknown",G3220&lt;=33,"Low Spender",G3220&lt;=66,"Medium Spender",TRUE, "High Spender")</f>
        <v>Low Spender</v>
      </c>
      <c r="I3220" s="1">
        <v>30</v>
      </c>
      <c r="J3220" s="1">
        <v>2700</v>
      </c>
      <c r="K3220" s="1">
        <v>116</v>
      </c>
      <c r="L3220" s="1" t="s">
        <v>20</v>
      </c>
      <c r="M3220" s="1" t="s">
        <v>30</v>
      </c>
      <c r="N3220" s="1" t="str">
        <f t="shared" si="100"/>
        <v>Higher</v>
      </c>
      <c r="O3220" s="1" t="str">
        <f t="shared" si="101"/>
        <v>Early Career | Low Spender | Higher</v>
      </c>
    </row>
    <row r="3221" spans="1:15" x14ac:dyDescent="0.25">
      <c r="A3221" s="1" t="s">
        <v>3251</v>
      </c>
      <c r="B3221" s="1">
        <v>39</v>
      </c>
      <c r="C3221" s="1" t="str" cm="1">
        <f t="array" ref="C3221">_xlfn.IFS(OR(B3221=" ", B3221="NA",NOT(ISNUMBER(B3221))), "Unknown",B3221&lt;18,"Underage",B3221&lt;=24,"Young Adult",B3221&lt;=34,"Early Career",B3221&lt;=44,"Mid Career",B3221&lt;=54,"Mature",B3221&lt;=65,"Pre-Senior",B3221&gt;65,"Senior")</f>
        <v>Mid Career</v>
      </c>
      <c r="D3221" s="1" t="s">
        <v>12</v>
      </c>
      <c r="E3221" s="1" t="s">
        <v>19</v>
      </c>
      <c r="F3221" s="1">
        <v>1300000</v>
      </c>
      <c r="G3221" s="1">
        <v>4</v>
      </c>
      <c r="H3221" s="1" t="str" cm="1">
        <f t="array" ref="H3221">_xlfn.IFS( OR(G3221=" ",NOT(ISNUMBER(G3221))),"Unknown",G3221&lt;=33,"Low Spender",G3221&lt;=66,"Medium Spender",TRUE, "High Spender")</f>
        <v>Low Spender</v>
      </c>
      <c r="I3221" s="1">
        <v>48</v>
      </c>
      <c r="J3221" s="1">
        <v>4600</v>
      </c>
      <c r="K3221" s="1">
        <v>115</v>
      </c>
      <c r="M3221" s="1" t="s">
        <v>30</v>
      </c>
      <c r="N3221" s="1" t="str">
        <f t="shared" si="100"/>
        <v>Lower</v>
      </c>
      <c r="O3221" s="1" t="str">
        <f t="shared" si="101"/>
        <v>Mid Career | Low Spender | Lower</v>
      </c>
    </row>
    <row r="3222" spans="1:15" x14ac:dyDescent="0.25">
      <c r="A3222" s="1" t="s">
        <v>3252</v>
      </c>
      <c r="B3222" s="1">
        <v>60</v>
      </c>
      <c r="C3222" s="1" t="str" cm="1">
        <f t="array" ref="C3222">_xlfn.IFS(OR(B3222=" ", B3222="NA",NOT(ISNUMBER(B3222))), "Unknown",B3222&lt;18,"Underage",B3222&lt;=24,"Young Adult",B3222&lt;=34,"Early Career",B3222&lt;=44,"Mid Career",B3222&lt;=54,"Mature",B3222&lt;=65,"Pre-Senior",B3222&gt;65,"Senior")</f>
        <v>Pre-Senior</v>
      </c>
      <c r="D3222" s="1" t="s">
        <v>12</v>
      </c>
      <c r="E3222" s="1" t="s">
        <v>13</v>
      </c>
      <c r="F3222" s="1">
        <v>1800000</v>
      </c>
      <c r="G3222" s="1">
        <v>77</v>
      </c>
      <c r="H3222" s="1" t="str" cm="1">
        <f t="array" ref="H3222">_xlfn.IFS( OR(G3222=" ",NOT(ISNUMBER(G3222))),"Unknown",G3222&lt;=33,"Low Spender",G3222&lt;=66,"Medium Spender",TRUE, "High Spender")</f>
        <v>High Spender</v>
      </c>
      <c r="I3222" s="1">
        <v>31</v>
      </c>
      <c r="J3222" s="1">
        <v>1600</v>
      </c>
      <c r="K3222" s="1">
        <v>142</v>
      </c>
      <c r="L3222" s="1" t="s">
        <v>37</v>
      </c>
      <c r="N3222" s="1" t="str">
        <f t="shared" si="100"/>
        <v>Lower</v>
      </c>
      <c r="O3222" s="1" t="str">
        <f t="shared" si="101"/>
        <v>Pre-Senior | High Spender | Lower</v>
      </c>
    </row>
    <row r="3223" spans="1:15" x14ac:dyDescent="0.25">
      <c r="A3223" s="1" t="s">
        <v>3253</v>
      </c>
      <c r="B3223" s="1">
        <v>54</v>
      </c>
      <c r="C3223" s="1" t="str" cm="1">
        <f t="array" ref="C3223">_xlfn.IFS(OR(B3223=" ", B3223="NA",NOT(ISNUMBER(B3223))), "Unknown",B3223&lt;18,"Underage",B3223&lt;=24,"Young Adult",B3223&lt;=34,"Early Career",B3223&lt;=44,"Mid Career",B3223&lt;=54,"Mature",B3223&lt;=65,"Pre-Senior",B3223&gt;65,"Senior")</f>
        <v>Mature</v>
      </c>
      <c r="D3223" s="1" t="s">
        <v>12</v>
      </c>
      <c r="F3223" s="1">
        <v>725000</v>
      </c>
      <c r="G3223" s="1">
        <v>82</v>
      </c>
      <c r="H3223" s="1" t="str" cm="1">
        <f t="array" ref="H3223">_xlfn.IFS( OR(G3223=" ",NOT(ISNUMBER(G3223))),"Unknown",G3223&lt;=33,"Low Spender",G3223&lt;=66,"Medium Spender",TRUE, "High Spender")</f>
        <v>High Spender</v>
      </c>
      <c r="I3223" s="1">
        <v>25</v>
      </c>
      <c r="J3223" s="1">
        <v>7100</v>
      </c>
      <c r="K3223" s="1">
        <v>119</v>
      </c>
      <c r="L3223" s="1" t="s">
        <v>20</v>
      </c>
      <c r="M3223" s="1" t="s">
        <v>30</v>
      </c>
      <c r="N3223" s="1" t="str">
        <f t="shared" si="100"/>
        <v>Lower</v>
      </c>
      <c r="O3223" s="1" t="str">
        <f t="shared" si="101"/>
        <v>Mature | High Spender | Lower</v>
      </c>
    </row>
    <row r="3224" spans="1:15" x14ac:dyDescent="0.25">
      <c r="A3224" s="1" t="s">
        <v>3254</v>
      </c>
      <c r="B3224" s="1">
        <v>50</v>
      </c>
      <c r="C3224" s="1" t="str" cm="1">
        <f t="array" ref="C3224">_xlfn.IFS(OR(B3224=" ", B3224="NA",NOT(ISNUMBER(B3224))), "Unknown",B3224&lt;18,"Underage",B3224&lt;=24,"Young Adult",B3224&lt;=34,"Early Career",B3224&lt;=44,"Mid Career",B3224&lt;=54,"Mature",B3224&lt;=65,"Pre-Senior",B3224&gt;65,"Senior")</f>
        <v>Mature</v>
      </c>
      <c r="F3224" s="1">
        <v>375000</v>
      </c>
      <c r="G3224" s="1">
        <v>29</v>
      </c>
      <c r="H3224" s="1" t="str" cm="1">
        <f t="array" ref="H3224">_xlfn.IFS( OR(G3224=" ",NOT(ISNUMBER(G3224))),"Unknown",G3224&lt;=33,"Low Spender",G3224&lt;=66,"Medium Spender",TRUE, "High Spender")</f>
        <v>Low Spender</v>
      </c>
      <c r="I3224" s="1">
        <v>68</v>
      </c>
      <c r="J3224" s="1">
        <v>6100</v>
      </c>
      <c r="K3224" s="1">
        <v>93</v>
      </c>
      <c r="M3224" s="1" t="s">
        <v>21</v>
      </c>
      <c r="N3224" s="1" t="str">
        <f t="shared" si="100"/>
        <v>Lower</v>
      </c>
      <c r="O3224" s="1" t="str">
        <f t="shared" si="101"/>
        <v>Mature | Low Spender | Lower</v>
      </c>
    </row>
    <row r="3225" spans="1:15" x14ac:dyDescent="0.25">
      <c r="A3225" s="1" t="s">
        <v>3255</v>
      </c>
      <c r="B3225" s="1">
        <v>20</v>
      </c>
      <c r="C3225" s="1" t="str" cm="1">
        <f t="array" ref="C3225">_xlfn.IFS(OR(B3225=" ", B3225="NA",NOT(ISNUMBER(B3225))), "Unknown",B3225&lt;18,"Underage",B3225&lt;=24,"Young Adult",B3225&lt;=34,"Early Career",B3225&lt;=44,"Mid Career",B3225&lt;=54,"Mature",B3225&lt;=65,"Pre-Senior",B3225&gt;65,"Senior")</f>
        <v>Young Adult</v>
      </c>
      <c r="D3225" s="1" t="s">
        <v>18</v>
      </c>
      <c r="E3225" s="1" t="s">
        <v>15</v>
      </c>
      <c r="F3225" s="1">
        <v>1950000</v>
      </c>
      <c r="G3225" s="1">
        <v>25</v>
      </c>
      <c r="H3225" s="1" t="str" cm="1">
        <f t="array" ref="H3225">_xlfn.IFS( OR(G3225=" ",NOT(ISNUMBER(G3225))),"Unknown",G3225&lt;=33,"Low Spender",G3225&lt;=66,"Medium Spender",TRUE, "High Spender")</f>
        <v>Low Spender</v>
      </c>
      <c r="I3225" s="1">
        <v>51</v>
      </c>
      <c r="J3225" s="1">
        <v>5800</v>
      </c>
      <c r="K3225" s="1">
        <v>9</v>
      </c>
      <c r="N3225" s="1" t="str">
        <f t="shared" si="100"/>
        <v>Higher</v>
      </c>
      <c r="O3225" s="1" t="str">
        <f t="shared" si="101"/>
        <v>Young Adult | Low Spender | Higher</v>
      </c>
    </row>
    <row r="3226" spans="1:15" x14ac:dyDescent="0.25">
      <c r="A3226" s="1" t="s">
        <v>3256</v>
      </c>
      <c r="C3226" s="1" t="str" cm="1">
        <f t="array" ref="C3226">_xlfn.IFS(OR(B3226=" ", B3226="NA",NOT(ISNUMBER(B3226))), "Unknown",B3226&lt;18,"Underage",B3226&lt;=24,"Young Adult",B3226&lt;=34,"Early Career",B3226&lt;=44,"Mid Career",B3226&lt;=54,"Mature",B3226&lt;=65,"Pre-Senior",B3226&gt;65,"Senior")</f>
        <v>Unknown</v>
      </c>
      <c r="D3226" s="1" t="s">
        <v>18</v>
      </c>
      <c r="E3226" s="1" t="s">
        <v>49</v>
      </c>
      <c r="F3226" s="1" t="s">
        <v>25</v>
      </c>
      <c r="G3226" s="1">
        <v>56</v>
      </c>
      <c r="H3226" s="1" t="str" cm="1">
        <f t="array" ref="H3226">_xlfn.IFS( OR(G3226=" ",NOT(ISNUMBER(G3226))),"Unknown",G3226&lt;=33,"Low Spender",G3226&lt;=66,"Medium Spender",TRUE, "High Spender")</f>
        <v>Medium Spender</v>
      </c>
      <c r="I3226" s="1">
        <v>13</v>
      </c>
      <c r="J3226" s="1">
        <v>10800</v>
      </c>
      <c r="K3226" s="1">
        <v>73</v>
      </c>
      <c r="L3226" s="1" t="s">
        <v>35</v>
      </c>
      <c r="N3226" s="1" t="str">
        <f t="shared" si="100"/>
        <v>Higher</v>
      </c>
      <c r="O3226" s="1" t="str">
        <f t="shared" si="101"/>
        <v>Unknown | Medium Spender | Higher</v>
      </c>
    </row>
    <row r="3227" spans="1:15" x14ac:dyDescent="0.25">
      <c r="A3227" s="1" t="s">
        <v>3257</v>
      </c>
      <c r="B3227" s="1">
        <v>36</v>
      </c>
      <c r="C3227" s="1" t="str" cm="1">
        <f t="array" ref="C3227">_xlfn.IFS(OR(B3227=" ", B3227="NA",NOT(ISNUMBER(B3227))), "Unknown",B3227&lt;18,"Underage",B3227&lt;=24,"Young Adult",B3227&lt;=34,"Early Career",B3227&lt;=44,"Mid Career",B3227&lt;=54,"Mature",B3227&lt;=65,"Pre-Senior",B3227&gt;65,"Senior")</f>
        <v>Mid Career</v>
      </c>
      <c r="D3227" s="1" t="s">
        <v>29</v>
      </c>
      <c r="E3227" s="1" t="s">
        <v>49</v>
      </c>
      <c r="F3227" s="1">
        <v>1325000</v>
      </c>
      <c r="G3227" s="1">
        <v>77</v>
      </c>
      <c r="H3227" s="1" t="str" cm="1">
        <f t="array" ref="H3227">_xlfn.IFS( OR(G3227=" ",NOT(ISNUMBER(G3227))),"Unknown",G3227&lt;=33,"Low Spender",G3227&lt;=66,"Medium Spender",TRUE, "High Spender")</f>
        <v>High Spender</v>
      </c>
      <c r="I3227" s="1">
        <v>63</v>
      </c>
      <c r="J3227" s="1">
        <v>5400</v>
      </c>
      <c r="K3227" s="1">
        <v>26</v>
      </c>
      <c r="L3227" s="1" t="s">
        <v>20</v>
      </c>
      <c r="M3227" s="1" t="s">
        <v>32</v>
      </c>
      <c r="N3227" s="1" t="str">
        <f t="shared" si="100"/>
        <v>Higher</v>
      </c>
      <c r="O3227" s="1" t="str">
        <f t="shared" si="101"/>
        <v>Mid Career | High Spender | Higher</v>
      </c>
    </row>
    <row r="3228" spans="1:15" x14ac:dyDescent="0.25">
      <c r="A3228" s="1" t="s">
        <v>3258</v>
      </c>
      <c r="B3228" s="1">
        <v>40</v>
      </c>
      <c r="C3228" s="1" t="str" cm="1">
        <f t="array" ref="C3228">_xlfn.IFS(OR(B3228=" ", B3228="NA",NOT(ISNUMBER(B3228))), "Unknown",B3228&lt;18,"Underage",B3228&lt;=24,"Young Adult",B3228&lt;=34,"Early Career",B3228&lt;=44,"Mid Career",B3228&lt;=54,"Mature",B3228&lt;=65,"Pre-Senior",B3228&gt;65,"Senior")</f>
        <v>Mid Career</v>
      </c>
      <c r="E3228" s="1" t="s">
        <v>19</v>
      </c>
      <c r="F3228" s="1">
        <v>1000000</v>
      </c>
      <c r="G3228" s="1">
        <v>63</v>
      </c>
      <c r="H3228" s="1" t="str" cm="1">
        <f t="array" ref="H3228">_xlfn.IFS( OR(G3228=" ",NOT(ISNUMBER(G3228))),"Unknown",G3228&lt;=33,"Low Spender",G3228&lt;=66,"Medium Spender",TRUE, "High Spender")</f>
        <v>Medium Spender</v>
      </c>
      <c r="I3228" s="1">
        <v>42</v>
      </c>
      <c r="J3228" s="1">
        <v>6800</v>
      </c>
      <c r="K3228" s="1">
        <v>239</v>
      </c>
      <c r="N3228" s="1" t="str">
        <f t="shared" si="100"/>
        <v>Lower</v>
      </c>
      <c r="O3228" s="1" t="str">
        <f t="shared" si="101"/>
        <v>Mid Career | Medium Spender | Lower</v>
      </c>
    </row>
    <row r="3229" spans="1:15" x14ac:dyDescent="0.25">
      <c r="A3229" s="1" t="s">
        <v>3259</v>
      </c>
      <c r="B3229" s="1">
        <v>46</v>
      </c>
      <c r="C3229" s="1" t="str" cm="1">
        <f t="array" ref="C3229">_xlfn.IFS(OR(B3229=" ", B3229="NA",NOT(ISNUMBER(B3229))), "Unknown",B3229&lt;18,"Underage",B3229&lt;=24,"Young Adult",B3229&lt;=34,"Early Career",B3229&lt;=44,"Mid Career",B3229&lt;=54,"Mature",B3229&lt;=65,"Pre-Senior",B3229&gt;65,"Senior")</f>
        <v>Mature</v>
      </c>
      <c r="D3229" s="1" t="s">
        <v>12</v>
      </c>
      <c r="E3229" s="1" t="s">
        <v>49</v>
      </c>
      <c r="F3229" s="1">
        <v>1475000</v>
      </c>
      <c r="G3229" s="1">
        <v>27</v>
      </c>
      <c r="H3229" s="1" t="str" cm="1">
        <f t="array" ref="H3229">_xlfn.IFS( OR(G3229=" ",NOT(ISNUMBER(G3229))),"Unknown",G3229&lt;=33,"Low Spender",G3229&lt;=66,"Medium Spender",TRUE, "High Spender")</f>
        <v>Low Spender</v>
      </c>
      <c r="I3229" s="1">
        <v>54</v>
      </c>
      <c r="J3229" s="1">
        <v>7000</v>
      </c>
      <c r="K3229" s="1">
        <v>362</v>
      </c>
      <c r="L3229" s="1" t="s">
        <v>37</v>
      </c>
      <c r="N3229" s="1" t="str">
        <f t="shared" si="100"/>
        <v>Lower</v>
      </c>
      <c r="O3229" s="1" t="str">
        <f t="shared" si="101"/>
        <v>Mature | Low Spender | Lower</v>
      </c>
    </row>
    <row r="3230" spans="1:15" x14ac:dyDescent="0.25">
      <c r="A3230" s="1" t="s">
        <v>3260</v>
      </c>
      <c r="B3230" s="1">
        <v>47</v>
      </c>
      <c r="C3230" s="1" t="str" cm="1">
        <f t="array" ref="C3230">_xlfn.IFS(OR(B3230=" ", B3230="NA",NOT(ISNUMBER(B3230))), "Unknown",B3230&lt;18,"Underage",B3230&lt;=24,"Young Adult",B3230&lt;=34,"Early Career",B3230&lt;=44,"Mid Career",B3230&lt;=54,"Mature",B3230&lt;=65,"Pre-Senior",B3230&gt;65,"Senior")</f>
        <v>Mature</v>
      </c>
      <c r="E3230" s="1" t="s">
        <v>19</v>
      </c>
      <c r="F3230" s="1">
        <v>1900000</v>
      </c>
      <c r="G3230" s="1">
        <v>60</v>
      </c>
      <c r="H3230" s="1" t="str" cm="1">
        <f t="array" ref="H3230">_xlfn.IFS( OR(G3230=" ",NOT(ISNUMBER(G3230))),"Unknown",G3230&lt;=33,"Low Spender",G3230&lt;=66,"Medium Spender",TRUE, "High Spender")</f>
        <v>Medium Spender</v>
      </c>
      <c r="I3230" s="1">
        <v>67</v>
      </c>
      <c r="J3230" s="1">
        <v>1400</v>
      </c>
      <c r="K3230" s="1">
        <v>145</v>
      </c>
      <c r="L3230" s="1" t="s">
        <v>35</v>
      </c>
      <c r="M3230" s="1" t="s">
        <v>32</v>
      </c>
      <c r="N3230" s="1" t="str">
        <f t="shared" si="100"/>
        <v>Lower</v>
      </c>
      <c r="O3230" s="1" t="str">
        <f t="shared" si="101"/>
        <v>Mature | Medium Spender | Lower</v>
      </c>
    </row>
    <row r="3231" spans="1:15" x14ac:dyDescent="0.25">
      <c r="A3231" s="1" t="s">
        <v>3261</v>
      </c>
      <c r="B3231" s="1">
        <v>56</v>
      </c>
      <c r="C3231" s="1" t="str" cm="1">
        <f t="array" ref="C3231">_xlfn.IFS(OR(B3231=" ", B3231="NA",NOT(ISNUMBER(B3231))), "Unknown",B3231&lt;18,"Underage",B3231&lt;=24,"Young Adult",B3231&lt;=34,"Early Career",B3231&lt;=44,"Mid Career",B3231&lt;=54,"Mature",B3231&lt;=65,"Pre-Senior",B3231&gt;65,"Senior")</f>
        <v>Pre-Senior</v>
      </c>
      <c r="D3231" s="1" t="s">
        <v>12</v>
      </c>
      <c r="E3231" s="1" t="s">
        <v>15</v>
      </c>
      <c r="F3231" s="1">
        <v>525000</v>
      </c>
      <c r="G3231" s="1">
        <v>83</v>
      </c>
      <c r="H3231" s="1" t="str" cm="1">
        <f t="array" ref="H3231">_xlfn.IFS( OR(G3231=" ",NOT(ISNUMBER(G3231))),"Unknown",G3231&lt;=33,"Low Spender",G3231&lt;=66,"Medium Spender",TRUE, "High Spender")</f>
        <v>High Spender</v>
      </c>
      <c r="J3231" s="1">
        <v>7700</v>
      </c>
      <c r="K3231" s="1">
        <v>68</v>
      </c>
      <c r="L3231" s="1" t="s">
        <v>20</v>
      </c>
      <c r="M3231" s="1" t="s">
        <v>21</v>
      </c>
      <c r="N3231" s="1" t="str">
        <f t="shared" si="100"/>
        <v>Lower</v>
      </c>
      <c r="O3231" s="1" t="str">
        <f t="shared" si="101"/>
        <v>Pre-Senior | High Spender | Lower</v>
      </c>
    </row>
    <row r="3232" spans="1:15" x14ac:dyDescent="0.25">
      <c r="A3232" s="1" t="s">
        <v>3262</v>
      </c>
      <c r="B3232" s="1">
        <v>61</v>
      </c>
      <c r="C3232" s="1" t="str" cm="1">
        <f t="array" ref="C3232">_xlfn.IFS(OR(B3232=" ", B3232="NA",NOT(ISNUMBER(B3232))), "Unknown",B3232&lt;18,"Underage",B3232&lt;=24,"Young Adult",B3232&lt;=34,"Early Career",B3232&lt;=44,"Mid Career",B3232&lt;=54,"Mature",B3232&lt;=65,"Pre-Senior",B3232&gt;65,"Senior")</f>
        <v>Pre-Senior</v>
      </c>
      <c r="E3232" s="1" t="s">
        <v>19</v>
      </c>
      <c r="F3232" s="1">
        <v>1450000</v>
      </c>
      <c r="G3232" s="1">
        <v>49</v>
      </c>
      <c r="H3232" s="1" t="str" cm="1">
        <f t="array" ref="H3232">_xlfn.IFS( OR(G3232=" ",NOT(ISNUMBER(G3232))),"Unknown",G3232&lt;=33,"Low Spender",G3232&lt;=66,"Medium Spender",TRUE, "High Spender")</f>
        <v>Medium Spender</v>
      </c>
      <c r="I3232" s="1">
        <v>56</v>
      </c>
      <c r="J3232" s="1">
        <v>7000</v>
      </c>
      <c r="K3232" s="1">
        <v>188</v>
      </c>
      <c r="L3232" s="1" t="s">
        <v>35</v>
      </c>
      <c r="N3232" s="1" t="str">
        <f t="shared" si="100"/>
        <v>Lower</v>
      </c>
      <c r="O3232" s="1" t="str">
        <f t="shared" si="101"/>
        <v>Pre-Senior | Medium Spender | Lower</v>
      </c>
    </row>
    <row r="3233" spans="1:15" x14ac:dyDescent="0.25">
      <c r="A3233" s="1" t="s">
        <v>3263</v>
      </c>
      <c r="B3233" s="1">
        <v>64</v>
      </c>
      <c r="C3233" s="1" t="str" cm="1">
        <f t="array" ref="C3233">_xlfn.IFS(OR(B3233=" ", B3233="NA",NOT(ISNUMBER(B3233))), "Unknown",B3233&lt;18,"Underage",B3233&lt;=24,"Young Adult",B3233&lt;=34,"Early Career",B3233&lt;=44,"Mid Career",B3233&lt;=54,"Mature",B3233&lt;=65,"Pre-Senior",B3233&gt;65,"Senior")</f>
        <v>Pre-Senior</v>
      </c>
      <c r="E3233" s="1" t="s">
        <v>13</v>
      </c>
      <c r="F3233" s="1">
        <v>1125000</v>
      </c>
      <c r="G3233" s="1">
        <v>65</v>
      </c>
      <c r="H3233" s="1" t="str" cm="1">
        <f t="array" ref="H3233">_xlfn.IFS( OR(G3233=" ",NOT(ISNUMBER(G3233))),"Unknown",G3233&lt;=33,"Low Spender",G3233&lt;=66,"Medium Spender",TRUE, "High Spender")</f>
        <v>Medium Spender</v>
      </c>
      <c r="I3233" s="1">
        <v>19</v>
      </c>
      <c r="J3233" s="1">
        <v>4500</v>
      </c>
      <c r="L3233" s="1" t="s">
        <v>20</v>
      </c>
      <c r="N3233" s="1" t="str">
        <f t="shared" si="100"/>
        <v>Lower</v>
      </c>
      <c r="O3233" s="1" t="str">
        <f t="shared" si="101"/>
        <v>Pre-Senior | Medium Spender | Lower</v>
      </c>
    </row>
    <row r="3234" spans="1:15" x14ac:dyDescent="0.25">
      <c r="A3234" s="1" t="s">
        <v>3264</v>
      </c>
      <c r="B3234" s="1">
        <v>42</v>
      </c>
      <c r="C3234" s="1" t="str" cm="1">
        <f t="array" ref="C3234">_xlfn.IFS(OR(B3234=" ", B3234="NA",NOT(ISNUMBER(B3234))), "Unknown",B3234&lt;18,"Underage",B3234&lt;=24,"Young Adult",B3234&lt;=34,"Early Career",B3234&lt;=44,"Mid Career",B3234&lt;=54,"Mature",B3234&lt;=65,"Pre-Senior",B3234&gt;65,"Senior")</f>
        <v>Mid Career</v>
      </c>
      <c r="D3234" s="1" t="s">
        <v>18</v>
      </c>
      <c r="F3234" s="1">
        <v>625000</v>
      </c>
      <c r="G3234" s="1">
        <v>38</v>
      </c>
      <c r="H3234" s="1" t="str" cm="1">
        <f t="array" ref="H3234">_xlfn.IFS( OR(G3234=" ",NOT(ISNUMBER(G3234))),"Unknown",G3234&lt;=33,"Low Spender",G3234&lt;=66,"Medium Spender",TRUE, "High Spender")</f>
        <v>Medium Spender</v>
      </c>
      <c r="I3234" s="1">
        <v>46</v>
      </c>
      <c r="J3234" s="1">
        <v>7500</v>
      </c>
      <c r="K3234" s="1">
        <v>131</v>
      </c>
      <c r="L3234" s="1" t="s">
        <v>20</v>
      </c>
      <c r="M3234" s="1" t="s">
        <v>41</v>
      </c>
      <c r="N3234" s="1" t="str">
        <f t="shared" si="100"/>
        <v>Higher</v>
      </c>
      <c r="O3234" s="1" t="str">
        <f t="shared" si="101"/>
        <v>Mid Career | Medium Spender | Higher</v>
      </c>
    </row>
    <row r="3235" spans="1:15" x14ac:dyDescent="0.25">
      <c r="A3235" s="1" t="s">
        <v>3265</v>
      </c>
      <c r="B3235" s="1">
        <v>54</v>
      </c>
      <c r="C3235" s="1" t="str" cm="1">
        <f t="array" ref="C3235">_xlfn.IFS(OR(B3235=" ", B3235="NA",NOT(ISNUMBER(B3235))), "Unknown",B3235&lt;18,"Underage",B3235&lt;=24,"Young Adult",B3235&lt;=34,"Early Career",B3235&lt;=44,"Mid Career",B3235&lt;=54,"Mature",B3235&lt;=65,"Pre-Senior",B3235&gt;65,"Senior")</f>
        <v>Mature</v>
      </c>
      <c r="D3235" s="1" t="s">
        <v>12</v>
      </c>
      <c r="E3235" s="1" t="s">
        <v>23</v>
      </c>
      <c r="F3235" s="1">
        <v>1850000</v>
      </c>
      <c r="G3235" s="1">
        <v>83</v>
      </c>
      <c r="H3235" s="1" t="str" cm="1">
        <f t="array" ref="H3235">_xlfn.IFS( OR(G3235=" ",NOT(ISNUMBER(G3235))),"Unknown",G3235&lt;=33,"Low Spender",G3235&lt;=66,"Medium Spender",TRUE, "High Spender")</f>
        <v>High Spender</v>
      </c>
      <c r="I3235" s="1">
        <v>15</v>
      </c>
      <c r="J3235" s="1">
        <v>7600</v>
      </c>
      <c r="K3235" s="1">
        <v>221</v>
      </c>
      <c r="L3235" s="1" t="s">
        <v>16</v>
      </c>
      <c r="M3235" s="1" t="s">
        <v>32</v>
      </c>
      <c r="N3235" s="1" t="str">
        <f t="shared" si="100"/>
        <v>Lower</v>
      </c>
      <c r="O3235" s="1" t="str">
        <f t="shared" si="101"/>
        <v>Mature | High Spender | Lower</v>
      </c>
    </row>
    <row r="3236" spans="1:15" x14ac:dyDescent="0.25">
      <c r="A3236" s="1" t="s">
        <v>3266</v>
      </c>
      <c r="B3236" s="1">
        <v>64</v>
      </c>
      <c r="C3236" s="1" t="str" cm="1">
        <f t="array" ref="C3236">_xlfn.IFS(OR(B3236=" ", B3236="NA",NOT(ISNUMBER(B3236))), "Unknown",B3236&lt;18,"Underage",B3236&lt;=24,"Young Adult",B3236&lt;=34,"Early Career",B3236&lt;=44,"Mid Career",B3236&lt;=54,"Mature",B3236&lt;=65,"Pre-Senior",B3236&gt;65,"Senior")</f>
        <v>Pre-Senior</v>
      </c>
      <c r="E3236" s="1" t="s">
        <v>27</v>
      </c>
      <c r="F3236" s="1">
        <v>1250000</v>
      </c>
      <c r="G3236" s="1">
        <v>52</v>
      </c>
      <c r="H3236" s="1" t="str" cm="1">
        <f t="array" ref="H3236">_xlfn.IFS( OR(G3236=" ",NOT(ISNUMBER(G3236))),"Unknown",G3236&lt;=33,"Low Spender",G3236&lt;=66,"Medium Spender",TRUE, "High Spender")</f>
        <v>Medium Spender</v>
      </c>
      <c r="I3236" s="1">
        <v>32</v>
      </c>
      <c r="J3236" s="1">
        <v>9300</v>
      </c>
      <c r="K3236" s="1">
        <v>281</v>
      </c>
      <c r="M3236" s="1" t="s">
        <v>21</v>
      </c>
      <c r="N3236" s="1" t="str">
        <f t="shared" si="100"/>
        <v>Lower</v>
      </c>
      <c r="O3236" s="1" t="str">
        <f t="shared" si="101"/>
        <v>Pre-Senior | Medium Spender | Lower</v>
      </c>
    </row>
    <row r="3237" spans="1:15" x14ac:dyDescent="0.25">
      <c r="A3237" s="1" t="s">
        <v>3267</v>
      </c>
      <c r="B3237" s="1">
        <v>25</v>
      </c>
      <c r="C3237" s="1" t="str" cm="1">
        <f t="array" ref="C3237">_xlfn.IFS(OR(B3237=" ", B3237="NA",NOT(ISNUMBER(B3237))), "Unknown",B3237&lt;18,"Underage",B3237&lt;=24,"Young Adult",B3237&lt;=34,"Early Career",B3237&lt;=44,"Mid Career",B3237&lt;=54,"Mature",B3237&lt;=65,"Pre-Senior",B3237&gt;65,"Senior")</f>
        <v>Early Career</v>
      </c>
      <c r="D3237" s="1" t="s">
        <v>18</v>
      </c>
      <c r="F3237" s="1">
        <v>275000</v>
      </c>
      <c r="G3237" s="1">
        <v>1</v>
      </c>
      <c r="H3237" s="1" t="str" cm="1">
        <f t="array" ref="H3237">_xlfn.IFS( OR(G3237=" ",NOT(ISNUMBER(G3237))),"Unknown",G3237&lt;=33,"Low Spender",G3237&lt;=66,"Medium Spender",TRUE, "High Spender")</f>
        <v>Low Spender</v>
      </c>
      <c r="I3237" s="1">
        <v>49</v>
      </c>
      <c r="J3237" s="1">
        <v>800</v>
      </c>
      <c r="K3237" s="1">
        <v>277</v>
      </c>
      <c r="L3237" s="1" t="s">
        <v>20</v>
      </c>
      <c r="M3237" s="1" t="s">
        <v>21</v>
      </c>
      <c r="N3237" s="1" t="str">
        <f t="shared" si="100"/>
        <v>Higher</v>
      </c>
      <c r="O3237" s="1" t="str">
        <f t="shared" si="101"/>
        <v>Early Career | Low Spender | Higher</v>
      </c>
    </row>
    <row r="3238" spans="1:15" x14ac:dyDescent="0.25">
      <c r="A3238" s="1" t="s">
        <v>3268</v>
      </c>
      <c r="B3238" s="1">
        <v>59</v>
      </c>
      <c r="C3238" s="1" t="str" cm="1">
        <f t="array" ref="C3238">_xlfn.IFS(OR(B3238=" ", B3238="NA",NOT(ISNUMBER(B3238))), "Unknown",B3238&lt;18,"Underage",B3238&lt;=24,"Young Adult",B3238&lt;=34,"Early Career",B3238&lt;=44,"Mid Career",B3238&lt;=54,"Mature",B3238&lt;=65,"Pre-Senior",B3238&gt;65,"Senior")</f>
        <v>Pre-Senior</v>
      </c>
      <c r="D3238" s="1" t="s">
        <v>18</v>
      </c>
      <c r="F3238" s="1">
        <v>1850000</v>
      </c>
      <c r="G3238" s="1">
        <v>40</v>
      </c>
      <c r="H3238" s="1" t="str" cm="1">
        <f t="array" ref="H3238">_xlfn.IFS( OR(G3238=" ",NOT(ISNUMBER(G3238))),"Unknown",G3238&lt;=33,"Low Spender",G3238&lt;=66,"Medium Spender",TRUE, "High Spender")</f>
        <v>Medium Spender</v>
      </c>
      <c r="I3238" s="1">
        <v>21</v>
      </c>
      <c r="J3238" s="1">
        <v>1700</v>
      </c>
      <c r="K3238" s="1">
        <v>140</v>
      </c>
      <c r="L3238" s="1" t="s">
        <v>37</v>
      </c>
      <c r="M3238" s="1" t="s">
        <v>21</v>
      </c>
      <c r="N3238" s="1" t="str">
        <f t="shared" si="100"/>
        <v>Higher</v>
      </c>
      <c r="O3238" s="1" t="str">
        <f t="shared" si="101"/>
        <v>Pre-Senior | Medium Spender | Higher</v>
      </c>
    </row>
    <row r="3239" spans="1:15" x14ac:dyDescent="0.25">
      <c r="A3239" s="1" t="s">
        <v>3269</v>
      </c>
      <c r="B3239" s="1">
        <v>33</v>
      </c>
      <c r="C3239" s="1" t="str" cm="1">
        <f t="array" ref="C3239">_xlfn.IFS(OR(B3239=" ", B3239="NA",NOT(ISNUMBER(B3239))), "Unknown",B3239&lt;18,"Underage",B3239&lt;=24,"Young Adult",B3239&lt;=34,"Early Career",B3239&lt;=44,"Mid Career",B3239&lt;=54,"Mature",B3239&lt;=65,"Pre-Senior",B3239&gt;65,"Senior")</f>
        <v>Early Career</v>
      </c>
      <c r="D3239" s="1" t="s">
        <v>12</v>
      </c>
      <c r="E3239" s="1" t="s">
        <v>34</v>
      </c>
      <c r="F3239" s="1">
        <v>1350000</v>
      </c>
      <c r="G3239" s="1">
        <v>81</v>
      </c>
      <c r="H3239" s="1" t="str" cm="1">
        <f t="array" ref="H3239">_xlfn.IFS( OR(G3239=" ",NOT(ISNUMBER(G3239))),"Unknown",G3239&lt;=33,"Low Spender",G3239&lt;=66,"Medium Spender",TRUE, "High Spender")</f>
        <v>High Spender</v>
      </c>
      <c r="I3239" s="1">
        <v>65</v>
      </c>
      <c r="J3239" s="1">
        <v>4400</v>
      </c>
      <c r="K3239" s="1">
        <v>54</v>
      </c>
      <c r="N3239" s="1" t="str">
        <f t="shared" si="100"/>
        <v>Lower</v>
      </c>
      <c r="O3239" s="1" t="str">
        <f t="shared" si="101"/>
        <v>Early Career | High Spender | Lower</v>
      </c>
    </row>
    <row r="3240" spans="1:15" x14ac:dyDescent="0.25">
      <c r="A3240" s="1" t="s">
        <v>3270</v>
      </c>
      <c r="B3240" s="1">
        <v>25</v>
      </c>
      <c r="C3240" s="1" t="str" cm="1">
        <f t="array" ref="C3240">_xlfn.IFS(OR(B3240=" ", B3240="NA",NOT(ISNUMBER(B3240))), "Unknown",B3240&lt;18,"Underage",B3240&lt;=24,"Young Adult",B3240&lt;=34,"Early Career",B3240&lt;=44,"Mid Career",B3240&lt;=54,"Mature",B3240&lt;=65,"Pre-Senior",B3240&gt;65,"Senior")</f>
        <v>Early Career</v>
      </c>
      <c r="F3240" s="1">
        <v>1100000</v>
      </c>
      <c r="G3240" s="1">
        <v>21</v>
      </c>
      <c r="H3240" s="1" t="str" cm="1">
        <f t="array" ref="H3240">_xlfn.IFS( OR(G3240=" ",NOT(ISNUMBER(G3240))),"Unknown",G3240&lt;=33,"Low Spender",G3240&lt;=66,"Medium Spender",TRUE, "High Spender")</f>
        <v>Low Spender</v>
      </c>
      <c r="I3240" s="1">
        <v>70</v>
      </c>
      <c r="J3240" s="1">
        <v>3300</v>
      </c>
      <c r="K3240" s="1">
        <v>1</v>
      </c>
      <c r="M3240" s="1" t="s">
        <v>30</v>
      </c>
      <c r="N3240" s="1" t="str">
        <f t="shared" si="100"/>
        <v>Lower</v>
      </c>
      <c r="O3240" s="1" t="str">
        <f t="shared" si="101"/>
        <v>Early Career | Low Spender | Lower</v>
      </c>
    </row>
    <row r="3241" spans="1:15" x14ac:dyDescent="0.25">
      <c r="A3241" s="1" t="s">
        <v>3271</v>
      </c>
      <c r="B3241" s="1">
        <v>18</v>
      </c>
      <c r="C3241" s="1" t="str" cm="1">
        <f t="array" ref="C3241">_xlfn.IFS(OR(B3241=" ", B3241="NA",NOT(ISNUMBER(B3241))), "Unknown",B3241&lt;18,"Underage",B3241&lt;=24,"Young Adult",B3241&lt;=34,"Early Career",B3241&lt;=44,"Mid Career",B3241&lt;=54,"Mature",B3241&lt;=65,"Pre-Senior",B3241&gt;65,"Senior")</f>
        <v>Young Adult</v>
      </c>
      <c r="F3241" s="1">
        <v>175000</v>
      </c>
      <c r="G3241" s="1">
        <v>86</v>
      </c>
      <c r="H3241" s="1" t="str" cm="1">
        <f t="array" ref="H3241">_xlfn.IFS( OR(G3241=" ",NOT(ISNUMBER(G3241))),"Unknown",G3241&lt;=33,"Low Spender",G3241&lt;=66,"Medium Spender",TRUE, "High Spender")</f>
        <v>High Spender</v>
      </c>
      <c r="I3241" s="1">
        <v>27</v>
      </c>
      <c r="J3241" s="1">
        <v>8800</v>
      </c>
      <c r="K3241" s="1">
        <v>128</v>
      </c>
      <c r="L3241" s="1" t="s">
        <v>16</v>
      </c>
      <c r="M3241" s="1" t="s">
        <v>41</v>
      </c>
      <c r="N3241" s="1" t="str">
        <f t="shared" si="100"/>
        <v>Lower</v>
      </c>
      <c r="O3241" s="1" t="str">
        <f t="shared" si="101"/>
        <v>Young Adult | High Spender | Lower</v>
      </c>
    </row>
    <row r="3242" spans="1:15" x14ac:dyDescent="0.25">
      <c r="A3242" s="1" t="s">
        <v>3272</v>
      </c>
      <c r="B3242" s="1">
        <v>61</v>
      </c>
      <c r="C3242" s="1" t="str" cm="1">
        <f t="array" ref="C3242">_xlfn.IFS(OR(B3242=" ", B3242="NA",NOT(ISNUMBER(B3242))), "Unknown",B3242&lt;18,"Underage",B3242&lt;=24,"Young Adult",B3242&lt;=34,"Early Career",B3242&lt;=44,"Mid Career",B3242&lt;=54,"Mature",B3242&lt;=65,"Pre-Senior",B3242&gt;65,"Senior")</f>
        <v>Pre-Senior</v>
      </c>
      <c r="D3242" s="1" t="s">
        <v>18</v>
      </c>
      <c r="E3242" s="1" t="s">
        <v>58</v>
      </c>
      <c r="F3242" s="1">
        <v>1100000</v>
      </c>
      <c r="G3242" s="1">
        <v>15</v>
      </c>
      <c r="H3242" s="1" t="str" cm="1">
        <f t="array" ref="H3242">_xlfn.IFS( OR(G3242=" ",NOT(ISNUMBER(G3242))),"Unknown",G3242&lt;=33,"Low Spender",G3242&lt;=66,"Medium Spender",TRUE, "High Spender")</f>
        <v>Low Spender</v>
      </c>
      <c r="I3242" s="1">
        <v>23</v>
      </c>
      <c r="J3242" s="1">
        <v>5500</v>
      </c>
      <c r="K3242" s="1">
        <v>1</v>
      </c>
      <c r="N3242" s="1" t="str">
        <f t="shared" si="100"/>
        <v>Higher</v>
      </c>
      <c r="O3242" s="1" t="str">
        <f t="shared" si="101"/>
        <v>Pre-Senior | Low Spender | Higher</v>
      </c>
    </row>
    <row r="3243" spans="1:15" x14ac:dyDescent="0.25">
      <c r="A3243" s="1" t="s">
        <v>3273</v>
      </c>
      <c r="B3243" s="1">
        <v>22</v>
      </c>
      <c r="C3243" s="1" t="str" cm="1">
        <f t="array" ref="C3243">_xlfn.IFS(OR(B3243=" ", B3243="NA",NOT(ISNUMBER(B3243))), "Unknown",B3243&lt;18,"Underage",B3243&lt;=24,"Young Adult",B3243&lt;=34,"Early Career",B3243&lt;=44,"Mid Career",B3243&lt;=54,"Mature",B3243&lt;=65,"Pre-Senior",B3243&gt;65,"Senior")</f>
        <v>Young Adult</v>
      </c>
      <c r="D3243" s="1" t="s">
        <v>18</v>
      </c>
      <c r="E3243" s="1" t="s">
        <v>27</v>
      </c>
      <c r="F3243" s="1">
        <v>650000</v>
      </c>
      <c r="G3243" s="1">
        <v>50</v>
      </c>
      <c r="H3243" s="1" t="str" cm="1">
        <f t="array" ref="H3243">_xlfn.IFS( OR(G3243=" ",NOT(ISNUMBER(G3243))),"Unknown",G3243&lt;=33,"Low Spender",G3243&lt;=66,"Medium Spender",TRUE, "High Spender")</f>
        <v>Medium Spender</v>
      </c>
      <c r="I3243" s="1">
        <v>47</v>
      </c>
      <c r="J3243" s="1">
        <v>800</v>
      </c>
      <c r="K3243" s="1">
        <v>173</v>
      </c>
      <c r="N3243" s="1" t="str">
        <f t="shared" si="100"/>
        <v>Higher</v>
      </c>
      <c r="O3243" s="1" t="str">
        <f t="shared" si="101"/>
        <v>Young Adult | Medium Spender | Higher</v>
      </c>
    </row>
    <row r="3244" spans="1:15" x14ac:dyDescent="0.25">
      <c r="A3244" s="1" t="s">
        <v>3274</v>
      </c>
      <c r="B3244" s="1">
        <v>20</v>
      </c>
      <c r="C3244" s="1" t="str" cm="1">
        <f t="array" ref="C3244">_xlfn.IFS(OR(B3244=" ", B3244="NA",NOT(ISNUMBER(B3244))), "Unknown",B3244&lt;18,"Underage",B3244&lt;=24,"Young Adult",B3244&lt;=34,"Early Career",B3244&lt;=44,"Mid Career",B3244&lt;=54,"Mature",B3244&lt;=65,"Pre-Senior",B3244&gt;65,"Senior")</f>
        <v>Young Adult</v>
      </c>
      <c r="E3244" s="1" t="s">
        <v>15</v>
      </c>
      <c r="F3244" s="1">
        <v>1125000</v>
      </c>
      <c r="G3244" s="1">
        <v>48</v>
      </c>
      <c r="H3244" s="1" t="str" cm="1">
        <f t="array" ref="H3244">_xlfn.IFS( OR(G3244=" ",NOT(ISNUMBER(G3244))),"Unknown",G3244&lt;=33,"Low Spender",G3244&lt;=66,"Medium Spender",TRUE, "High Spender")</f>
        <v>Medium Spender</v>
      </c>
      <c r="I3244" s="1">
        <v>12</v>
      </c>
      <c r="J3244" s="1">
        <v>3500</v>
      </c>
      <c r="K3244" s="1">
        <v>266</v>
      </c>
      <c r="L3244" s="1" t="s">
        <v>20</v>
      </c>
      <c r="N3244" s="1" t="str">
        <f t="shared" si="100"/>
        <v>Lower</v>
      </c>
      <c r="O3244" s="1" t="str">
        <f t="shared" si="101"/>
        <v>Young Adult | Medium Spender | Lower</v>
      </c>
    </row>
    <row r="3245" spans="1:15" x14ac:dyDescent="0.25">
      <c r="A3245" s="1" t="s">
        <v>3275</v>
      </c>
      <c r="B3245" s="1">
        <v>18</v>
      </c>
      <c r="C3245" s="1" t="str" cm="1">
        <f t="array" ref="C3245">_xlfn.IFS(OR(B3245=" ", B3245="NA",NOT(ISNUMBER(B3245))), "Unknown",B3245&lt;18,"Underage",B3245&lt;=24,"Young Adult",B3245&lt;=34,"Early Career",B3245&lt;=44,"Mid Career",B3245&lt;=54,"Mature",B3245&lt;=65,"Pre-Senior",B3245&gt;65,"Senior")</f>
        <v>Young Adult</v>
      </c>
      <c r="D3245" s="1" t="s">
        <v>18</v>
      </c>
      <c r="E3245" s="1" t="s">
        <v>23</v>
      </c>
      <c r="F3245" s="1">
        <v>1475000</v>
      </c>
      <c r="G3245" s="1">
        <v>32</v>
      </c>
      <c r="H3245" s="1" t="str" cm="1">
        <f t="array" ref="H3245">_xlfn.IFS( OR(G3245=" ",NOT(ISNUMBER(G3245))),"Unknown",G3245&lt;=33,"Low Spender",G3245&lt;=66,"Medium Spender",TRUE, "High Spender")</f>
        <v>Low Spender</v>
      </c>
      <c r="I3245" s="1">
        <v>66</v>
      </c>
      <c r="J3245" s="1">
        <v>3100</v>
      </c>
      <c r="K3245" s="1">
        <v>296</v>
      </c>
      <c r="L3245" s="1" t="s">
        <v>37</v>
      </c>
      <c r="M3245" s="1" t="s">
        <v>32</v>
      </c>
      <c r="N3245" s="1" t="str">
        <f t="shared" si="100"/>
        <v>Higher</v>
      </c>
      <c r="O3245" s="1" t="str">
        <f t="shared" si="101"/>
        <v>Young Adult | Low Spender | Higher</v>
      </c>
    </row>
    <row r="3246" spans="1:15" x14ac:dyDescent="0.25">
      <c r="A3246" s="1" t="s">
        <v>3276</v>
      </c>
      <c r="B3246" s="1">
        <v>21</v>
      </c>
      <c r="C3246" s="1" t="str" cm="1">
        <f t="array" ref="C3246">_xlfn.IFS(OR(B3246=" ", B3246="NA",NOT(ISNUMBER(B3246))), "Unknown",B3246&lt;18,"Underage",B3246&lt;=24,"Young Adult",B3246&lt;=34,"Early Career",B3246&lt;=44,"Mid Career",B3246&lt;=54,"Mature",B3246&lt;=65,"Pre-Senior",B3246&gt;65,"Senior")</f>
        <v>Young Adult</v>
      </c>
      <c r="D3246" s="1" t="s">
        <v>29</v>
      </c>
      <c r="E3246" s="1" t="s">
        <v>23</v>
      </c>
      <c r="F3246" s="1">
        <v>425000</v>
      </c>
      <c r="G3246" s="1">
        <v>49</v>
      </c>
      <c r="H3246" s="1" t="str" cm="1">
        <f t="array" ref="H3246">_xlfn.IFS( OR(G3246=" ",NOT(ISNUMBER(G3246))),"Unknown",G3246&lt;=33,"Low Spender",G3246&lt;=66,"Medium Spender",TRUE, "High Spender")</f>
        <v>Medium Spender</v>
      </c>
      <c r="I3246" s="1">
        <v>5</v>
      </c>
      <c r="J3246" s="1">
        <v>2300</v>
      </c>
      <c r="K3246" s="1">
        <v>256</v>
      </c>
      <c r="L3246" s="1" t="s">
        <v>20</v>
      </c>
      <c r="M3246" s="1" t="s">
        <v>41</v>
      </c>
      <c r="N3246" s="1" t="str">
        <f t="shared" si="100"/>
        <v>Higher</v>
      </c>
      <c r="O3246" s="1" t="str">
        <f t="shared" si="101"/>
        <v>Young Adult | Medium Spender | Higher</v>
      </c>
    </row>
    <row r="3247" spans="1:15" x14ac:dyDescent="0.25">
      <c r="A3247" s="1" t="s">
        <v>3277</v>
      </c>
      <c r="B3247" s="1">
        <v>57</v>
      </c>
      <c r="C3247" s="1" t="str" cm="1">
        <f t="array" ref="C3247">_xlfn.IFS(OR(B3247=" ", B3247="NA",NOT(ISNUMBER(B3247))), "Unknown",B3247&lt;18,"Underage",B3247&lt;=24,"Young Adult",B3247&lt;=34,"Early Career",B3247&lt;=44,"Mid Career",B3247&lt;=54,"Mature",B3247&lt;=65,"Pre-Senior",B3247&gt;65,"Senior")</f>
        <v>Pre-Senior</v>
      </c>
      <c r="D3247" s="1" t="s">
        <v>12</v>
      </c>
      <c r="F3247" s="1">
        <v>1050000</v>
      </c>
      <c r="G3247" s="1">
        <v>68</v>
      </c>
      <c r="H3247" s="1" t="str" cm="1">
        <f t="array" ref="H3247">_xlfn.IFS( OR(G3247=" ",NOT(ISNUMBER(G3247))),"Unknown",G3247&lt;=33,"Low Spender",G3247&lt;=66,"Medium Spender",TRUE, "High Spender")</f>
        <v>High Spender</v>
      </c>
      <c r="I3247" s="1">
        <v>9</v>
      </c>
      <c r="J3247" s="1">
        <v>5600</v>
      </c>
      <c r="K3247" s="1">
        <v>174</v>
      </c>
      <c r="L3247" s="1" t="s">
        <v>37</v>
      </c>
      <c r="M3247" s="1" t="s">
        <v>21</v>
      </c>
      <c r="N3247" s="1" t="str">
        <f t="shared" si="100"/>
        <v>Lower</v>
      </c>
      <c r="O3247" s="1" t="str">
        <f t="shared" si="101"/>
        <v>Pre-Senior | High Spender | Lower</v>
      </c>
    </row>
    <row r="3248" spans="1:15" x14ac:dyDescent="0.25">
      <c r="A3248" s="1" t="s">
        <v>3278</v>
      </c>
      <c r="B3248" s="1">
        <v>52</v>
      </c>
      <c r="C3248" s="1" t="str" cm="1">
        <f t="array" ref="C3248">_xlfn.IFS(OR(B3248=" ", B3248="NA",NOT(ISNUMBER(B3248))), "Unknown",B3248&lt;18,"Underage",B3248&lt;=24,"Young Adult",B3248&lt;=34,"Early Career",B3248&lt;=44,"Mid Career",B3248&lt;=54,"Mature",B3248&lt;=65,"Pre-Senior",B3248&gt;65,"Senior")</f>
        <v>Mature</v>
      </c>
      <c r="D3248" s="1" t="s">
        <v>18</v>
      </c>
      <c r="F3248" s="1">
        <v>1075000</v>
      </c>
      <c r="G3248" s="1">
        <v>45</v>
      </c>
      <c r="H3248" s="1" t="str" cm="1">
        <f t="array" ref="H3248">_xlfn.IFS( OR(G3248=" ",NOT(ISNUMBER(G3248))),"Unknown",G3248&lt;=33,"Low Spender",G3248&lt;=66,"Medium Spender",TRUE, "High Spender")</f>
        <v>Medium Spender</v>
      </c>
      <c r="I3248" s="1">
        <v>20</v>
      </c>
      <c r="J3248" s="1">
        <v>5800</v>
      </c>
      <c r="K3248" s="1">
        <v>45</v>
      </c>
      <c r="L3248" s="1" t="s">
        <v>37</v>
      </c>
      <c r="N3248" s="1" t="str">
        <f t="shared" si="100"/>
        <v>Higher</v>
      </c>
      <c r="O3248" s="1" t="str">
        <f t="shared" si="101"/>
        <v>Mature | Medium Spender | Higher</v>
      </c>
    </row>
    <row r="3249" spans="1:15" x14ac:dyDescent="0.25">
      <c r="A3249" s="1" t="s">
        <v>3279</v>
      </c>
      <c r="B3249" s="1">
        <v>49</v>
      </c>
      <c r="C3249" s="1" t="str" cm="1">
        <f t="array" ref="C3249">_xlfn.IFS(OR(B3249=" ", B3249="NA",NOT(ISNUMBER(B3249))), "Unknown",B3249&lt;18,"Underage",B3249&lt;=24,"Young Adult",B3249&lt;=34,"Early Career",B3249&lt;=44,"Mid Career",B3249&lt;=54,"Mature",B3249&lt;=65,"Pre-Senior",B3249&gt;65,"Senior")</f>
        <v>Mature</v>
      </c>
      <c r="D3249" s="1" t="s">
        <v>18</v>
      </c>
      <c r="E3249" s="1" t="s">
        <v>13</v>
      </c>
      <c r="F3249" s="1">
        <v>500000</v>
      </c>
      <c r="G3249" s="1">
        <v>32</v>
      </c>
      <c r="H3249" s="1" t="str" cm="1">
        <f t="array" ref="H3249">_xlfn.IFS( OR(G3249=" ",NOT(ISNUMBER(G3249))),"Unknown",G3249&lt;=33,"Low Spender",G3249&lt;=66,"Medium Spender",TRUE, "High Spender")</f>
        <v>Low Spender</v>
      </c>
      <c r="I3249" s="1">
        <v>63</v>
      </c>
      <c r="J3249" s="1">
        <v>11800</v>
      </c>
      <c r="K3249" s="1">
        <v>343</v>
      </c>
      <c r="L3249" s="1" t="s">
        <v>35</v>
      </c>
      <c r="M3249" s="1" t="s">
        <v>41</v>
      </c>
      <c r="N3249" s="1" t="str">
        <f t="shared" si="100"/>
        <v>Higher</v>
      </c>
      <c r="O3249" s="1" t="str">
        <f t="shared" si="101"/>
        <v>Mature | Low Spender | Higher</v>
      </c>
    </row>
    <row r="3250" spans="1:15" x14ac:dyDescent="0.25">
      <c r="A3250" s="1" t="s">
        <v>3280</v>
      </c>
      <c r="B3250" s="1">
        <v>59</v>
      </c>
      <c r="C3250" s="1" t="str" cm="1">
        <f t="array" ref="C3250">_xlfn.IFS(OR(B3250=" ", B3250="NA",NOT(ISNUMBER(B3250))), "Unknown",B3250&lt;18,"Underage",B3250&lt;=24,"Young Adult",B3250&lt;=34,"Early Career",B3250&lt;=44,"Mid Career",B3250&lt;=54,"Mature",B3250&lt;=65,"Pre-Senior",B3250&gt;65,"Senior")</f>
        <v>Pre-Senior</v>
      </c>
      <c r="E3250" s="1" t="s">
        <v>58</v>
      </c>
      <c r="F3250" s="1">
        <v>300000</v>
      </c>
      <c r="G3250" s="1">
        <v>4</v>
      </c>
      <c r="H3250" s="1" t="str" cm="1">
        <f t="array" ref="H3250">_xlfn.IFS( OR(G3250=" ",NOT(ISNUMBER(G3250))),"Unknown",G3250&lt;=33,"Low Spender",G3250&lt;=66,"Medium Spender",TRUE, "High Spender")</f>
        <v>Low Spender</v>
      </c>
      <c r="I3250" s="1">
        <v>72</v>
      </c>
      <c r="J3250" s="1">
        <v>9600</v>
      </c>
      <c r="K3250" s="1">
        <v>141</v>
      </c>
      <c r="L3250" s="1" t="s">
        <v>20</v>
      </c>
      <c r="M3250" s="1" t="s">
        <v>32</v>
      </c>
      <c r="N3250" s="1" t="str">
        <f t="shared" si="100"/>
        <v>Lower</v>
      </c>
      <c r="O3250" s="1" t="str">
        <f t="shared" si="101"/>
        <v>Pre-Senior | Low Spender | Lower</v>
      </c>
    </row>
    <row r="3251" spans="1:15" x14ac:dyDescent="0.25">
      <c r="A3251" s="1" t="s">
        <v>3281</v>
      </c>
      <c r="B3251" s="1">
        <v>51</v>
      </c>
      <c r="C3251" s="1" t="str" cm="1">
        <f t="array" ref="C3251">_xlfn.IFS(OR(B3251=" ", B3251="NA",NOT(ISNUMBER(B3251))), "Unknown",B3251&lt;18,"Underage",B3251&lt;=24,"Young Adult",B3251&lt;=34,"Early Career",B3251&lt;=44,"Mid Career",B3251&lt;=54,"Mature",B3251&lt;=65,"Pre-Senior",B3251&gt;65,"Senior")</f>
        <v>Mature</v>
      </c>
      <c r="D3251" s="1" t="s">
        <v>29</v>
      </c>
      <c r="E3251" s="1" t="s">
        <v>19</v>
      </c>
      <c r="F3251" s="1">
        <v>1375000</v>
      </c>
      <c r="G3251" s="1">
        <v>65</v>
      </c>
      <c r="H3251" s="1" t="str" cm="1">
        <f t="array" ref="H3251">_xlfn.IFS( OR(G3251=" ",NOT(ISNUMBER(G3251))),"Unknown",G3251&lt;=33,"Low Spender",G3251&lt;=66,"Medium Spender",TRUE, "High Spender")</f>
        <v>Medium Spender</v>
      </c>
      <c r="I3251" s="1">
        <v>73</v>
      </c>
      <c r="J3251" s="1">
        <v>2300</v>
      </c>
      <c r="K3251" s="1">
        <v>27</v>
      </c>
      <c r="L3251" s="1" t="s">
        <v>16</v>
      </c>
      <c r="M3251" s="1" t="s">
        <v>30</v>
      </c>
      <c r="N3251" s="1" t="str">
        <f t="shared" si="100"/>
        <v>Higher</v>
      </c>
      <c r="O3251" s="1" t="str">
        <f t="shared" si="101"/>
        <v>Mature | Medium Spender | Higher</v>
      </c>
    </row>
    <row r="3252" spans="1:15" x14ac:dyDescent="0.25">
      <c r="A3252" s="1" t="s">
        <v>3282</v>
      </c>
      <c r="B3252" s="1">
        <v>60</v>
      </c>
      <c r="C3252" s="1" t="str" cm="1">
        <f t="array" ref="C3252">_xlfn.IFS(OR(B3252=" ", B3252="NA",NOT(ISNUMBER(B3252))), "Unknown",B3252&lt;18,"Underage",B3252&lt;=24,"Young Adult",B3252&lt;=34,"Early Career",B3252&lt;=44,"Mid Career",B3252&lt;=54,"Mature",B3252&lt;=65,"Pre-Senior",B3252&gt;65,"Senior")</f>
        <v>Pre-Senior</v>
      </c>
      <c r="E3252" s="1" t="s">
        <v>58</v>
      </c>
      <c r="F3252" s="1">
        <v>1750000</v>
      </c>
      <c r="G3252" s="1">
        <v>97</v>
      </c>
      <c r="H3252" s="1" t="str" cm="1">
        <f t="array" ref="H3252">_xlfn.IFS( OR(G3252=" ",NOT(ISNUMBER(G3252))),"Unknown",G3252&lt;=33,"Low Spender",G3252&lt;=66,"Medium Spender",TRUE, "High Spender")</f>
        <v>High Spender</v>
      </c>
      <c r="I3252" s="1">
        <v>71</v>
      </c>
      <c r="J3252" s="1">
        <v>10200</v>
      </c>
      <c r="K3252" s="1">
        <v>233</v>
      </c>
      <c r="M3252" s="1" t="s">
        <v>41</v>
      </c>
      <c r="N3252" s="1" t="str">
        <f t="shared" si="100"/>
        <v>Lower</v>
      </c>
      <c r="O3252" s="1" t="str">
        <f t="shared" si="101"/>
        <v>Pre-Senior | High Spender | Lower</v>
      </c>
    </row>
    <row r="3253" spans="1:15" x14ac:dyDescent="0.25">
      <c r="A3253" s="1" t="s">
        <v>3283</v>
      </c>
      <c r="B3253" s="1">
        <v>42</v>
      </c>
      <c r="C3253" s="1" t="str" cm="1">
        <f t="array" ref="C3253">_xlfn.IFS(OR(B3253=" ", B3253="NA",NOT(ISNUMBER(B3253))), "Unknown",B3253&lt;18,"Underage",B3253&lt;=24,"Young Adult",B3253&lt;=34,"Early Career",B3253&lt;=44,"Mid Career",B3253&lt;=54,"Mature",B3253&lt;=65,"Pre-Senior",B3253&gt;65,"Senior")</f>
        <v>Mid Career</v>
      </c>
      <c r="D3253" s="1" t="s">
        <v>29</v>
      </c>
      <c r="E3253" s="1" t="s">
        <v>34</v>
      </c>
      <c r="F3253" s="1">
        <v>1800000</v>
      </c>
      <c r="G3253" s="1">
        <v>71</v>
      </c>
      <c r="H3253" s="1" t="str" cm="1">
        <f t="array" ref="H3253">_xlfn.IFS( OR(G3253=" ",NOT(ISNUMBER(G3253))),"Unknown",G3253&lt;=33,"Low Spender",G3253&lt;=66,"Medium Spender",TRUE, "High Spender")</f>
        <v>High Spender</v>
      </c>
      <c r="I3253" s="1">
        <v>30</v>
      </c>
      <c r="J3253" s="1">
        <v>5700</v>
      </c>
      <c r="K3253" s="1">
        <v>209</v>
      </c>
      <c r="M3253" s="1" t="s">
        <v>21</v>
      </c>
      <c r="N3253" s="1" t="str">
        <f t="shared" si="100"/>
        <v>Higher</v>
      </c>
      <c r="O3253" s="1" t="str">
        <f t="shared" si="101"/>
        <v>Mid Career | High Spender | Higher</v>
      </c>
    </row>
    <row r="3254" spans="1:15" x14ac:dyDescent="0.25">
      <c r="A3254" s="1" t="s">
        <v>3284</v>
      </c>
      <c r="B3254" s="1">
        <v>27</v>
      </c>
      <c r="C3254" s="1" t="str" cm="1">
        <f t="array" ref="C3254">_xlfn.IFS(OR(B3254=" ", B3254="NA",NOT(ISNUMBER(B3254))), "Unknown",B3254&lt;18,"Underage",B3254&lt;=24,"Young Adult",B3254&lt;=34,"Early Career",B3254&lt;=44,"Mid Career",B3254&lt;=54,"Mature",B3254&lt;=65,"Pre-Senior",B3254&gt;65,"Senior")</f>
        <v>Early Career</v>
      </c>
      <c r="D3254" s="1" t="s">
        <v>18</v>
      </c>
      <c r="E3254" s="1" t="s">
        <v>58</v>
      </c>
      <c r="F3254" s="1">
        <v>1225000</v>
      </c>
      <c r="G3254" s="1">
        <v>73</v>
      </c>
      <c r="H3254" s="1" t="str" cm="1">
        <f t="array" ref="H3254">_xlfn.IFS( OR(G3254=" ",NOT(ISNUMBER(G3254))),"Unknown",G3254&lt;=33,"Low Spender",G3254&lt;=66,"Medium Spender",TRUE, "High Spender")</f>
        <v>High Spender</v>
      </c>
      <c r="I3254" s="1">
        <v>16</v>
      </c>
      <c r="J3254" s="1">
        <v>6000</v>
      </c>
      <c r="K3254" s="1">
        <v>50</v>
      </c>
      <c r="L3254" s="1" t="s">
        <v>35</v>
      </c>
      <c r="N3254" s="1" t="str">
        <f t="shared" si="100"/>
        <v>Higher</v>
      </c>
      <c r="O3254" s="1" t="str">
        <f t="shared" si="101"/>
        <v>Early Career | High Spender | Higher</v>
      </c>
    </row>
    <row r="3255" spans="1:15" x14ac:dyDescent="0.25">
      <c r="A3255" s="1" t="s">
        <v>3285</v>
      </c>
      <c r="B3255" s="1">
        <v>38</v>
      </c>
      <c r="C3255" s="1" t="str" cm="1">
        <f t="array" ref="C3255">_xlfn.IFS(OR(B3255=" ", B3255="NA",NOT(ISNUMBER(B3255))), "Unknown",B3255&lt;18,"Underage",B3255&lt;=24,"Young Adult",B3255&lt;=34,"Early Career",B3255&lt;=44,"Mid Career",B3255&lt;=54,"Mature",B3255&lt;=65,"Pre-Senior",B3255&gt;65,"Senior")</f>
        <v>Mid Career</v>
      </c>
      <c r="D3255" s="1" t="s">
        <v>29</v>
      </c>
      <c r="F3255" s="1">
        <v>900000</v>
      </c>
      <c r="G3255" s="1">
        <v>65</v>
      </c>
      <c r="H3255" s="1" t="str" cm="1">
        <f t="array" ref="H3255">_xlfn.IFS( OR(G3255=" ",NOT(ISNUMBER(G3255))),"Unknown",G3255&lt;=33,"Low Spender",G3255&lt;=66,"Medium Spender",TRUE, "High Spender")</f>
        <v>Medium Spender</v>
      </c>
      <c r="I3255" s="1">
        <v>5</v>
      </c>
      <c r="J3255" s="1">
        <v>6600</v>
      </c>
      <c r="K3255" s="1">
        <v>61</v>
      </c>
      <c r="L3255" s="1" t="s">
        <v>16</v>
      </c>
      <c r="M3255" s="1" t="s">
        <v>30</v>
      </c>
      <c r="N3255" s="1" t="str">
        <f t="shared" si="100"/>
        <v>Higher</v>
      </c>
      <c r="O3255" s="1" t="str">
        <f t="shared" si="101"/>
        <v>Mid Career | Medium Spender | Higher</v>
      </c>
    </row>
    <row r="3256" spans="1:15" x14ac:dyDescent="0.25">
      <c r="A3256" s="1" t="s">
        <v>3286</v>
      </c>
      <c r="B3256" s="1">
        <v>63</v>
      </c>
      <c r="C3256" s="1" t="str" cm="1">
        <f t="array" ref="C3256">_xlfn.IFS(OR(B3256=" ", B3256="NA",NOT(ISNUMBER(B3256))), "Unknown",B3256&lt;18,"Underage",B3256&lt;=24,"Young Adult",B3256&lt;=34,"Early Career",B3256&lt;=44,"Mid Career",B3256&lt;=54,"Mature",B3256&lt;=65,"Pre-Senior",B3256&gt;65,"Senior")</f>
        <v>Pre-Senior</v>
      </c>
      <c r="D3256" s="1" t="s">
        <v>29</v>
      </c>
      <c r="E3256" s="1" t="s">
        <v>15</v>
      </c>
      <c r="F3256" s="1">
        <v>1200000</v>
      </c>
      <c r="G3256" s="1">
        <v>80</v>
      </c>
      <c r="H3256" s="1" t="str" cm="1">
        <f t="array" ref="H3256">_xlfn.IFS( OR(G3256=" ",NOT(ISNUMBER(G3256))),"Unknown",G3256&lt;=33,"Low Spender",G3256&lt;=66,"Medium Spender",TRUE, "High Spender")</f>
        <v>High Spender</v>
      </c>
      <c r="I3256" s="1">
        <v>29</v>
      </c>
      <c r="J3256" s="1">
        <v>8800</v>
      </c>
      <c r="K3256" s="1">
        <v>243</v>
      </c>
      <c r="M3256" s="1" t="s">
        <v>32</v>
      </c>
      <c r="N3256" s="1" t="str">
        <f t="shared" si="100"/>
        <v>Higher</v>
      </c>
      <c r="O3256" s="1" t="str">
        <f t="shared" si="101"/>
        <v>Pre-Senior | High Spender | Higher</v>
      </c>
    </row>
    <row r="3257" spans="1:15" x14ac:dyDescent="0.25">
      <c r="A3257" s="1" t="s">
        <v>3287</v>
      </c>
      <c r="B3257" s="1">
        <v>56</v>
      </c>
      <c r="C3257" s="1" t="str" cm="1">
        <f t="array" ref="C3257">_xlfn.IFS(OR(B3257=" ", B3257="NA",NOT(ISNUMBER(B3257))), "Unknown",B3257&lt;18,"Underage",B3257&lt;=24,"Young Adult",B3257&lt;=34,"Early Career",B3257&lt;=44,"Mid Career",B3257&lt;=54,"Mature",B3257&lt;=65,"Pre-Senior",B3257&gt;65,"Senior")</f>
        <v>Pre-Senior</v>
      </c>
      <c r="D3257" s="1" t="s">
        <v>29</v>
      </c>
      <c r="F3257" s="1" t="s">
        <v>25</v>
      </c>
      <c r="G3257" s="1">
        <v>18</v>
      </c>
      <c r="H3257" s="1" t="str" cm="1">
        <f t="array" ref="H3257">_xlfn.IFS( OR(G3257=" ",NOT(ISNUMBER(G3257))),"Unknown",G3257&lt;=33,"Low Spender",G3257&lt;=66,"Medium Spender",TRUE, "High Spender")</f>
        <v>Low Spender</v>
      </c>
      <c r="I3257" s="1">
        <v>47</v>
      </c>
      <c r="J3257" s="1">
        <v>4800</v>
      </c>
      <c r="K3257" s="1">
        <v>269</v>
      </c>
      <c r="M3257" s="1" t="s">
        <v>21</v>
      </c>
      <c r="N3257" s="1" t="str">
        <f t="shared" si="100"/>
        <v>Higher</v>
      </c>
      <c r="O3257" s="1" t="str">
        <f t="shared" si="101"/>
        <v>Pre-Senior | Low Spender | Higher</v>
      </c>
    </row>
    <row r="3258" spans="1:15" x14ac:dyDescent="0.25">
      <c r="A3258" s="1" t="s">
        <v>3288</v>
      </c>
      <c r="B3258" s="1">
        <v>44</v>
      </c>
      <c r="C3258" s="1" t="str" cm="1">
        <f t="array" ref="C3258">_xlfn.IFS(OR(B3258=" ", B3258="NA",NOT(ISNUMBER(B3258))), "Unknown",B3258&lt;18,"Underage",B3258&lt;=24,"Young Adult",B3258&lt;=34,"Early Career",B3258&lt;=44,"Mid Career",B3258&lt;=54,"Mature",B3258&lt;=65,"Pre-Senior",B3258&gt;65,"Senior")</f>
        <v>Mid Career</v>
      </c>
      <c r="D3258" s="1" t="s">
        <v>18</v>
      </c>
      <c r="F3258" s="1">
        <v>1325000</v>
      </c>
      <c r="G3258" s="1">
        <v>54</v>
      </c>
      <c r="H3258" s="1" t="str" cm="1">
        <f t="array" ref="H3258">_xlfn.IFS( OR(G3258=" ",NOT(ISNUMBER(G3258))),"Unknown",G3258&lt;=33,"Low Spender",G3258&lt;=66,"Medium Spender",TRUE, "High Spender")</f>
        <v>Medium Spender</v>
      </c>
      <c r="I3258" s="1">
        <v>22</v>
      </c>
      <c r="J3258" s="1">
        <v>8600</v>
      </c>
      <c r="K3258" s="1">
        <v>140</v>
      </c>
      <c r="L3258" s="1" t="s">
        <v>20</v>
      </c>
      <c r="M3258" s="1" t="s">
        <v>30</v>
      </c>
      <c r="N3258" s="1" t="str">
        <f t="shared" si="100"/>
        <v>Higher</v>
      </c>
      <c r="O3258" s="1" t="str">
        <f t="shared" si="101"/>
        <v>Mid Career | Medium Spender | Higher</v>
      </c>
    </row>
    <row r="3259" spans="1:15" x14ac:dyDescent="0.25">
      <c r="A3259" s="1" t="s">
        <v>3289</v>
      </c>
      <c r="B3259" s="1">
        <v>44</v>
      </c>
      <c r="C3259" s="1" t="str" cm="1">
        <f t="array" ref="C3259">_xlfn.IFS(OR(B3259=" ", B3259="NA",NOT(ISNUMBER(B3259))), "Unknown",B3259&lt;18,"Underage",B3259&lt;=24,"Young Adult",B3259&lt;=34,"Early Career",B3259&lt;=44,"Mid Career",B3259&lt;=54,"Mature",B3259&lt;=65,"Pre-Senior",B3259&gt;65,"Senior")</f>
        <v>Mid Career</v>
      </c>
      <c r="E3259" s="1" t="s">
        <v>15</v>
      </c>
      <c r="F3259" s="1">
        <v>1650000</v>
      </c>
      <c r="G3259" s="1">
        <v>47</v>
      </c>
      <c r="H3259" s="1" t="str" cm="1">
        <f t="array" ref="H3259">_xlfn.IFS( OR(G3259=" ",NOT(ISNUMBER(G3259))),"Unknown",G3259&lt;=33,"Low Spender",G3259&lt;=66,"Medium Spender",TRUE, "High Spender")</f>
        <v>Medium Spender</v>
      </c>
      <c r="I3259" s="1">
        <v>78</v>
      </c>
      <c r="J3259" s="1">
        <v>2400</v>
      </c>
      <c r="K3259" s="1">
        <v>157</v>
      </c>
      <c r="L3259" s="1" t="s">
        <v>37</v>
      </c>
      <c r="N3259" s="1" t="str">
        <f t="shared" si="100"/>
        <v>Lower</v>
      </c>
      <c r="O3259" s="1" t="str">
        <f t="shared" si="101"/>
        <v>Mid Career | Medium Spender | Lower</v>
      </c>
    </row>
    <row r="3260" spans="1:15" x14ac:dyDescent="0.25">
      <c r="A3260" s="1" t="s">
        <v>3290</v>
      </c>
      <c r="B3260" s="1">
        <v>19</v>
      </c>
      <c r="C3260" s="1" t="str" cm="1">
        <f t="array" ref="C3260">_xlfn.IFS(OR(B3260=" ", B3260="NA",NOT(ISNUMBER(B3260))), "Unknown",B3260&lt;18,"Underage",B3260&lt;=24,"Young Adult",B3260&lt;=34,"Early Career",B3260&lt;=44,"Mid Career",B3260&lt;=54,"Mature",B3260&lt;=65,"Pre-Senior",B3260&gt;65,"Senior")</f>
        <v>Young Adult</v>
      </c>
      <c r="D3260" s="1" t="s">
        <v>18</v>
      </c>
      <c r="E3260" s="1" t="s">
        <v>49</v>
      </c>
      <c r="G3260" s="1">
        <v>6</v>
      </c>
      <c r="H3260" s="1" t="str" cm="1">
        <f t="array" ref="H3260">_xlfn.IFS( OR(G3260=" ",NOT(ISNUMBER(G3260))),"Unknown",G3260&lt;=33,"Low Spender",G3260&lt;=66,"Medium Spender",TRUE, "High Spender")</f>
        <v>Low Spender</v>
      </c>
      <c r="I3260" s="1">
        <v>57</v>
      </c>
      <c r="J3260" s="1">
        <v>11800</v>
      </c>
      <c r="K3260" s="1">
        <v>85</v>
      </c>
      <c r="L3260" s="1" t="s">
        <v>20</v>
      </c>
      <c r="N3260" s="1" t="str">
        <f t="shared" si="100"/>
        <v>Higher</v>
      </c>
      <c r="O3260" s="1" t="str">
        <f t="shared" si="101"/>
        <v>Young Adult | Low Spender | Higher</v>
      </c>
    </row>
    <row r="3261" spans="1:15" x14ac:dyDescent="0.25">
      <c r="A3261" s="1" t="s">
        <v>3291</v>
      </c>
      <c r="B3261" s="1">
        <v>58</v>
      </c>
      <c r="C3261" s="1" t="str" cm="1">
        <f t="array" ref="C3261">_xlfn.IFS(OR(B3261=" ", B3261="NA",NOT(ISNUMBER(B3261))), "Unknown",B3261&lt;18,"Underage",B3261&lt;=24,"Young Adult",B3261&lt;=34,"Early Career",B3261&lt;=44,"Mid Career",B3261&lt;=54,"Mature",B3261&lt;=65,"Pre-Senior",B3261&gt;65,"Senior")</f>
        <v>Pre-Senior</v>
      </c>
      <c r="D3261" s="1" t="s">
        <v>29</v>
      </c>
      <c r="E3261" s="1" t="s">
        <v>15</v>
      </c>
      <c r="F3261" s="1">
        <v>375000</v>
      </c>
      <c r="G3261" s="1">
        <v>66</v>
      </c>
      <c r="H3261" s="1" t="str" cm="1">
        <f t="array" ref="H3261">_xlfn.IFS( OR(G3261=" ",NOT(ISNUMBER(G3261))),"Unknown",G3261&lt;=33,"Low Spender",G3261&lt;=66,"Medium Spender",TRUE, "High Spender")</f>
        <v>Medium Spender</v>
      </c>
      <c r="I3261" s="1">
        <v>35</v>
      </c>
      <c r="J3261" s="1">
        <v>6200</v>
      </c>
      <c r="K3261" s="1">
        <v>84</v>
      </c>
      <c r="M3261" s="1" t="s">
        <v>32</v>
      </c>
      <c r="N3261" s="1" t="str">
        <f t="shared" si="100"/>
        <v>Higher</v>
      </c>
      <c r="O3261" s="1" t="str">
        <f t="shared" si="101"/>
        <v>Pre-Senior | Medium Spender | Higher</v>
      </c>
    </row>
    <row r="3262" spans="1:15" x14ac:dyDescent="0.25">
      <c r="A3262" s="1" t="s">
        <v>3292</v>
      </c>
      <c r="B3262" s="1">
        <v>65</v>
      </c>
      <c r="C3262" s="1" t="str" cm="1">
        <f t="array" ref="C3262">_xlfn.IFS(OR(B3262=" ", B3262="NA",NOT(ISNUMBER(B3262))), "Unknown",B3262&lt;18,"Underage",B3262&lt;=24,"Young Adult",B3262&lt;=34,"Early Career",B3262&lt;=44,"Mid Career",B3262&lt;=54,"Mature",B3262&lt;=65,"Pre-Senior",B3262&gt;65,"Senior")</f>
        <v>Pre-Senior</v>
      </c>
      <c r="D3262" s="1" t="s">
        <v>29</v>
      </c>
      <c r="E3262" s="1" t="s">
        <v>58</v>
      </c>
      <c r="F3262" s="1">
        <v>850000</v>
      </c>
      <c r="G3262" s="1">
        <v>9</v>
      </c>
      <c r="H3262" s="1" t="str" cm="1">
        <f t="array" ref="H3262">_xlfn.IFS( OR(G3262=" ",NOT(ISNUMBER(G3262))),"Unknown",G3262&lt;=33,"Low Spender",G3262&lt;=66,"Medium Spender",TRUE, "High Spender")</f>
        <v>Low Spender</v>
      </c>
      <c r="I3262" s="1">
        <v>60</v>
      </c>
      <c r="J3262" s="1">
        <v>10600</v>
      </c>
      <c r="K3262" s="1">
        <v>276</v>
      </c>
      <c r="L3262" s="1" t="s">
        <v>20</v>
      </c>
      <c r="M3262" s="1" t="s">
        <v>21</v>
      </c>
      <c r="N3262" s="1" t="str">
        <f t="shared" si="100"/>
        <v>Higher</v>
      </c>
      <c r="O3262" s="1" t="str">
        <f t="shared" si="101"/>
        <v>Pre-Senior | Low Spender | Higher</v>
      </c>
    </row>
    <row r="3263" spans="1:15" x14ac:dyDescent="0.25">
      <c r="A3263" s="1" t="s">
        <v>3293</v>
      </c>
      <c r="B3263" s="1">
        <v>30</v>
      </c>
      <c r="C3263" s="1" t="str" cm="1">
        <f t="array" ref="C3263">_xlfn.IFS(OR(B3263=" ", B3263="NA",NOT(ISNUMBER(B3263))), "Unknown",B3263&lt;18,"Underage",B3263&lt;=24,"Young Adult",B3263&lt;=34,"Early Career",B3263&lt;=44,"Mid Career",B3263&lt;=54,"Mature",B3263&lt;=65,"Pre-Senior",B3263&gt;65,"Senior")</f>
        <v>Early Career</v>
      </c>
      <c r="D3263" s="1" t="s">
        <v>29</v>
      </c>
      <c r="E3263" s="1" t="s">
        <v>58</v>
      </c>
      <c r="F3263" s="1">
        <v>1325000</v>
      </c>
      <c r="G3263" s="1">
        <v>68</v>
      </c>
      <c r="H3263" s="1" t="str" cm="1">
        <f t="array" ref="H3263">_xlfn.IFS( OR(G3263=" ",NOT(ISNUMBER(G3263))),"Unknown",G3263&lt;=33,"Low Spender",G3263&lt;=66,"Medium Spender",TRUE, "High Spender")</f>
        <v>High Spender</v>
      </c>
      <c r="I3263" s="1">
        <v>70</v>
      </c>
      <c r="J3263" s="1">
        <v>1300</v>
      </c>
      <c r="K3263" s="1">
        <v>31</v>
      </c>
      <c r="L3263" s="1" t="s">
        <v>35</v>
      </c>
      <c r="N3263" s="1" t="str">
        <f t="shared" si="100"/>
        <v>Higher</v>
      </c>
      <c r="O3263" s="1" t="str">
        <f t="shared" si="101"/>
        <v>Early Career | High Spender | Higher</v>
      </c>
    </row>
    <row r="3264" spans="1:15" x14ac:dyDescent="0.25">
      <c r="A3264" s="1" t="s">
        <v>3294</v>
      </c>
      <c r="B3264" s="1">
        <v>26</v>
      </c>
      <c r="C3264" s="1" t="str" cm="1">
        <f t="array" ref="C3264">_xlfn.IFS(OR(B3264=" ", B3264="NA",NOT(ISNUMBER(B3264))), "Unknown",B3264&lt;18,"Underage",B3264&lt;=24,"Young Adult",B3264&lt;=34,"Early Career",B3264&lt;=44,"Mid Career",B3264&lt;=54,"Mature",B3264&lt;=65,"Pre-Senior",B3264&gt;65,"Senior")</f>
        <v>Early Career</v>
      </c>
      <c r="D3264" s="1" t="s">
        <v>12</v>
      </c>
      <c r="E3264" s="1" t="s">
        <v>58</v>
      </c>
      <c r="F3264" s="1">
        <v>1675000</v>
      </c>
      <c r="G3264" s="1">
        <v>23</v>
      </c>
      <c r="H3264" s="1" t="str" cm="1">
        <f t="array" ref="H3264">_xlfn.IFS( OR(G3264=" ",NOT(ISNUMBER(G3264))),"Unknown",G3264&lt;=33,"Low Spender",G3264&lt;=66,"Medium Spender",TRUE, "High Spender")</f>
        <v>Low Spender</v>
      </c>
      <c r="I3264" s="1">
        <v>60</v>
      </c>
      <c r="J3264" s="1">
        <v>4900</v>
      </c>
      <c r="K3264" s="1">
        <v>8</v>
      </c>
      <c r="L3264" s="1" t="s">
        <v>16</v>
      </c>
      <c r="M3264" s="1" t="s">
        <v>32</v>
      </c>
      <c r="N3264" s="1" t="str">
        <f t="shared" si="100"/>
        <v>Lower</v>
      </c>
      <c r="O3264" s="1" t="str">
        <f t="shared" si="101"/>
        <v>Early Career | Low Spender | Lower</v>
      </c>
    </row>
    <row r="3265" spans="1:15" x14ac:dyDescent="0.25">
      <c r="A3265" s="1" t="s">
        <v>3295</v>
      </c>
      <c r="B3265" s="1">
        <v>69</v>
      </c>
      <c r="C3265" s="1" t="str" cm="1">
        <f t="array" ref="C3265">_xlfn.IFS(OR(B3265=" ", B3265="NA",NOT(ISNUMBER(B3265))), "Unknown",B3265&lt;18,"Underage",B3265&lt;=24,"Young Adult",B3265&lt;=34,"Early Career",B3265&lt;=44,"Mid Career",B3265&lt;=54,"Mature",B3265&lt;=65,"Pre-Senior",B3265&gt;65,"Senior")</f>
        <v>Senior</v>
      </c>
      <c r="E3265" s="1" t="s">
        <v>49</v>
      </c>
      <c r="F3265" s="1">
        <v>450000</v>
      </c>
      <c r="G3265" s="1">
        <v>43</v>
      </c>
      <c r="H3265" s="1" t="str" cm="1">
        <f t="array" ref="H3265">_xlfn.IFS( OR(G3265=" ",NOT(ISNUMBER(G3265))),"Unknown",G3265&lt;=33,"Low Spender",G3265&lt;=66,"Medium Spender",TRUE, "High Spender")</f>
        <v>Medium Spender</v>
      </c>
      <c r="I3265" s="1">
        <v>58</v>
      </c>
      <c r="J3265" s="1">
        <v>3300</v>
      </c>
      <c r="K3265" s="1">
        <v>280</v>
      </c>
      <c r="M3265" s="1" t="s">
        <v>30</v>
      </c>
      <c r="N3265" s="1" t="str">
        <f t="shared" si="100"/>
        <v>Lower</v>
      </c>
      <c r="O3265" s="1" t="str">
        <f t="shared" si="101"/>
        <v>Senior | Medium Spender | Lower</v>
      </c>
    </row>
    <row r="3266" spans="1:15" x14ac:dyDescent="0.25">
      <c r="A3266" s="1" t="s">
        <v>3296</v>
      </c>
      <c r="B3266" s="1">
        <v>53</v>
      </c>
      <c r="C3266" s="1" t="str" cm="1">
        <f t="array" ref="C3266">_xlfn.IFS(OR(B3266=" ", B3266="NA",NOT(ISNUMBER(B3266))), "Unknown",B3266&lt;18,"Underage",B3266&lt;=24,"Young Adult",B3266&lt;=34,"Early Career",B3266&lt;=44,"Mid Career",B3266&lt;=54,"Mature",B3266&lt;=65,"Pre-Senior",B3266&gt;65,"Senior")</f>
        <v>Mature</v>
      </c>
      <c r="F3266" s="1">
        <v>1225000</v>
      </c>
      <c r="G3266" s="1">
        <v>51</v>
      </c>
      <c r="H3266" s="1" t="str" cm="1">
        <f t="array" ref="H3266">_xlfn.IFS( OR(G3266=" ",NOT(ISNUMBER(G3266))),"Unknown",G3266&lt;=33,"Low Spender",G3266&lt;=66,"Medium Spender",TRUE, "High Spender")</f>
        <v>Medium Spender</v>
      </c>
      <c r="I3266" s="1">
        <v>3</v>
      </c>
      <c r="J3266" s="1">
        <v>11700</v>
      </c>
      <c r="K3266" s="1">
        <v>203</v>
      </c>
      <c r="L3266" s="1" t="s">
        <v>35</v>
      </c>
      <c r="M3266" s="1" t="s">
        <v>21</v>
      </c>
      <c r="N3266" s="1" t="str">
        <f t="shared" ref="N3266:N3329" si="102">IF(OR(UPPER(TRIM(D3266))="Male",UPPER(TRIM(D3266))="Female"),"Higher","Lower")</f>
        <v>Lower</v>
      </c>
      <c r="O3266" s="1" t="str">
        <f t="shared" ref="O3266:O3329" si="103">_xlfn.TEXTJOIN(" | ", TRUE, C3266, H3266, N3266)</f>
        <v>Mature | Medium Spender | Lower</v>
      </c>
    </row>
    <row r="3267" spans="1:15" x14ac:dyDescent="0.25">
      <c r="A3267" s="1" t="s">
        <v>3297</v>
      </c>
      <c r="B3267" s="1">
        <v>39</v>
      </c>
      <c r="C3267" s="1" t="str" cm="1">
        <f t="array" ref="C3267">_xlfn.IFS(OR(B3267=" ", B3267="NA",NOT(ISNUMBER(B3267))), "Unknown",B3267&lt;18,"Underage",B3267&lt;=24,"Young Adult",B3267&lt;=34,"Early Career",B3267&lt;=44,"Mid Career",B3267&lt;=54,"Mature",B3267&lt;=65,"Pre-Senior",B3267&gt;65,"Senior")</f>
        <v>Mid Career</v>
      </c>
      <c r="D3267" s="1" t="s">
        <v>29</v>
      </c>
      <c r="E3267" s="1" t="s">
        <v>19</v>
      </c>
      <c r="F3267" s="1">
        <v>1300000</v>
      </c>
      <c r="G3267" s="1">
        <v>72</v>
      </c>
      <c r="H3267" s="1" t="str" cm="1">
        <f t="array" ref="H3267">_xlfn.IFS( OR(G3267=" ",NOT(ISNUMBER(G3267))),"Unknown",G3267&lt;=33,"Low Spender",G3267&lt;=66,"Medium Spender",TRUE, "High Spender")</f>
        <v>High Spender</v>
      </c>
      <c r="I3267" s="1">
        <v>34</v>
      </c>
      <c r="J3267" s="1">
        <v>10600</v>
      </c>
      <c r="K3267" s="1">
        <v>33</v>
      </c>
      <c r="L3267" s="1" t="s">
        <v>16</v>
      </c>
      <c r="N3267" s="1" t="str">
        <f t="shared" si="102"/>
        <v>Higher</v>
      </c>
      <c r="O3267" s="1" t="str">
        <f t="shared" si="103"/>
        <v>Mid Career | High Spender | Higher</v>
      </c>
    </row>
    <row r="3268" spans="1:15" x14ac:dyDescent="0.25">
      <c r="A3268" s="1" t="s">
        <v>3298</v>
      </c>
      <c r="B3268" s="1">
        <v>59</v>
      </c>
      <c r="C3268" s="1" t="str" cm="1">
        <f t="array" ref="C3268">_xlfn.IFS(OR(B3268=" ", B3268="NA",NOT(ISNUMBER(B3268))), "Unknown",B3268&lt;18,"Underage",B3268&lt;=24,"Young Adult",B3268&lt;=34,"Early Career",B3268&lt;=44,"Mid Career",B3268&lt;=54,"Mature",B3268&lt;=65,"Pre-Senior",B3268&gt;65,"Senior")</f>
        <v>Pre-Senior</v>
      </c>
      <c r="E3268" s="1" t="s">
        <v>27</v>
      </c>
      <c r="F3268" s="1">
        <v>1725000</v>
      </c>
      <c r="G3268" s="1">
        <v>25</v>
      </c>
      <c r="H3268" s="1" t="str" cm="1">
        <f t="array" ref="H3268">_xlfn.IFS( OR(G3268=" ",NOT(ISNUMBER(G3268))),"Unknown",G3268&lt;=33,"Low Spender",G3268&lt;=66,"Medium Spender",TRUE, "High Spender")</f>
        <v>Low Spender</v>
      </c>
      <c r="I3268" s="1">
        <v>45</v>
      </c>
      <c r="J3268" s="1">
        <v>7900</v>
      </c>
      <c r="K3268" s="1">
        <v>298</v>
      </c>
      <c r="L3268" s="1" t="s">
        <v>35</v>
      </c>
      <c r="N3268" s="1" t="str">
        <f t="shared" si="102"/>
        <v>Lower</v>
      </c>
      <c r="O3268" s="1" t="str">
        <f t="shared" si="103"/>
        <v>Pre-Senior | Low Spender | Lower</v>
      </c>
    </row>
    <row r="3269" spans="1:15" x14ac:dyDescent="0.25">
      <c r="A3269" s="1" t="s">
        <v>3299</v>
      </c>
      <c r="B3269" s="1">
        <v>43</v>
      </c>
      <c r="C3269" s="1" t="str" cm="1">
        <f t="array" ref="C3269">_xlfn.IFS(OR(B3269=" ", B3269="NA",NOT(ISNUMBER(B3269))), "Unknown",B3269&lt;18,"Underage",B3269&lt;=24,"Young Adult",B3269&lt;=34,"Early Career",B3269&lt;=44,"Mid Career",B3269&lt;=54,"Mature",B3269&lt;=65,"Pre-Senior",B3269&gt;65,"Senior")</f>
        <v>Mid Career</v>
      </c>
      <c r="D3269" s="1" t="s">
        <v>29</v>
      </c>
      <c r="F3269" s="1">
        <v>1450000</v>
      </c>
      <c r="G3269" s="1">
        <v>80</v>
      </c>
      <c r="H3269" s="1" t="str" cm="1">
        <f t="array" ref="H3269">_xlfn.IFS( OR(G3269=" ",NOT(ISNUMBER(G3269))),"Unknown",G3269&lt;=33,"Low Spender",G3269&lt;=66,"Medium Spender",TRUE, "High Spender")</f>
        <v>High Spender</v>
      </c>
      <c r="I3269" s="1">
        <v>50</v>
      </c>
      <c r="J3269" s="1">
        <v>2000</v>
      </c>
      <c r="K3269" s="1">
        <v>143</v>
      </c>
      <c r="M3269" s="1" t="s">
        <v>41</v>
      </c>
      <c r="N3269" s="1" t="str">
        <f t="shared" si="102"/>
        <v>Higher</v>
      </c>
      <c r="O3269" s="1" t="str">
        <f t="shared" si="103"/>
        <v>Mid Career | High Spender | Higher</v>
      </c>
    </row>
    <row r="3270" spans="1:15" x14ac:dyDescent="0.25">
      <c r="A3270" s="1" t="s">
        <v>3300</v>
      </c>
      <c r="C3270" s="1" t="str" cm="1">
        <f t="array" ref="C3270">_xlfn.IFS(OR(B3270=" ", B3270="NA",NOT(ISNUMBER(B3270))), "Unknown",B3270&lt;18,"Underage",B3270&lt;=24,"Young Adult",B3270&lt;=34,"Early Career",B3270&lt;=44,"Mid Career",B3270&lt;=54,"Mature",B3270&lt;=65,"Pre-Senior",B3270&gt;65,"Senior")</f>
        <v>Unknown</v>
      </c>
      <c r="D3270" s="1" t="s">
        <v>18</v>
      </c>
      <c r="E3270" s="1" t="s">
        <v>58</v>
      </c>
      <c r="F3270" s="1" t="s">
        <v>25</v>
      </c>
      <c r="G3270" s="1">
        <v>35</v>
      </c>
      <c r="H3270" s="1" t="str" cm="1">
        <f t="array" ref="H3270">_xlfn.IFS( OR(G3270=" ",NOT(ISNUMBER(G3270))),"Unknown",G3270&lt;=33,"Low Spender",G3270&lt;=66,"Medium Spender",TRUE, "High Spender")</f>
        <v>Medium Spender</v>
      </c>
      <c r="I3270" s="1">
        <v>2</v>
      </c>
      <c r="J3270" s="1">
        <v>2400</v>
      </c>
      <c r="K3270" s="1">
        <v>350</v>
      </c>
      <c r="L3270" s="1" t="s">
        <v>37</v>
      </c>
      <c r="M3270" s="1" t="s">
        <v>21</v>
      </c>
      <c r="N3270" s="1" t="str">
        <f t="shared" si="102"/>
        <v>Higher</v>
      </c>
      <c r="O3270" s="1" t="str">
        <f t="shared" si="103"/>
        <v>Unknown | Medium Spender | Higher</v>
      </c>
    </row>
    <row r="3271" spans="1:15" x14ac:dyDescent="0.25">
      <c r="A3271" s="1" t="s">
        <v>3301</v>
      </c>
      <c r="B3271" s="1">
        <v>29</v>
      </c>
      <c r="C3271" s="1" t="str" cm="1">
        <f t="array" ref="C3271">_xlfn.IFS(OR(B3271=" ", B3271="NA",NOT(ISNUMBER(B3271))), "Unknown",B3271&lt;18,"Underage",B3271&lt;=24,"Young Adult",B3271&lt;=34,"Early Career",B3271&lt;=44,"Mid Career",B3271&lt;=54,"Mature",B3271&lt;=65,"Pre-Senior",B3271&gt;65,"Senior")</f>
        <v>Early Career</v>
      </c>
      <c r="G3271" s="1">
        <v>17</v>
      </c>
      <c r="H3271" s="1" t="str" cm="1">
        <f t="array" ref="H3271">_xlfn.IFS( OR(G3271=" ",NOT(ISNUMBER(G3271))),"Unknown",G3271&lt;=33,"Low Spender",G3271&lt;=66,"Medium Spender",TRUE, "High Spender")</f>
        <v>Low Spender</v>
      </c>
      <c r="I3271" s="1">
        <v>15</v>
      </c>
      <c r="J3271" s="1">
        <v>5800</v>
      </c>
      <c r="K3271" s="1">
        <v>37</v>
      </c>
      <c r="L3271" s="1" t="s">
        <v>37</v>
      </c>
      <c r="M3271" s="1" t="s">
        <v>30</v>
      </c>
      <c r="N3271" s="1" t="str">
        <f t="shared" si="102"/>
        <v>Lower</v>
      </c>
      <c r="O3271" s="1" t="str">
        <f t="shared" si="103"/>
        <v>Early Career | Low Spender | Lower</v>
      </c>
    </row>
    <row r="3272" spans="1:15" x14ac:dyDescent="0.25">
      <c r="A3272" s="1" t="s">
        <v>3302</v>
      </c>
      <c r="B3272" s="1">
        <v>34</v>
      </c>
      <c r="C3272" s="1" t="str" cm="1">
        <f t="array" ref="C3272">_xlfn.IFS(OR(B3272=" ", B3272="NA",NOT(ISNUMBER(B3272))), "Unknown",B3272&lt;18,"Underage",B3272&lt;=24,"Young Adult",B3272&lt;=34,"Early Career",B3272&lt;=44,"Mid Career",B3272&lt;=54,"Mature",B3272&lt;=65,"Pre-Senior",B3272&gt;65,"Senior")</f>
        <v>Early Career</v>
      </c>
      <c r="E3272" s="1" t="s">
        <v>34</v>
      </c>
      <c r="F3272" s="1">
        <v>1225000</v>
      </c>
      <c r="G3272" s="1">
        <v>18</v>
      </c>
      <c r="H3272" s="1" t="str" cm="1">
        <f t="array" ref="H3272">_xlfn.IFS( OR(G3272=" ",NOT(ISNUMBER(G3272))),"Unknown",G3272&lt;=33,"Low Spender",G3272&lt;=66,"Medium Spender",TRUE, "High Spender")</f>
        <v>Low Spender</v>
      </c>
      <c r="I3272" s="1">
        <v>37</v>
      </c>
      <c r="J3272" s="1">
        <v>1900</v>
      </c>
      <c r="K3272" s="1">
        <v>147</v>
      </c>
      <c r="L3272" s="1" t="s">
        <v>37</v>
      </c>
      <c r="M3272" s="1" t="s">
        <v>30</v>
      </c>
      <c r="N3272" s="1" t="str">
        <f t="shared" si="102"/>
        <v>Lower</v>
      </c>
      <c r="O3272" s="1" t="str">
        <f t="shared" si="103"/>
        <v>Early Career | Low Spender | Lower</v>
      </c>
    </row>
    <row r="3273" spans="1:15" x14ac:dyDescent="0.25">
      <c r="A3273" s="1" t="s">
        <v>3303</v>
      </c>
      <c r="B3273" s="1">
        <v>31</v>
      </c>
      <c r="C3273" s="1" t="str" cm="1">
        <f t="array" ref="C3273">_xlfn.IFS(OR(B3273=" ", B3273="NA",NOT(ISNUMBER(B3273))), "Unknown",B3273&lt;18,"Underage",B3273&lt;=24,"Young Adult",B3273&lt;=34,"Early Career",B3273&lt;=44,"Mid Career",B3273&lt;=54,"Mature",B3273&lt;=65,"Pre-Senior",B3273&gt;65,"Senior")</f>
        <v>Early Career</v>
      </c>
      <c r="D3273" s="1" t="s">
        <v>29</v>
      </c>
      <c r="E3273" s="1" t="s">
        <v>23</v>
      </c>
      <c r="F3273" s="1">
        <v>825000</v>
      </c>
      <c r="G3273" s="1">
        <v>27</v>
      </c>
      <c r="H3273" s="1" t="str" cm="1">
        <f t="array" ref="H3273">_xlfn.IFS( OR(G3273=" ",NOT(ISNUMBER(G3273))),"Unknown",G3273&lt;=33,"Low Spender",G3273&lt;=66,"Medium Spender",TRUE, "High Spender")</f>
        <v>Low Spender</v>
      </c>
      <c r="I3273" s="1">
        <v>15</v>
      </c>
      <c r="J3273" s="1">
        <v>4000</v>
      </c>
      <c r="K3273" s="1">
        <v>228</v>
      </c>
      <c r="M3273" s="1" t="s">
        <v>41</v>
      </c>
      <c r="N3273" s="1" t="str">
        <f t="shared" si="102"/>
        <v>Higher</v>
      </c>
      <c r="O3273" s="1" t="str">
        <f t="shared" si="103"/>
        <v>Early Career | Low Spender | Higher</v>
      </c>
    </row>
    <row r="3274" spans="1:15" x14ac:dyDescent="0.25">
      <c r="A3274" s="1" t="s">
        <v>3304</v>
      </c>
      <c r="B3274" s="1">
        <v>31</v>
      </c>
      <c r="C3274" s="1" t="str" cm="1">
        <f t="array" ref="C3274">_xlfn.IFS(OR(B3274=" ", B3274="NA",NOT(ISNUMBER(B3274))), "Unknown",B3274&lt;18,"Underage",B3274&lt;=24,"Young Adult",B3274&lt;=34,"Early Career",B3274&lt;=44,"Mid Career",B3274&lt;=54,"Mature",B3274&lt;=65,"Pre-Senior",B3274&gt;65,"Senior")</f>
        <v>Early Career</v>
      </c>
      <c r="D3274" s="1" t="s">
        <v>12</v>
      </c>
      <c r="E3274" s="1" t="s">
        <v>23</v>
      </c>
      <c r="F3274" s="1">
        <v>175000</v>
      </c>
      <c r="G3274" s="1">
        <v>15</v>
      </c>
      <c r="H3274" s="1" t="str" cm="1">
        <f t="array" ref="H3274">_xlfn.IFS( OR(G3274=" ",NOT(ISNUMBER(G3274))),"Unknown",G3274&lt;=33,"Low Spender",G3274&lt;=66,"Medium Spender",TRUE, "High Spender")</f>
        <v>Low Spender</v>
      </c>
      <c r="I3274" s="1">
        <v>60</v>
      </c>
      <c r="J3274" s="1">
        <v>2700</v>
      </c>
      <c r="K3274" s="1">
        <v>34</v>
      </c>
      <c r="M3274" s="1" t="s">
        <v>30</v>
      </c>
      <c r="N3274" s="1" t="str">
        <f t="shared" si="102"/>
        <v>Lower</v>
      </c>
      <c r="O3274" s="1" t="str">
        <f t="shared" si="103"/>
        <v>Early Career | Low Spender | Lower</v>
      </c>
    </row>
    <row r="3275" spans="1:15" x14ac:dyDescent="0.25">
      <c r="A3275" s="1" t="s">
        <v>3305</v>
      </c>
      <c r="B3275" s="1">
        <v>51</v>
      </c>
      <c r="C3275" s="1" t="str" cm="1">
        <f t="array" ref="C3275">_xlfn.IFS(OR(B3275=" ", B3275="NA",NOT(ISNUMBER(B3275))), "Unknown",B3275&lt;18,"Underage",B3275&lt;=24,"Young Adult",B3275&lt;=34,"Early Career",B3275&lt;=44,"Mid Career",B3275&lt;=54,"Mature",B3275&lt;=65,"Pre-Senior",B3275&gt;65,"Senior")</f>
        <v>Mature</v>
      </c>
      <c r="D3275" s="1" t="s">
        <v>29</v>
      </c>
      <c r="E3275" s="1" t="s">
        <v>27</v>
      </c>
      <c r="F3275" s="1">
        <v>1550000</v>
      </c>
      <c r="G3275" s="1">
        <v>81</v>
      </c>
      <c r="H3275" s="1" t="str" cm="1">
        <f t="array" ref="H3275">_xlfn.IFS( OR(G3275=" ",NOT(ISNUMBER(G3275))),"Unknown",G3275&lt;=33,"Low Spender",G3275&lt;=66,"Medium Spender",TRUE, "High Spender")</f>
        <v>High Spender</v>
      </c>
      <c r="I3275" s="1">
        <v>64</v>
      </c>
      <c r="J3275" s="1">
        <v>3400</v>
      </c>
      <c r="K3275" s="1">
        <v>237</v>
      </c>
      <c r="M3275" s="1" t="s">
        <v>21</v>
      </c>
      <c r="N3275" s="1" t="str">
        <f t="shared" si="102"/>
        <v>Higher</v>
      </c>
      <c r="O3275" s="1" t="str">
        <f t="shared" si="103"/>
        <v>Mature | High Spender | Higher</v>
      </c>
    </row>
    <row r="3276" spans="1:15" x14ac:dyDescent="0.25">
      <c r="A3276" s="1" t="s">
        <v>3306</v>
      </c>
      <c r="C3276" s="1" t="str" cm="1">
        <f t="array" ref="C3276">_xlfn.IFS(OR(B3276=" ", B3276="NA",NOT(ISNUMBER(B3276))), "Unknown",B3276&lt;18,"Underage",B3276&lt;=24,"Young Adult",B3276&lt;=34,"Early Career",B3276&lt;=44,"Mid Career",B3276&lt;=54,"Mature",B3276&lt;=65,"Pre-Senior",B3276&gt;65,"Senior")</f>
        <v>Unknown</v>
      </c>
      <c r="D3276" s="1" t="s">
        <v>18</v>
      </c>
      <c r="E3276" s="1" t="s">
        <v>27</v>
      </c>
      <c r="F3276" s="1">
        <v>1550000</v>
      </c>
      <c r="G3276" s="1">
        <v>69</v>
      </c>
      <c r="H3276" s="1" t="str" cm="1">
        <f t="array" ref="H3276">_xlfn.IFS( OR(G3276=" ",NOT(ISNUMBER(G3276))),"Unknown",G3276&lt;=33,"Low Spender",G3276&lt;=66,"Medium Spender",TRUE, "High Spender")</f>
        <v>High Spender</v>
      </c>
      <c r="J3276" s="1">
        <v>1700</v>
      </c>
      <c r="K3276" s="1">
        <v>212</v>
      </c>
      <c r="N3276" s="1" t="str">
        <f t="shared" si="102"/>
        <v>Higher</v>
      </c>
      <c r="O3276" s="1" t="str">
        <f t="shared" si="103"/>
        <v>Unknown | High Spender | Higher</v>
      </c>
    </row>
    <row r="3277" spans="1:15" x14ac:dyDescent="0.25">
      <c r="A3277" s="1" t="s">
        <v>3307</v>
      </c>
      <c r="B3277" s="1">
        <v>37</v>
      </c>
      <c r="C3277" s="1" t="str" cm="1">
        <f t="array" ref="C3277">_xlfn.IFS(OR(B3277=" ", B3277="NA",NOT(ISNUMBER(B3277))), "Unknown",B3277&lt;18,"Underage",B3277&lt;=24,"Young Adult",B3277&lt;=34,"Early Career",B3277&lt;=44,"Mid Career",B3277&lt;=54,"Mature",B3277&lt;=65,"Pre-Senior",B3277&gt;65,"Senior")</f>
        <v>Mid Career</v>
      </c>
      <c r="D3277" s="1" t="s">
        <v>29</v>
      </c>
      <c r="E3277" s="1" t="s">
        <v>19</v>
      </c>
      <c r="F3277" s="1">
        <v>975000</v>
      </c>
      <c r="G3277" s="1">
        <v>80</v>
      </c>
      <c r="H3277" s="1" t="str" cm="1">
        <f t="array" ref="H3277">_xlfn.IFS( OR(G3277=" ",NOT(ISNUMBER(G3277))),"Unknown",G3277&lt;=33,"Low Spender",G3277&lt;=66,"Medium Spender",TRUE, "High Spender")</f>
        <v>High Spender</v>
      </c>
      <c r="I3277" s="1">
        <v>52</v>
      </c>
      <c r="J3277" s="1">
        <v>1500</v>
      </c>
      <c r="K3277" s="1">
        <v>309</v>
      </c>
      <c r="L3277" s="1" t="s">
        <v>37</v>
      </c>
      <c r="M3277" s="1" t="s">
        <v>32</v>
      </c>
      <c r="N3277" s="1" t="str">
        <f t="shared" si="102"/>
        <v>Higher</v>
      </c>
      <c r="O3277" s="1" t="str">
        <f t="shared" si="103"/>
        <v>Mid Career | High Spender | Higher</v>
      </c>
    </row>
    <row r="3278" spans="1:15" x14ac:dyDescent="0.25">
      <c r="A3278" s="1" t="s">
        <v>3308</v>
      </c>
      <c r="B3278" s="1">
        <v>28</v>
      </c>
      <c r="C3278" s="1" t="str" cm="1">
        <f t="array" ref="C3278">_xlfn.IFS(OR(B3278=" ", B3278="NA",NOT(ISNUMBER(B3278))), "Unknown",B3278&lt;18,"Underage",B3278&lt;=24,"Young Adult",B3278&lt;=34,"Early Career",B3278&lt;=44,"Mid Career",B3278&lt;=54,"Mature",B3278&lt;=65,"Pre-Senior",B3278&gt;65,"Senior")</f>
        <v>Early Career</v>
      </c>
      <c r="D3278" s="1" t="s">
        <v>29</v>
      </c>
      <c r="E3278" s="1" t="s">
        <v>34</v>
      </c>
      <c r="F3278" s="1">
        <v>1575000</v>
      </c>
      <c r="G3278" s="1">
        <v>15</v>
      </c>
      <c r="H3278" s="1" t="str" cm="1">
        <f t="array" ref="H3278">_xlfn.IFS( OR(G3278=" ",NOT(ISNUMBER(G3278))),"Unknown",G3278&lt;=33,"Low Spender",G3278&lt;=66,"Medium Spender",TRUE, "High Spender")</f>
        <v>Low Spender</v>
      </c>
      <c r="I3278" s="1">
        <v>23</v>
      </c>
      <c r="J3278" s="1">
        <v>6000</v>
      </c>
      <c r="K3278" s="1">
        <v>140</v>
      </c>
      <c r="L3278" s="1" t="s">
        <v>37</v>
      </c>
      <c r="N3278" s="1" t="str">
        <f t="shared" si="102"/>
        <v>Higher</v>
      </c>
      <c r="O3278" s="1" t="str">
        <f t="shared" si="103"/>
        <v>Early Career | Low Spender | Higher</v>
      </c>
    </row>
    <row r="3279" spans="1:15" x14ac:dyDescent="0.25">
      <c r="A3279" s="1" t="s">
        <v>3309</v>
      </c>
      <c r="B3279" s="1">
        <v>33</v>
      </c>
      <c r="C3279" s="1" t="str" cm="1">
        <f t="array" ref="C3279">_xlfn.IFS(OR(B3279=" ", B3279="NA",NOT(ISNUMBER(B3279))), "Unknown",B3279&lt;18,"Underage",B3279&lt;=24,"Young Adult",B3279&lt;=34,"Early Career",B3279&lt;=44,"Mid Career",B3279&lt;=54,"Mature",B3279&lt;=65,"Pre-Senior",B3279&gt;65,"Senior")</f>
        <v>Early Career</v>
      </c>
      <c r="D3279" s="1" t="s">
        <v>18</v>
      </c>
      <c r="F3279" s="1">
        <v>1425000</v>
      </c>
      <c r="G3279" s="1">
        <v>42</v>
      </c>
      <c r="H3279" s="1" t="str" cm="1">
        <f t="array" ref="H3279">_xlfn.IFS( OR(G3279=" ",NOT(ISNUMBER(G3279))),"Unknown",G3279&lt;=33,"Low Spender",G3279&lt;=66,"Medium Spender",TRUE, "High Spender")</f>
        <v>Medium Spender</v>
      </c>
      <c r="I3279" s="1">
        <v>37</v>
      </c>
      <c r="J3279" s="1">
        <v>9200</v>
      </c>
      <c r="K3279" s="1">
        <v>190</v>
      </c>
      <c r="L3279" s="1" t="s">
        <v>16</v>
      </c>
      <c r="N3279" s="1" t="str">
        <f t="shared" si="102"/>
        <v>Higher</v>
      </c>
      <c r="O3279" s="1" t="str">
        <f t="shared" si="103"/>
        <v>Early Career | Medium Spender | Higher</v>
      </c>
    </row>
    <row r="3280" spans="1:15" x14ac:dyDescent="0.25">
      <c r="A3280" s="1" t="s">
        <v>3310</v>
      </c>
      <c r="B3280" s="1">
        <v>68</v>
      </c>
      <c r="C3280" s="1" t="str" cm="1">
        <f t="array" ref="C3280">_xlfn.IFS(OR(B3280=" ", B3280="NA",NOT(ISNUMBER(B3280))), "Unknown",B3280&lt;18,"Underage",B3280&lt;=24,"Young Adult",B3280&lt;=34,"Early Career",B3280&lt;=44,"Mid Career",B3280&lt;=54,"Mature",B3280&lt;=65,"Pre-Senior",B3280&gt;65,"Senior")</f>
        <v>Senior</v>
      </c>
      <c r="D3280" s="1" t="s">
        <v>18</v>
      </c>
      <c r="F3280" s="1">
        <v>850000</v>
      </c>
      <c r="G3280" s="1">
        <v>34</v>
      </c>
      <c r="H3280" s="1" t="str" cm="1">
        <f t="array" ref="H3280">_xlfn.IFS( OR(G3280=" ",NOT(ISNUMBER(G3280))),"Unknown",G3280&lt;=33,"Low Spender",G3280&lt;=66,"Medium Spender",TRUE, "High Spender")</f>
        <v>Medium Spender</v>
      </c>
      <c r="I3280" s="1">
        <v>41</v>
      </c>
      <c r="J3280" s="1">
        <v>5200</v>
      </c>
      <c r="K3280" s="1">
        <v>96</v>
      </c>
      <c r="L3280" s="1" t="s">
        <v>16</v>
      </c>
      <c r="M3280" s="1" t="s">
        <v>21</v>
      </c>
      <c r="N3280" s="1" t="str">
        <f t="shared" si="102"/>
        <v>Higher</v>
      </c>
      <c r="O3280" s="1" t="str">
        <f t="shared" si="103"/>
        <v>Senior | Medium Spender | Higher</v>
      </c>
    </row>
    <row r="3281" spans="1:15" x14ac:dyDescent="0.25">
      <c r="A3281" s="1" t="s">
        <v>3311</v>
      </c>
      <c r="B3281" s="1">
        <v>48</v>
      </c>
      <c r="C3281" s="1" t="str" cm="1">
        <f t="array" ref="C3281">_xlfn.IFS(OR(B3281=" ", B3281="NA",NOT(ISNUMBER(B3281))), "Unknown",B3281&lt;18,"Underage",B3281&lt;=24,"Young Adult",B3281&lt;=34,"Early Career",B3281&lt;=44,"Mid Career",B3281&lt;=54,"Mature",B3281&lt;=65,"Pre-Senior",B3281&gt;65,"Senior")</f>
        <v>Mature</v>
      </c>
      <c r="E3281" s="1" t="s">
        <v>15</v>
      </c>
      <c r="F3281" s="1">
        <v>1000000</v>
      </c>
      <c r="G3281" s="1">
        <v>48</v>
      </c>
      <c r="H3281" s="1" t="str" cm="1">
        <f t="array" ref="H3281">_xlfn.IFS( OR(G3281=" ",NOT(ISNUMBER(G3281))),"Unknown",G3281&lt;=33,"Low Spender",G3281&lt;=66,"Medium Spender",TRUE, "High Spender")</f>
        <v>Medium Spender</v>
      </c>
      <c r="I3281" s="1">
        <v>57</v>
      </c>
      <c r="J3281" s="1">
        <v>1300</v>
      </c>
      <c r="K3281" s="1">
        <v>194</v>
      </c>
      <c r="L3281" s="1" t="s">
        <v>20</v>
      </c>
      <c r="M3281" s="1" t="s">
        <v>30</v>
      </c>
      <c r="N3281" s="1" t="str">
        <f t="shared" si="102"/>
        <v>Lower</v>
      </c>
      <c r="O3281" s="1" t="str">
        <f t="shared" si="103"/>
        <v>Mature | Medium Spender | Lower</v>
      </c>
    </row>
    <row r="3282" spans="1:15" x14ac:dyDescent="0.25">
      <c r="A3282" s="1" t="s">
        <v>3312</v>
      </c>
      <c r="B3282" s="1" t="s">
        <v>73</v>
      </c>
      <c r="C3282" s="1" t="str" cm="1">
        <f t="array" ref="C3282">_xlfn.IFS(OR(B3282=" ", B3282="NA",NOT(ISNUMBER(B3282))), "Unknown",B3282&lt;18,"Underage",B3282&lt;=24,"Young Adult",B3282&lt;=34,"Early Career",B3282&lt;=44,"Mid Career",B3282&lt;=54,"Mature",B3282&lt;=65,"Pre-Senior",B3282&gt;65,"Senior")</f>
        <v>Unknown</v>
      </c>
      <c r="E3282" s="1" t="s">
        <v>15</v>
      </c>
      <c r="G3282" s="1">
        <v>83</v>
      </c>
      <c r="H3282" s="1" t="str" cm="1">
        <f t="array" ref="H3282">_xlfn.IFS( OR(G3282=" ",NOT(ISNUMBER(G3282))),"Unknown",G3282&lt;=33,"Low Spender",G3282&lt;=66,"Medium Spender",TRUE, "High Spender")</f>
        <v>High Spender</v>
      </c>
      <c r="I3282" s="1">
        <v>25</v>
      </c>
      <c r="J3282" s="1">
        <v>1500</v>
      </c>
      <c r="K3282" s="1">
        <v>361</v>
      </c>
      <c r="L3282" s="1" t="s">
        <v>35</v>
      </c>
      <c r="M3282" s="1" t="s">
        <v>41</v>
      </c>
      <c r="N3282" s="1" t="str">
        <f t="shared" si="102"/>
        <v>Lower</v>
      </c>
      <c r="O3282" s="1" t="str">
        <f t="shared" si="103"/>
        <v>Unknown | High Spender | Lower</v>
      </c>
    </row>
    <row r="3283" spans="1:15" x14ac:dyDescent="0.25">
      <c r="A3283" s="1" t="s">
        <v>3313</v>
      </c>
      <c r="B3283" s="1">
        <v>23</v>
      </c>
      <c r="C3283" s="1" t="str" cm="1">
        <f t="array" ref="C3283">_xlfn.IFS(OR(B3283=" ", B3283="NA",NOT(ISNUMBER(B3283))), "Unknown",B3283&lt;18,"Underage",B3283&lt;=24,"Young Adult",B3283&lt;=34,"Early Career",B3283&lt;=44,"Mid Career",B3283&lt;=54,"Mature",B3283&lt;=65,"Pre-Senior",B3283&gt;65,"Senior")</f>
        <v>Young Adult</v>
      </c>
      <c r="D3283" s="1" t="s">
        <v>29</v>
      </c>
      <c r="F3283" s="1">
        <v>1325000</v>
      </c>
      <c r="G3283" s="1">
        <v>8</v>
      </c>
      <c r="H3283" s="1" t="str" cm="1">
        <f t="array" ref="H3283">_xlfn.IFS( OR(G3283=" ",NOT(ISNUMBER(G3283))),"Unknown",G3283&lt;=33,"Low Spender",G3283&lt;=66,"Medium Spender",TRUE, "High Spender")</f>
        <v>Low Spender</v>
      </c>
      <c r="I3283" s="1">
        <v>37</v>
      </c>
      <c r="J3283" s="1">
        <v>9900</v>
      </c>
      <c r="K3283" s="1">
        <v>304</v>
      </c>
      <c r="L3283" s="1" t="s">
        <v>16</v>
      </c>
      <c r="M3283" s="1" t="s">
        <v>41</v>
      </c>
      <c r="N3283" s="1" t="str">
        <f t="shared" si="102"/>
        <v>Higher</v>
      </c>
      <c r="O3283" s="1" t="str">
        <f t="shared" si="103"/>
        <v>Young Adult | Low Spender | Higher</v>
      </c>
    </row>
    <row r="3284" spans="1:15" x14ac:dyDescent="0.25">
      <c r="A3284" s="1" t="s">
        <v>3314</v>
      </c>
      <c r="B3284" s="1">
        <v>36</v>
      </c>
      <c r="C3284" s="1" t="str" cm="1">
        <f t="array" ref="C3284">_xlfn.IFS(OR(B3284=" ", B3284="NA",NOT(ISNUMBER(B3284))), "Unknown",B3284&lt;18,"Underage",B3284&lt;=24,"Young Adult",B3284&lt;=34,"Early Career",B3284&lt;=44,"Mid Career",B3284&lt;=54,"Mature",B3284&lt;=65,"Pre-Senior",B3284&gt;65,"Senior")</f>
        <v>Mid Career</v>
      </c>
      <c r="D3284" s="1" t="s">
        <v>18</v>
      </c>
      <c r="E3284" s="1" t="s">
        <v>23</v>
      </c>
      <c r="F3284" s="1">
        <v>950000</v>
      </c>
      <c r="G3284" s="1">
        <v>10</v>
      </c>
      <c r="H3284" s="1" t="str" cm="1">
        <f t="array" ref="H3284">_xlfn.IFS( OR(G3284=" ",NOT(ISNUMBER(G3284))),"Unknown",G3284&lt;=33,"Low Spender",G3284&lt;=66,"Medium Spender",TRUE, "High Spender")</f>
        <v>Low Spender</v>
      </c>
      <c r="I3284" s="1">
        <v>40</v>
      </c>
      <c r="J3284" s="1">
        <v>5200</v>
      </c>
      <c r="K3284" s="1">
        <v>296</v>
      </c>
      <c r="L3284" s="1" t="s">
        <v>16</v>
      </c>
      <c r="N3284" s="1" t="str">
        <f t="shared" si="102"/>
        <v>Higher</v>
      </c>
      <c r="O3284" s="1" t="str">
        <f t="shared" si="103"/>
        <v>Mid Career | Low Spender | Higher</v>
      </c>
    </row>
    <row r="3285" spans="1:15" x14ac:dyDescent="0.25">
      <c r="A3285" s="1" t="s">
        <v>3315</v>
      </c>
      <c r="B3285" s="1">
        <v>54</v>
      </c>
      <c r="C3285" s="1" t="str" cm="1">
        <f t="array" ref="C3285">_xlfn.IFS(OR(B3285=" ", B3285="NA",NOT(ISNUMBER(B3285))), "Unknown",B3285&lt;18,"Underage",B3285&lt;=24,"Young Adult",B3285&lt;=34,"Early Career",B3285&lt;=44,"Mid Career",B3285&lt;=54,"Mature",B3285&lt;=65,"Pre-Senior",B3285&gt;65,"Senior")</f>
        <v>Mature</v>
      </c>
      <c r="D3285" s="1" t="s">
        <v>29</v>
      </c>
      <c r="G3285" s="1">
        <v>5</v>
      </c>
      <c r="H3285" s="1" t="str" cm="1">
        <f t="array" ref="H3285">_xlfn.IFS( OR(G3285=" ",NOT(ISNUMBER(G3285))),"Unknown",G3285&lt;=33,"Low Spender",G3285&lt;=66,"Medium Spender",TRUE, "High Spender")</f>
        <v>Low Spender</v>
      </c>
      <c r="I3285" s="1">
        <v>46</v>
      </c>
      <c r="J3285" s="1">
        <v>10300</v>
      </c>
      <c r="K3285" s="1">
        <v>152</v>
      </c>
      <c r="L3285" s="1" t="s">
        <v>16</v>
      </c>
      <c r="M3285" s="1" t="s">
        <v>41</v>
      </c>
      <c r="N3285" s="1" t="str">
        <f t="shared" si="102"/>
        <v>Higher</v>
      </c>
      <c r="O3285" s="1" t="str">
        <f t="shared" si="103"/>
        <v>Mature | Low Spender | Higher</v>
      </c>
    </row>
    <row r="3286" spans="1:15" x14ac:dyDescent="0.25">
      <c r="A3286" s="1" t="s">
        <v>3316</v>
      </c>
      <c r="B3286" s="1">
        <v>21</v>
      </c>
      <c r="C3286" s="1" t="str" cm="1">
        <f t="array" ref="C3286">_xlfn.IFS(OR(B3286=" ", B3286="NA",NOT(ISNUMBER(B3286))), "Unknown",B3286&lt;18,"Underage",B3286&lt;=24,"Young Adult",B3286&lt;=34,"Early Career",B3286&lt;=44,"Mid Career",B3286&lt;=54,"Mature",B3286&lt;=65,"Pre-Senior",B3286&gt;65,"Senior")</f>
        <v>Young Adult</v>
      </c>
      <c r="D3286" s="1" t="s">
        <v>29</v>
      </c>
      <c r="F3286" s="1">
        <v>1950000</v>
      </c>
      <c r="G3286" s="1">
        <v>48</v>
      </c>
      <c r="H3286" s="1" t="str" cm="1">
        <f t="array" ref="H3286">_xlfn.IFS( OR(G3286=" ",NOT(ISNUMBER(G3286))),"Unknown",G3286&lt;=33,"Low Spender",G3286&lt;=66,"Medium Spender",TRUE, "High Spender")</f>
        <v>Medium Spender</v>
      </c>
      <c r="I3286" s="1">
        <v>60</v>
      </c>
      <c r="J3286" s="1">
        <v>4000</v>
      </c>
      <c r="K3286" s="1">
        <v>223</v>
      </c>
      <c r="L3286" s="1" t="s">
        <v>16</v>
      </c>
      <c r="M3286" s="1" t="s">
        <v>41</v>
      </c>
      <c r="N3286" s="1" t="str">
        <f t="shared" si="102"/>
        <v>Higher</v>
      </c>
      <c r="O3286" s="1" t="str">
        <f t="shared" si="103"/>
        <v>Young Adult | Medium Spender | Higher</v>
      </c>
    </row>
    <row r="3287" spans="1:15" x14ac:dyDescent="0.25">
      <c r="A3287" s="1" t="s">
        <v>3317</v>
      </c>
      <c r="B3287" s="1">
        <v>64</v>
      </c>
      <c r="C3287" s="1" t="str" cm="1">
        <f t="array" ref="C3287">_xlfn.IFS(OR(B3287=" ", B3287="NA",NOT(ISNUMBER(B3287))), "Unknown",B3287&lt;18,"Underage",B3287&lt;=24,"Young Adult",B3287&lt;=34,"Early Career",B3287&lt;=44,"Mid Career",B3287&lt;=54,"Mature",B3287&lt;=65,"Pre-Senior",B3287&gt;65,"Senior")</f>
        <v>Pre-Senior</v>
      </c>
      <c r="D3287" s="1" t="s">
        <v>29</v>
      </c>
      <c r="E3287" s="1" t="s">
        <v>34</v>
      </c>
      <c r="F3287" s="1">
        <v>350000</v>
      </c>
      <c r="G3287" s="1">
        <v>26</v>
      </c>
      <c r="H3287" s="1" t="str" cm="1">
        <f t="array" ref="H3287">_xlfn.IFS( OR(G3287=" ",NOT(ISNUMBER(G3287))),"Unknown",G3287&lt;=33,"Low Spender",G3287&lt;=66,"Medium Spender",TRUE, "High Spender")</f>
        <v>Low Spender</v>
      </c>
      <c r="I3287" s="1">
        <v>19</v>
      </c>
      <c r="J3287" s="1">
        <v>300</v>
      </c>
      <c r="K3287" s="1">
        <v>196</v>
      </c>
      <c r="M3287" s="1" t="s">
        <v>30</v>
      </c>
      <c r="N3287" s="1" t="str">
        <f t="shared" si="102"/>
        <v>Higher</v>
      </c>
      <c r="O3287" s="1" t="str">
        <f t="shared" si="103"/>
        <v>Pre-Senior | Low Spender | Higher</v>
      </c>
    </row>
    <row r="3288" spans="1:15" x14ac:dyDescent="0.25">
      <c r="A3288" s="1" t="s">
        <v>3318</v>
      </c>
      <c r="B3288" s="1">
        <v>21</v>
      </c>
      <c r="C3288" s="1" t="str" cm="1">
        <f t="array" ref="C3288">_xlfn.IFS(OR(B3288=" ", B3288="NA",NOT(ISNUMBER(B3288))), "Unknown",B3288&lt;18,"Underage",B3288&lt;=24,"Young Adult",B3288&lt;=34,"Early Career",B3288&lt;=44,"Mid Career",B3288&lt;=54,"Mature",B3288&lt;=65,"Pre-Senior",B3288&gt;65,"Senior")</f>
        <v>Young Adult</v>
      </c>
      <c r="D3288" s="1" t="s">
        <v>29</v>
      </c>
      <c r="E3288" s="1" t="s">
        <v>58</v>
      </c>
      <c r="F3288" s="1">
        <v>1325000</v>
      </c>
      <c r="G3288" s="1">
        <v>86</v>
      </c>
      <c r="H3288" s="1" t="str" cm="1">
        <f t="array" ref="H3288">_xlfn.IFS( OR(G3288=" ",NOT(ISNUMBER(G3288))),"Unknown",G3288&lt;=33,"Low Spender",G3288&lt;=66,"Medium Spender",TRUE, "High Spender")</f>
        <v>High Spender</v>
      </c>
      <c r="I3288" s="1">
        <v>9</v>
      </c>
      <c r="J3288" s="1">
        <v>4100</v>
      </c>
      <c r="K3288" s="1">
        <v>88</v>
      </c>
      <c r="L3288" s="1" t="s">
        <v>20</v>
      </c>
      <c r="M3288" s="1" t="s">
        <v>32</v>
      </c>
      <c r="N3288" s="1" t="str">
        <f t="shared" si="102"/>
        <v>Higher</v>
      </c>
      <c r="O3288" s="1" t="str">
        <f t="shared" si="103"/>
        <v>Young Adult | High Spender | Higher</v>
      </c>
    </row>
    <row r="3289" spans="1:15" x14ac:dyDescent="0.25">
      <c r="A3289" s="1" t="s">
        <v>3319</v>
      </c>
      <c r="B3289" s="1">
        <v>37</v>
      </c>
      <c r="C3289" s="1" t="str" cm="1">
        <f t="array" ref="C3289">_xlfn.IFS(OR(B3289=" ", B3289="NA",NOT(ISNUMBER(B3289))), "Unknown",B3289&lt;18,"Underage",B3289&lt;=24,"Young Adult",B3289&lt;=34,"Early Career",B3289&lt;=44,"Mid Career",B3289&lt;=54,"Mature",B3289&lt;=65,"Pre-Senior",B3289&gt;65,"Senior")</f>
        <v>Mid Career</v>
      </c>
      <c r="E3289" s="1" t="s">
        <v>49</v>
      </c>
      <c r="F3289" s="1">
        <v>1800000</v>
      </c>
      <c r="G3289" s="1">
        <v>23</v>
      </c>
      <c r="H3289" s="1" t="str" cm="1">
        <f t="array" ref="H3289">_xlfn.IFS( OR(G3289=" ",NOT(ISNUMBER(G3289))),"Unknown",G3289&lt;=33,"Low Spender",G3289&lt;=66,"Medium Spender",TRUE, "High Spender")</f>
        <v>Low Spender</v>
      </c>
      <c r="I3289" s="1">
        <v>69</v>
      </c>
      <c r="J3289" s="1">
        <v>2900</v>
      </c>
      <c r="K3289" s="1">
        <v>299</v>
      </c>
      <c r="L3289" s="1" t="s">
        <v>16</v>
      </c>
      <c r="M3289" s="1" t="s">
        <v>32</v>
      </c>
      <c r="N3289" s="1" t="str">
        <f t="shared" si="102"/>
        <v>Lower</v>
      </c>
      <c r="O3289" s="1" t="str">
        <f t="shared" si="103"/>
        <v>Mid Career | Low Spender | Lower</v>
      </c>
    </row>
    <row r="3290" spans="1:15" x14ac:dyDescent="0.25">
      <c r="A3290" s="1" t="s">
        <v>3320</v>
      </c>
      <c r="B3290" s="1">
        <v>27</v>
      </c>
      <c r="C3290" s="1" t="str" cm="1">
        <f t="array" ref="C3290">_xlfn.IFS(OR(B3290=" ", B3290="NA",NOT(ISNUMBER(B3290))), "Unknown",B3290&lt;18,"Underage",B3290&lt;=24,"Young Adult",B3290&lt;=34,"Early Career",B3290&lt;=44,"Mid Career",B3290&lt;=54,"Mature",B3290&lt;=65,"Pre-Senior",B3290&gt;65,"Senior")</f>
        <v>Early Career</v>
      </c>
      <c r="D3290" s="1" t="s">
        <v>18</v>
      </c>
      <c r="E3290" s="1" t="s">
        <v>58</v>
      </c>
      <c r="F3290" s="1">
        <v>1025000</v>
      </c>
      <c r="G3290" s="1">
        <v>62</v>
      </c>
      <c r="H3290" s="1" t="str" cm="1">
        <f t="array" ref="H3290">_xlfn.IFS( OR(G3290=" ",NOT(ISNUMBER(G3290))),"Unknown",G3290&lt;=33,"Low Spender",G3290&lt;=66,"Medium Spender",TRUE, "High Spender")</f>
        <v>Medium Spender</v>
      </c>
      <c r="I3290" s="1">
        <v>5</v>
      </c>
      <c r="J3290" s="1">
        <v>3800</v>
      </c>
      <c r="K3290" s="1">
        <v>17</v>
      </c>
      <c r="M3290" s="1" t="s">
        <v>30</v>
      </c>
      <c r="N3290" s="1" t="str">
        <f t="shared" si="102"/>
        <v>Higher</v>
      </c>
      <c r="O3290" s="1" t="str">
        <f t="shared" si="103"/>
        <v>Early Career | Medium Spender | Higher</v>
      </c>
    </row>
    <row r="3291" spans="1:15" x14ac:dyDescent="0.25">
      <c r="A3291" s="1" t="s">
        <v>3321</v>
      </c>
      <c r="B3291" s="1">
        <v>41</v>
      </c>
      <c r="C3291" s="1" t="str" cm="1">
        <f t="array" ref="C3291">_xlfn.IFS(OR(B3291=" ", B3291="NA",NOT(ISNUMBER(B3291))), "Unknown",B3291&lt;18,"Underage",B3291&lt;=24,"Young Adult",B3291&lt;=34,"Early Career",B3291&lt;=44,"Mid Career",B3291&lt;=54,"Mature",B3291&lt;=65,"Pre-Senior",B3291&gt;65,"Senior")</f>
        <v>Mid Career</v>
      </c>
      <c r="D3291" s="1" t="s">
        <v>29</v>
      </c>
      <c r="E3291" s="1" t="s">
        <v>49</v>
      </c>
      <c r="F3291" s="1">
        <v>1900000</v>
      </c>
      <c r="G3291" s="1">
        <v>13</v>
      </c>
      <c r="H3291" s="1" t="str" cm="1">
        <f t="array" ref="H3291">_xlfn.IFS( OR(G3291=" ",NOT(ISNUMBER(G3291))),"Unknown",G3291&lt;=33,"Low Spender",G3291&lt;=66,"Medium Spender",TRUE, "High Spender")</f>
        <v>Low Spender</v>
      </c>
      <c r="I3291" s="1">
        <v>26</v>
      </c>
      <c r="J3291" s="1">
        <v>3400</v>
      </c>
      <c r="K3291" s="1">
        <v>211</v>
      </c>
      <c r="L3291" s="1" t="s">
        <v>35</v>
      </c>
      <c r="M3291" s="1" t="s">
        <v>41</v>
      </c>
      <c r="N3291" s="1" t="str">
        <f t="shared" si="102"/>
        <v>Higher</v>
      </c>
      <c r="O3291" s="1" t="str">
        <f t="shared" si="103"/>
        <v>Mid Career | Low Spender | Higher</v>
      </c>
    </row>
    <row r="3292" spans="1:15" x14ac:dyDescent="0.25">
      <c r="A3292" s="1" t="s">
        <v>3322</v>
      </c>
      <c r="C3292" s="1" t="str" cm="1">
        <f t="array" ref="C3292">_xlfn.IFS(OR(B3292=" ", B3292="NA",NOT(ISNUMBER(B3292))), "Unknown",B3292&lt;18,"Underage",B3292&lt;=24,"Young Adult",B3292&lt;=34,"Early Career",B3292&lt;=44,"Mid Career",B3292&lt;=54,"Mature",B3292&lt;=65,"Pre-Senior",B3292&gt;65,"Senior")</f>
        <v>Unknown</v>
      </c>
      <c r="D3292" s="1" t="s">
        <v>12</v>
      </c>
      <c r="E3292" s="1" t="s">
        <v>15</v>
      </c>
      <c r="F3292" s="1">
        <v>1225000</v>
      </c>
      <c r="G3292" s="1">
        <v>9</v>
      </c>
      <c r="H3292" s="1" t="str" cm="1">
        <f t="array" ref="H3292">_xlfn.IFS( OR(G3292=" ",NOT(ISNUMBER(G3292))),"Unknown",G3292&lt;=33,"Low Spender",G3292&lt;=66,"Medium Spender",TRUE, "High Spender")</f>
        <v>Low Spender</v>
      </c>
      <c r="I3292" s="1">
        <v>19</v>
      </c>
      <c r="J3292" s="1">
        <v>4300</v>
      </c>
      <c r="K3292" s="1">
        <v>232</v>
      </c>
      <c r="L3292" s="1" t="s">
        <v>16</v>
      </c>
      <c r="M3292" s="1" t="s">
        <v>21</v>
      </c>
      <c r="N3292" s="1" t="str">
        <f t="shared" si="102"/>
        <v>Lower</v>
      </c>
      <c r="O3292" s="1" t="str">
        <f t="shared" si="103"/>
        <v>Unknown | Low Spender | Lower</v>
      </c>
    </row>
    <row r="3293" spans="1:15" x14ac:dyDescent="0.25">
      <c r="A3293" s="1" t="s">
        <v>3323</v>
      </c>
      <c r="B3293" s="1">
        <v>52</v>
      </c>
      <c r="C3293" s="1" t="str" cm="1">
        <f t="array" ref="C3293">_xlfn.IFS(OR(B3293=" ", B3293="NA",NOT(ISNUMBER(B3293))), "Unknown",B3293&lt;18,"Underage",B3293&lt;=24,"Young Adult",B3293&lt;=34,"Early Career",B3293&lt;=44,"Mid Career",B3293&lt;=54,"Mature",B3293&lt;=65,"Pre-Senior",B3293&gt;65,"Senior")</f>
        <v>Mature</v>
      </c>
      <c r="E3293" s="1" t="s">
        <v>27</v>
      </c>
      <c r="F3293" s="1">
        <v>1625000</v>
      </c>
      <c r="G3293" s="1">
        <v>20</v>
      </c>
      <c r="H3293" s="1" t="str" cm="1">
        <f t="array" ref="H3293">_xlfn.IFS( OR(G3293=" ",NOT(ISNUMBER(G3293))),"Unknown",G3293&lt;=33,"Low Spender",G3293&lt;=66,"Medium Spender",TRUE, "High Spender")</f>
        <v>Low Spender</v>
      </c>
      <c r="I3293" s="1">
        <v>30</v>
      </c>
      <c r="J3293" s="1">
        <v>1700</v>
      </c>
      <c r="K3293" s="1">
        <v>358</v>
      </c>
      <c r="N3293" s="1" t="str">
        <f t="shared" si="102"/>
        <v>Lower</v>
      </c>
      <c r="O3293" s="1" t="str">
        <f t="shared" si="103"/>
        <v>Mature | Low Spender | Lower</v>
      </c>
    </row>
    <row r="3294" spans="1:15" x14ac:dyDescent="0.25">
      <c r="A3294" s="1" t="s">
        <v>3324</v>
      </c>
      <c r="B3294" s="1">
        <v>43</v>
      </c>
      <c r="C3294" s="1" t="str" cm="1">
        <f t="array" ref="C3294">_xlfn.IFS(OR(B3294=" ", B3294="NA",NOT(ISNUMBER(B3294))), "Unknown",B3294&lt;18,"Underage",B3294&lt;=24,"Young Adult",B3294&lt;=34,"Early Career",B3294&lt;=44,"Mid Career",B3294&lt;=54,"Mature",B3294&lt;=65,"Pre-Senior",B3294&gt;65,"Senior")</f>
        <v>Mid Career</v>
      </c>
      <c r="D3294" s="1" t="s">
        <v>12</v>
      </c>
      <c r="F3294" s="1">
        <v>1700000</v>
      </c>
      <c r="G3294" s="1">
        <v>92</v>
      </c>
      <c r="H3294" s="1" t="str" cm="1">
        <f t="array" ref="H3294">_xlfn.IFS( OR(G3294=" ",NOT(ISNUMBER(G3294))),"Unknown",G3294&lt;=33,"Low Spender",G3294&lt;=66,"Medium Spender",TRUE, "High Spender")</f>
        <v>High Spender</v>
      </c>
      <c r="I3294" s="1">
        <v>48</v>
      </c>
      <c r="J3294" s="1">
        <v>3300</v>
      </c>
      <c r="K3294" s="1">
        <v>183</v>
      </c>
      <c r="N3294" s="1" t="str">
        <f t="shared" si="102"/>
        <v>Lower</v>
      </c>
      <c r="O3294" s="1" t="str">
        <f t="shared" si="103"/>
        <v>Mid Career | High Spender | Lower</v>
      </c>
    </row>
    <row r="3295" spans="1:15" x14ac:dyDescent="0.25">
      <c r="A3295" s="1" t="s">
        <v>3325</v>
      </c>
      <c r="B3295" s="1">
        <v>54</v>
      </c>
      <c r="C3295" s="1" t="str" cm="1">
        <f t="array" ref="C3295">_xlfn.IFS(OR(B3295=" ", B3295="NA",NOT(ISNUMBER(B3295))), "Unknown",B3295&lt;18,"Underage",B3295&lt;=24,"Young Adult",B3295&lt;=34,"Early Career",B3295&lt;=44,"Mid Career",B3295&lt;=54,"Mature",B3295&lt;=65,"Pre-Senior",B3295&gt;65,"Senior")</f>
        <v>Mature</v>
      </c>
      <c r="E3295" s="1" t="s">
        <v>58</v>
      </c>
      <c r="F3295" s="1">
        <v>250000</v>
      </c>
      <c r="G3295" s="1">
        <v>57</v>
      </c>
      <c r="H3295" s="1" t="str" cm="1">
        <f t="array" ref="H3295">_xlfn.IFS( OR(G3295=" ",NOT(ISNUMBER(G3295))),"Unknown",G3295&lt;=33,"Low Spender",G3295&lt;=66,"Medium Spender",TRUE, "High Spender")</f>
        <v>Medium Spender</v>
      </c>
      <c r="I3295" s="1">
        <v>16</v>
      </c>
      <c r="J3295" s="1">
        <v>800</v>
      </c>
      <c r="K3295" s="1">
        <v>162</v>
      </c>
      <c r="L3295" s="1" t="s">
        <v>37</v>
      </c>
      <c r="M3295" s="1" t="s">
        <v>32</v>
      </c>
      <c r="N3295" s="1" t="str">
        <f t="shared" si="102"/>
        <v>Lower</v>
      </c>
      <c r="O3295" s="1" t="str">
        <f t="shared" si="103"/>
        <v>Mature | Medium Spender | Lower</v>
      </c>
    </row>
    <row r="3296" spans="1:15" x14ac:dyDescent="0.25">
      <c r="A3296" s="1" t="s">
        <v>3326</v>
      </c>
      <c r="B3296" s="1">
        <v>55</v>
      </c>
      <c r="C3296" s="1" t="str" cm="1">
        <f t="array" ref="C3296">_xlfn.IFS(OR(B3296=" ", B3296="NA",NOT(ISNUMBER(B3296))), "Unknown",B3296&lt;18,"Underage",B3296&lt;=24,"Young Adult",B3296&lt;=34,"Early Career",B3296&lt;=44,"Mid Career",B3296&lt;=54,"Mature",B3296&lt;=65,"Pre-Senior",B3296&gt;65,"Senior")</f>
        <v>Pre-Senior</v>
      </c>
      <c r="D3296" s="1" t="s">
        <v>18</v>
      </c>
      <c r="H3296" s="1" t="str" cm="1">
        <f t="array" ref="H3296">_xlfn.IFS( OR(G3296=" ",NOT(ISNUMBER(G3296))),"Unknown",G3296&lt;=33,"Low Spender",G3296&lt;=66,"Medium Spender",TRUE, "High Spender")</f>
        <v>Unknown</v>
      </c>
      <c r="I3296" s="1">
        <v>71</v>
      </c>
      <c r="J3296" s="1">
        <v>9100</v>
      </c>
      <c r="K3296" s="1">
        <v>70</v>
      </c>
      <c r="L3296" s="1" t="s">
        <v>37</v>
      </c>
      <c r="M3296" s="1" t="s">
        <v>30</v>
      </c>
      <c r="N3296" s="1" t="str">
        <f t="shared" si="102"/>
        <v>Higher</v>
      </c>
      <c r="O3296" s="1" t="str">
        <f t="shared" si="103"/>
        <v>Pre-Senior | Unknown | Higher</v>
      </c>
    </row>
    <row r="3297" spans="1:15" x14ac:dyDescent="0.25">
      <c r="A3297" s="1" t="s">
        <v>3327</v>
      </c>
      <c r="B3297" s="1">
        <v>38</v>
      </c>
      <c r="C3297" s="1" t="str" cm="1">
        <f t="array" ref="C3297">_xlfn.IFS(OR(B3297=" ", B3297="NA",NOT(ISNUMBER(B3297))), "Unknown",B3297&lt;18,"Underage",B3297&lt;=24,"Young Adult",B3297&lt;=34,"Early Career",B3297&lt;=44,"Mid Career",B3297&lt;=54,"Mature",B3297&lt;=65,"Pre-Senior",B3297&gt;65,"Senior")</f>
        <v>Mid Career</v>
      </c>
      <c r="E3297" s="1" t="s">
        <v>34</v>
      </c>
      <c r="F3297" s="1">
        <v>1125000</v>
      </c>
      <c r="G3297" s="1">
        <v>24</v>
      </c>
      <c r="H3297" s="1" t="str" cm="1">
        <f t="array" ref="H3297">_xlfn.IFS( OR(G3297=" ",NOT(ISNUMBER(G3297))),"Unknown",G3297&lt;=33,"Low Spender",G3297&lt;=66,"Medium Spender",TRUE, "High Spender")</f>
        <v>Low Spender</v>
      </c>
      <c r="I3297" s="1">
        <v>18</v>
      </c>
      <c r="J3297" s="1">
        <v>11500</v>
      </c>
      <c r="K3297" s="1">
        <v>60</v>
      </c>
      <c r="L3297" s="1" t="s">
        <v>20</v>
      </c>
      <c r="M3297" s="1" t="s">
        <v>21</v>
      </c>
      <c r="N3297" s="1" t="str">
        <f t="shared" si="102"/>
        <v>Lower</v>
      </c>
      <c r="O3297" s="1" t="str">
        <f t="shared" si="103"/>
        <v>Mid Career | Low Spender | Lower</v>
      </c>
    </row>
    <row r="3298" spans="1:15" x14ac:dyDescent="0.25">
      <c r="A3298" s="1" t="s">
        <v>3328</v>
      </c>
      <c r="C3298" s="1" t="str" cm="1">
        <f t="array" ref="C3298">_xlfn.IFS(OR(B3298=" ", B3298="NA",NOT(ISNUMBER(B3298))), "Unknown",B3298&lt;18,"Underage",B3298&lt;=24,"Young Adult",B3298&lt;=34,"Early Career",B3298&lt;=44,"Mid Career",B3298&lt;=54,"Mature",B3298&lt;=65,"Pre-Senior",B3298&gt;65,"Senior")</f>
        <v>Unknown</v>
      </c>
      <c r="E3298" s="1" t="s">
        <v>34</v>
      </c>
      <c r="F3298" s="1">
        <v>600000</v>
      </c>
      <c r="G3298" s="1">
        <v>33</v>
      </c>
      <c r="H3298" s="1" t="str" cm="1">
        <f t="array" ref="H3298">_xlfn.IFS( OR(G3298=" ",NOT(ISNUMBER(G3298))),"Unknown",G3298&lt;=33,"Low Spender",G3298&lt;=66,"Medium Spender",TRUE, "High Spender")</f>
        <v>Low Spender</v>
      </c>
      <c r="I3298" s="1">
        <v>56</v>
      </c>
      <c r="J3298" s="1">
        <v>5400</v>
      </c>
      <c r="K3298" s="1">
        <v>179</v>
      </c>
      <c r="L3298" s="1" t="s">
        <v>37</v>
      </c>
      <c r="M3298" s="1" t="s">
        <v>41</v>
      </c>
      <c r="N3298" s="1" t="str">
        <f t="shared" si="102"/>
        <v>Lower</v>
      </c>
      <c r="O3298" s="1" t="str">
        <f t="shared" si="103"/>
        <v>Unknown | Low Spender | Lower</v>
      </c>
    </row>
    <row r="3299" spans="1:15" x14ac:dyDescent="0.25">
      <c r="A3299" s="1" t="s">
        <v>3329</v>
      </c>
      <c r="B3299" s="1">
        <v>57</v>
      </c>
      <c r="C3299" s="1" t="str" cm="1">
        <f t="array" ref="C3299">_xlfn.IFS(OR(B3299=" ", B3299="NA",NOT(ISNUMBER(B3299))), "Unknown",B3299&lt;18,"Underage",B3299&lt;=24,"Young Adult",B3299&lt;=34,"Early Career",B3299&lt;=44,"Mid Career",B3299&lt;=54,"Mature",B3299&lt;=65,"Pre-Senior",B3299&gt;65,"Senior")</f>
        <v>Pre-Senior</v>
      </c>
      <c r="D3299" s="1" t="s">
        <v>29</v>
      </c>
      <c r="E3299" s="1" t="s">
        <v>23</v>
      </c>
      <c r="F3299" s="1">
        <v>1300000</v>
      </c>
      <c r="G3299" s="1">
        <v>20</v>
      </c>
      <c r="H3299" s="1" t="str" cm="1">
        <f t="array" ref="H3299">_xlfn.IFS( OR(G3299=" ",NOT(ISNUMBER(G3299))),"Unknown",G3299&lt;=33,"Low Spender",G3299&lt;=66,"Medium Spender",TRUE, "High Spender")</f>
        <v>Low Spender</v>
      </c>
      <c r="I3299" s="1">
        <v>21</v>
      </c>
      <c r="J3299" s="1">
        <v>8400</v>
      </c>
      <c r="K3299" s="1">
        <v>77</v>
      </c>
      <c r="L3299" s="1" t="s">
        <v>16</v>
      </c>
      <c r="M3299" s="1" t="s">
        <v>30</v>
      </c>
      <c r="N3299" s="1" t="str">
        <f t="shared" si="102"/>
        <v>Higher</v>
      </c>
      <c r="O3299" s="1" t="str">
        <f t="shared" si="103"/>
        <v>Pre-Senior | Low Spender | Higher</v>
      </c>
    </row>
    <row r="3300" spans="1:15" x14ac:dyDescent="0.25">
      <c r="A3300" s="1" t="s">
        <v>3330</v>
      </c>
      <c r="B3300" s="1">
        <v>56</v>
      </c>
      <c r="C3300" s="1" t="str" cm="1">
        <f t="array" ref="C3300">_xlfn.IFS(OR(B3300=" ", B3300="NA",NOT(ISNUMBER(B3300))), "Unknown",B3300&lt;18,"Underage",B3300&lt;=24,"Young Adult",B3300&lt;=34,"Early Career",B3300&lt;=44,"Mid Career",B3300&lt;=54,"Mature",B3300&lt;=65,"Pre-Senior",B3300&gt;65,"Senior")</f>
        <v>Pre-Senior</v>
      </c>
      <c r="D3300" s="1" t="s">
        <v>18</v>
      </c>
      <c r="E3300" s="1" t="s">
        <v>34</v>
      </c>
      <c r="F3300" s="1">
        <v>1750000</v>
      </c>
      <c r="G3300" s="1">
        <v>60</v>
      </c>
      <c r="H3300" s="1" t="str" cm="1">
        <f t="array" ref="H3300">_xlfn.IFS( OR(G3300=" ",NOT(ISNUMBER(G3300))),"Unknown",G3300&lt;=33,"Low Spender",G3300&lt;=66,"Medium Spender",TRUE, "High Spender")</f>
        <v>Medium Spender</v>
      </c>
      <c r="I3300" s="1">
        <v>31</v>
      </c>
      <c r="J3300" s="1">
        <v>2400</v>
      </c>
      <c r="K3300" s="1">
        <v>35</v>
      </c>
      <c r="M3300" s="1" t="s">
        <v>32</v>
      </c>
      <c r="N3300" s="1" t="str">
        <f t="shared" si="102"/>
        <v>Higher</v>
      </c>
      <c r="O3300" s="1" t="str">
        <f t="shared" si="103"/>
        <v>Pre-Senior | Medium Spender | Higher</v>
      </c>
    </row>
    <row r="3301" spans="1:15" x14ac:dyDescent="0.25">
      <c r="A3301" s="1" t="s">
        <v>3331</v>
      </c>
      <c r="B3301" s="1">
        <v>38</v>
      </c>
      <c r="C3301" s="1" t="str" cm="1">
        <f t="array" ref="C3301">_xlfn.IFS(OR(B3301=" ", B3301="NA",NOT(ISNUMBER(B3301))), "Unknown",B3301&lt;18,"Underage",B3301&lt;=24,"Young Adult",B3301&lt;=34,"Early Career",B3301&lt;=44,"Mid Career",B3301&lt;=54,"Mature",B3301&lt;=65,"Pre-Senior",B3301&gt;65,"Senior")</f>
        <v>Mid Career</v>
      </c>
      <c r="D3301" s="1" t="s">
        <v>18</v>
      </c>
      <c r="E3301" s="1" t="s">
        <v>34</v>
      </c>
      <c r="F3301" s="1">
        <v>1800000</v>
      </c>
      <c r="G3301" s="1">
        <v>48</v>
      </c>
      <c r="H3301" s="1" t="str" cm="1">
        <f t="array" ref="H3301">_xlfn.IFS( OR(G3301=" ",NOT(ISNUMBER(G3301))),"Unknown",G3301&lt;=33,"Low Spender",G3301&lt;=66,"Medium Spender",TRUE, "High Spender")</f>
        <v>Medium Spender</v>
      </c>
      <c r="I3301" s="1">
        <v>1</v>
      </c>
      <c r="J3301" s="1">
        <v>3300</v>
      </c>
      <c r="K3301" s="1">
        <v>16</v>
      </c>
      <c r="L3301" s="1" t="s">
        <v>20</v>
      </c>
      <c r="M3301" s="1" t="s">
        <v>21</v>
      </c>
      <c r="N3301" s="1" t="str">
        <f t="shared" si="102"/>
        <v>Higher</v>
      </c>
      <c r="O3301" s="1" t="str">
        <f t="shared" si="103"/>
        <v>Mid Career | Medium Spender | Higher</v>
      </c>
    </row>
    <row r="3302" spans="1:15" x14ac:dyDescent="0.25">
      <c r="A3302" s="1" t="s">
        <v>3332</v>
      </c>
      <c r="B3302" s="1">
        <v>27</v>
      </c>
      <c r="C3302" s="1" t="str" cm="1">
        <f t="array" ref="C3302">_xlfn.IFS(OR(B3302=" ", B3302="NA",NOT(ISNUMBER(B3302))), "Unknown",B3302&lt;18,"Underage",B3302&lt;=24,"Young Adult",B3302&lt;=34,"Early Career",B3302&lt;=44,"Mid Career",B3302&lt;=54,"Mature",B3302&lt;=65,"Pre-Senior",B3302&gt;65,"Senior")</f>
        <v>Early Career</v>
      </c>
      <c r="D3302" s="1" t="s">
        <v>12</v>
      </c>
      <c r="E3302" s="1" t="s">
        <v>27</v>
      </c>
      <c r="F3302" s="1">
        <v>575000</v>
      </c>
      <c r="G3302" s="1">
        <v>64</v>
      </c>
      <c r="H3302" s="1" t="str" cm="1">
        <f t="array" ref="H3302">_xlfn.IFS( OR(G3302=" ",NOT(ISNUMBER(G3302))),"Unknown",G3302&lt;=33,"Low Spender",G3302&lt;=66,"Medium Spender",TRUE, "High Spender")</f>
        <v>Medium Spender</v>
      </c>
      <c r="I3302" s="1">
        <v>3</v>
      </c>
      <c r="J3302" s="1">
        <v>10200</v>
      </c>
      <c r="K3302" s="1">
        <v>294</v>
      </c>
      <c r="M3302" s="1" t="s">
        <v>21</v>
      </c>
      <c r="N3302" s="1" t="str">
        <f t="shared" si="102"/>
        <v>Lower</v>
      </c>
      <c r="O3302" s="1" t="str">
        <f t="shared" si="103"/>
        <v>Early Career | Medium Spender | Lower</v>
      </c>
    </row>
    <row r="3303" spans="1:15" x14ac:dyDescent="0.25">
      <c r="A3303" s="1" t="s">
        <v>3333</v>
      </c>
      <c r="B3303" s="1">
        <v>55</v>
      </c>
      <c r="C3303" s="1" t="str" cm="1">
        <f t="array" ref="C3303">_xlfn.IFS(OR(B3303=" ", B3303="NA",NOT(ISNUMBER(B3303))), "Unknown",B3303&lt;18,"Underage",B3303&lt;=24,"Young Adult",B3303&lt;=34,"Early Career",B3303&lt;=44,"Mid Career",B3303&lt;=54,"Mature",B3303&lt;=65,"Pre-Senior",B3303&gt;65,"Senior")</f>
        <v>Pre-Senior</v>
      </c>
      <c r="F3303" s="1">
        <v>1375000</v>
      </c>
      <c r="G3303" s="1">
        <v>30</v>
      </c>
      <c r="H3303" s="1" t="str" cm="1">
        <f t="array" ref="H3303">_xlfn.IFS( OR(G3303=" ",NOT(ISNUMBER(G3303))),"Unknown",G3303&lt;=33,"Low Spender",G3303&lt;=66,"Medium Spender",TRUE, "High Spender")</f>
        <v>Low Spender</v>
      </c>
      <c r="I3303" s="1">
        <v>25</v>
      </c>
      <c r="J3303" s="1">
        <v>7500</v>
      </c>
      <c r="K3303" s="1">
        <v>171</v>
      </c>
      <c r="L3303" s="1" t="s">
        <v>16</v>
      </c>
      <c r="M3303" s="1" t="s">
        <v>32</v>
      </c>
      <c r="N3303" s="1" t="str">
        <f t="shared" si="102"/>
        <v>Lower</v>
      </c>
      <c r="O3303" s="1" t="str">
        <f t="shared" si="103"/>
        <v>Pre-Senior | Low Spender | Lower</v>
      </c>
    </row>
    <row r="3304" spans="1:15" x14ac:dyDescent="0.25">
      <c r="A3304" s="1" t="s">
        <v>3334</v>
      </c>
      <c r="B3304" s="1">
        <v>63</v>
      </c>
      <c r="C3304" s="1" t="str" cm="1">
        <f t="array" ref="C3304">_xlfn.IFS(OR(B3304=" ", B3304="NA",NOT(ISNUMBER(B3304))), "Unknown",B3304&lt;18,"Underage",B3304&lt;=24,"Young Adult",B3304&lt;=34,"Early Career",B3304&lt;=44,"Mid Career",B3304&lt;=54,"Mature",B3304&lt;=65,"Pre-Senior",B3304&gt;65,"Senior")</f>
        <v>Pre-Senior</v>
      </c>
      <c r="D3304" s="1" t="s">
        <v>29</v>
      </c>
      <c r="E3304" s="1" t="s">
        <v>15</v>
      </c>
      <c r="F3304" s="1">
        <v>875000</v>
      </c>
      <c r="G3304" s="1">
        <v>73</v>
      </c>
      <c r="H3304" s="1" t="str" cm="1">
        <f t="array" ref="H3304">_xlfn.IFS( OR(G3304=" ",NOT(ISNUMBER(G3304))),"Unknown",G3304&lt;=33,"Low Spender",G3304&lt;=66,"Medium Spender",TRUE, "High Spender")</f>
        <v>High Spender</v>
      </c>
      <c r="I3304" s="1">
        <v>8</v>
      </c>
      <c r="J3304" s="1">
        <v>4800</v>
      </c>
      <c r="K3304" s="1">
        <v>32</v>
      </c>
      <c r="L3304" s="1" t="s">
        <v>37</v>
      </c>
      <c r="M3304" s="1" t="s">
        <v>21</v>
      </c>
      <c r="N3304" s="1" t="str">
        <f t="shared" si="102"/>
        <v>Higher</v>
      </c>
      <c r="O3304" s="1" t="str">
        <f t="shared" si="103"/>
        <v>Pre-Senior | High Spender | Higher</v>
      </c>
    </row>
    <row r="3305" spans="1:15" x14ac:dyDescent="0.25">
      <c r="A3305" s="1" t="s">
        <v>3335</v>
      </c>
      <c r="B3305" s="1">
        <v>21</v>
      </c>
      <c r="C3305" s="1" t="str" cm="1">
        <f t="array" ref="C3305">_xlfn.IFS(OR(B3305=" ", B3305="NA",NOT(ISNUMBER(B3305))), "Unknown",B3305&lt;18,"Underage",B3305&lt;=24,"Young Adult",B3305&lt;=34,"Early Career",B3305&lt;=44,"Mid Career",B3305&lt;=54,"Mature",B3305&lt;=65,"Pre-Senior",B3305&gt;65,"Senior")</f>
        <v>Young Adult</v>
      </c>
      <c r="D3305" s="1" t="s">
        <v>18</v>
      </c>
      <c r="E3305" s="1" t="s">
        <v>34</v>
      </c>
      <c r="F3305" s="1">
        <v>1775000</v>
      </c>
      <c r="G3305" s="1">
        <v>17</v>
      </c>
      <c r="H3305" s="1" t="str" cm="1">
        <f t="array" ref="H3305">_xlfn.IFS( OR(G3305=" ",NOT(ISNUMBER(G3305))),"Unknown",G3305&lt;=33,"Low Spender",G3305&lt;=66,"Medium Spender",TRUE, "High Spender")</f>
        <v>Low Spender</v>
      </c>
      <c r="I3305" s="1">
        <v>65</v>
      </c>
      <c r="J3305" s="1">
        <v>6900</v>
      </c>
      <c r="K3305" s="1">
        <v>263</v>
      </c>
      <c r="L3305" s="1" t="s">
        <v>35</v>
      </c>
      <c r="N3305" s="1" t="str">
        <f t="shared" si="102"/>
        <v>Higher</v>
      </c>
      <c r="O3305" s="1" t="str">
        <f t="shared" si="103"/>
        <v>Young Adult | Low Spender | Higher</v>
      </c>
    </row>
    <row r="3306" spans="1:15" x14ac:dyDescent="0.25">
      <c r="A3306" s="1" t="s">
        <v>3336</v>
      </c>
      <c r="B3306" s="1">
        <v>62</v>
      </c>
      <c r="C3306" s="1" t="str" cm="1">
        <f t="array" ref="C3306">_xlfn.IFS(OR(B3306=" ", B3306="NA",NOT(ISNUMBER(B3306))), "Unknown",B3306&lt;18,"Underage",B3306&lt;=24,"Young Adult",B3306&lt;=34,"Early Career",B3306&lt;=44,"Mid Career",B3306&lt;=54,"Mature",B3306&lt;=65,"Pre-Senior",B3306&gt;65,"Senior")</f>
        <v>Pre-Senior</v>
      </c>
      <c r="E3306" s="1" t="s">
        <v>15</v>
      </c>
      <c r="F3306" s="1">
        <v>250000</v>
      </c>
      <c r="G3306" s="1">
        <v>100</v>
      </c>
      <c r="H3306" s="1" t="str" cm="1">
        <f t="array" ref="H3306">_xlfn.IFS( OR(G3306=" ",NOT(ISNUMBER(G3306))),"Unknown",G3306&lt;=33,"Low Spender",G3306&lt;=66,"Medium Spender",TRUE, "High Spender")</f>
        <v>High Spender</v>
      </c>
      <c r="I3306" s="1">
        <v>62</v>
      </c>
      <c r="J3306" s="1">
        <v>9900</v>
      </c>
      <c r="K3306" s="1">
        <v>215</v>
      </c>
      <c r="L3306" s="1" t="s">
        <v>16</v>
      </c>
      <c r="M3306" s="1" t="s">
        <v>32</v>
      </c>
      <c r="N3306" s="1" t="str">
        <f t="shared" si="102"/>
        <v>Lower</v>
      </c>
      <c r="O3306" s="1" t="str">
        <f t="shared" si="103"/>
        <v>Pre-Senior | High Spender | Lower</v>
      </c>
    </row>
    <row r="3307" spans="1:15" x14ac:dyDescent="0.25">
      <c r="A3307" s="1" t="s">
        <v>3337</v>
      </c>
      <c r="B3307" s="1">
        <v>37</v>
      </c>
      <c r="C3307" s="1" t="str" cm="1">
        <f t="array" ref="C3307">_xlfn.IFS(OR(B3307=" ", B3307="NA",NOT(ISNUMBER(B3307))), "Unknown",B3307&lt;18,"Underage",B3307&lt;=24,"Young Adult",B3307&lt;=34,"Early Career",B3307&lt;=44,"Mid Career",B3307&lt;=54,"Mature",B3307&lt;=65,"Pre-Senior",B3307&gt;65,"Senior")</f>
        <v>Mid Career</v>
      </c>
      <c r="D3307" s="1" t="s">
        <v>18</v>
      </c>
      <c r="E3307" s="1" t="s">
        <v>27</v>
      </c>
      <c r="F3307" s="1">
        <v>1175000</v>
      </c>
      <c r="G3307" s="1">
        <v>14</v>
      </c>
      <c r="H3307" s="1" t="str" cm="1">
        <f t="array" ref="H3307">_xlfn.IFS( OR(G3307=" ",NOT(ISNUMBER(G3307))),"Unknown",G3307&lt;=33,"Low Spender",G3307&lt;=66,"Medium Spender",TRUE, "High Spender")</f>
        <v>Low Spender</v>
      </c>
      <c r="I3307" s="1">
        <v>7</v>
      </c>
      <c r="J3307" s="1">
        <v>9300</v>
      </c>
      <c r="K3307" s="1">
        <v>46</v>
      </c>
      <c r="L3307" s="1" t="s">
        <v>35</v>
      </c>
      <c r="N3307" s="1" t="str">
        <f t="shared" si="102"/>
        <v>Higher</v>
      </c>
      <c r="O3307" s="1" t="str">
        <f t="shared" si="103"/>
        <v>Mid Career | Low Spender | Higher</v>
      </c>
    </row>
    <row r="3308" spans="1:15" x14ac:dyDescent="0.25">
      <c r="A3308" s="1" t="s">
        <v>3338</v>
      </c>
      <c r="B3308" s="1">
        <v>34</v>
      </c>
      <c r="C3308" s="1" t="str" cm="1">
        <f t="array" ref="C3308">_xlfn.IFS(OR(B3308=" ", B3308="NA",NOT(ISNUMBER(B3308))), "Unknown",B3308&lt;18,"Underage",B3308&lt;=24,"Young Adult",B3308&lt;=34,"Early Career",B3308&lt;=44,"Mid Career",B3308&lt;=54,"Mature",B3308&lt;=65,"Pre-Senior",B3308&gt;65,"Senior")</f>
        <v>Early Career</v>
      </c>
      <c r="D3308" s="1" t="s">
        <v>29</v>
      </c>
      <c r="E3308" s="1" t="s">
        <v>34</v>
      </c>
      <c r="F3308" s="1">
        <v>250000</v>
      </c>
      <c r="G3308" s="1">
        <v>19</v>
      </c>
      <c r="H3308" s="1" t="str" cm="1">
        <f t="array" ref="H3308">_xlfn.IFS( OR(G3308=" ",NOT(ISNUMBER(G3308))),"Unknown",G3308&lt;=33,"Low Spender",G3308&lt;=66,"Medium Spender",TRUE, "High Spender")</f>
        <v>Low Spender</v>
      </c>
      <c r="I3308" s="1">
        <v>7</v>
      </c>
      <c r="J3308" s="1">
        <v>4500</v>
      </c>
      <c r="K3308" s="1">
        <v>189</v>
      </c>
      <c r="M3308" s="1" t="s">
        <v>30</v>
      </c>
      <c r="N3308" s="1" t="str">
        <f t="shared" si="102"/>
        <v>Higher</v>
      </c>
      <c r="O3308" s="1" t="str">
        <f t="shared" si="103"/>
        <v>Early Career | Low Spender | Higher</v>
      </c>
    </row>
    <row r="3309" spans="1:15" x14ac:dyDescent="0.25">
      <c r="A3309" s="1" t="s">
        <v>3339</v>
      </c>
      <c r="B3309" s="1" t="s">
        <v>73</v>
      </c>
      <c r="C3309" s="1" t="str" cm="1">
        <f t="array" ref="C3309">_xlfn.IFS(OR(B3309=" ", B3309="NA",NOT(ISNUMBER(B3309))), "Unknown",B3309&lt;18,"Underage",B3309&lt;=24,"Young Adult",B3309&lt;=34,"Early Career",B3309&lt;=44,"Mid Career",B3309&lt;=54,"Mature",B3309&lt;=65,"Pre-Senior",B3309&gt;65,"Senior")</f>
        <v>Unknown</v>
      </c>
      <c r="F3309" s="1">
        <v>1375000</v>
      </c>
      <c r="G3309" s="1">
        <v>71</v>
      </c>
      <c r="H3309" s="1" t="str" cm="1">
        <f t="array" ref="H3309">_xlfn.IFS( OR(G3309=" ",NOT(ISNUMBER(G3309))),"Unknown",G3309&lt;=33,"Low Spender",G3309&lt;=66,"Medium Spender",TRUE, "High Spender")</f>
        <v>High Spender</v>
      </c>
      <c r="I3309" s="1">
        <v>8</v>
      </c>
      <c r="J3309" s="1">
        <v>300</v>
      </c>
      <c r="K3309" s="1">
        <v>274</v>
      </c>
      <c r="L3309" s="1" t="s">
        <v>35</v>
      </c>
      <c r="N3309" s="1" t="str">
        <f t="shared" si="102"/>
        <v>Lower</v>
      </c>
      <c r="O3309" s="1" t="str">
        <f t="shared" si="103"/>
        <v>Unknown | High Spender | Lower</v>
      </c>
    </row>
    <row r="3310" spans="1:15" x14ac:dyDescent="0.25">
      <c r="A3310" s="1" t="s">
        <v>3340</v>
      </c>
      <c r="B3310" s="1">
        <v>24</v>
      </c>
      <c r="C3310" s="1" t="str" cm="1">
        <f t="array" ref="C3310">_xlfn.IFS(OR(B3310=" ", B3310="NA",NOT(ISNUMBER(B3310))), "Unknown",B3310&lt;18,"Underage",B3310&lt;=24,"Young Adult",B3310&lt;=34,"Early Career",B3310&lt;=44,"Mid Career",B3310&lt;=54,"Mature",B3310&lt;=65,"Pre-Senior",B3310&gt;65,"Senior")</f>
        <v>Young Adult</v>
      </c>
      <c r="D3310" s="1" t="s">
        <v>18</v>
      </c>
      <c r="E3310" s="1" t="s">
        <v>23</v>
      </c>
      <c r="F3310" s="1">
        <v>1575000</v>
      </c>
      <c r="G3310" s="1">
        <v>59</v>
      </c>
      <c r="H3310" s="1" t="str" cm="1">
        <f t="array" ref="H3310">_xlfn.IFS( OR(G3310=" ",NOT(ISNUMBER(G3310))),"Unknown",G3310&lt;=33,"Low Spender",G3310&lt;=66,"Medium Spender",TRUE, "High Spender")</f>
        <v>Medium Spender</v>
      </c>
      <c r="I3310" s="1">
        <v>19</v>
      </c>
      <c r="J3310" s="1">
        <v>4600</v>
      </c>
      <c r="K3310" s="1">
        <v>71</v>
      </c>
      <c r="M3310" s="1" t="s">
        <v>41</v>
      </c>
      <c r="N3310" s="1" t="str">
        <f t="shared" si="102"/>
        <v>Higher</v>
      </c>
      <c r="O3310" s="1" t="str">
        <f t="shared" si="103"/>
        <v>Young Adult | Medium Spender | Higher</v>
      </c>
    </row>
    <row r="3311" spans="1:15" x14ac:dyDescent="0.25">
      <c r="A3311" s="1" t="s">
        <v>3341</v>
      </c>
      <c r="B3311" s="1">
        <v>21</v>
      </c>
      <c r="C3311" s="1" t="str" cm="1">
        <f t="array" ref="C3311">_xlfn.IFS(OR(B3311=" ", B3311="NA",NOT(ISNUMBER(B3311))), "Unknown",B3311&lt;18,"Underage",B3311&lt;=24,"Young Adult",B3311&lt;=34,"Early Career",B3311&lt;=44,"Mid Career",B3311&lt;=54,"Mature",B3311&lt;=65,"Pre-Senior",B3311&gt;65,"Senior")</f>
        <v>Young Adult</v>
      </c>
      <c r="E3311" s="1" t="s">
        <v>58</v>
      </c>
      <c r="F3311" s="1">
        <v>325000</v>
      </c>
      <c r="G3311" s="1">
        <v>67</v>
      </c>
      <c r="H3311" s="1" t="str" cm="1">
        <f t="array" ref="H3311">_xlfn.IFS( OR(G3311=" ",NOT(ISNUMBER(G3311))),"Unknown",G3311&lt;=33,"Low Spender",G3311&lt;=66,"Medium Spender",TRUE, "High Spender")</f>
        <v>High Spender</v>
      </c>
      <c r="I3311" s="1">
        <v>17</v>
      </c>
      <c r="J3311" s="1">
        <v>5900</v>
      </c>
      <c r="K3311" s="1">
        <v>296</v>
      </c>
      <c r="L3311" s="1" t="s">
        <v>20</v>
      </c>
      <c r="M3311" s="1" t="s">
        <v>30</v>
      </c>
      <c r="N3311" s="1" t="str">
        <f t="shared" si="102"/>
        <v>Lower</v>
      </c>
      <c r="O3311" s="1" t="str">
        <f t="shared" si="103"/>
        <v>Young Adult | High Spender | Lower</v>
      </c>
    </row>
    <row r="3312" spans="1:15" x14ac:dyDescent="0.25">
      <c r="A3312" s="1" t="s">
        <v>3342</v>
      </c>
      <c r="B3312" s="1">
        <v>46</v>
      </c>
      <c r="C3312" s="1" t="str" cm="1">
        <f t="array" ref="C3312">_xlfn.IFS(OR(B3312=" ", B3312="NA",NOT(ISNUMBER(B3312))), "Unknown",B3312&lt;18,"Underage",B3312&lt;=24,"Young Adult",B3312&lt;=34,"Early Career",B3312&lt;=44,"Mid Career",B3312&lt;=54,"Mature",B3312&lt;=65,"Pre-Senior",B3312&gt;65,"Senior")</f>
        <v>Mature</v>
      </c>
      <c r="F3312" s="1">
        <v>900000</v>
      </c>
      <c r="G3312" s="1">
        <v>97</v>
      </c>
      <c r="H3312" s="1" t="str" cm="1">
        <f t="array" ref="H3312">_xlfn.IFS( OR(G3312=" ",NOT(ISNUMBER(G3312))),"Unknown",G3312&lt;=33,"Low Spender",G3312&lt;=66,"Medium Spender",TRUE, "High Spender")</f>
        <v>High Spender</v>
      </c>
      <c r="I3312" s="1">
        <v>11</v>
      </c>
      <c r="J3312" s="1">
        <v>1100</v>
      </c>
      <c r="K3312" s="1">
        <v>88</v>
      </c>
      <c r="N3312" s="1" t="str">
        <f t="shared" si="102"/>
        <v>Lower</v>
      </c>
      <c r="O3312" s="1" t="str">
        <f t="shared" si="103"/>
        <v>Mature | High Spender | Lower</v>
      </c>
    </row>
    <row r="3313" spans="1:15" x14ac:dyDescent="0.25">
      <c r="A3313" s="1" t="s">
        <v>3343</v>
      </c>
      <c r="B3313" s="1">
        <v>31</v>
      </c>
      <c r="C3313" s="1" t="str" cm="1">
        <f t="array" ref="C3313">_xlfn.IFS(OR(B3313=" ", B3313="NA",NOT(ISNUMBER(B3313))), "Unknown",B3313&lt;18,"Underage",B3313&lt;=24,"Young Adult",B3313&lt;=34,"Early Career",B3313&lt;=44,"Mid Career",B3313&lt;=54,"Mature",B3313&lt;=65,"Pre-Senior",B3313&gt;65,"Senior")</f>
        <v>Early Career</v>
      </c>
      <c r="E3313" s="1" t="s">
        <v>13</v>
      </c>
      <c r="F3313" s="1">
        <v>425000</v>
      </c>
      <c r="G3313" s="1">
        <v>44</v>
      </c>
      <c r="H3313" s="1" t="str" cm="1">
        <f t="array" ref="H3313">_xlfn.IFS( OR(G3313=" ",NOT(ISNUMBER(G3313))),"Unknown",G3313&lt;=33,"Low Spender",G3313&lt;=66,"Medium Spender",TRUE, "High Spender")</f>
        <v>Medium Spender</v>
      </c>
      <c r="I3313" s="1">
        <v>49</v>
      </c>
      <c r="J3313" s="1">
        <v>700</v>
      </c>
      <c r="K3313" s="1">
        <v>334</v>
      </c>
      <c r="L3313" s="1" t="s">
        <v>37</v>
      </c>
      <c r="M3313" s="1" t="s">
        <v>41</v>
      </c>
      <c r="N3313" s="1" t="str">
        <f t="shared" si="102"/>
        <v>Lower</v>
      </c>
      <c r="O3313" s="1" t="str">
        <f t="shared" si="103"/>
        <v>Early Career | Medium Spender | Lower</v>
      </c>
    </row>
    <row r="3314" spans="1:15" x14ac:dyDescent="0.25">
      <c r="A3314" s="1" t="s">
        <v>3344</v>
      </c>
      <c r="B3314" s="1">
        <v>20</v>
      </c>
      <c r="C3314" s="1" t="str" cm="1">
        <f t="array" ref="C3314">_xlfn.IFS(OR(B3314=" ", B3314="NA",NOT(ISNUMBER(B3314))), "Unknown",B3314&lt;18,"Underage",B3314&lt;=24,"Young Adult",B3314&lt;=34,"Early Career",B3314&lt;=44,"Mid Career",B3314&lt;=54,"Mature",B3314&lt;=65,"Pre-Senior",B3314&gt;65,"Senior")</f>
        <v>Young Adult</v>
      </c>
      <c r="D3314" s="1" t="s">
        <v>29</v>
      </c>
      <c r="E3314" s="1" t="s">
        <v>19</v>
      </c>
      <c r="F3314" s="1">
        <v>650000</v>
      </c>
      <c r="G3314" s="1">
        <v>32</v>
      </c>
      <c r="H3314" s="1" t="str" cm="1">
        <f t="array" ref="H3314">_xlfn.IFS( OR(G3314=" ",NOT(ISNUMBER(G3314))),"Unknown",G3314&lt;=33,"Low Spender",G3314&lt;=66,"Medium Spender",TRUE, "High Spender")</f>
        <v>Low Spender</v>
      </c>
      <c r="I3314" s="1">
        <v>11</v>
      </c>
      <c r="J3314" s="1">
        <v>8100</v>
      </c>
      <c r="K3314" s="1">
        <v>261</v>
      </c>
      <c r="L3314" s="1" t="s">
        <v>37</v>
      </c>
      <c r="M3314" s="1" t="s">
        <v>41</v>
      </c>
      <c r="N3314" s="1" t="str">
        <f t="shared" si="102"/>
        <v>Higher</v>
      </c>
      <c r="O3314" s="1" t="str">
        <f t="shared" si="103"/>
        <v>Young Adult | Low Spender | Higher</v>
      </c>
    </row>
    <row r="3315" spans="1:15" x14ac:dyDescent="0.25">
      <c r="A3315" s="1" t="s">
        <v>3345</v>
      </c>
      <c r="B3315" s="1">
        <v>41</v>
      </c>
      <c r="C3315" s="1" t="str" cm="1">
        <f t="array" ref="C3315">_xlfn.IFS(OR(B3315=" ", B3315="NA",NOT(ISNUMBER(B3315))), "Unknown",B3315&lt;18,"Underage",B3315&lt;=24,"Young Adult",B3315&lt;=34,"Early Career",B3315&lt;=44,"Mid Career",B3315&lt;=54,"Mature",B3315&lt;=65,"Pre-Senior",B3315&gt;65,"Senior")</f>
        <v>Mid Career</v>
      </c>
      <c r="D3315" s="1" t="s">
        <v>29</v>
      </c>
      <c r="E3315" s="1" t="s">
        <v>34</v>
      </c>
      <c r="F3315" s="1">
        <v>1675000</v>
      </c>
      <c r="G3315" s="1">
        <v>11</v>
      </c>
      <c r="H3315" s="1" t="str" cm="1">
        <f t="array" ref="H3315">_xlfn.IFS( OR(G3315=" ",NOT(ISNUMBER(G3315))),"Unknown",G3315&lt;=33,"Low Spender",G3315&lt;=66,"Medium Spender",TRUE, "High Spender")</f>
        <v>Low Spender</v>
      </c>
      <c r="I3315" s="1">
        <v>41</v>
      </c>
      <c r="J3315" s="1">
        <v>11600</v>
      </c>
      <c r="K3315" s="1">
        <v>182</v>
      </c>
      <c r="L3315" s="1" t="s">
        <v>16</v>
      </c>
      <c r="N3315" s="1" t="str">
        <f t="shared" si="102"/>
        <v>Higher</v>
      </c>
      <c r="O3315" s="1" t="str">
        <f t="shared" si="103"/>
        <v>Mid Career | Low Spender | Higher</v>
      </c>
    </row>
    <row r="3316" spans="1:15" x14ac:dyDescent="0.25">
      <c r="A3316" s="1" t="s">
        <v>3346</v>
      </c>
      <c r="B3316" s="1">
        <v>54</v>
      </c>
      <c r="C3316" s="1" t="str" cm="1">
        <f t="array" ref="C3316">_xlfn.IFS(OR(B3316=" ", B3316="NA",NOT(ISNUMBER(B3316))), "Unknown",B3316&lt;18,"Underage",B3316&lt;=24,"Young Adult",B3316&lt;=34,"Early Career",B3316&lt;=44,"Mid Career",B3316&lt;=54,"Mature",B3316&lt;=65,"Pre-Senior",B3316&gt;65,"Senior")</f>
        <v>Mature</v>
      </c>
      <c r="E3316" s="1" t="s">
        <v>15</v>
      </c>
      <c r="F3316" s="1">
        <v>950000</v>
      </c>
      <c r="G3316" s="1">
        <v>2</v>
      </c>
      <c r="H3316" s="1" t="str" cm="1">
        <f t="array" ref="H3316">_xlfn.IFS( OR(G3316=" ",NOT(ISNUMBER(G3316))),"Unknown",G3316&lt;=33,"Low Spender",G3316&lt;=66,"Medium Spender",TRUE, "High Spender")</f>
        <v>Low Spender</v>
      </c>
      <c r="I3316" s="1">
        <v>62</v>
      </c>
      <c r="J3316" s="1">
        <v>1100</v>
      </c>
      <c r="K3316" s="1">
        <v>342</v>
      </c>
      <c r="L3316" s="1" t="s">
        <v>37</v>
      </c>
      <c r="N3316" s="1" t="str">
        <f t="shared" si="102"/>
        <v>Lower</v>
      </c>
      <c r="O3316" s="1" t="str">
        <f t="shared" si="103"/>
        <v>Mature | Low Spender | Lower</v>
      </c>
    </row>
    <row r="3317" spans="1:15" x14ac:dyDescent="0.25">
      <c r="A3317" s="1" t="s">
        <v>3347</v>
      </c>
      <c r="B3317" s="1">
        <v>33</v>
      </c>
      <c r="C3317" s="1" t="str" cm="1">
        <f t="array" ref="C3317">_xlfn.IFS(OR(B3317=" ", B3317="NA",NOT(ISNUMBER(B3317))), "Unknown",B3317&lt;18,"Underage",B3317&lt;=24,"Young Adult",B3317&lt;=34,"Early Career",B3317&lt;=44,"Mid Career",B3317&lt;=54,"Mature",B3317&lt;=65,"Pre-Senior",B3317&gt;65,"Senior")</f>
        <v>Early Career</v>
      </c>
      <c r="D3317" s="1" t="s">
        <v>29</v>
      </c>
      <c r="E3317" s="1" t="s">
        <v>19</v>
      </c>
      <c r="F3317" s="1">
        <v>775000</v>
      </c>
      <c r="G3317" s="1">
        <v>90</v>
      </c>
      <c r="H3317" s="1" t="str" cm="1">
        <f t="array" ref="H3317">_xlfn.IFS( OR(G3317=" ",NOT(ISNUMBER(G3317))),"Unknown",G3317&lt;=33,"Low Spender",G3317&lt;=66,"Medium Spender",TRUE, "High Spender")</f>
        <v>High Spender</v>
      </c>
      <c r="I3317" s="1">
        <v>52</v>
      </c>
      <c r="J3317" s="1">
        <v>4700</v>
      </c>
      <c r="K3317" s="1">
        <v>22</v>
      </c>
      <c r="L3317" s="1" t="s">
        <v>20</v>
      </c>
      <c r="M3317" s="1" t="s">
        <v>32</v>
      </c>
      <c r="N3317" s="1" t="str">
        <f t="shared" si="102"/>
        <v>Higher</v>
      </c>
      <c r="O3317" s="1" t="str">
        <f t="shared" si="103"/>
        <v>Early Career | High Spender | Higher</v>
      </c>
    </row>
    <row r="3318" spans="1:15" x14ac:dyDescent="0.25">
      <c r="A3318" s="1" t="s">
        <v>3348</v>
      </c>
      <c r="B3318" s="1" t="s">
        <v>73</v>
      </c>
      <c r="C3318" s="1" t="str" cm="1">
        <f t="array" ref="C3318">_xlfn.IFS(OR(B3318=" ", B3318="NA",NOT(ISNUMBER(B3318))), "Unknown",B3318&lt;18,"Underage",B3318&lt;=24,"Young Adult",B3318&lt;=34,"Early Career",B3318&lt;=44,"Mid Career",B3318&lt;=54,"Mature",B3318&lt;=65,"Pre-Senior",B3318&gt;65,"Senior")</f>
        <v>Unknown</v>
      </c>
      <c r="D3318" s="1" t="s">
        <v>18</v>
      </c>
      <c r="E3318" s="1" t="s">
        <v>49</v>
      </c>
      <c r="F3318" s="1">
        <v>1125000</v>
      </c>
      <c r="G3318" s="1">
        <v>68</v>
      </c>
      <c r="H3318" s="1" t="str" cm="1">
        <f t="array" ref="H3318">_xlfn.IFS( OR(G3318=" ",NOT(ISNUMBER(G3318))),"Unknown",G3318&lt;=33,"Low Spender",G3318&lt;=66,"Medium Spender",TRUE, "High Spender")</f>
        <v>High Spender</v>
      </c>
      <c r="I3318" s="1">
        <v>66</v>
      </c>
      <c r="J3318" s="1">
        <v>9400</v>
      </c>
      <c r="K3318" s="1">
        <v>74</v>
      </c>
      <c r="L3318" s="1" t="s">
        <v>37</v>
      </c>
      <c r="N3318" s="1" t="str">
        <f t="shared" si="102"/>
        <v>Higher</v>
      </c>
      <c r="O3318" s="1" t="str">
        <f t="shared" si="103"/>
        <v>Unknown | High Spender | Higher</v>
      </c>
    </row>
    <row r="3319" spans="1:15" x14ac:dyDescent="0.25">
      <c r="A3319" s="1" t="s">
        <v>3349</v>
      </c>
      <c r="B3319" s="1">
        <v>69</v>
      </c>
      <c r="C3319" s="1" t="str" cm="1">
        <f t="array" ref="C3319">_xlfn.IFS(OR(B3319=" ", B3319="NA",NOT(ISNUMBER(B3319))), "Unknown",B3319&lt;18,"Underage",B3319&lt;=24,"Young Adult",B3319&lt;=34,"Early Career",B3319&lt;=44,"Mid Career",B3319&lt;=54,"Mature",B3319&lt;=65,"Pre-Senior",B3319&gt;65,"Senior")</f>
        <v>Senior</v>
      </c>
      <c r="D3319" s="1" t="s">
        <v>18</v>
      </c>
      <c r="E3319" s="1" t="s">
        <v>34</v>
      </c>
      <c r="F3319" s="1">
        <v>1750000</v>
      </c>
      <c r="G3319" s="1">
        <v>17</v>
      </c>
      <c r="H3319" s="1" t="str" cm="1">
        <f t="array" ref="H3319">_xlfn.IFS( OR(G3319=" ",NOT(ISNUMBER(G3319))),"Unknown",G3319&lt;=33,"Low Spender",G3319&lt;=66,"Medium Spender",TRUE, "High Spender")</f>
        <v>Low Spender</v>
      </c>
      <c r="I3319" s="1">
        <v>68</v>
      </c>
      <c r="J3319" s="1">
        <v>7900</v>
      </c>
      <c r="K3319" s="1">
        <v>90</v>
      </c>
      <c r="L3319" s="1" t="s">
        <v>16</v>
      </c>
      <c r="N3319" s="1" t="str">
        <f t="shared" si="102"/>
        <v>Higher</v>
      </c>
      <c r="O3319" s="1" t="str">
        <f t="shared" si="103"/>
        <v>Senior | Low Spender | Higher</v>
      </c>
    </row>
    <row r="3320" spans="1:15" x14ac:dyDescent="0.25">
      <c r="A3320" s="1" t="s">
        <v>3350</v>
      </c>
      <c r="B3320" s="1">
        <v>21</v>
      </c>
      <c r="C3320" s="1" t="str" cm="1">
        <f t="array" ref="C3320">_xlfn.IFS(OR(B3320=" ", B3320="NA",NOT(ISNUMBER(B3320))), "Unknown",B3320&lt;18,"Underage",B3320&lt;=24,"Young Adult",B3320&lt;=34,"Early Career",B3320&lt;=44,"Mid Career",B3320&lt;=54,"Mature",B3320&lt;=65,"Pre-Senior",B3320&gt;65,"Senior")</f>
        <v>Young Adult</v>
      </c>
      <c r="D3320" s="1" t="s">
        <v>18</v>
      </c>
      <c r="E3320" s="1" t="s">
        <v>13</v>
      </c>
      <c r="F3320" s="1">
        <v>1600000</v>
      </c>
      <c r="G3320" s="1">
        <v>81</v>
      </c>
      <c r="H3320" s="1" t="str" cm="1">
        <f t="array" ref="H3320">_xlfn.IFS( OR(G3320=" ",NOT(ISNUMBER(G3320))),"Unknown",G3320&lt;=33,"Low Spender",G3320&lt;=66,"Medium Spender",TRUE, "High Spender")</f>
        <v>High Spender</v>
      </c>
      <c r="I3320" s="1">
        <v>75</v>
      </c>
      <c r="J3320" s="1">
        <v>2600</v>
      </c>
      <c r="K3320" s="1">
        <v>335</v>
      </c>
      <c r="L3320" s="1" t="s">
        <v>37</v>
      </c>
      <c r="M3320" s="1" t="s">
        <v>41</v>
      </c>
      <c r="N3320" s="1" t="str">
        <f t="shared" si="102"/>
        <v>Higher</v>
      </c>
      <c r="O3320" s="1" t="str">
        <f t="shared" si="103"/>
        <v>Young Adult | High Spender | Higher</v>
      </c>
    </row>
    <row r="3321" spans="1:15" x14ac:dyDescent="0.25">
      <c r="A3321" s="1" t="s">
        <v>3351</v>
      </c>
      <c r="B3321" s="1">
        <v>41</v>
      </c>
      <c r="C3321" s="1" t="str" cm="1">
        <f t="array" ref="C3321">_xlfn.IFS(OR(B3321=" ", B3321="NA",NOT(ISNUMBER(B3321))), "Unknown",B3321&lt;18,"Underage",B3321&lt;=24,"Young Adult",B3321&lt;=34,"Early Career",B3321&lt;=44,"Mid Career",B3321&lt;=54,"Mature",B3321&lt;=65,"Pre-Senior",B3321&gt;65,"Senior")</f>
        <v>Mid Career</v>
      </c>
      <c r="D3321" s="1" t="s">
        <v>29</v>
      </c>
      <c r="E3321" s="1" t="s">
        <v>27</v>
      </c>
      <c r="F3321" s="1">
        <v>500000</v>
      </c>
      <c r="G3321" s="1">
        <v>92</v>
      </c>
      <c r="H3321" s="1" t="str" cm="1">
        <f t="array" ref="H3321">_xlfn.IFS( OR(G3321=" ",NOT(ISNUMBER(G3321))),"Unknown",G3321&lt;=33,"Low Spender",G3321&lt;=66,"Medium Spender",TRUE, "High Spender")</f>
        <v>High Spender</v>
      </c>
      <c r="I3321" s="1">
        <v>67</v>
      </c>
      <c r="J3321" s="1">
        <v>11100</v>
      </c>
      <c r="K3321" s="1">
        <v>166</v>
      </c>
      <c r="M3321" s="1" t="s">
        <v>41</v>
      </c>
      <c r="N3321" s="1" t="str">
        <f t="shared" si="102"/>
        <v>Higher</v>
      </c>
      <c r="O3321" s="1" t="str">
        <f t="shared" si="103"/>
        <v>Mid Career | High Spender | Higher</v>
      </c>
    </row>
    <row r="3322" spans="1:15" x14ac:dyDescent="0.25">
      <c r="A3322" s="1" t="s">
        <v>3352</v>
      </c>
      <c r="B3322" s="1">
        <v>51</v>
      </c>
      <c r="C3322" s="1" t="str" cm="1">
        <f t="array" ref="C3322">_xlfn.IFS(OR(B3322=" ", B3322="NA",NOT(ISNUMBER(B3322))), "Unknown",B3322&lt;18,"Underage",B3322&lt;=24,"Young Adult",B3322&lt;=34,"Early Career",B3322&lt;=44,"Mid Career",B3322&lt;=54,"Mature",B3322&lt;=65,"Pre-Senior",B3322&gt;65,"Senior")</f>
        <v>Mature</v>
      </c>
      <c r="D3322" s="1" t="s">
        <v>29</v>
      </c>
      <c r="E3322" s="1" t="s">
        <v>23</v>
      </c>
      <c r="F3322" s="1">
        <v>150000</v>
      </c>
      <c r="G3322" s="1">
        <v>94</v>
      </c>
      <c r="H3322" s="1" t="str" cm="1">
        <f t="array" ref="H3322">_xlfn.IFS( OR(G3322=" ",NOT(ISNUMBER(G3322))),"Unknown",G3322&lt;=33,"Low Spender",G3322&lt;=66,"Medium Spender",TRUE, "High Spender")</f>
        <v>High Spender</v>
      </c>
      <c r="I3322" s="1">
        <v>40</v>
      </c>
      <c r="J3322" s="1">
        <v>7600</v>
      </c>
      <c r="K3322" s="1">
        <v>234</v>
      </c>
      <c r="M3322" s="1" t="s">
        <v>30</v>
      </c>
      <c r="N3322" s="1" t="str">
        <f t="shared" si="102"/>
        <v>Higher</v>
      </c>
      <c r="O3322" s="1" t="str">
        <f t="shared" si="103"/>
        <v>Mature | High Spender | Higher</v>
      </c>
    </row>
    <row r="3323" spans="1:15" x14ac:dyDescent="0.25">
      <c r="A3323" s="1" t="s">
        <v>3353</v>
      </c>
      <c r="B3323" s="1">
        <v>47</v>
      </c>
      <c r="C3323" s="1" t="str" cm="1">
        <f t="array" ref="C3323">_xlfn.IFS(OR(B3323=" ", B3323="NA",NOT(ISNUMBER(B3323))), "Unknown",B3323&lt;18,"Underage",B3323&lt;=24,"Young Adult",B3323&lt;=34,"Early Career",B3323&lt;=44,"Mid Career",B3323&lt;=54,"Mature",B3323&lt;=65,"Pre-Senior",B3323&gt;65,"Senior")</f>
        <v>Mature</v>
      </c>
      <c r="D3323" s="1" t="s">
        <v>29</v>
      </c>
      <c r="E3323" s="1" t="s">
        <v>13</v>
      </c>
      <c r="F3323" s="1">
        <v>400000</v>
      </c>
      <c r="G3323" s="1">
        <v>40</v>
      </c>
      <c r="H3323" s="1" t="str" cm="1">
        <f t="array" ref="H3323">_xlfn.IFS( OR(G3323=" ",NOT(ISNUMBER(G3323))),"Unknown",G3323&lt;=33,"Low Spender",G3323&lt;=66,"Medium Spender",TRUE, "High Spender")</f>
        <v>Medium Spender</v>
      </c>
      <c r="I3323" s="1">
        <v>5</v>
      </c>
      <c r="J3323" s="1">
        <v>4400</v>
      </c>
      <c r="K3323" s="1">
        <v>129</v>
      </c>
      <c r="L3323" s="1" t="s">
        <v>35</v>
      </c>
      <c r="N3323" s="1" t="str">
        <f t="shared" si="102"/>
        <v>Higher</v>
      </c>
      <c r="O3323" s="1" t="str">
        <f t="shared" si="103"/>
        <v>Mature | Medium Spender | Higher</v>
      </c>
    </row>
    <row r="3324" spans="1:15" x14ac:dyDescent="0.25">
      <c r="A3324" s="1" t="s">
        <v>3354</v>
      </c>
      <c r="B3324" s="1">
        <v>35</v>
      </c>
      <c r="C3324" s="1" t="str" cm="1">
        <f t="array" ref="C3324">_xlfn.IFS(OR(B3324=" ", B3324="NA",NOT(ISNUMBER(B3324))), "Unknown",B3324&lt;18,"Underage",B3324&lt;=24,"Young Adult",B3324&lt;=34,"Early Career",B3324&lt;=44,"Mid Career",B3324&lt;=54,"Mature",B3324&lt;=65,"Pre-Senior",B3324&gt;65,"Senior")</f>
        <v>Mid Career</v>
      </c>
      <c r="D3324" s="1" t="s">
        <v>12</v>
      </c>
      <c r="E3324" s="1" t="s">
        <v>15</v>
      </c>
      <c r="F3324" s="1">
        <v>1500000</v>
      </c>
      <c r="G3324" s="1">
        <v>87</v>
      </c>
      <c r="H3324" s="1" t="str" cm="1">
        <f t="array" ref="H3324">_xlfn.IFS( OR(G3324=" ",NOT(ISNUMBER(G3324))),"Unknown",G3324&lt;=33,"Low Spender",G3324&lt;=66,"Medium Spender",TRUE, "High Spender")</f>
        <v>High Spender</v>
      </c>
      <c r="I3324" s="1">
        <v>22</v>
      </c>
      <c r="J3324" s="1">
        <v>2400</v>
      </c>
      <c r="K3324" s="1">
        <v>334</v>
      </c>
      <c r="L3324" s="1" t="s">
        <v>35</v>
      </c>
      <c r="N3324" s="1" t="str">
        <f t="shared" si="102"/>
        <v>Lower</v>
      </c>
      <c r="O3324" s="1" t="str">
        <f t="shared" si="103"/>
        <v>Mid Career | High Spender | Lower</v>
      </c>
    </row>
    <row r="3325" spans="1:15" x14ac:dyDescent="0.25">
      <c r="A3325" s="1" t="s">
        <v>3355</v>
      </c>
      <c r="B3325" s="1">
        <v>36</v>
      </c>
      <c r="C3325" s="1" t="str" cm="1">
        <f t="array" ref="C3325">_xlfn.IFS(OR(B3325=" ", B3325="NA",NOT(ISNUMBER(B3325))), "Unknown",B3325&lt;18,"Underage",B3325&lt;=24,"Young Adult",B3325&lt;=34,"Early Career",B3325&lt;=44,"Mid Career",B3325&lt;=54,"Mature",B3325&lt;=65,"Pre-Senior",B3325&gt;65,"Senior")</f>
        <v>Mid Career</v>
      </c>
      <c r="D3325" s="1" t="s">
        <v>12</v>
      </c>
      <c r="E3325" s="1" t="s">
        <v>27</v>
      </c>
      <c r="F3325" s="1">
        <v>175000</v>
      </c>
      <c r="G3325" s="1">
        <v>46</v>
      </c>
      <c r="H3325" s="1" t="str" cm="1">
        <f t="array" ref="H3325">_xlfn.IFS( OR(G3325=" ",NOT(ISNUMBER(G3325))),"Unknown",G3325&lt;=33,"Low Spender",G3325&lt;=66,"Medium Spender",TRUE, "High Spender")</f>
        <v>Medium Spender</v>
      </c>
      <c r="I3325" s="1">
        <v>37</v>
      </c>
      <c r="J3325" s="1">
        <v>10500</v>
      </c>
      <c r="K3325" s="1">
        <v>292</v>
      </c>
      <c r="M3325" s="1" t="s">
        <v>41</v>
      </c>
      <c r="N3325" s="1" t="str">
        <f t="shared" si="102"/>
        <v>Lower</v>
      </c>
      <c r="O3325" s="1" t="str">
        <f t="shared" si="103"/>
        <v>Mid Career | Medium Spender | Lower</v>
      </c>
    </row>
    <row r="3326" spans="1:15" x14ac:dyDescent="0.25">
      <c r="A3326" s="1" t="s">
        <v>3356</v>
      </c>
      <c r="B3326" s="1">
        <v>48</v>
      </c>
      <c r="C3326" s="1" t="str" cm="1">
        <f t="array" ref="C3326">_xlfn.IFS(OR(B3326=" ", B3326="NA",NOT(ISNUMBER(B3326))), "Unknown",B3326&lt;18,"Underage",B3326&lt;=24,"Young Adult",B3326&lt;=34,"Early Career",B3326&lt;=44,"Mid Career",B3326&lt;=54,"Mature",B3326&lt;=65,"Pre-Senior",B3326&gt;65,"Senior")</f>
        <v>Mature</v>
      </c>
      <c r="E3326" s="1" t="s">
        <v>58</v>
      </c>
      <c r="F3326" s="1">
        <v>1750000</v>
      </c>
      <c r="G3326" s="1">
        <v>88</v>
      </c>
      <c r="H3326" s="1" t="str" cm="1">
        <f t="array" ref="H3326">_xlfn.IFS( OR(G3326=" ",NOT(ISNUMBER(G3326))),"Unknown",G3326&lt;=33,"Low Spender",G3326&lt;=66,"Medium Spender",TRUE, "High Spender")</f>
        <v>High Spender</v>
      </c>
      <c r="I3326" s="1">
        <v>11</v>
      </c>
      <c r="J3326" s="1">
        <v>6200</v>
      </c>
      <c r="K3326" s="1">
        <v>95</v>
      </c>
      <c r="L3326" s="1" t="s">
        <v>35</v>
      </c>
      <c r="N3326" s="1" t="str">
        <f t="shared" si="102"/>
        <v>Lower</v>
      </c>
      <c r="O3326" s="1" t="str">
        <f t="shared" si="103"/>
        <v>Mature | High Spender | Lower</v>
      </c>
    </row>
    <row r="3327" spans="1:15" x14ac:dyDescent="0.25">
      <c r="A3327" s="1" t="s">
        <v>3357</v>
      </c>
      <c r="B3327" s="1">
        <v>36</v>
      </c>
      <c r="C3327" s="1" t="str" cm="1">
        <f t="array" ref="C3327">_xlfn.IFS(OR(B3327=" ", B3327="NA",NOT(ISNUMBER(B3327))), "Unknown",B3327&lt;18,"Underage",B3327&lt;=24,"Young Adult",B3327&lt;=34,"Early Career",B3327&lt;=44,"Mid Career",B3327&lt;=54,"Mature",B3327&lt;=65,"Pre-Senior",B3327&gt;65,"Senior")</f>
        <v>Mid Career</v>
      </c>
      <c r="D3327" s="1" t="s">
        <v>12</v>
      </c>
      <c r="E3327" s="1" t="s">
        <v>27</v>
      </c>
      <c r="F3327" s="1">
        <v>1225000</v>
      </c>
      <c r="G3327" s="1">
        <v>93</v>
      </c>
      <c r="H3327" s="1" t="str" cm="1">
        <f t="array" ref="H3327">_xlfn.IFS( OR(G3327=" ",NOT(ISNUMBER(G3327))),"Unknown",G3327&lt;=33,"Low Spender",G3327&lt;=66,"Medium Spender",TRUE, "High Spender")</f>
        <v>High Spender</v>
      </c>
      <c r="I3327" s="1">
        <v>44</v>
      </c>
      <c r="J3327" s="1">
        <v>8800</v>
      </c>
      <c r="K3327" s="1">
        <v>28</v>
      </c>
      <c r="M3327" s="1" t="s">
        <v>30</v>
      </c>
      <c r="N3327" s="1" t="str">
        <f t="shared" si="102"/>
        <v>Lower</v>
      </c>
      <c r="O3327" s="1" t="str">
        <f t="shared" si="103"/>
        <v>Mid Career | High Spender | Lower</v>
      </c>
    </row>
    <row r="3328" spans="1:15" x14ac:dyDescent="0.25">
      <c r="A3328" s="1" t="s">
        <v>3358</v>
      </c>
      <c r="B3328" s="1">
        <v>66</v>
      </c>
      <c r="C3328" s="1" t="str" cm="1">
        <f t="array" ref="C3328">_xlfn.IFS(OR(B3328=" ", B3328="NA",NOT(ISNUMBER(B3328))), "Unknown",B3328&lt;18,"Underage",B3328&lt;=24,"Young Adult",B3328&lt;=34,"Early Career",B3328&lt;=44,"Mid Career",B3328&lt;=54,"Mature",B3328&lt;=65,"Pre-Senior",B3328&gt;65,"Senior")</f>
        <v>Senior</v>
      </c>
      <c r="E3328" s="1" t="s">
        <v>34</v>
      </c>
      <c r="F3328" s="1">
        <v>525000</v>
      </c>
      <c r="G3328" s="1">
        <v>4</v>
      </c>
      <c r="H3328" s="1" t="str" cm="1">
        <f t="array" ref="H3328">_xlfn.IFS( OR(G3328=" ",NOT(ISNUMBER(G3328))),"Unknown",G3328&lt;=33,"Low Spender",G3328&lt;=66,"Medium Spender",TRUE, "High Spender")</f>
        <v>Low Spender</v>
      </c>
      <c r="I3328" s="1">
        <v>53</v>
      </c>
      <c r="J3328" s="1">
        <v>3900</v>
      </c>
      <c r="K3328" s="1">
        <v>354</v>
      </c>
      <c r="L3328" s="1" t="s">
        <v>20</v>
      </c>
      <c r="M3328" s="1" t="s">
        <v>32</v>
      </c>
      <c r="N3328" s="1" t="str">
        <f t="shared" si="102"/>
        <v>Lower</v>
      </c>
      <c r="O3328" s="1" t="str">
        <f t="shared" si="103"/>
        <v>Senior | Low Spender | Lower</v>
      </c>
    </row>
    <row r="3329" spans="1:15" x14ac:dyDescent="0.25">
      <c r="A3329" s="1" t="s">
        <v>3359</v>
      </c>
      <c r="B3329" s="1">
        <v>63</v>
      </c>
      <c r="C3329" s="1" t="str" cm="1">
        <f t="array" ref="C3329">_xlfn.IFS(OR(B3329=" ", B3329="NA",NOT(ISNUMBER(B3329))), "Unknown",B3329&lt;18,"Underage",B3329&lt;=24,"Young Adult",B3329&lt;=34,"Early Career",B3329&lt;=44,"Mid Career",B3329&lt;=54,"Mature",B3329&lt;=65,"Pre-Senior",B3329&gt;65,"Senior")</f>
        <v>Pre-Senior</v>
      </c>
      <c r="E3329" s="1" t="s">
        <v>19</v>
      </c>
      <c r="F3329" s="1">
        <v>675000</v>
      </c>
      <c r="G3329" s="1">
        <v>38</v>
      </c>
      <c r="H3329" s="1" t="str" cm="1">
        <f t="array" ref="H3329">_xlfn.IFS( OR(G3329=" ",NOT(ISNUMBER(G3329))),"Unknown",G3329&lt;=33,"Low Spender",G3329&lt;=66,"Medium Spender",TRUE, "High Spender")</f>
        <v>Medium Spender</v>
      </c>
      <c r="I3329" s="1">
        <v>77</v>
      </c>
      <c r="J3329" s="1">
        <v>11800</v>
      </c>
      <c r="K3329" s="1">
        <v>35</v>
      </c>
      <c r="L3329" s="1" t="s">
        <v>16</v>
      </c>
      <c r="M3329" s="1" t="s">
        <v>41</v>
      </c>
      <c r="N3329" s="1" t="str">
        <f t="shared" si="102"/>
        <v>Lower</v>
      </c>
      <c r="O3329" s="1" t="str">
        <f t="shared" si="103"/>
        <v>Pre-Senior | Medium Spender | Lower</v>
      </c>
    </row>
    <row r="3330" spans="1:15" x14ac:dyDescent="0.25">
      <c r="A3330" s="1" t="s">
        <v>3360</v>
      </c>
      <c r="B3330" s="1">
        <v>36</v>
      </c>
      <c r="C3330" s="1" t="str" cm="1">
        <f t="array" ref="C3330">_xlfn.IFS(OR(B3330=" ", B3330="NA",NOT(ISNUMBER(B3330))), "Unknown",B3330&lt;18,"Underage",B3330&lt;=24,"Young Adult",B3330&lt;=34,"Early Career",B3330&lt;=44,"Mid Career",B3330&lt;=54,"Mature",B3330&lt;=65,"Pre-Senior",B3330&gt;65,"Senior")</f>
        <v>Mid Career</v>
      </c>
      <c r="D3330" s="1" t="s">
        <v>29</v>
      </c>
      <c r="E3330" s="1" t="s">
        <v>19</v>
      </c>
      <c r="F3330" s="1">
        <v>575000</v>
      </c>
      <c r="G3330" s="1">
        <v>63</v>
      </c>
      <c r="H3330" s="1" t="str" cm="1">
        <f t="array" ref="H3330">_xlfn.IFS( OR(G3330=" ",NOT(ISNUMBER(G3330))),"Unknown",G3330&lt;=33,"Low Spender",G3330&lt;=66,"Medium Spender",TRUE, "High Spender")</f>
        <v>Medium Spender</v>
      </c>
      <c r="I3330" s="1">
        <v>61</v>
      </c>
      <c r="J3330" s="1">
        <v>4100</v>
      </c>
      <c r="K3330" s="1">
        <v>231</v>
      </c>
      <c r="M3330" s="1" t="s">
        <v>21</v>
      </c>
      <c r="N3330" s="1" t="str">
        <f t="shared" ref="N3330:N3393" si="104">IF(OR(UPPER(TRIM(D3330))="Male",UPPER(TRIM(D3330))="Female"),"Higher","Lower")</f>
        <v>Higher</v>
      </c>
      <c r="O3330" s="1" t="str">
        <f t="shared" ref="O3330:O3393" si="105">_xlfn.TEXTJOIN(" | ", TRUE, C3330, H3330, N3330)</f>
        <v>Mid Career | Medium Spender | Higher</v>
      </c>
    </row>
    <row r="3331" spans="1:15" x14ac:dyDescent="0.25">
      <c r="A3331" s="1" t="s">
        <v>3361</v>
      </c>
      <c r="B3331" s="1">
        <v>39</v>
      </c>
      <c r="C3331" s="1" t="str" cm="1">
        <f t="array" ref="C3331">_xlfn.IFS(OR(B3331=" ", B3331="NA",NOT(ISNUMBER(B3331))), "Unknown",B3331&lt;18,"Underage",B3331&lt;=24,"Young Adult",B3331&lt;=34,"Early Career",B3331&lt;=44,"Mid Career",B3331&lt;=54,"Mature",B3331&lt;=65,"Pre-Senior",B3331&gt;65,"Senior")</f>
        <v>Mid Career</v>
      </c>
      <c r="E3331" s="1" t="s">
        <v>15</v>
      </c>
      <c r="F3331" s="1">
        <v>1300000</v>
      </c>
      <c r="G3331" s="1">
        <v>29</v>
      </c>
      <c r="H3331" s="1" t="str" cm="1">
        <f t="array" ref="H3331">_xlfn.IFS( OR(G3331=" ",NOT(ISNUMBER(G3331))),"Unknown",G3331&lt;=33,"Low Spender",G3331&lt;=66,"Medium Spender",TRUE, "High Spender")</f>
        <v>Low Spender</v>
      </c>
      <c r="I3331" s="1">
        <v>67</v>
      </c>
      <c r="J3331" s="1">
        <v>8600</v>
      </c>
      <c r="K3331" s="1">
        <v>318</v>
      </c>
      <c r="L3331" s="1" t="s">
        <v>16</v>
      </c>
      <c r="M3331" s="1" t="s">
        <v>41</v>
      </c>
      <c r="N3331" s="1" t="str">
        <f t="shared" si="104"/>
        <v>Lower</v>
      </c>
      <c r="O3331" s="1" t="str">
        <f t="shared" si="105"/>
        <v>Mid Career | Low Spender | Lower</v>
      </c>
    </row>
    <row r="3332" spans="1:15" x14ac:dyDescent="0.25">
      <c r="A3332" s="1" t="s">
        <v>3362</v>
      </c>
      <c r="B3332" s="1">
        <v>41</v>
      </c>
      <c r="C3332" s="1" t="str" cm="1">
        <f t="array" ref="C3332">_xlfn.IFS(OR(B3332=" ", B3332="NA",NOT(ISNUMBER(B3332))), "Unknown",B3332&lt;18,"Underage",B3332&lt;=24,"Young Adult",B3332&lt;=34,"Early Career",B3332&lt;=44,"Mid Career",B3332&lt;=54,"Mature",B3332&lt;=65,"Pre-Senior",B3332&gt;65,"Senior")</f>
        <v>Mid Career</v>
      </c>
      <c r="D3332" s="1" t="s">
        <v>18</v>
      </c>
      <c r="E3332" s="1" t="s">
        <v>27</v>
      </c>
      <c r="F3332" s="1">
        <v>875000</v>
      </c>
      <c r="G3332" s="1">
        <v>19</v>
      </c>
      <c r="H3332" s="1" t="str" cm="1">
        <f t="array" ref="H3332">_xlfn.IFS( OR(G3332=" ",NOT(ISNUMBER(G3332))),"Unknown",G3332&lt;=33,"Low Spender",G3332&lt;=66,"Medium Spender",TRUE, "High Spender")</f>
        <v>Low Spender</v>
      </c>
      <c r="I3332" s="1">
        <v>13</v>
      </c>
      <c r="J3332" s="1">
        <v>7600</v>
      </c>
      <c r="K3332" s="1">
        <v>343</v>
      </c>
      <c r="L3332" s="1" t="s">
        <v>20</v>
      </c>
      <c r="M3332" s="1" t="s">
        <v>41</v>
      </c>
      <c r="N3332" s="1" t="str">
        <f t="shared" si="104"/>
        <v>Higher</v>
      </c>
      <c r="O3332" s="1" t="str">
        <f t="shared" si="105"/>
        <v>Mid Career | Low Spender | Higher</v>
      </c>
    </row>
    <row r="3333" spans="1:15" x14ac:dyDescent="0.25">
      <c r="A3333" s="1" t="s">
        <v>3363</v>
      </c>
      <c r="B3333" s="1">
        <v>62</v>
      </c>
      <c r="C3333" s="1" t="str" cm="1">
        <f t="array" ref="C3333">_xlfn.IFS(OR(B3333=" ", B3333="NA",NOT(ISNUMBER(B3333))), "Unknown",B3333&lt;18,"Underage",B3333&lt;=24,"Young Adult",B3333&lt;=34,"Early Career",B3333&lt;=44,"Mid Career",B3333&lt;=54,"Mature",B3333&lt;=65,"Pre-Senior",B3333&gt;65,"Senior")</f>
        <v>Pre-Senior</v>
      </c>
      <c r="D3333" s="1" t="s">
        <v>18</v>
      </c>
      <c r="E3333" s="1" t="s">
        <v>13</v>
      </c>
      <c r="F3333" s="1">
        <v>375000</v>
      </c>
      <c r="G3333" s="1">
        <v>91</v>
      </c>
      <c r="H3333" s="1" t="str" cm="1">
        <f t="array" ref="H3333">_xlfn.IFS( OR(G3333=" ",NOT(ISNUMBER(G3333))),"Unknown",G3333&lt;=33,"Low Spender",G3333&lt;=66,"Medium Spender",TRUE, "High Spender")</f>
        <v>High Spender</v>
      </c>
      <c r="I3333" s="1">
        <v>11</v>
      </c>
      <c r="J3333" s="1">
        <v>7600</v>
      </c>
      <c r="K3333" s="1">
        <v>364</v>
      </c>
      <c r="M3333" s="1" t="s">
        <v>32</v>
      </c>
      <c r="N3333" s="1" t="str">
        <f t="shared" si="104"/>
        <v>Higher</v>
      </c>
      <c r="O3333" s="1" t="str">
        <f t="shared" si="105"/>
        <v>Pre-Senior | High Spender | Higher</v>
      </c>
    </row>
    <row r="3334" spans="1:15" x14ac:dyDescent="0.25">
      <c r="A3334" s="1" t="s">
        <v>3364</v>
      </c>
      <c r="B3334" s="1">
        <v>29</v>
      </c>
      <c r="C3334" s="1" t="str" cm="1">
        <f t="array" ref="C3334">_xlfn.IFS(OR(B3334=" ", B3334="NA",NOT(ISNUMBER(B3334))), "Unknown",B3334&lt;18,"Underage",B3334&lt;=24,"Young Adult",B3334&lt;=34,"Early Career",B3334&lt;=44,"Mid Career",B3334&lt;=54,"Mature",B3334&lt;=65,"Pre-Senior",B3334&gt;65,"Senior")</f>
        <v>Early Career</v>
      </c>
      <c r="D3334" s="1" t="s">
        <v>29</v>
      </c>
      <c r="E3334" s="1" t="s">
        <v>15</v>
      </c>
      <c r="F3334" s="1">
        <v>1575000</v>
      </c>
      <c r="G3334" s="1">
        <v>29</v>
      </c>
      <c r="H3334" s="1" t="str" cm="1">
        <f t="array" ref="H3334">_xlfn.IFS( OR(G3334=" ",NOT(ISNUMBER(G3334))),"Unknown",G3334&lt;=33,"Low Spender",G3334&lt;=66,"Medium Spender",TRUE, "High Spender")</f>
        <v>Low Spender</v>
      </c>
      <c r="I3334" s="1">
        <v>11</v>
      </c>
      <c r="J3334" s="1">
        <v>9200</v>
      </c>
      <c r="K3334" s="1">
        <v>125</v>
      </c>
      <c r="L3334" s="1" t="s">
        <v>37</v>
      </c>
      <c r="N3334" s="1" t="str">
        <f t="shared" si="104"/>
        <v>Higher</v>
      </c>
      <c r="O3334" s="1" t="str">
        <f t="shared" si="105"/>
        <v>Early Career | Low Spender | Higher</v>
      </c>
    </row>
    <row r="3335" spans="1:15" x14ac:dyDescent="0.25">
      <c r="A3335" s="1" t="s">
        <v>3365</v>
      </c>
      <c r="B3335" s="1">
        <v>47</v>
      </c>
      <c r="C3335" s="1" t="str" cm="1">
        <f t="array" ref="C3335">_xlfn.IFS(OR(B3335=" ", B3335="NA",NOT(ISNUMBER(B3335))), "Unknown",B3335&lt;18,"Underage",B3335&lt;=24,"Young Adult",B3335&lt;=34,"Early Career",B3335&lt;=44,"Mid Career",B3335&lt;=54,"Mature",B3335&lt;=65,"Pre-Senior",B3335&gt;65,"Senior")</f>
        <v>Mature</v>
      </c>
      <c r="D3335" s="1" t="s">
        <v>18</v>
      </c>
      <c r="E3335" s="1" t="s">
        <v>23</v>
      </c>
      <c r="F3335" s="1">
        <v>1675000</v>
      </c>
      <c r="G3335" s="1">
        <v>100</v>
      </c>
      <c r="H3335" s="1" t="str" cm="1">
        <f t="array" ref="H3335">_xlfn.IFS( OR(G3335=" ",NOT(ISNUMBER(G3335))),"Unknown",G3335&lt;=33,"Low Spender",G3335&lt;=66,"Medium Spender",TRUE, "High Spender")</f>
        <v>High Spender</v>
      </c>
      <c r="I3335" s="1">
        <v>7</v>
      </c>
      <c r="J3335" s="1">
        <v>9100</v>
      </c>
      <c r="K3335" s="1">
        <v>79</v>
      </c>
      <c r="L3335" s="1" t="s">
        <v>20</v>
      </c>
      <c r="N3335" s="1" t="str">
        <f t="shared" si="104"/>
        <v>Higher</v>
      </c>
      <c r="O3335" s="1" t="str">
        <f t="shared" si="105"/>
        <v>Mature | High Spender | Higher</v>
      </c>
    </row>
    <row r="3336" spans="1:15" x14ac:dyDescent="0.25">
      <c r="A3336" s="1" t="s">
        <v>3366</v>
      </c>
      <c r="B3336" s="1">
        <v>55</v>
      </c>
      <c r="C3336" s="1" t="str" cm="1">
        <f t="array" ref="C3336">_xlfn.IFS(OR(B3336=" ", B3336="NA",NOT(ISNUMBER(B3336))), "Unknown",B3336&lt;18,"Underage",B3336&lt;=24,"Young Adult",B3336&lt;=34,"Early Career",B3336&lt;=44,"Mid Career",B3336&lt;=54,"Mature",B3336&lt;=65,"Pre-Senior",B3336&gt;65,"Senior")</f>
        <v>Pre-Senior</v>
      </c>
      <c r="D3336" s="1" t="s">
        <v>18</v>
      </c>
      <c r="E3336" s="1" t="s">
        <v>15</v>
      </c>
      <c r="F3336" s="1">
        <v>275000</v>
      </c>
      <c r="G3336" s="1">
        <v>35</v>
      </c>
      <c r="H3336" s="1" t="str" cm="1">
        <f t="array" ref="H3336">_xlfn.IFS( OR(G3336=" ",NOT(ISNUMBER(G3336))),"Unknown",G3336&lt;=33,"Low Spender",G3336&lt;=66,"Medium Spender",TRUE, "High Spender")</f>
        <v>Medium Spender</v>
      </c>
      <c r="I3336" s="1">
        <v>17</v>
      </c>
      <c r="J3336" s="1">
        <v>5500</v>
      </c>
      <c r="K3336" s="1">
        <v>61</v>
      </c>
      <c r="L3336" s="1" t="s">
        <v>35</v>
      </c>
      <c r="M3336" s="1" t="s">
        <v>21</v>
      </c>
      <c r="N3336" s="1" t="str">
        <f t="shared" si="104"/>
        <v>Higher</v>
      </c>
      <c r="O3336" s="1" t="str">
        <f t="shared" si="105"/>
        <v>Pre-Senior | Medium Spender | Higher</v>
      </c>
    </row>
    <row r="3337" spans="1:15" x14ac:dyDescent="0.25">
      <c r="A3337" s="1" t="s">
        <v>3367</v>
      </c>
      <c r="C3337" s="1" t="str" cm="1">
        <f t="array" ref="C3337">_xlfn.IFS(OR(B3337=" ", B3337="NA",NOT(ISNUMBER(B3337))), "Unknown",B3337&lt;18,"Underage",B3337&lt;=24,"Young Adult",B3337&lt;=34,"Early Career",B3337&lt;=44,"Mid Career",B3337&lt;=54,"Mature",B3337&lt;=65,"Pre-Senior",B3337&gt;65,"Senior")</f>
        <v>Unknown</v>
      </c>
      <c r="E3337" s="1" t="s">
        <v>15</v>
      </c>
      <c r="F3337" s="1">
        <v>1800000</v>
      </c>
      <c r="G3337" s="1">
        <v>70</v>
      </c>
      <c r="H3337" s="1" t="str" cm="1">
        <f t="array" ref="H3337">_xlfn.IFS( OR(G3337=" ",NOT(ISNUMBER(G3337))),"Unknown",G3337&lt;=33,"Low Spender",G3337&lt;=66,"Medium Spender",TRUE, "High Spender")</f>
        <v>High Spender</v>
      </c>
      <c r="I3337" s="1">
        <v>48</v>
      </c>
      <c r="J3337" s="1">
        <v>3000</v>
      </c>
      <c r="K3337" s="1">
        <v>217</v>
      </c>
      <c r="M3337" s="1" t="s">
        <v>21</v>
      </c>
      <c r="N3337" s="1" t="str">
        <f t="shared" si="104"/>
        <v>Lower</v>
      </c>
      <c r="O3337" s="1" t="str">
        <f t="shared" si="105"/>
        <v>Unknown | High Spender | Lower</v>
      </c>
    </row>
    <row r="3338" spans="1:15" x14ac:dyDescent="0.25">
      <c r="A3338" s="1" t="s">
        <v>3368</v>
      </c>
      <c r="B3338" s="1">
        <v>48</v>
      </c>
      <c r="C3338" s="1" t="str" cm="1">
        <f t="array" ref="C3338">_xlfn.IFS(OR(B3338=" ", B3338="NA",NOT(ISNUMBER(B3338))), "Unknown",B3338&lt;18,"Underage",B3338&lt;=24,"Young Adult",B3338&lt;=34,"Early Career",B3338&lt;=44,"Mid Career",B3338&lt;=54,"Mature",B3338&lt;=65,"Pre-Senior",B3338&gt;65,"Senior")</f>
        <v>Mature</v>
      </c>
      <c r="D3338" s="1" t="s">
        <v>29</v>
      </c>
      <c r="E3338" s="1" t="s">
        <v>58</v>
      </c>
      <c r="F3338" s="1">
        <v>1150000</v>
      </c>
      <c r="G3338" s="1">
        <v>23</v>
      </c>
      <c r="H3338" s="1" t="str" cm="1">
        <f t="array" ref="H3338">_xlfn.IFS( OR(G3338=" ",NOT(ISNUMBER(G3338))),"Unknown",G3338&lt;=33,"Low Spender",G3338&lt;=66,"Medium Spender",TRUE, "High Spender")</f>
        <v>Low Spender</v>
      </c>
      <c r="I3338" s="1">
        <v>14</v>
      </c>
      <c r="J3338" s="1">
        <v>7900</v>
      </c>
      <c r="K3338" s="1">
        <v>282</v>
      </c>
      <c r="L3338" s="1" t="s">
        <v>20</v>
      </c>
      <c r="M3338" s="1" t="s">
        <v>21</v>
      </c>
      <c r="N3338" s="1" t="str">
        <f t="shared" si="104"/>
        <v>Higher</v>
      </c>
      <c r="O3338" s="1" t="str">
        <f t="shared" si="105"/>
        <v>Mature | Low Spender | Higher</v>
      </c>
    </row>
    <row r="3339" spans="1:15" x14ac:dyDescent="0.25">
      <c r="A3339" s="1" t="s">
        <v>3369</v>
      </c>
      <c r="B3339" s="1">
        <v>53</v>
      </c>
      <c r="C3339" s="1" t="str" cm="1">
        <f t="array" ref="C3339">_xlfn.IFS(OR(B3339=" ", B3339="NA",NOT(ISNUMBER(B3339))), "Unknown",B3339&lt;18,"Underage",B3339&lt;=24,"Young Adult",B3339&lt;=34,"Early Career",B3339&lt;=44,"Mid Career",B3339&lt;=54,"Mature",B3339&lt;=65,"Pre-Senior",B3339&gt;65,"Senior")</f>
        <v>Mature</v>
      </c>
      <c r="D3339" s="1" t="s">
        <v>29</v>
      </c>
      <c r="F3339" s="1">
        <v>1200000</v>
      </c>
      <c r="G3339" s="1">
        <v>46</v>
      </c>
      <c r="H3339" s="1" t="str" cm="1">
        <f t="array" ref="H3339">_xlfn.IFS( OR(G3339=" ",NOT(ISNUMBER(G3339))),"Unknown",G3339&lt;=33,"Low Spender",G3339&lt;=66,"Medium Spender",TRUE, "High Spender")</f>
        <v>Medium Spender</v>
      </c>
      <c r="I3339" s="1">
        <v>63</v>
      </c>
      <c r="J3339" s="1">
        <v>1700</v>
      </c>
      <c r="K3339" s="1">
        <v>163</v>
      </c>
      <c r="L3339" s="1" t="s">
        <v>20</v>
      </c>
      <c r="N3339" s="1" t="str">
        <f t="shared" si="104"/>
        <v>Higher</v>
      </c>
      <c r="O3339" s="1" t="str">
        <f t="shared" si="105"/>
        <v>Mature | Medium Spender | Higher</v>
      </c>
    </row>
    <row r="3340" spans="1:15" x14ac:dyDescent="0.25">
      <c r="A3340" s="1" t="s">
        <v>3370</v>
      </c>
      <c r="B3340" s="1">
        <v>36</v>
      </c>
      <c r="C3340" s="1" t="str" cm="1">
        <f t="array" ref="C3340">_xlfn.IFS(OR(B3340=" ", B3340="NA",NOT(ISNUMBER(B3340))), "Unknown",B3340&lt;18,"Underage",B3340&lt;=24,"Young Adult",B3340&lt;=34,"Early Career",B3340&lt;=44,"Mid Career",B3340&lt;=54,"Mature",B3340&lt;=65,"Pre-Senior",B3340&gt;65,"Senior")</f>
        <v>Mid Career</v>
      </c>
      <c r="D3340" s="1" t="s">
        <v>29</v>
      </c>
      <c r="E3340" s="1" t="s">
        <v>34</v>
      </c>
      <c r="F3340" s="1" t="s">
        <v>25</v>
      </c>
      <c r="G3340" s="1">
        <v>44</v>
      </c>
      <c r="H3340" s="1" t="str" cm="1">
        <f t="array" ref="H3340">_xlfn.IFS( OR(G3340=" ",NOT(ISNUMBER(G3340))),"Unknown",G3340&lt;=33,"Low Spender",G3340&lt;=66,"Medium Spender",TRUE, "High Spender")</f>
        <v>Medium Spender</v>
      </c>
      <c r="I3340" s="1">
        <v>64</v>
      </c>
      <c r="J3340" s="1">
        <v>6200</v>
      </c>
      <c r="K3340" s="1">
        <v>57</v>
      </c>
      <c r="M3340" s="1" t="s">
        <v>32</v>
      </c>
      <c r="N3340" s="1" t="str">
        <f t="shared" si="104"/>
        <v>Higher</v>
      </c>
      <c r="O3340" s="1" t="str">
        <f t="shared" si="105"/>
        <v>Mid Career | Medium Spender | Higher</v>
      </c>
    </row>
    <row r="3341" spans="1:15" x14ac:dyDescent="0.25">
      <c r="A3341" s="1" t="s">
        <v>3371</v>
      </c>
      <c r="B3341" s="1">
        <v>65</v>
      </c>
      <c r="C3341" s="1" t="str" cm="1">
        <f t="array" ref="C3341">_xlfn.IFS(OR(B3341=" ", B3341="NA",NOT(ISNUMBER(B3341))), "Unknown",B3341&lt;18,"Underage",B3341&lt;=24,"Young Adult",B3341&lt;=34,"Early Career",B3341&lt;=44,"Mid Career",B3341&lt;=54,"Mature",B3341&lt;=65,"Pre-Senior",B3341&gt;65,"Senior")</f>
        <v>Pre-Senior</v>
      </c>
      <c r="D3341" s="1" t="s">
        <v>29</v>
      </c>
      <c r="E3341" s="1" t="s">
        <v>58</v>
      </c>
      <c r="F3341" s="1">
        <v>575000</v>
      </c>
      <c r="G3341" s="1">
        <v>48</v>
      </c>
      <c r="H3341" s="1" t="str" cm="1">
        <f t="array" ref="H3341">_xlfn.IFS( OR(G3341=" ",NOT(ISNUMBER(G3341))),"Unknown",G3341&lt;=33,"Low Spender",G3341&lt;=66,"Medium Spender",TRUE, "High Spender")</f>
        <v>Medium Spender</v>
      </c>
      <c r="I3341" s="1">
        <v>75</v>
      </c>
      <c r="J3341" s="1">
        <v>6200</v>
      </c>
      <c r="K3341" s="1">
        <v>191</v>
      </c>
      <c r="L3341" s="1" t="s">
        <v>35</v>
      </c>
      <c r="N3341" s="1" t="str">
        <f t="shared" si="104"/>
        <v>Higher</v>
      </c>
      <c r="O3341" s="1" t="str">
        <f t="shared" si="105"/>
        <v>Pre-Senior | Medium Spender | Higher</v>
      </c>
    </row>
    <row r="3342" spans="1:15" x14ac:dyDescent="0.25">
      <c r="A3342" s="1" t="s">
        <v>3372</v>
      </c>
      <c r="B3342" s="1">
        <v>62</v>
      </c>
      <c r="C3342" s="1" t="str" cm="1">
        <f t="array" ref="C3342">_xlfn.IFS(OR(B3342=" ", B3342="NA",NOT(ISNUMBER(B3342))), "Unknown",B3342&lt;18,"Underage",B3342&lt;=24,"Young Adult",B3342&lt;=34,"Early Career",B3342&lt;=44,"Mid Career",B3342&lt;=54,"Mature",B3342&lt;=65,"Pre-Senior",B3342&gt;65,"Senior")</f>
        <v>Pre-Senior</v>
      </c>
      <c r="D3342" s="1" t="s">
        <v>18</v>
      </c>
      <c r="E3342" s="1" t="s">
        <v>19</v>
      </c>
      <c r="F3342" s="1">
        <v>1575000</v>
      </c>
      <c r="G3342" s="1">
        <v>52</v>
      </c>
      <c r="H3342" s="1" t="str" cm="1">
        <f t="array" ref="H3342">_xlfn.IFS( OR(G3342=" ",NOT(ISNUMBER(G3342))),"Unknown",G3342&lt;=33,"Low Spender",G3342&lt;=66,"Medium Spender",TRUE, "High Spender")</f>
        <v>Medium Spender</v>
      </c>
      <c r="I3342" s="1">
        <v>77</v>
      </c>
      <c r="J3342" s="1">
        <v>800</v>
      </c>
      <c r="K3342" s="1">
        <v>132</v>
      </c>
      <c r="M3342" s="1" t="s">
        <v>21</v>
      </c>
      <c r="N3342" s="1" t="str">
        <f t="shared" si="104"/>
        <v>Higher</v>
      </c>
      <c r="O3342" s="1" t="str">
        <f t="shared" si="105"/>
        <v>Pre-Senior | Medium Spender | Higher</v>
      </c>
    </row>
    <row r="3343" spans="1:15" x14ac:dyDescent="0.25">
      <c r="A3343" s="1" t="s">
        <v>3373</v>
      </c>
      <c r="B3343" s="1">
        <v>53</v>
      </c>
      <c r="C3343" s="1" t="str" cm="1">
        <f t="array" ref="C3343">_xlfn.IFS(OR(B3343=" ", B3343="NA",NOT(ISNUMBER(B3343))), "Unknown",B3343&lt;18,"Underage",B3343&lt;=24,"Young Adult",B3343&lt;=34,"Early Career",B3343&lt;=44,"Mid Career",B3343&lt;=54,"Mature",B3343&lt;=65,"Pre-Senior",B3343&gt;65,"Senior")</f>
        <v>Mature</v>
      </c>
      <c r="D3343" s="1" t="s">
        <v>29</v>
      </c>
      <c r="E3343" s="1" t="s">
        <v>19</v>
      </c>
      <c r="F3343" s="1">
        <v>1625000</v>
      </c>
      <c r="G3343" s="1">
        <v>8</v>
      </c>
      <c r="H3343" s="1" t="str" cm="1">
        <f t="array" ref="H3343">_xlfn.IFS( OR(G3343=" ",NOT(ISNUMBER(G3343))),"Unknown",G3343&lt;=33,"Low Spender",G3343&lt;=66,"Medium Spender",TRUE, "High Spender")</f>
        <v>Low Spender</v>
      </c>
      <c r="I3343" s="1">
        <v>65</v>
      </c>
      <c r="J3343" s="1">
        <v>5400</v>
      </c>
      <c r="K3343" s="1">
        <v>42</v>
      </c>
      <c r="L3343" s="1" t="s">
        <v>35</v>
      </c>
      <c r="N3343" s="1" t="str">
        <f t="shared" si="104"/>
        <v>Higher</v>
      </c>
      <c r="O3343" s="1" t="str">
        <f t="shared" si="105"/>
        <v>Mature | Low Spender | Higher</v>
      </c>
    </row>
    <row r="3344" spans="1:15" x14ac:dyDescent="0.25">
      <c r="A3344" s="1" t="s">
        <v>3374</v>
      </c>
      <c r="B3344" s="1">
        <v>47</v>
      </c>
      <c r="C3344" s="1" t="str" cm="1">
        <f t="array" ref="C3344">_xlfn.IFS(OR(B3344=" ", B3344="NA",NOT(ISNUMBER(B3344))), "Unknown",B3344&lt;18,"Underage",B3344&lt;=24,"Young Adult",B3344&lt;=34,"Early Career",B3344&lt;=44,"Mid Career",B3344&lt;=54,"Mature",B3344&lt;=65,"Pre-Senior",B3344&gt;65,"Senior")</f>
        <v>Mature</v>
      </c>
      <c r="D3344" s="1" t="s">
        <v>12</v>
      </c>
      <c r="E3344" s="1" t="s">
        <v>49</v>
      </c>
      <c r="F3344" s="1">
        <v>800000</v>
      </c>
      <c r="G3344" s="1">
        <v>55</v>
      </c>
      <c r="H3344" s="1" t="str" cm="1">
        <f t="array" ref="H3344">_xlfn.IFS( OR(G3344=" ",NOT(ISNUMBER(G3344))),"Unknown",G3344&lt;=33,"Low Spender",G3344&lt;=66,"Medium Spender",TRUE, "High Spender")</f>
        <v>Medium Spender</v>
      </c>
      <c r="I3344" s="1">
        <v>34</v>
      </c>
      <c r="J3344" s="1">
        <v>1400</v>
      </c>
      <c r="K3344" s="1">
        <v>173</v>
      </c>
      <c r="L3344" s="1" t="s">
        <v>20</v>
      </c>
      <c r="M3344" s="1" t="s">
        <v>30</v>
      </c>
      <c r="N3344" s="1" t="str">
        <f t="shared" si="104"/>
        <v>Lower</v>
      </c>
      <c r="O3344" s="1" t="str">
        <f t="shared" si="105"/>
        <v>Mature | Medium Spender | Lower</v>
      </c>
    </row>
    <row r="3345" spans="1:15" x14ac:dyDescent="0.25">
      <c r="A3345" s="1" t="s">
        <v>3375</v>
      </c>
      <c r="B3345" s="1" t="s">
        <v>73</v>
      </c>
      <c r="C3345" s="1" t="str" cm="1">
        <f t="array" ref="C3345">_xlfn.IFS(OR(B3345=" ", B3345="NA",NOT(ISNUMBER(B3345))), "Unknown",B3345&lt;18,"Underage",B3345&lt;=24,"Young Adult",B3345&lt;=34,"Early Career",B3345&lt;=44,"Mid Career",B3345&lt;=54,"Mature",B3345&lt;=65,"Pre-Senior",B3345&gt;65,"Senior")</f>
        <v>Unknown</v>
      </c>
      <c r="D3345" s="1" t="s">
        <v>29</v>
      </c>
      <c r="E3345" s="1" t="s">
        <v>49</v>
      </c>
      <c r="F3345" s="1">
        <v>1825000</v>
      </c>
      <c r="G3345" s="1">
        <v>66</v>
      </c>
      <c r="H3345" s="1" t="str" cm="1">
        <f t="array" ref="H3345">_xlfn.IFS( OR(G3345=" ",NOT(ISNUMBER(G3345))),"Unknown",G3345&lt;=33,"Low Spender",G3345&lt;=66,"Medium Spender",TRUE, "High Spender")</f>
        <v>Medium Spender</v>
      </c>
      <c r="I3345" s="1">
        <v>9</v>
      </c>
      <c r="J3345" s="1">
        <v>2100</v>
      </c>
      <c r="K3345" s="1">
        <v>167</v>
      </c>
      <c r="L3345" s="1" t="s">
        <v>16</v>
      </c>
      <c r="M3345" s="1" t="s">
        <v>32</v>
      </c>
      <c r="N3345" s="1" t="str">
        <f t="shared" si="104"/>
        <v>Higher</v>
      </c>
      <c r="O3345" s="1" t="str">
        <f t="shared" si="105"/>
        <v>Unknown | Medium Spender | Higher</v>
      </c>
    </row>
    <row r="3346" spans="1:15" x14ac:dyDescent="0.25">
      <c r="A3346" s="1" t="s">
        <v>3376</v>
      </c>
      <c r="B3346" s="1">
        <v>66</v>
      </c>
      <c r="C3346" s="1" t="str" cm="1">
        <f t="array" ref="C3346">_xlfn.IFS(OR(B3346=" ", B3346="NA",NOT(ISNUMBER(B3346))), "Unknown",B3346&lt;18,"Underage",B3346&lt;=24,"Young Adult",B3346&lt;=34,"Early Career",B3346&lt;=44,"Mid Career",B3346&lt;=54,"Mature",B3346&lt;=65,"Pre-Senior",B3346&gt;65,"Senior")</f>
        <v>Senior</v>
      </c>
      <c r="D3346" s="1" t="s">
        <v>18</v>
      </c>
      <c r="E3346" s="1" t="s">
        <v>13</v>
      </c>
      <c r="F3346" s="1">
        <v>675000</v>
      </c>
      <c r="G3346" s="1">
        <v>77</v>
      </c>
      <c r="H3346" s="1" t="str" cm="1">
        <f t="array" ref="H3346">_xlfn.IFS( OR(G3346=" ",NOT(ISNUMBER(G3346))),"Unknown",G3346&lt;=33,"Low Spender",G3346&lt;=66,"Medium Spender",TRUE, "High Spender")</f>
        <v>High Spender</v>
      </c>
      <c r="I3346" s="1">
        <v>77</v>
      </c>
      <c r="J3346" s="1">
        <v>9800</v>
      </c>
      <c r="K3346" s="1">
        <v>250</v>
      </c>
      <c r="N3346" s="1" t="str">
        <f t="shared" si="104"/>
        <v>Higher</v>
      </c>
      <c r="O3346" s="1" t="str">
        <f t="shared" si="105"/>
        <v>Senior | High Spender | Higher</v>
      </c>
    </row>
    <row r="3347" spans="1:15" x14ac:dyDescent="0.25">
      <c r="A3347" s="1" t="s">
        <v>3377</v>
      </c>
      <c r="B3347" s="1" t="s">
        <v>73</v>
      </c>
      <c r="C3347" s="1" t="str" cm="1">
        <f t="array" ref="C3347">_xlfn.IFS(OR(B3347=" ", B3347="NA",NOT(ISNUMBER(B3347))), "Unknown",B3347&lt;18,"Underage",B3347&lt;=24,"Young Adult",B3347&lt;=34,"Early Career",B3347&lt;=44,"Mid Career",B3347&lt;=54,"Mature",B3347&lt;=65,"Pre-Senior",B3347&gt;65,"Senior")</f>
        <v>Unknown</v>
      </c>
      <c r="E3347" s="1" t="s">
        <v>19</v>
      </c>
      <c r="F3347" s="1">
        <v>725000</v>
      </c>
      <c r="G3347" s="1">
        <v>40</v>
      </c>
      <c r="H3347" s="1" t="str" cm="1">
        <f t="array" ref="H3347">_xlfn.IFS( OR(G3347=" ",NOT(ISNUMBER(G3347))),"Unknown",G3347&lt;=33,"Low Spender",G3347&lt;=66,"Medium Spender",TRUE, "High Spender")</f>
        <v>Medium Spender</v>
      </c>
      <c r="I3347" s="1">
        <v>37</v>
      </c>
      <c r="J3347" s="1">
        <v>7700</v>
      </c>
      <c r="K3347" s="1">
        <v>193</v>
      </c>
      <c r="N3347" s="1" t="str">
        <f t="shared" si="104"/>
        <v>Lower</v>
      </c>
      <c r="O3347" s="1" t="str">
        <f t="shared" si="105"/>
        <v>Unknown | Medium Spender | Lower</v>
      </c>
    </row>
    <row r="3348" spans="1:15" x14ac:dyDescent="0.25">
      <c r="A3348" s="1" t="s">
        <v>3378</v>
      </c>
      <c r="B3348" s="1">
        <v>50</v>
      </c>
      <c r="C3348" s="1" t="str" cm="1">
        <f t="array" ref="C3348">_xlfn.IFS(OR(B3348=" ", B3348="NA",NOT(ISNUMBER(B3348))), "Unknown",B3348&lt;18,"Underage",B3348&lt;=24,"Young Adult",B3348&lt;=34,"Early Career",B3348&lt;=44,"Mid Career",B3348&lt;=54,"Mature",B3348&lt;=65,"Pre-Senior",B3348&gt;65,"Senior")</f>
        <v>Mature</v>
      </c>
      <c r="D3348" s="1" t="s">
        <v>29</v>
      </c>
      <c r="F3348" s="1">
        <v>1125000</v>
      </c>
      <c r="G3348" s="1">
        <v>85</v>
      </c>
      <c r="H3348" s="1" t="str" cm="1">
        <f t="array" ref="H3348">_xlfn.IFS( OR(G3348=" ",NOT(ISNUMBER(G3348))),"Unknown",G3348&lt;=33,"Low Spender",G3348&lt;=66,"Medium Spender",TRUE, "High Spender")</f>
        <v>High Spender</v>
      </c>
      <c r="I3348" s="1">
        <v>30</v>
      </c>
      <c r="J3348" s="1">
        <v>10400</v>
      </c>
      <c r="K3348" s="1">
        <v>278</v>
      </c>
      <c r="L3348" s="1" t="s">
        <v>20</v>
      </c>
      <c r="N3348" s="1" t="str">
        <f t="shared" si="104"/>
        <v>Higher</v>
      </c>
      <c r="O3348" s="1" t="str">
        <f t="shared" si="105"/>
        <v>Mature | High Spender | Higher</v>
      </c>
    </row>
    <row r="3349" spans="1:15" x14ac:dyDescent="0.25">
      <c r="A3349" s="1" t="s">
        <v>3379</v>
      </c>
      <c r="B3349" s="1">
        <v>35</v>
      </c>
      <c r="C3349" s="1" t="str" cm="1">
        <f t="array" ref="C3349">_xlfn.IFS(OR(B3349=" ", B3349="NA",NOT(ISNUMBER(B3349))), "Unknown",B3349&lt;18,"Underage",B3349&lt;=24,"Young Adult",B3349&lt;=34,"Early Career",B3349&lt;=44,"Mid Career",B3349&lt;=54,"Mature",B3349&lt;=65,"Pre-Senior",B3349&gt;65,"Senior")</f>
        <v>Mid Career</v>
      </c>
      <c r="D3349" s="1" t="s">
        <v>18</v>
      </c>
      <c r="E3349" s="1" t="s">
        <v>58</v>
      </c>
      <c r="F3349" s="1">
        <v>1975000</v>
      </c>
      <c r="G3349" s="1">
        <v>31</v>
      </c>
      <c r="H3349" s="1" t="str" cm="1">
        <f t="array" ref="H3349">_xlfn.IFS( OR(G3349=" ",NOT(ISNUMBER(G3349))),"Unknown",G3349&lt;=33,"Low Spender",G3349&lt;=66,"Medium Spender",TRUE, "High Spender")</f>
        <v>Low Spender</v>
      </c>
      <c r="I3349" s="1">
        <v>41</v>
      </c>
      <c r="J3349" s="1">
        <v>9900</v>
      </c>
      <c r="K3349" s="1">
        <v>238</v>
      </c>
      <c r="M3349" s="1" t="s">
        <v>21</v>
      </c>
      <c r="N3349" s="1" t="str">
        <f t="shared" si="104"/>
        <v>Higher</v>
      </c>
      <c r="O3349" s="1" t="str">
        <f t="shared" si="105"/>
        <v>Mid Career | Low Spender | Higher</v>
      </c>
    </row>
    <row r="3350" spans="1:15" x14ac:dyDescent="0.25">
      <c r="A3350" s="1" t="s">
        <v>3380</v>
      </c>
      <c r="B3350" s="1">
        <v>69</v>
      </c>
      <c r="C3350" s="1" t="str" cm="1">
        <f t="array" ref="C3350">_xlfn.IFS(OR(B3350=" ", B3350="NA",NOT(ISNUMBER(B3350))), "Unknown",B3350&lt;18,"Underage",B3350&lt;=24,"Young Adult",B3350&lt;=34,"Early Career",B3350&lt;=44,"Mid Career",B3350&lt;=54,"Mature",B3350&lt;=65,"Pre-Senior",B3350&gt;65,"Senior")</f>
        <v>Senior</v>
      </c>
      <c r="D3350" s="1" t="s">
        <v>29</v>
      </c>
      <c r="E3350" s="1" t="s">
        <v>23</v>
      </c>
      <c r="F3350" s="1">
        <v>1775000</v>
      </c>
      <c r="G3350" s="1">
        <v>48</v>
      </c>
      <c r="H3350" s="1" t="str" cm="1">
        <f t="array" ref="H3350">_xlfn.IFS( OR(G3350=" ",NOT(ISNUMBER(G3350))),"Unknown",G3350&lt;=33,"Low Spender",G3350&lt;=66,"Medium Spender",TRUE, "High Spender")</f>
        <v>Medium Spender</v>
      </c>
      <c r="I3350" s="1">
        <v>45</v>
      </c>
      <c r="J3350" s="1">
        <v>400</v>
      </c>
      <c r="K3350" s="1">
        <v>230</v>
      </c>
      <c r="M3350" s="1" t="s">
        <v>21</v>
      </c>
      <c r="N3350" s="1" t="str">
        <f t="shared" si="104"/>
        <v>Higher</v>
      </c>
      <c r="O3350" s="1" t="str">
        <f t="shared" si="105"/>
        <v>Senior | Medium Spender | Higher</v>
      </c>
    </row>
    <row r="3351" spans="1:15" x14ac:dyDescent="0.25">
      <c r="A3351" s="1" t="s">
        <v>3381</v>
      </c>
      <c r="B3351" s="1">
        <v>66</v>
      </c>
      <c r="C3351" s="1" t="str" cm="1">
        <f t="array" ref="C3351">_xlfn.IFS(OR(B3351=" ", B3351="NA",NOT(ISNUMBER(B3351))), "Unknown",B3351&lt;18,"Underage",B3351&lt;=24,"Young Adult",B3351&lt;=34,"Early Career",B3351&lt;=44,"Mid Career",B3351&lt;=54,"Mature",B3351&lt;=65,"Pre-Senior",B3351&gt;65,"Senior")</f>
        <v>Senior</v>
      </c>
      <c r="F3351" s="1">
        <v>1125000</v>
      </c>
      <c r="G3351" s="1">
        <v>100</v>
      </c>
      <c r="H3351" s="1" t="str" cm="1">
        <f t="array" ref="H3351">_xlfn.IFS( OR(G3351=" ",NOT(ISNUMBER(G3351))),"Unknown",G3351&lt;=33,"Low Spender",G3351&lt;=66,"Medium Spender",TRUE, "High Spender")</f>
        <v>High Spender</v>
      </c>
      <c r="I3351" s="1">
        <v>47</v>
      </c>
      <c r="J3351" s="1">
        <v>5700</v>
      </c>
      <c r="K3351" s="1">
        <v>165</v>
      </c>
      <c r="N3351" s="1" t="str">
        <f t="shared" si="104"/>
        <v>Lower</v>
      </c>
      <c r="O3351" s="1" t="str">
        <f t="shared" si="105"/>
        <v>Senior | High Spender | Lower</v>
      </c>
    </row>
    <row r="3352" spans="1:15" x14ac:dyDescent="0.25">
      <c r="A3352" s="1" t="s">
        <v>3382</v>
      </c>
      <c r="B3352" s="1">
        <v>45</v>
      </c>
      <c r="C3352" s="1" t="str" cm="1">
        <f t="array" ref="C3352">_xlfn.IFS(OR(B3352=" ", B3352="NA",NOT(ISNUMBER(B3352))), "Unknown",B3352&lt;18,"Underage",B3352&lt;=24,"Young Adult",B3352&lt;=34,"Early Career",B3352&lt;=44,"Mid Career",B3352&lt;=54,"Mature",B3352&lt;=65,"Pre-Senior",B3352&gt;65,"Senior")</f>
        <v>Mature</v>
      </c>
      <c r="E3352" s="1" t="s">
        <v>49</v>
      </c>
      <c r="F3352" s="1">
        <v>275000</v>
      </c>
      <c r="G3352" s="1">
        <v>61</v>
      </c>
      <c r="H3352" s="1" t="str" cm="1">
        <f t="array" ref="H3352">_xlfn.IFS( OR(G3352=" ",NOT(ISNUMBER(G3352))),"Unknown",G3352&lt;=33,"Low Spender",G3352&lt;=66,"Medium Spender",TRUE, "High Spender")</f>
        <v>Medium Spender</v>
      </c>
      <c r="I3352" s="1">
        <v>7</v>
      </c>
      <c r="J3352" s="1">
        <v>1700</v>
      </c>
      <c r="K3352" s="1">
        <v>243</v>
      </c>
      <c r="L3352" s="1" t="s">
        <v>35</v>
      </c>
      <c r="N3352" s="1" t="str">
        <f t="shared" si="104"/>
        <v>Lower</v>
      </c>
      <c r="O3352" s="1" t="str">
        <f t="shared" si="105"/>
        <v>Mature | Medium Spender | Lower</v>
      </c>
    </row>
    <row r="3353" spans="1:15" x14ac:dyDescent="0.25">
      <c r="A3353" s="1" t="s">
        <v>3383</v>
      </c>
      <c r="B3353" s="1">
        <v>64</v>
      </c>
      <c r="C3353" s="1" t="str" cm="1">
        <f t="array" ref="C3353">_xlfn.IFS(OR(B3353=" ", B3353="NA",NOT(ISNUMBER(B3353))), "Unknown",B3353&lt;18,"Underage",B3353&lt;=24,"Young Adult",B3353&lt;=34,"Early Career",B3353&lt;=44,"Mid Career",B3353&lt;=54,"Mature",B3353&lt;=65,"Pre-Senior",B3353&gt;65,"Senior")</f>
        <v>Pre-Senior</v>
      </c>
      <c r="D3353" s="1" t="s">
        <v>18</v>
      </c>
      <c r="E3353" s="1" t="s">
        <v>27</v>
      </c>
      <c r="F3353" s="1">
        <v>575000</v>
      </c>
      <c r="G3353" s="1">
        <v>52</v>
      </c>
      <c r="H3353" s="1" t="str" cm="1">
        <f t="array" ref="H3353">_xlfn.IFS( OR(G3353=" ",NOT(ISNUMBER(G3353))),"Unknown",G3353&lt;=33,"Low Spender",G3353&lt;=66,"Medium Spender",TRUE, "High Spender")</f>
        <v>Medium Spender</v>
      </c>
      <c r="I3353" s="1">
        <v>14</v>
      </c>
      <c r="J3353" s="1">
        <v>6600</v>
      </c>
      <c r="K3353" s="1">
        <v>90</v>
      </c>
      <c r="L3353" s="1" t="s">
        <v>37</v>
      </c>
      <c r="N3353" s="1" t="str">
        <f t="shared" si="104"/>
        <v>Higher</v>
      </c>
      <c r="O3353" s="1" t="str">
        <f t="shared" si="105"/>
        <v>Pre-Senior | Medium Spender | Higher</v>
      </c>
    </row>
    <row r="3354" spans="1:15" x14ac:dyDescent="0.25">
      <c r="A3354" s="1" t="s">
        <v>3384</v>
      </c>
      <c r="B3354" s="1">
        <v>28</v>
      </c>
      <c r="C3354" s="1" t="str" cm="1">
        <f t="array" ref="C3354">_xlfn.IFS(OR(B3354=" ", B3354="NA",NOT(ISNUMBER(B3354))), "Unknown",B3354&lt;18,"Underage",B3354&lt;=24,"Young Adult",B3354&lt;=34,"Early Career",B3354&lt;=44,"Mid Career",B3354&lt;=54,"Mature",B3354&lt;=65,"Pre-Senior",B3354&gt;65,"Senior")</f>
        <v>Early Career</v>
      </c>
      <c r="D3354" s="1" t="s">
        <v>18</v>
      </c>
      <c r="F3354" s="1">
        <v>875000</v>
      </c>
      <c r="G3354" s="1">
        <v>38</v>
      </c>
      <c r="H3354" s="1" t="str" cm="1">
        <f t="array" ref="H3354">_xlfn.IFS( OR(G3354=" ",NOT(ISNUMBER(G3354))),"Unknown",G3354&lt;=33,"Low Spender",G3354&lt;=66,"Medium Spender",TRUE, "High Spender")</f>
        <v>Medium Spender</v>
      </c>
      <c r="I3354" s="1">
        <v>48</v>
      </c>
      <c r="J3354" s="1">
        <v>10200</v>
      </c>
      <c r="K3354" s="1">
        <v>179</v>
      </c>
      <c r="M3354" s="1" t="s">
        <v>30</v>
      </c>
      <c r="N3354" s="1" t="str">
        <f t="shared" si="104"/>
        <v>Higher</v>
      </c>
      <c r="O3354" s="1" t="str">
        <f t="shared" si="105"/>
        <v>Early Career | Medium Spender | Higher</v>
      </c>
    </row>
    <row r="3355" spans="1:15" x14ac:dyDescent="0.25">
      <c r="A3355" s="1" t="s">
        <v>3385</v>
      </c>
      <c r="C3355" s="1" t="str" cm="1">
        <f t="array" ref="C3355">_xlfn.IFS(OR(B3355=" ", B3355="NA",NOT(ISNUMBER(B3355))), "Unknown",B3355&lt;18,"Underage",B3355&lt;=24,"Young Adult",B3355&lt;=34,"Early Career",B3355&lt;=44,"Mid Career",B3355&lt;=54,"Mature",B3355&lt;=65,"Pre-Senior",B3355&gt;65,"Senior")</f>
        <v>Unknown</v>
      </c>
      <c r="D3355" s="1" t="s">
        <v>18</v>
      </c>
      <c r="F3355" s="1">
        <v>650000</v>
      </c>
      <c r="G3355" s="1">
        <v>91</v>
      </c>
      <c r="H3355" s="1" t="str" cm="1">
        <f t="array" ref="H3355">_xlfn.IFS( OR(G3355=" ",NOT(ISNUMBER(G3355))),"Unknown",G3355&lt;=33,"Low Spender",G3355&lt;=66,"Medium Spender",TRUE, "High Spender")</f>
        <v>High Spender</v>
      </c>
      <c r="I3355" s="1">
        <v>6</v>
      </c>
      <c r="J3355" s="1">
        <v>7100</v>
      </c>
      <c r="K3355" s="1">
        <v>58</v>
      </c>
      <c r="M3355" s="1" t="s">
        <v>32</v>
      </c>
      <c r="N3355" s="1" t="str">
        <f t="shared" si="104"/>
        <v>Higher</v>
      </c>
      <c r="O3355" s="1" t="str">
        <f t="shared" si="105"/>
        <v>Unknown | High Spender | Higher</v>
      </c>
    </row>
    <row r="3356" spans="1:15" x14ac:dyDescent="0.25">
      <c r="A3356" s="1" t="s">
        <v>3386</v>
      </c>
      <c r="B3356" s="1">
        <v>62</v>
      </c>
      <c r="C3356" s="1" t="str" cm="1">
        <f t="array" ref="C3356">_xlfn.IFS(OR(B3356=" ", B3356="NA",NOT(ISNUMBER(B3356))), "Unknown",B3356&lt;18,"Underage",B3356&lt;=24,"Young Adult",B3356&lt;=34,"Early Career",B3356&lt;=44,"Mid Career",B3356&lt;=54,"Mature",B3356&lt;=65,"Pre-Senior",B3356&gt;65,"Senior")</f>
        <v>Pre-Senior</v>
      </c>
      <c r="D3356" s="1" t="s">
        <v>12</v>
      </c>
      <c r="F3356" s="1">
        <v>1675000</v>
      </c>
      <c r="G3356" s="1">
        <v>36</v>
      </c>
      <c r="H3356" s="1" t="str" cm="1">
        <f t="array" ref="H3356">_xlfn.IFS( OR(G3356=" ",NOT(ISNUMBER(G3356))),"Unknown",G3356&lt;=33,"Low Spender",G3356&lt;=66,"Medium Spender",TRUE, "High Spender")</f>
        <v>Medium Spender</v>
      </c>
      <c r="I3356" s="1">
        <v>34</v>
      </c>
      <c r="J3356" s="1">
        <v>1700</v>
      </c>
      <c r="K3356" s="1">
        <v>263</v>
      </c>
      <c r="N3356" s="1" t="str">
        <f t="shared" si="104"/>
        <v>Lower</v>
      </c>
      <c r="O3356" s="1" t="str">
        <f t="shared" si="105"/>
        <v>Pre-Senior | Medium Spender | Lower</v>
      </c>
    </row>
    <row r="3357" spans="1:15" x14ac:dyDescent="0.25">
      <c r="A3357" s="1" t="s">
        <v>3387</v>
      </c>
      <c r="B3357" s="1">
        <v>50</v>
      </c>
      <c r="C3357" s="1" t="str" cm="1">
        <f t="array" ref="C3357">_xlfn.IFS(OR(B3357=" ", B3357="NA",NOT(ISNUMBER(B3357))), "Unknown",B3357&lt;18,"Underage",B3357&lt;=24,"Young Adult",B3357&lt;=34,"Early Career",B3357&lt;=44,"Mid Career",B3357&lt;=54,"Mature",B3357&lt;=65,"Pre-Senior",B3357&gt;65,"Senior")</f>
        <v>Mature</v>
      </c>
      <c r="D3357" s="1" t="s">
        <v>18</v>
      </c>
      <c r="F3357" s="1">
        <v>375000</v>
      </c>
      <c r="G3357" s="1">
        <v>87</v>
      </c>
      <c r="H3357" s="1" t="str" cm="1">
        <f t="array" ref="H3357">_xlfn.IFS( OR(G3357=" ",NOT(ISNUMBER(G3357))),"Unknown",G3357&lt;=33,"Low Spender",G3357&lt;=66,"Medium Spender",TRUE, "High Spender")</f>
        <v>High Spender</v>
      </c>
      <c r="J3357" s="1">
        <v>4500</v>
      </c>
      <c r="K3357" s="1">
        <v>136</v>
      </c>
      <c r="L3357" s="1" t="s">
        <v>16</v>
      </c>
      <c r="M3357" s="1" t="s">
        <v>41</v>
      </c>
      <c r="N3357" s="1" t="str">
        <f t="shared" si="104"/>
        <v>Higher</v>
      </c>
      <c r="O3357" s="1" t="str">
        <f t="shared" si="105"/>
        <v>Mature | High Spender | Higher</v>
      </c>
    </row>
    <row r="3358" spans="1:15" x14ac:dyDescent="0.25">
      <c r="A3358" s="1" t="s">
        <v>3388</v>
      </c>
      <c r="B3358" s="1">
        <v>34</v>
      </c>
      <c r="C3358" s="1" t="str" cm="1">
        <f t="array" ref="C3358">_xlfn.IFS(OR(B3358=" ", B3358="NA",NOT(ISNUMBER(B3358))), "Unknown",B3358&lt;18,"Underage",B3358&lt;=24,"Young Adult",B3358&lt;=34,"Early Career",B3358&lt;=44,"Mid Career",B3358&lt;=54,"Mature",B3358&lt;=65,"Pre-Senior",B3358&gt;65,"Senior")</f>
        <v>Early Career</v>
      </c>
      <c r="F3358" s="1">
        <v>450000</v>
      </c>
      <c r="G3358" s="1">
        <v>55</v>
      </c>
      <c r="H3358" s="1" t="str" cm="1">
        <f t="array" ref="H3358">_xlfn.IFS( OR(G3358=" ",NOT(ISNUMBER(G3358))),"Unknown",G3358&lt;=33,"Low Spender",G3358&lt;=66,"Medium Spender",TRUE, "High Spender")</f>
        <v>Medium Spender</v>
      </c>
      <c r="I3358" s="1">
        <v>46</v>
      </c>
      <c r="J3358" s="1">
        <v>7600</v>
      </c>
      <c r="K3358" s="1">
        <v>238</v>
      </c>
      <c r="L3358" s="1" t="s">
        <v>16</v>
      </c>
      <c r="N3358" s="1" t="str">
        <f t="shared" si="104"/>
        <v>Lower</v>
      </c>
      <c r="O3358" s="1" t="str">
        <f t="shared" si="105"/>
        <v>Early Career | Medium Spender | Lower</v>
      </c>
    </row>
    <row r="3359" spans="1:15" x14ac:dyDescent="0.25">
      <c r="A3359" s="1" t="s">
        <v>3389</v>
      </c>
      <c r="B3359" s="1">
        <v>23</v>
      </c>
      <c r="C3359" s="1" t="str" cm="1">
        <f t="array" ref="C3359">_xlfn.IFS(OR(B3359=" ", B3359="NA",NOT(ISNUMBER(B3359))), "Unknown",B3359&lt;18,"Underage",B3359&lt;=24,"Young Adult",B3359&lt;=34,"Early Career",B3359&lt;=44,"Mid Career",B3359&lt;=54,"Mature",B3359&lt;=65,"Pre-Senior",B3359&gt;65,"Senior")</f>
        <v>Young Adult</v>
      </c>
      <c r="E3359" s="1" t="s">
        <v>49</v>
      </c>
      <c r="G3359" s="1">
        <v>85</v>
      </c>
      <c r="H3359" s="1" t="str" cm="1">
        <f t="array" ref="H3359">_xlfn.IFS( OR(G3359=" ",NOT(ISNUMBER(G3359))),"Unknown",G3359&lt;=33,"Low Spender",G3359&lt;=66,"Medium Spender",TRUE, "High Spender")</f>
        <v>High Spender</v>
      </c>
      <c r="I3359" s="1">
        <v>59</v>
      </c>
      <c r="J3359" s="1">
        <v>1900</v>
      </c>
      <c r="K3359" s="1">
        <v>307</v>
      </c>
      <c r="L3359" s="1" t="s">
        <v>20</v>
      </c>
      <c r="M3359" s="1" t="s">
        <v>30</v>
      </c>
      <c r="N3359" s="1" t="str">
        <f t="shared" si="104"/>
        <v>Lower</v>
      </c>
      <c r="O3359" s="1" t="str">
        <f t="shared" si="105"/>
        <v>Young Adult | High Spender | Lower</v>
      </c>
    </row>
    <row r="3360" spans="1:15" x14ac:dyDescent="0.25">
      <c r="A3360" s="1" t="s">
        <v>3390</v>
      </c>
      <c r="B3360" s="1">
        <v>21</v>
      </c>
      <c r="C3360" s="1" t="str" cm="1">
        <f t="array" ref="C3360">_xlfn.IFS(OR(B3360=" ", B3360="NA",NOT(ISNUMBER(B3360))), "Unknown",B3360&lt;18,"Underage",B3360&lt;=24,"Young Adult",B3360&lt;=34,"Early Career",B3360&lt;=44,"Mid Career",B3360&lt;=54,"Mature",B3360&lt;=65,"Pre-Senior",B3360&gt;65,"Senior")</f>
        <v>Young Adult</v>
      </c>
      <c r="D3360" s="1" t="s">
        <v>18</v>
      </c>
      <c r="E3360" s="1" t="s">
        <v>19</v>
      </c>
      <c r="F3360" s="1">
        <v>350000</v>
      </c>
      <c r="G3360" s="1">
        <v>13</v>
      </c>
      <c r="H3360" s="1" t="str" cm="1">
        <f t="array" ref="H3360">_xlfn.IFS( OR(G3360=" ",NOT(ISNUMBER(G3360))),"Unknown",G3360&lt;=33,"Low Spender",G3360&lt;=66,"Medium Spender",TRUE, "High Spender")</f>
        <v>Low Spender</v>
      </c>
      <c r="I3360" s="1">
        <v>70</v>
      </c>
      <c r="J3360" s="1">
        <v>10000</v>
      </c>
      <c r="K3360" s="1">
        <v>243</v>
      </c>
      <c r="L3360" s="1" t="s">
        <v>20</v>
      </c>
      <c r="N3360" s="1" t="str">
        <f t="shared" si="104"/>
        <v>Higher</v>
      </c>
      <c r="O3360" s="1" t="str">
        <f t="shared" si="105"/>
        <v>Young Adult | Low Spender | Higher</v>
      </c>
    </row>
    <row r="3361" spans="1:15" x14ac:dyDescent="0.25">
      <c r="A3361" s="1" t="s">
        <v>3391</v>
      </c>
      <c r="B3361" s="1">
        <v>37</v>
      </c>
      <c r="C3361" s="1" t="str" cm="1">
        <f t="array" ref="C3361">_xlfn.IFS(OR(B3361=" ", B3361="NA",NOT(ISNUMBER(B3361))), "Unknown",B3361&lt;18,"Underage",B3361&lt;=24,"Young Adult",B3361&lt;=34,"Early Career",B3361&lt;=44,"Mid Career",B3361&lt;=54,"Mature",B3361&lt;=65,"Pre-Senior",B3361&gt;65,"Senior")</f>
        <v>Mid Career</v>
      </c>
      <c r="D3361" s="1" t="s">
        <v>18</v>
      </c>
      <c r="E3361" s="1" t="s">
        <v>15</v>
      </c>
      <c r="F3361" s="1">
        <v>1825000</v>
      </c>
      <c r="G3361" s="1">
        <v>37</v>
      </c>
      <c r="H3361" s="1" t="str" cm="1">
        <f t="array" ref="H3361">_xlfn.IFS( OR(G3361=" ",NOT(ISNUMBER(G3361))),"Unknown",G3361&lt;=33,"Low Spender",G3361&lt;=66,"Medium Spender",TRUE, "High Spender")</f>
        <v>Medium Spender</v>
      </c>
      <c r="I3361" s="1">
        <v>8</v>
      </c>
      <c r="J3361" s="1">
        <v>11800</v>
      </c>
      <c r="K3361" s="1">
        <v>151</v>
      </c>
      <c r="L3361" s="1" t="s">
        <v>20</v>
      </c>
      <c r="M3361" s="1" t="s">
        <v>30</v>
      </c>
      <c r="N3361" s="1" t="str">
        <f t="shared" si="104"/>
        <v>Higher</v>
      </c>
      <c r="O3361" s="1" t="str">
        <f t="shared" si="105"/>
        <v>Mid Career | Medium Spender | Higher</v>
      </c>
    </row>
    <row r="3362" spans="1:15" x14ac:dyDescent="0.25">
      <c r="A3362" s="1" t="s">
        <v>3392</v>
      </c>
      <c r="B3362" s="1">
        <v>65</v>
      </c>
      <c r="C3362" s="1" t="str" cm="1">
        <f t="array" ref="C3362">_xlfn.IFS(OR(B3362=" ", B3362="NA",NOT(ISNUMBER(B3362))), "Unknown",B3362&lt;18,"Underage",B3362&lt;=24,"Young Adult",B3362&lt;=34,"Early Career",B3362&lt;=44,"Mid Career",B3362&lt;=54,"Mature",B3362&lt;=65,"Pre-Senior",B3362&gt;65,"Senior")</f>
        <v>Pre-Senior</v>
      </c>
      <c r="D3362" s="1" t="s">
        <v>29</v>
      </c>
      <c r="F3362" s="1">
        <v>1100000</v>
      </c>
      <c r="G3362" s="1">
        <v>47</v>
      </c>
      <c r="H3362" s="1" t="str" cm="1">
        <f t="array" ref="H3362">_xlfn.IFS( OR(G3362=" ",NOT(ISNUMBER(G3362))),"Unknown",G3362&lt;=33,"Low Spender",G3362&lt;=66,"Medium Spender",TRUE, "High Spender")</f>
        <v>Medium Spender</v>
      </c>
      <c r="I3362" s="1">
        <v>24</v>
      </c>
      <c r="J3362" s="1">
        <v>2600</v>
      </c>
      <c r="K3362" s="1">
        <v>346</v>
      </c>
      <c r="N3362" s="1" t="str">
        <f t="shared" si="104"/>
        <v>Higher</v>
      </c>
      <c r="O3362" s="1" t="str">
        <f t="shared" si="105"/>
        <v>Pre-Senior | Medium Spender | Higher</v>
      </c>
    </row>
    <row r="3363" spans="1:15" x14ac:dyDescent="0.25">
      <c r="A3363" s="1" t="s">
        <v>3393</v>
      </c>
      <c r="B3363" s="1">
        <v>64</v>
      </c>
      <c r="C3363" s="1" t="str" cm="1">
        <f t="array" ref="C3363">_xlfn.IFS(OR(B3363=" ", B3363="NA",NOT(ISNUMBER(B3363))), "Unknown",B3363&lt;18,"Underage",B3363&lt;=24,"Young Adult",B3363&lt;=34,"Early Career",B3363&lt;=44,"Mid Career",B3363&lt;=54,"Mature",B3363&lt;=65,"Pre-Senior",B3363&gt;65,"Senior")</f>
        <v>Pre-Senior</v>
      </c>
      <c r="D3363" s="1" t="s">
        <v>29</v>
      </c>
      <c r="F3363" s="1">
        <v>725000</v>
      </c>
      <c r="G3363" s="1">
        <v>90</v>
      </c>
      <c r="H3363" s="1" t="str" cm="1">
        <f t="array" ref="H3363">_xlfn.IFS( OR(G3363=" ",NOT(ISNUMBER(G3363))),"Unknown",G3363&lt;=33,"Low Spender",G3363&lt;=66,"Medium Spender",TRUE, "High Spender")</f>
        <v>High Spender</v>
      </c>
      <c r="I3363" s="1">
        <v>67</v>
      </c>
      <c r="J3363" s="1">
        <v>7600</v>
      </c>
      <c r="K3363" s="1">
        <v>364</v>
      </c>
      <c r="L3363" s="1" t="s">
        <v>16</v>
      </c>
      <c r="M3363" s="1" t="s">
        <v>30</v>
      </c>
      <c r="N3363" s="1" t="str">
        <f t="shared" si="104"/>
        <v>Higher</v>
      </c>
      <c r="O3363" s="1" t="str">
        <f t="shared" si="105"/>
        <v>Pre-Senior | High Spender | Higher</v>
      </c>
    </row>
    <row r="3364" spans="1:15" x14ac:dyDescent="0.25">
      <c r="A3364" s="1" t="s">
        <v>3394</v>
      </c>
      <c r="B3364" s="1">
        <v>44</v>
      </c>
      <c r="C3364" s="1" t="str" cm="1">
        <f t="array" ref="C3364">_xlfn.IFS(OR(B3364=" ", B3364="NA",NOT(ISNUMBER(B3364))), "Unknown",B3364&lt;18,"Underage",B3364&lt;=24,"Young Adult",B3364&lt;=34,"Early Career",B3364&lt;=44,"Mid Career",B3364&lt;=54,"Mature",B3364&lt;=65,"Pre-Senior",B3364&gt;65,"Senior")</f>
        <v>Mid Career</v>
      </c>
      <c r="D3364" s="1" t="s">
        <v>29</v>
      </c>
      <c r="E3364" s="1" t="s">
        <v>34</v>
      </c>
      <c r="F3364" s="1">
        <v>975000</v>
      </c>
      <c r="G3364" s="1">
        <v>71</v>
      </c>
      <c r="H3364" s="1" t="str" cm="1">
        <f t="array" ref="H3364">_xlfn.IFS( OR(G3364=" ",NOT(ISNUMBER(G3364))),"Unknown",G3364&lt;=33,"Low Spender",G3364&lt;=66,"Medium Spender",TRUE, "High Spender")</f>
        <v>High Spender</v>
      </c>
      <c r="I3364" s="1">
        <v>4</v>
      </c>
      <c r="J3364" s="1">
        <v>11800</v>
      </c>
      <c r="K3364" s="1">
        <v>247</v>
      </c>
      <c r="L3364" s="1" t="s">
        <v>20</v>
      </c>
      <c r="M3364" s="1" t="s">
        <v>21</v>
      </c>
      <c r="N3364" s="1" t="str">
        <f t="shared" si="104"/>
        <v>Higher</v>
      </c>
      <c r="O3364" s="1" t="str">
        <f t="shared" si="105"/>
        <v>Mid Career | High Spender | Higher</v>
      </c>
    </row>
    <row r="3365" spans="1:15" x14ac:dyDescent="0.25">
      <c r="A3365" s="1" t="s">
        <v>3395</v>
      </c>
      <c r="B3365" s="1">
        <v>32</v>
      </c>
      <c r="C3365" s="1" t="str" cm="1">
        <f t="array" ref="C3365">_xlfn.IFS(OR(B3365=" ", B3365="NA",NOT(ISNUMBER(B3365))), "Unknown",B3365&lt;18,"Underage",B3365&lt;=24,"Young Adult",B3365&lt;=34,"Early Career",B3365&lt;=44,"Mid Career",B3365&lt;=54,"Mature",B3365&lt;=65,"Pre-Senior",B3365&gt;65,"Senior")</f>
        <v>Early Career</v>
      </c>
      <c r="E3365" s="1" t="s">
        <v>19</v>
      </c>
      <c r="F3365" s="1">
        <v>1650000</v>
      </c>
      <c r="G3365" s="1">
        <v>22</v>
      </c>
      <c r="H3365" s="1" t="str" cm="1">
        <f t="array" ref="H3365">_xlfn.IFS( OR(G3365=" ",NOT(ISNUMBER(G3365))),"Unknown",G3365&lt;=33,"Low Spender",G3365&lt;=66,"Medium Spender",TRUE, "High Spender")</f>
        <v>Low Spender</v>
      </c>
      <c r="I3365" s="1">
        <v>1</v>
      </c>
      <c r="J3365" s="1">
        <v>3200</v>
      </c>
      <c r="K3365" s="1">
        <v>219</v>
      </c>
      <c r="L3365" s="1" t="s">
        <v>16</v>
      </c>
      <c r="N3365" s="1" t="str">
        <f t="shared" si="104"/>
        <v>Lower</v>
      </c>
      <c r="O3365" s="1" t="str">
        <f t="shared" si="105"/>
        <v>Early Career | Low Spender | Lower</v>
      </c>
    </row>
    <row r="3366" spans="1:15" x14ac:dyDescent="0.25">
      <c r="A3366" s="1" t="s">
        <v>3396</v>
      </c>
      <c r="B3366" s="1">
        <v>23</v>
      </c>
      <c r="C3366" s="1" t="str" cm="1">
        <f t="array" ref="C3366">_xlfn.IFS(OR(B3366=" ", B3366="NA",NOT(ISNUMBER(B3366))), "Unknown",B3366&lt;18,"Underage",B3366&lt;=24,"Young Adult",B3366&lt;=34,"Early Career",B3366&lt;=44,"Mid Career",B3366&lt;=54,"Mature",B3366&lt;=65,"Pre-Senior",B3366&gt;65,"Senior")</f>
        <v>Young Adult</v>
      </c>
      <c r="E3366" s="1" t="s">
        <v>15</v>
      </c>
      <c r="F3366" s="1">
        <v>1150000</v>
      </c>
      <c r="G3366" s="1">
        <v>39</v>
      </c>
      <c r="H3366" s="1" t="str" cm="1">
        <f t="array" ref="H3366">_xlfn.IFS( OR(G3366=" ",NOT(ISNUMBER(G3366))),"Unknown",G3366&lt;=33,"Low Spender",G3366&lt;=66,"Medium Spender",TRUE, "High Spender")</f>
        <v>Medium Spender</v>
      </c>
      <c r="I3366" s="1">
        <v>34</v>
      </c>
      <c r="J3366" s="1">
        <v>6900</v>
      </c>
      <c r="K3366" s="1">
        <v>9</v>
      </c>
      <c r="N3366" s="1" t="str">
        <f t="shared" si="104"/>
        <v>Lower</v>
      </c>
      <c r="O3366" s="1" t="str">
        <f t="shared" si="105"/>
        <v>Young Adult | Medium Spender | Lower</v>
      </c>
    </row>
    <row r="3367" spans="1:15" x14ac:dyDescent="0.25">
      <c r="A3367" s="1" t="s">
        <v>3397</v>
      </c>
      <c r="B3367" s="1">
        <v>64</v>
      </c>
      <c r="C3367" s="1" t="str" cm="1">
        <f t="array" ref="C3367">_xlfn.IFS(OR(B3367=" ", B3367="NA",NOT(ISNUMBER(B3367))), "Unknown",B3367&lt;18,"Underage",B3367&lt;=24,"Young Adult",B3367&lt;=34,"Early Career",B3367&lt;=44,"Mid Career",B3367&lt;=54,"Mature",B3367&lt;=65,"Pre-Senior",B3367&gt;65,"Senior")</f>
        <v>Pre-Senior</v>
      </c>
      <c r="E3367" s="1" t="s">
        <v>23</v>
      </c>
      <c r="F3367" s="1">
        <v>250000</v>
      </c>
      <c r="G3367" s="1">
        <v>87</v>
      </c>
      <c r="H3367" s="1" t="str" cm="1">
        <f t="array" ref="H3367">_xlfn.IFS( OR(G3367=" ",NOT(ISNUMBER(G3367))),"Unknown",G3367&lt;=33,"Low Spender",G3367&lt;=66,"Medium Spender",TRUE, "High Spender")</f>
        <v>High Spender</v>
      </c>
      <c r="I3367" s="1">
        <v>9</v>
      </c>
      <c r="J3367" s="1">
        <v>5300</v>
      </c>
      <c r="K3367" s="1">
        <v>294</v>
      </c>
      <c r="M3367" s="1" t="s">
        <v>32</v>
      </c>
      <c r="N3367" s="1" t="str">
        <f t="shared" si="104"/>
        <v>Lower</v>
      </c>
      <c r="O3367" s="1" t="str">
        <f t="shared" si="105"/>
        <v>Pre-Senior | High Spender | Lower</v>
      </c>
    </row>
    <row r="3368" spans="1:15" x14ac:dyDescent="0.25">
      <c r="A3368" s="1" t="s">
        <v>3398</v>
      </c>
      <c r="B3368" s="1">
        <v>31</v>
      </c>
      <c r="C3368" s="1" t="str" cm="1">
        <f t="array" ref="C3368">_xlfn.IFS(OR(B3368=" ", B3368="NA",NOT(ISNUMBER(B3368))), "Unknown",B3368&lt;18,"Underage",B3368&lt;=24,"Young Adult",B3368&lt;=34,"Early Career",B3368&lt;=44,"Mid Career",B3368&lt;=54,"Mature",B3368&lt;=65,"Pre-Senior",B3368&gt;65,"Senior")</f>
        <v>Early Career</v>
      </c>
      <c r="E3368" s="1" t="s">
        <v>23</v>
      </c>
      <c r="F3368" s="1">
        <v>1375000</v>
      </c>
      <c r="G3368" s="1">
        <v>58</v>
      </c>
      <c r="H3368" s="1" t="str" cm="1">
        <f t="array" ref="H3368">_xlfn.IFS( OR(G3368=" ",NOT(ISNUMBER(G3368))),"Unknown",G3368&lt;=33,"Low Spender",G3368&lt;=66,"Medium Spender",TRUE, "High Spender")</f>
        <v>Medium Spender</v>
      </c>
      <c r="I3368" s="1">
        <v>63</v>
      </c>
      <c r="J3368" s="1">
        <v>6200</v>
      </c>
      <c r="K3368" s="1">
        <v>13</v>
      </c>
      <c r="M3368" s="1" t="s">
        <v>21</v>
      </c>
      <c r="N3368" s="1" t="str">
        <f t="shared" si="104"/>
        <v>Lower</v>
      </c>
      <c r="O3368" s="1" t="str">
        <f t="shared" si="105"/>
        <v>Early Career | Medium Spender | Lower</v>
      </c>
    </row>
    <row r="3369" spans="1:15" x14ac:dyDescent="0.25">
      <c r="A3369" s="1" t="s">
        <v>3399</v>
      </c>
      <c r="B3369" s="1">
        <v>28</v>
      </c>
      <c r="C3369" s="1" t="str" cm="1">
        <f t="array" ref="C3369">_xlfn.IFS(OR(B3369=" ", B3369="NA",NOT(ISNUMBER(B3369))), "Unknown",B3369&lt;18,"Underage",B3369&lt;=24,"Young Adult",B3369&lt;=34,"Early Career",B3369&lt;=44,"Mid Career",B3369&lt;=54,"Mature",B3369&lt;=65,"Pre-Senior",B3369&gt;65,"Senior")</f>
        <v>Early Career</v>
      </c>
      <c r="E3369" s="1" t="s">
        <v>27</v>
      </c>
      <c r="F3369" s="1">
        <v>225000</v>
      </c>
      <c r="G3369" s="1">
        <v>30</v>
      </c>
      <c r="H3369" s="1" t="str" cm="1">
        <f t="array" ref="H3369">_xlfn.IFS( OR(G3369=" ",NOT(ISNUMBER(G3369))),"Unknown",G3369&lt;=33,"Low Spender",G3369&lt;=66,"Medium Spender",TRUE, "High Spender")</f>
        <v>Low Spender</v>
      </c>
      <c r="I3369" s="1">
        <v>76</v>
      </c>
      <c r="J3369" s="1">
        <v>10300</v>
      </c>
      <c r="K3369" s="1">
        <v>263</v>
      </c>
      <c r="L3369" s="1" t="s">
        <v>20</v>
      </c>
      <c r="M3369" s="1" t="s">
        <v>30</v>
      </c>
      <c r="N3369" s="1" t="str">
        <f t="shared" si="104"/>
        <v>Lower</v>
      </c>
      <c r="O3369" s="1" t="str">
        <f t="shared" si="105"/>
        <v>Early Career | Low Spender | Lower</v>
      </c>
    </row>
    <row r="3370" spans="1:15" x14ac:dyDescent="0.25">
      <c r="A3370" s="1" t="s">
        <v>3400</v>
      </c>
      <c r="B3370" s="1">
        <v>56</v>
      </c>
      <c r="C3370" s="1" t="str" cm="1">
        <f t="array" ref="C3370">_xlfn.IFS(OR(B3370=" ", B3370="NA",NOT(ISNUMBER(B3370))), "Unknown",B3370&lt;18,"Underage",B3370&lt;=24,"Young Adult",B3370&lt;=34,"Early Career",B3370&lt;=44,"Mid Career",B3370&lt;=54,"Mature",B3370&lt;=65,"Pre-Senior",B3370&gt;65,"Senior")</f>
        <v>Pre-Senior</v>
      </c>
      <c r="F3370" s="1">
        <v>1400000</v>
      </c>
      <c r="G3370" s="1">
        <v>18</v>
      </c>
      <c r="H3370" s="1" t="str" cm="1">
        <f t="array" ref="H3370">_xlfn.IFS( OR(G3370=" ",NOT(ISNUMBER(G3370))),"Unknown",G3370&lt;=33,"Low Spender",G3370&lt;=66,"Medium Spender",TRUE, "High Spender")</f>
        <v>Low Spender</v>
      </c>
      <c r="I3370" s="1">
        <v>10</v>
      </c>
      <c r="J3370" s="1">
        <v>500</v>
      </c>
      <c r="K3370" s="1">
        <v>225</v>
      </c>
      <c r="M3370" s="1" t="s">
        <v>32</v>
      </c>
      <c r="N3370" s="1" t="str">
        <f t="shared" si="104"/>
        <v>Lower</v>
      </c>
      <c r="O3370" s="1" t="str">
        <f t="shared" si="105"/>
        <v>Pre-Senior | Low Spender | Lower</v>
      </c>
    </row>
    <row r="3371" spans="1:15" x14ac:dyDescent="0.25">
      <c r="A3371" s="1" t="s">
        <v>3401</v>
      </c>
      <c r="B3371" s="1">
        <v>26</v>
      </c>
      <c r="C3371" s="1" t="str" cm="1">
        <f t="array" ref="C3371">_xlfn.IFS(OR(B3371=" ", B3371="NA",NOT(ISNUMBER(B3371))), "Unknown",B3371&lt;18,"Underage",B3371&lt;=24,"Young Adult",B3371&lt;=34,"Early Career",B3371&lt;=44,"Mid Career",B3371&lt;=54,"Mature",B3371&lt;=65,"Pre-Senior",B3371&gt;65,"Senior")</f>
        <v>Early Career</v>
      </c>
      <c r="E3371" s="1" t="s">
        <v>58</v>
      </c>
      <c r="F3371" s="1">
        <v>1425000</v>
      </c>
      <c r="G3371" s="1">
        <v>18</v>
      </c>
      <c r="H3371" s="1" t="str" cm="1">
        <f t="array" ref="H3371">_xlfn.IFS( OR(G3371=" ",NOT(ISNUMBER(G3371))),"Unknown",G3371&lt;=33,"Low Spender",G3371&lt;=66,"Medium Spender",TRUE, "High Spender")</f>
        <v>Low Spender</v>
      </c>
      <c r="I3371" s="1">
        <v>10</v>
      </c>
      <c r="J3371" s="1">
        <v>10600</v>
      </c>
      <c r="K3371" s="1">
        <v>231</v>
      </c>
      <c r="M3371" s="1" t="s">
        <v>21</v>
      </c>
      <c r="N3371" s="1" t="str">
        <f t="shared" si="104"/>
        <v>Lower</v>
      </c>
      <c r="O3371" s="1" t="str">
        <f t="shared" si="105"/>
        <v>Early Career | Low Spender | Lower</v>
      </c>
    </row>
    <row r="3372" spans="1:15" x14ac:dyDescent="0.25">
      <c r="A3372" s="1" t="s">
        <v>3402</v>
      </c>
      <c r="B3372" s="1">
        <v>43</v>
      </c>
      <c r="C3372" s="1" t="str" cm="1">
        <f t="array" ref="C3372">_xlfn.IFS(OR(B3372=" ", B3372="NA",NOT(ISNUMBER(B3372))), "Unknown",B3372&lt;18,"Underage",B3372&lt;=24,"Young Adult",B3372&lt;=34,"Early Career",B3372&lt;=44,"Mid Career",B3372&lt;=54,"Mature",B3372&lt;=65,"Pre-Senior",B3372&gt;65,"Senior")</f>
        <v>Mid Career</v>
      </c>
      <c r="E3372" s="1" t="s">
        <v>34</v>
      </c>
      <c r="F3372" s="1">
        <v>1100000</v>
      </c>
      <c r="G3372" s="1">
        <v>74</v>
      </c>
      <c r="H3372" s="1" t="str" cm="1">
        <f t="array" ref="H3372">_xlfn.IFS( OR(G3372=" ",NOT(ISNUMBER(G3372))),"Unknown",G3372&lt;=33,"Low Spender",G3372&lt;=66,"Medium Spender",TRUE, "High Spender")</f>
        <v>High Spender</v>
      </c>
      <c r="I3372" s="1">
        <v>50</v>
      </c>
      <c r="J3372" s="1">
        <v>700</v>
      </c>
      <c r="K3372" s="1">
        <v>178</v>
      </c>
      <c r="L3372" s="1" t="s">
        <v>16</v>
      </c>
      <c r="M3372" s="1" t="s">
        <v>41</v>
      </c>
      <c r="N3372" s="1" t="str">
        <f t="shared" si="104"/>
        <v>Lower</v>
      </c>
      <c r="O3372" s="1" t="str">
        <f t="shared" si="105"/>
        <v>Mid Career | High Spender | Lower</v>
      </c>
    </row>
    <row r="3373" spans="1:15" x14ac:dyDescent="0.25">
      <c r="A3373" s="1" t="s">
        <v>3403</v>
      </c>
      <c r="B3373" s="1">
        <v>33</v>
      </c>
      <c r="C3373" s="1" t="str" cm="1">
        <f t="array" ref="C3373">_xlfn.IFS(OR(B3373=" ", B3373="NA",NOT(ISNUMBER(B3373))), "Unknown",B3373&lt;18,"Underage",B3373&lt;=24,"Young Adult",B3373&lt;=34,"Early Career",B3373&lt;=44,"Mid Career",B3373&lt;=54,"Mature",B3373&lt;=65,"Pre-Senior",B3373&gt;65,"Senior")</f>
        <v>Early Career</v>
      </c>
      <c r="D3373" s="1" t="s">
        <v>18</v>
      </c>
      <c r="E3373" s="1" t="s">
        <v>19</v>
      </c>
      <c r="F3373" s="1">
        <v>325000</v>
      </c>
      <c r="G3373" s="1">
        <v>39</v>
      </c>
      <c r="H3373" s="1" t="str" cm="1">
        <f t="array" ref="H3373">_xlfn.IFS( OR(G3373=" ",NOT(ISNUMBER(G3373))),"Unknown",G3373&lt;=33,"Low Spender",G3373&lt;=66,"Medium Spender",TRUE, "High Spender")</f>
        <v>Medium Spender</v>
      </c>
      <c r="I3373" s="1">
        <v>44</v>
      </c>
      <c r="J3373" s="1">
        <v>3000</v>
      </c>
      <c r="K3373" s="1">
        <v>247</v>
      </c>
      <c r="L3373" s="1" t="s">
        <v>37</v>
      </c>
      <c r="N3373" s="1" t="str">
        <f t="shared" si="104"/>
        <v>Higher</v>
      </c>
      <c r="O3373" s="1" t="str">
        <f t="shared" si="105"/>
        <v>Early Career | Medium Spender | Higher</v>
      </c>
    </row>
    <row r="3374" spans="1:15" x14ac:dyDescent="0.25">
      <c r="A3374" s="1" t="s">
        <v>3404</v>
      </c>
      <c r="B3374" s="1">
        <v>22</v>
      </c>
      <c r="C3374" s="1" t="str" cm="1">
        <f t="array" ref="C3374">_xlfn.IFS(OR(B3374=" ", B3374="NA",NOT(ISNUMBER(B3374))), "Unknown",B3374&lt;18,"Underage",B3374&lt;=24,"Young Adult",B3374&lt;=34,"Early Career",B3374&lt;=44,"Mid Career",B3374&lt;=54,"Mature",B3374&lt;=65,"Pre-Senior",B3374&gt;65,"Senior")</f>
        <v>Young Adult</v>
      </c>
      <c r="D3374" s="1" t="s">
        <v>18</v>
      </c>
      <c r="E3374" s="1" t="s">
        <v>19</v>
      </c>
      <c r="F3374" s="1">
        <v>1250000</v>
      </c>
      <c r="G3374" s="1">
        <v>94</v>
      </c>
      <c r="H3374" s="1" t="str" cm="1">
        <f t="array" ref="H3374">_xlfn.IFS( OR(G3374=" ",NOT(ISNUMBER(G3374))),"Unknown",G3374&lt;=33,"Low Spender",G3374&lt;=66,"Medium Spender",TRUE, "High Spender")</f>
        <v>High Spender</v>
      </c>
      <c r="I3374" s="1">
        <v>48</v>
      </c>
      <c r="J3374" s="1">
        <v>11000</v>
      </c>
      <c r="K3374" s="1">
        <v>67</v>
      </c>
      <c r="L3374" s="1" t="s">
        <v>35</v>
      </c>
      <c r="N3374" s="1" t="str">
        <f t="shared" si="104"/>
        <v>Higher</v>
      </c>
      <c r="O3374" s="1" t="str">
        <f t="shared" si="105"/>
        <v>Young Adult | High Spender | Higher</v>
      </c>
    </row>
    <row r="3375" spans="1:15" x14ac:dyDescent="0.25">
      <c r="A3375" s="1" t="s">
        <v>3405</v>
      </c>
      <c r="B3375" s="1">
        <v>69</v>
      </c>
      <c r="C3375" s="1" t="str" cm="1">
        <f t="array" ref="C3375">_xlfn.IFS(OR(B3375=" ", B3375="NA",NOT(ISNUMBER(B3375))), "Unknown",B3375&lt;18,"Underage",B3375&lt;=24,"Young Adult",B3375&lt;=34,"Early Career",B3375&lt;=44,"Mid Career",B3375&lt;=54,"Mature",B3375&lt;=65,"Pre-Senior",B3375&gt;65,"Senior")</f>
        <v>Senior</v>
      </c>
      <c r="D3375" s="1" t="s">
        <v>12</v>
      </c>
      <c r="F3375" s="1">
        <v>825000</v>
      </c>
      <c r="G3375" s="1">
        <v>26</v>
      </c>
      <c r="H3375" s="1" t="str" cm="1">
        <f t="array" ref="H3375">_xlfn.IFS( OR(G3375=" ",NOT(ISNUMBER(G3375))),"Unknown",G3375&lt;=33,"Low Spender",G3375&lt;=66,"Medium Spender",TRUE, "High Spender")</f>
        <v>Low Spender</v>
      </c>
      <c r="I3375" s="1">
        <v>6</v>
      </c>
      <c r="J3375" s="1">
        <v>8000</v>
      </c>
      <c r="K3375" s="1">
        <v>297</v>
      </c>
      <c r="L3375" s="1" t="s">
        <v>20</v>
      </c>
      <c r="M3375" s="1" t="s">
        <v>30</v>
      </c>
      <c r="N3375" s="1" t="str">
        <f t="shared" si="104"/>
        <v>Lower</v>
      </c>
      <c r="O3375" s="1" t="str">
        <f t="shared" si="105"/>
        <v>Senior | Low Spender | Lower</v>
      </c>
    </row>
    <row r="3376" spans="1:15" x14ac:dyDescent="0.25">
      <c r="A3376" s="1" t="s">
        <v>3406</v>
      </c>
      <c r="B3376" s="1">
        <v>27</v>
      </c>
      <c r="C3376" s="1" t="str" cm="1">
        <f t="array" ref="C3376">_xlfn.IFS(OR(B3376=" ", B3376="NA",NOT(ISNUMBER(B3376))), "Unknown",B3376&lt;18,"Underage",B3376&lt;=24,"Young Adult",B3376&lt;=34,"Early Career",B3376&lt;=44,"Mid Career",B3376&lt;=54,"Mature",B3376&lt;=65,"Pre-Senior",B3376&gt;65,"Senior")</f>
        <v>Early Career</v>
      </c>
      <c r="E3376" s="1" t="s">
        <v>27</v>
      </c>
      <c r="F3376" s="1">
        <v>800000</v>
      </c>
      <c r="G3376" s="1">
        <v>71</v>
      </c>
      <c r="H3376" s="1" t="str" cm="1">
        <f t="array" ref="H3376">_xlfn.IFS( OR(G3376=" ",NOT(ISNUMBER(G3376))),"Unknown",G3376&lt;=33,"Low Spender",G3376&lt;=66,"Medium Spender",TRUE, "High Spender")</f>
        <v>High Spender</v>
      </c>
      <c r="I3376" s="1">
        <v>24</v>
      </c>
      <c r="J3376" s="1">
        <v>10500</v>
      </c>
      <c r="K3376" s="1">
        <v>157</v>
      </c>
      <c r="L3376" s="1" t="s">
        <v>37</v>
      </c>
      <c r="M3376" s="1" t="s">
        <v>21</v>
      </c>
      <c r="N3376" s="1" t="str">
        <f t="shared" si="104"/>
        <v>Lower</v>
      </c>
      <c r="O3376" s="1" t="str">
        <f t="shared" si="105"/>
        <v>Early Career | High Spender | Lower</v>
      </c>
    </row>
    <row r="3377" spans="1:15" x14ac:dyDescent="0.25">
      <c r="A3377" s="1" t="s">
        <v>3407</v>
      </c>
      <c r="B3377" s="1">
        <v>67</v>
      </c>
      <c r="C3377" s="1" t="str" cm="1">
        <f t="array" ref="C3377">_xlfn.IFS(OR(B3377=" ", B3377="NA",NOT(ISNUMBER(B3377))), "Unknown",B3377&lt;18,"Underage",B3377&lt;=24,"Young Adult",B3377&lt;=34,"Early Career",B3377&lt;=44,"Mid Career",B3377&lt;=54,"Mature",B3377&lt;=65,"Pre-Senior",B3377&gt;65,"Senior")</f>
        <v>Senior</v>
      </c>
      <c r="D3377" s="1" t="s">
        <v>29</v>
      </c>
      <c r="E3377" s="1" t="s">
        <v>13</v>
      </c>
      <c r="F3377" s="1">
        <v>1750000</v>
      </c>
      <c r="G3377" s="1">
        <v>7</v>
      </c>
      <c r="H3377" s="1" t="str" cm="1">
        <f t="array" ref="H3377">_xlfn.IFS( OR(G3377=" ",NOT(ISNUMBER(G3377))),"Unknown",G3377&lt;=33,"Low Spender",G3377&lt;=66,"Medium Spender",TRUE, "High Spender")</f>
        <v>Low Spender</v>
      </c>
      <c r="I3377" s="1">
        <v>58</v>
      </c>
      <c r="J3377" s="1">
        <v>1300</v>
      </c>
      <c r="K3377" s="1">
        <v>165</v>
      </c>
      <c r="M3377" s="1" t="s">
        <v>21</v>
      </c>
      <c r="N3377" s="1" t="str">
        <f t="shared" si="104"/>
        <v>Higher</v>
      </c>
      <c r="O3377" s="1" t="str">
        <f t="shared" si="105"/>
        <v>Senior | Low Spender | Higher</v>
      </c>
    </row>
    <row r="3378" spans="1:15" x14ac:dyDescent="0.25">
      <c r="A3378" s="1" t="s">
        <v>3408</v>
      </c>
      <c r="B3378" s="1">
        <v>20</v>
      </c>
      <c r="C3378" s="1" t="str" cm="1">
        <f t="array" ref="C3378">_xlfn.IFS(OR(B3378=" ", B3378="NA",NOT(ISNUMBER(B3378))), "Unknown",B3378&lt;18,"Underage",B3378&lt;=24,"Young Adult",B3378&lt;=34,"Early Career",B3378&lt;=44,"Mid Career",B3378&lt;=54,"Mature",B3378&lt;=65,"Pre-Senior",B3378&gt;65,"Senior")</f>
        <v>Young Adult</v>
      </c>
      <c r="D3378" s="1" t="s">
        <v>29</v>
      </c>
      <c r="E3378" s="1" t="s">
        <v>49</v>
      </c>
      <c r="F3378" s="1">
        <v>975000</v>
      </c>
      <c r="G3378" s="1">
        <v>69</v>
      </c>
      <c r="H3378" s="1" t="str" cm="1">
        <f t="array" ref="H3378">_xlfn.IFS( OR(G3378=" ",NOT(ISNUMBER(G3378))),"Unknown",G3378&lt;=33,"Low Spender",G3378&lt;=66,"Medium Spender",TRUE, "High Spender")</f>
        <v>High Spender</v>
      </c>
      <c r="I3378" s="1">
        <v>64</v>
      </c>
      <c r="J3378" s="1">
        <v>7400</v>
      </c>
      <c r="K3378" s="1">
        <v>184</v>
      </c>
      <c r="L3378" s="1" t="s">
        <v>20</v>
      </c>
      <c r="M3378" s="1" t="s">
        <v>30</v>
      </c>
      <c r="N3378" s="1" t="str">
        <f t="shared" si="104"/>
        <v>Higher</v>
      </c>
      <c r="O3378" s="1" t="str">
        <f t="shared" si="105"/>
        <v>Young Adult | High Spender | Higher</v>
      </c>
    </row>
    <row r="3379" spans="1:15" x14ac:dyDescent="0.25">
      <c r="A3379" s="1" t="s">
        <v>3409</v>
      </c>
      <c r="B3379" s="1">
        <v>30</v>
      </c>
      <c r="C3379" s="1" t="str" cm="1">
        <f t="array" ref="C3379">_xlfn.IFS(OR(B3379=" ", B3379="NA",NOT(ISNUMBER(B3379))), "Unknown",B3379&lt;18,"Underage",B3379&lt;=24,"Young Adult",B3379&lt;=34,"Early Career",B3379&lt;=44,"Mid Career",B3379&lt;=54,"Mature",B3379&lt;=65,"Pre-Senior",B3379&gt;65,"Senior")</f>
        <v>Early Career</v>
      </c>
      <c r="E3379" s="1" t="s">
        <v>27</v>
      </c>
      <c r="F3379" s="1">
        <v>1675000</v>
      </c>
      <c r="G3379" s="1">
        <v>65</v>
      </c>
      <c r="H3379" s="1" t="str" cm="1">
        <f t="array" ref="H3379">_xlfn.IFS( OR(G3379=" ",NOT(ISNUMBER(G3379))),"Unknown",G3379&lt;=33,"Low Spender",G3379&lt;=66,"Medium Spender",TRUE, "High Spender")</f>
        <v>Medium Spender</v>
      </c>
      <c r="I3379" s="1">
        <v>56</v>
      </c>
      <c r="J3379" s="1">
        <v>10300</v>
      </c>
      <c r="K3379" s="1">
        <v>208</v>
      </c>
      <c r="L3379" s="1" t="s">
        <v>37</v>
      </c>
      <c r="M3379" s="1" t="s">
        <v>41</v>
      </c>
      <c r="N3379" s="1" t="str">
        <f t="shared" si="104"/>
        <v>Lower</v>
      </c>
      <c r="O3379" s="1" t="str">
        <f t="shared" si="105"/>
        <v>Early Career | Medium Spender | Lower</v>
      </c>
    </row>
    <row r="3380" spans="1:15" x14ac:dyDescent="0.25">
      <c r="A3380" s="1" t="s">
        <v>3410</v>
      </c>
      <c r="B3380" s="1">
        <v>60</v>
      </c>
      <c r="C3380" s="1" t="str" cm="1">
        <f t="array" ref="C3380">_xlfn.IFS(OR(B3380=" ", B3380="NA",NOT(ISNUMBER(B3380))), "Unknown",B3380&lt;18,"Underage",B3380&lt;=24,"Young Adult",B3380&lt;=34,"Early Career",B3380&lt;=44,"Mid Career",B3380&lt;=54,"Mature",B3380&lt;=65,"Pre-Senior",B3380&gt;65,"Senior")</f>
        <v>Pre-Senior</v>
      </c>
      <c r="D3380" s="1" t="s">
        <v>12</v>
      </c>
      <c r="E3380" s="1" t="s">
        <v>15</v>
      </c>
      <c r="F3380" s="1">
        <v>1675000</v>
      </c>
      <c r="G3380" s="1">
        <v>46</v>
      </c>
      <c r="H3380" s="1" t="str" cm="1">
        <f t="array" ref="H3380">_xlfn.IFS( OR(G3380=" ",NOT(ISNUMBER(G3380))),"Unknown",G3380&lt;=33,"Low Spender",G3380&lt;=66,"Medium Spender",TRUE, "High Spender")</f>
        <v>Medium Spender</v>
      </c>
      <c r="I3380" s="1">
        <v>12</v>
      </c>
      <c r="J3380" s="1">
        <v>7400</v>
      </c>
      <c r="K3380" s="1">
        <v>16</v>
      </c>
      <c r="N3380" s="1" t="str">
        <f t="shared" si="104"/>
        <v>Lower</v>
      </c>
      <c r="O3380" s="1" t="str">
        <f t="shared" si="105"/>
        <v>Pre-Senior | Medium Spender | Lower</v>
      </c>
    </row>
    <row r="3381" spans="1:15" x14ac:dyDescent="0.25">
      <c r="A3381" s="1" t="s">
        <v>3411</v>
      </c>
      <c r="B3381" s="1">
        <v>66</v>
      </c>
      <c r="C3381" s="1" t="str" cm="1">
        <f t="array" ref="C3381">_xlfn.IFS(OR(B3381=" ", B3381="NA",NOT(ISNUMBER(B3381))), "Unknown",B3381&lt;18,"Underage",B3381&lt;=24,"Young Adult",B3381&lt;=34,"Early Career",B3381&lt;=44,"Mid Career",B3381&lt;=54,"Mature",B3381&lt;=65,"Pre-Senior",B3381&gt;65,"Senior")</f>
        <v>Senior</v>
      </c>
      <c r="D3381" s="1" t="s">
        <v>29</v>
      </c>
      <c r="E3381" s="1" t="s">
        <v>27</v>
      </c>
      <c r="F3381" s="1">
        <v>1075000</v>
      </c>
      <c r="G3381" s="1">
        <v>18</v>
      </c>
      <c r="H3381" s="1" t="str" cm="1">
        <f t="array" ref="H3381">_xlfn.IFS( OR(G3381=" ",NOT(ISNUMBER(G3381))),"Unknown",G3381&lt;=33,"Low Spender",G3381&lt;=66,"Medium Spender",TRUE, "High Spender")</f>
        <v>Low Spender</v>
      </c>
      <c r="I3381" s="1">
        <v>35</v>
      </c>
      <c r="J3381" s="1">
        <v>7800</v>
      </c>
      <c r="K3381" s="1">
        <v>300</v>
      </c>
      <c r="L3381" s="1" t="s">
        <v>20</v>
      </c>
      <c r="N3381" s="1" t="str">
        <f t="shared" si="104"/>
        <v>Higher</v>
      </c>
      <c r="O3381" s="1" t="str">
        <f t="shared" si="105"/>
        <v>Senior | Low Spender | Higher</v>
      </c>
    </row>
    <row r="3382" spans="1:15" x14ac:dyDescent="0.25">
      <c r="A3382" s="1" t="s">
        <v>3412</v>
      </c>
      <c r="B3382" s="1">
        <v>47</v>
      </c>
      <c r="C3382" s="1" t="str" cm="1">
        <f t="array" ref="C3382">_xlfn.IFS(OR(B3382=" ", B3382="NA",NOT(ISNUMBER(B3382))), "Unknown",B3382&lt;18,"Underage",B3382&lt;=24,"Young Adult",B3382&lt;=34,"Early Career",B3382&lt;=44,"Mid Career",B3382&lt;=54,"Mature",B3382&lt;=65,"Pre-Senior",B3382&gt;65,"Senior")</f>
        <v>Mature</v>
      </c>
      <c r="D3382" s="1" t="s">
        <v>18</v>
      </c>
      <c r="F3382" s="1">
        <v>775000</v>
      </c>
      <c r="G3382" s="1">
        <v>13</v>
      </c>
      <c r="H3382" s="1" t="str" cm="1">
        <f t="array" ref="H3382">_xlfn.IFS( OR(G3382=" ",NOT(ISNUMBER(G3382))),"Unknown",G3382&lt;=33,"Low Spender",G3382&lt;=66,"Medium Spender",TRUE, "High Spender")</f>
        <v>Low Spender</v>
      </c>
      <c r="I3382" s="1">
        <v>71</v>
      </c>
      <c r="J3382" s="1">
        <v>1700</v>
      </c>
      <c r="K3382" s="1">
        <v>306</v>
      </c>
      <c r="L3382" s="1" t="s">
        <v>37</v>
      </c>
      <c r="M3382" s="1" t="s">
        <v>41</v>
      </c>
      <c r="N3382" s="1" t="str">
        <f t="shared" si="104"/>
        <v>Higher</v>
      </c>
      <c r="O3382" s="1" t="str">
        <f t="shared" si="105"/>
        <v>Mature | Low Spender | Higher</v>
      </c>
    </row>
    <row r="3383" spans="1:15" x14ac:dyDescent="0.25">
      <c r="A3383" s="1" t="s">
        <v>3413</v>
      </c>
      <c r="C3383" s="1" t="str" cm="1">
        <f t="array" ref="C3383">_xlfn.IFS(OR(B3383=" ", B3383="NA",NOT(ISNUMBER(B3383))), "Unknown",B3383&lt;18,"Underage",B3383&lt;=24,"Young Adult",B3383&lt;=34,"Early Career",B3383&lt;=44,"Mid Career",B3383&lt;=54,"Mature",B3383&lt;=65,"Pre-Senior",B3383&gt;65,"Senior")</f>
        <v>Unknown</v>
      </c>
      <c r="D3383" s="1" t="s">
        <v>12</v>
      </c>
      <c r="F3383" s="1">
        <v>725000</v>
      </c>
      <c r="G3383" s="1">
        <v>25</v>
      </c>
      <c r="H3383" s="1" t="str" cm="1">
        <f t="array" ref="H3383">_xlfn.IFS( OR(G3383=" ",NOT(ISNUMBER(G3383))),"Unknown",G3383&lt;=33,"Low Spender",G3383&lt;=66,"Medium Spender",TRUE, "High Spender")</f>
        <v>Low Spender</v>
      </c>
      <c r="I3383" s="1">
        <v>6</v>
      </c>
      <c r="J3383" s="1">
        <v>8500</v>
      </c>
      <c r="K3383" s="1">
        <v>241</v>
      </c>
      <c r="L3383" s="1" t="s">
        <v>35</v>
      </c>
      <c r="M3383" s="1" t="s">
        <v>30</v>
      </c>
      <c r="N3383" s="1" t="str">
        <f t="shared" si="104"/>
        <v>Lower</v>
      </c>
      <c r="O3383" s="1" t="str">
        <f t="shared" si="105"/>
        <v>Unknown | Low Spender | Lower</v>
      </c>
    </row>
    <row r="3384" spans="1:15" x14ac:dyDescent="0.25">
      <c r="A3384" s="1" t="s">
        <v>3414</v>
      </c>
      <c r="B3384" s="1">
        <v>62</v>
      </c>
      <c r="C3384" s="1" t="str" cm="1">
        <f t="array" ref="C3384">_xlfn.IFS(OR(B3384=" ", B3384="NA",NOT(ISNUMBER(B3384))), "Unknown",B3384&lt;18,"Underage",B3384&lt;=24,"Young Adult",B3384&lt;=34,"Early Career",B3384&lt;=44,"Mid Career",B3384&lt;=54,"Mature",B3384&lt;=65,"Pre-Senior",B3384&gt;65,"Senior")</f>
        <v>Pre-Senior</v>
      </c>
      <c r="D3384" s="1" t="s">
        <v>12</v>
      </c>
      <c r="E3384" s="1" t="s">
        <v>58</v>
      </c>
      <c r="F3384" s="1">
        <v>1100000</v>
      </c>
      <c r="G3384" s="1">
        <v>8</v>
      </c>
      <c r="H3384" s="1" t="str" cm="1">
        <f t="array" ref="H3384">_xlfn.IFS( OR(G3384=" ",NOT(ISNUMBER(G3384))),"Unknown",G3384&lt;=33,"Low Spender",G3384&lt;=66,"Medium Spender",TRUE, "High Spender")</f>
        <v>Low Spender</v>
      </c>
      <c r="I3384" s="1">
        <v>65</v>
      </c>
      <c r="J3384" s="1">
        <v>5000</v>
      </c>
      <c r="K3384" s="1">
        <v>230</v>
      </c>
      <c r="N3384" s="1" t="str">
        <f t="shared" si="104"/>
        <v>Lower</v>
      </c>
      <c r="O3384" s="1" t="str">
        <f t="shared" si="105"/>
        <v>Pre-Senior | Low Spender | Lower</v>
      </c>
    </row>
    <row r="3385" spans="1:15" x14ac:dyDescent="0.25">
      <c r="A3385" s="1" t="s">
        <v>3415</v>
      </c>
      <c r="B3385" s="1">
        <v>23</v>
      </c>
      <c r="C3385" s="1" t="str" cm="1">
        <f t="array" ref="C3385">_xlfn.IFS(OR(B3385=" ", B3385="NA",NOT(ISNUMBER(B3385))), "Unknown",B3385&lt;18,"Underage",B3385&lt;=24,"Young Adult",B3385&lt;=34,"Early Career",B3385&lt;=44,"Mid Career",B3385&lt;=54,"Mature",B3385&lt;=65,"Pre-Senior",B3385&gt;65,"Senior")</f>
        <v>Young Adult</v>
      </c>
      <c r="D3385" s="1" t="s">
        <v>18</v>
      </c>
      <c r="E3385" s="1" t="s">
        <v>34</v>
      </c>
      <c r="F3385" s="1">
        <v>650000</v>
      </c>
      <c r="G3385" s="1">
        <v>74</v>
      </c>
      <c r="H3385" s="1" t="str" cm="1">
        <f t="array" ref="H3385">_xlfn.IFS( OR(G3385=" ",NOT(ISNUMBER(G3385))),"Unknown",G3385&lt;=33,"Low Spender",G3385&lt;=66,"Medium Spender",TRUE, "High Spender")</f>
        <v>High Spender</v>
      </c>
      <c r="J3385" s="1">
        <v>4800</v>
      </c>
      <c r="K3385" s="1">
        <v>18</v>
      </c>
      <c r="L3385" s="1" t="s">
        <v>20</v>
      </c>
      <c r="M3385" s="1" t="s">
        <v>21</v>
      </c>
      <c r="N3385" s="1" t="str">
        <f t="shared" si="104"/>
        <v>Higher</v>
      </c>
      <c r="O3385" s="1" t="str">
        <f t="shared" si="105"/>
        <v>Young Adult | High Spender | Higher</v>
      </c>
    </row>
    <row r="3386" spans="1:15" x14ac:dyDescent="0.25">
      <c r="A3386" s="1" t="s">
        <v>3416</v>
      </c>
      <c r="B3386" s="1">
        <v>34</v>
      </c>
      <c r="C3386" s="1" t="str" cm="1">
        <f t="array" ref="C3386">_xlfn.IFS(OR(B3386=" ", B3386="NA",NOT(ISNUMBER(B3386))), "Unknown",B3386&lt;18,"Underage",B3386&lt;=24,"Young Adult",B3386&lt;=34,"Early Career",B3386&lt;=44,"Mid Career",B3386&lt;=54,"Mature",B3386&lt;=65,"Pre-Senior",B3386&gt;65,"Senior")</f>
        <v>Early Career</v>
      </c>
      <c r="D3386" s="1" t="s">
        <v>18</v>
      </c>
      <c r="F3386" s="1">
        <v>1300000</v>
      </c>
      <c r="G3386" s="1">
        <v>32</v>
      </c>
      <c r="H3386" s="1" t="str" cm="1">
        <f t="array" ref="H3386">_xlfn.IFS( OR(G3386=" ",NOT(ISNUMBER(G3386))),"Unknown",G3386&lt;=33,"Low Spender",G3386&lt;=66,"Medium Spender",TRUE, "High Spender")</f>
        <v>Low Spender</v>
      </c>
      <c r="I3386" s="1">
        <v>60</v>
      </c>
      <c r="J3386" s="1">
        <v>3000</v>
      </c>
      <c r="K3386" s="1">
        <v>147</v>
      </c>
      <c r="M3386" s="1" t="s">
        <v>41</v>
      </c>
      <c r="N3386" s="1" t="str">
        <f t="shared" si="104"/>
        <v>Higher</v>
      </c>
      <c r="O3386" s="1" t="str">
        <f t="shared" si="105"/>
        <v>Early Career | Low Spender | Higher</v>
      </c>
    </row>
    <row r="3387" spans="1:15" x14ac:dyDescent="0.25">
      <c r="A3387" s="1" t="s">
        <v>3417</v>
      </c>
      <c r="B3387" s="1">
        <v>62</v>
      </c>
      <c r="C3387" s="1" t="str" cm="1">
        <f t="array" ref="C3387">_xlfn.IFS(OR(B3387=" ", B3387="NA",NOT(ISNUMBER(B3387))), "Unknown",B3387&lt;18,"Underage",B3387&lt;=24,"Young Adult",B3387&lt;=34,"Early Career",B3387&lt;=44,"Mid Career",B3387&lt;=54,"Mature",B3387&lt;=65,"Pre-Senior",B3387&gt;65,"Senior")</f>
        <v>Pre-Senior</v>
      </c>
      <c r="D3387" s="1" t="s">
        <v>18</v>
      </c>
      <c r="E3387" s="1" t="s">
        <v>23</v>
      </c>
      <c r="F3387" s="1">
        <v>1325000</v>
      </c>
      <c r="G3387" s="1">
        <v>17</v>
      </c>
      <c r="H3387" s="1" t="str" cm="1">
        <f t="array" ref="H3387">_xlfn.IFS( OR(G3387=" ",NOT(ISNUMBER(G3387))),"Unknown",G3387&lt;=33,"Low Spender",G3387&lt;=66,"Medium Spender",TRUE, "High Spender")</f>
        <v>Low Spender</v>
      </c>
      <c r="I3387" s="1">
        <v>68</v>
      </c>
      <c r="J3387" s="1">
        <v>900</v>
      </c>
      <c r="K3387" s="1">
        <v>244</v>
      </c>
      <c r="M3387" s="1" t="s">
        <v>41</v>
      </c>
      <c r="N3387" s="1" t="str">
        <f t="shared" si="104"/>
        <v>Higher</v>
      </c>
      <c r="O3387" s="1" t="str">
        <f t="shared" si="105"/>
        <v>Pre-Senior | Low Spender | Higher</v>
      </c>
    </row>
    <row r="3388" spans="1:15" x14ac:dyDescent="0.25">
      <c r="A3388" s="1" t="s">
        <v>3418</v>
      </c>
      <c r="B3388" s="1">
        <v>68</v>
      </c>
      <c r="C3388" s="1" t="str" cm="1">
        <f t="array" ref="C3388">_xlfn.IFS(OR(B3388=" ", B3388="NA",NOT(ISNUMBER(B3388))), "Unknown",B3388&lt;18,"Underage",B3388&lt;=24,"Young Adult",B3388&lt;=34,"Early Career",B3388&lt;=44,"Mid Career",B3388&lt;=54,"Mature",B3388&lt;=65,"Pre-Senior",B3388&gt;65,"Senior")</f>
        <v>Senior</v>
      </c>
      <c r="F3388" s="1">
        <v>450000</v>
      </c>
      <c r="H3388" s="1" t="str" cm="1">
        <f t="array" ref="H3388">_xlfn.IFS( OR(G3388=" ",NOT(ISNUMBER(G3388))),"Unknown",G3388&lt;=33,"Low Spender",G3388&lt;=66,"Medium Spender",TRUE, "High Spender")</f>
        <v>Unknown</v>
      </c>
      <c r="I3388" s="1">
        <v>29</v>
      </c>
      <c r="J3388" s="1">
        <v>10600</v>
      </c>
      <c r="K3388" s="1">
        <v>51</v>
      </c>
      <c r="L3388" s="1" t="s">
        <v>20</v>
      </c>
      <c r="N3388" s="1" t="str">
        <f t="shared" si="104"/>
        <v>Lower</v>
      </c>
      <c r="O3388" s="1" t="str">
        <f t="shared" si="105"/>
        <v>Senior | Unknown | Lower</v>
      </c>
    </row>
    <row r="3389" spans="1:15" x14ac:dyDescent="0.25">
      <c r="A3389" s="1" t="s">
        <v>3419</v>
      </c>
      <c r="C3389" s="1" t="str" cm="1">
        <f t="array" ref="C3389">_xlfn.IFS(OR(B3389=" ", B3389="NA",NOT(ISNUMBER(B3389))), "Unknown",B3389&lt;18,"Underage",B3389&lt;=24,"Young Adult",B3389&lt;=34,"Early Career",B3389&lt;=44,"Mid Career",B3389&lt;=54,"Mature",B3389&lt;=65,"Pre-Senior",B3389&gt;65,"Senior")</f>
        <v>Unknown</v>
      </c>
      <c r="D3389" s="1" t="s">
        <v>12</v>
      </c>
      <c r="E3389" s="1" t="s">
        <v>58</v>
      </c>
      <c r="F3389" s="1">
        <v>200000</v>
      </c>
      <c r="G3389" s="1">
        <v>79</v>
      </c>
      <c r="H3389" s="1" t="str" cm="1">
        <f t="array" ref="H3389">_xlfn.IFS( OR(G3389=" ",NOT(ISNUMBER(G3389))),"Unknown",G3389&lt;=33,"Low Spender",G3389&lt;=66,"Medium Spender",TRUE, "High Spender")</f>
        <v>High Spender</v>
      </c>
      <c r="I3389" s="1">
        <v>38</v>
      </c>
      <c r="J3389" s="1">
        <v>7300</v>
      </c>
      <c r="K3389" s="1">
        <v>259</v>
      </c>
      <c r="L3389" s="1" t="s">
        <v>37</v>
      </c>
      <c r="N3389" s="1" t="str">
        <f t="shared" si="104"/>
        <v>Lower</v>
      </c>
      <c r="O3389" s="1" t="str">
        <f t="shared" si="105"/>
        <v>Unknown | High Spender | Lower</v>
      </c>
    </row>
    <row r="3390" spans="1:15" x14ac:dyDescent="0.25">
      <c r="A3390" s="1" t="s">
        <v>3420</v>
      </c>
      <c r="B3390" s="1">
        <v>36</v>
      </c>
      <c r="C3390" s="1" t="str" cm="1">
        <f t="array" ref="C3390">_xlfn.IFS(OR(B3390=" ", B3390="NA",NOT(ISNUMBER(B3390))), "Unknown",B3390&lt;18,"Underage",B3390&lt;=24,"Young Adult",B3390&lt;=34,"Early Career",B3390&lt;=44,"Mid Career",B3390&lt;=54,"Mature",B3390&lt;=65,"Pre-Senior",B3390&gt;65,"Senior")</f>
        <v>Mid Career</v>
      </c>
      <c r="E3390" s="1" t="s">
        <v>49</v>
      </c>
      <c r="F3390" s="1">
        <v>925000</v>
      </c>
      <c r="G3390" s="1">
        <v>79</v>
      </c>
      <c r="H3390" s="1" t="str" cm="1">
        <f t="array" ref="H3390">_xlfn.IFS( OR(G3390=" ",NOT(ISNUMBER(G3390))),"Unknown",G3390&lt;=33,"Low Spender",G3390&lt;=66,"Medium Spender",TRUE, "High Spender")</f>
        <v>High Spender</v>
      </c>
      <c r="I3390" s="1">
        <v>22</v>
      </c>
      <c r="J3390" s="1">
        <v>9600</v>
      </c>
      <c r="K3390" s="1">
        <v>238</v>
      </c>
      <c r="L3390" s="1" t="s">
        <v>20</v>
      </c>
      <c r="N3390" s="1" t="str">
        <f t="shared" si="104"/>
        <v>Lower</v>
      </c>
      <c r="O3390" s="1" t="str">
        <f t="shared" si="105"/>
        <v>Mid Career | High Spender | Lower</v>
      </c>
    </row>
    <row r="3391" spans="1:15" x14ac:dyDescent="0.25">
      <c r="A3391" s="1" t="s">
        <v>3421</v>
      </c>
      <c r="B3391" s="1">
        <v>59</v>
      </c>
      <c r="C3391" s="1" t="str" cm="1">
        <f t="array" ref="C3391">_xlfn.IFS(OR(B3391=" ", B3391="NA",NOT(ISNUMBER(B3391))), "Unknown",B3391&lt;18,"Underage",B3391&lt;=24,"Young Adult",B3391&lt;=34,"Early Career",B3391&lt;=44,"Mid Career",B3391&lt;=54,"Mature",B3391&lt;=65,"Pre-Senior",B3391&gt;65,"Senior")</f>
        <v>Pre-Senior</v>
      </c>
      <c r="D3391" s="1" t="s">
        <v>18</v>
      </c>
      <c r="E3391" s="1" t="s">
        <v>23</v>
      </c>
      <c r="F3391" s="1">
        <v>1000000</v>
      </c>
      <c r="G3391" s="1">
        <v>48</v>
      </c>
      <c r="H3391" s="1" t="str" cm="1">
        <f t="array" ref="H3391">_xlfn.IFS( OR(G3391=" ",NOT(ISNUMBER(G3391))),"Unknown",G3391&lt;=33,"Low Spender",G3391&lt;=66,"Medium Spender",TRUE, "High Spender")</f>
        <v>Medium Spender</v>
      </c>
      <c r="I3391" s="1">
        <v>8</v>
      </c>
      <c r="J3391" s="1">
        <v>8400</v>
      </c>
      <c r="K3391" s="1">
        <v>246</v>
      </c>
      <c r="M3391" s="1" t="s">
        <v>21</v>
      </c>
      <c r="N3391" s="1" t="str">
        <f t="shared" si="104"/>
        <v>Higher</v>
      </c>
      <c r="O3391" s="1" t="str">
        <f t="shared" si="105"/>
        <v>Pre-Senior | Medium Spender | Higher</v>
      </c>
    </row>
    <row r="3392" spans="1:15" x14ac:dyDescent="0.25">
      <c r="A3392" s="1" t="s">
        <v>3422</v>
      </c>
      <c r="B3392" s="1">
        <v>52</v>
      </c>
      <c r="C3392" s="1" t="str" cm="1">
        <f t="array" ref="C3392">_xlfn.IFS(OR(B3392=" ", B3392="NA",NOT(ISNUMBER(B3392))), "Unknown",B3392&lt;18,"Underage",B3392&lt;=24,"Young Adult",B3392&lt;=34,"Early Career",B3392&lt;=44,"Mid Career",B3392&lt;=54,"Mature",B3392&lt;=65,"Pre-Senior",B3392&gt;65,"Senior")</f>
        <v>Mature</v>
      </c>
      <c r="D3392" s="1" t="s">
        <v>12</v>
      </c>
      <c r="E3392" s="1" t="s">
        <v>13</v>
      </c>
      <c r="F3392" s="1">
        <v>600000</v>
      </c>
      <c r="G3392" s="1">
        <v>63</v>
      </c>
      <c r="H3392" s="1" t="str" cm="1">
        <f t="array" ref="H3392">_xlfn.IFS( OR(G3392=" ",NOT(ISNUMBER(G3392))),"Unknown",G3392&lt;=33,"Low Spender",G3392&lt;=66,"Medium Spender",TRUE, "High Spender")</f>
        <v>Medium Spender</v>
      </c>
      <c r="I3392" s="1">
        <v>63</v>
      </c>
      <c r="J3392" s="1">
        <v>9000</v>
      </c>
      <c r="K3392" s="1">
        <v>345</v>
      </c>
      <c r="L3392" s="1" t="s">
        <v>16</v>
      </c>
      <c r="M3392" s="1" t="s">
        <v>41</v>
      </c>
      <c r="N3392" s="1" t="str">
        <f t="shared" si="104"/>
        <v>Lower</v>
      </c>
      <c r="O3392" s="1" t="str">
        <f t="shared" si="105"/>
        <v>Mature | Medium Spender | Lower</v>
      </c>
    </row>
    <row r="3393" spans="1:15" x14ac:dyDescent="0.25">
      <c r="A3393" s="1" t="s">
        <v>3423</v>
      </c>
      <c r="B3393" s="1">
        <v>63</v>
      </c>
      <c r="C3393" s="1" t="str" cm="1">
        <f t="array" ref="C3393">_xlfn.IFS(OR(B3393=" ", B3393="NA",NOT(ISNUMBER(B3393))), "Unknown",B3393&lt;18,"Underage",B3393&lt;=24,"Young Adult",B3393&lt;=34,"Early Career",B3393&lt;=44,"Mid Career",B3393&lt;=54,"Mature",B3393&lt;=65,"Pre-Senior",B3393&gt;65,"Senior")</f>
        <v>Pre-Senior</v>
      </c>
      <c r="E3393" s="1" t="s">
        <v>19</v>
      </c>
      <c r="F3393" s="1">
        <v>475000</v>
      </c>
      <c r="G3393" s="1">
        <v>40</v>
      </c>
      <c r="H3393" s="1" t="str" cm="1">
        <f t="array" ref="H3393">_xlfn.IFS( OR(G3393=" ",NOT(ISNUMBER(G3393))),"Unknown",G3393&lt;=33,"Low Spender",G3393&lt;=66,"Medium Spender",TRUE, "High Spender")</f>
        <v>Medium Spender</v>
      </c>
      <c r="I3393" s="1">
        <v>13</v>
      </c>
      <c r="J3393" s="1">
        <v>800</v>
      </c>
      <c r="K3393" s="1">
        <v>310</v>
      </c>
      <c r="N3393" s="1" t="str">
        <f t="shared" si="104"/>
        <v>Lower</v>
      </c>
      <c r="O3393" s="1" t="str">
        <f t="shared" si="105"/>
        <v>Pre-Senior | Medium Spender | Lower</v>
      </c>
    </row>
    <row r="3394" spans="1:15" x14ac:dyDescent="0.25">
      <c r="A3394" s="1" t="s">
        <v>3424</v>
      </c>
      <c r="B3394" s="1">
        <v>43</v>
      </c>
      <c r="C3394" s="1" t="str" cm="1">
        <f t="array" ref="C3394">_xlfn.IFS(OR(B3394=" ", B3394="NA",NOT(ISNUMBER(B3394))), "Unknown",B3394&lt;18,"Underage",B3394&lt;=24,"Young Adult",B3394&lt;=34,"Early Career",B3394&lt;=44,"Mid Career",B3394&lt;=54,"Mature",B3394&lt;=65,"Pre-Senior",B3394&gt;65,"Senior")</f>
        <v>Mid Career</v>
      </c>
      <c r="E3394" s="1" t="s">
        <v>49</v>
      </c>
      <c r="F3394" s="1">
        <v>1325000</v>
      </c>
      <c r="G3394" s="1">
        <v>84</v>
      </c>
      <c r="H3394" s="1" t="str" cm="1">
        <f t="array" ref="H3394">_xlfn.IFS( OR(G3394=" ",NOT(ISNUMBER(G3394))),"Unknown",G3394&lt;=33,"Low Spender",G3394&lt;=66,"Medium Spender",TRUE, "High Spender")</f>
        <v>High Spender</v>
      </c>
      <c r="I3394" s="1">
        <v>27</v>
      </c>
      <c r="J3394" s="1">
        <v>6000</v>
      </c>
      <c r="K3394" s="1">
        <v>49</v>
      </c>
      <c r="L3394" s="1" t="s">
        <v>37</v>
      </c>
      <c r="M3394" s="1" t="s">
        <v>41</v>
      </c>
      <c r="N3394" s="1" t="str">
        <f t="shared" ref="N3394:N3457" si="106">IF(OR(UPPER(TRIM(D3394))="Male",UPPER(TRIM(D3394))="Female"),"Higher","Lower")</f>
        <v>Lower</v>
      </c>
      <c r="O3394" s="1" t="str">
        <f t="shared" ref="O3394:O3457" si="107">_xlfn.TEXTJOIN(" | ", TRUE, C3394, H3394, N3394)</f>
        <v>Mid Career | High Spender | Lower</v>
      </c>
    </row>
    <row r="3395" spans="1:15" x14ac:dyDescent="0.25">
      <c r="A3395" s="1" t="s">
        <v>3425</v>
      </c>
      <c r="B3395" s="1">
        <v>68</v>
      </c>
      <c r="C3395" s="1" t="str" cm="1">
        <f t="array" ref="C3395">_xlfn.IFS(OR(B3395=" ", B3395="NA",NOT(ISNUMBER(B3395))), "Unknown",B3395&lt;18,"Underage",B3395&lt;=24,"Young Adult",B3395&lt;=34,"Early Career",B3395&lt;=44,"Mid Career",B3395&lt;=54,"Mature",B3395&lt;=65,"Pre-Senior",B3395&gt;65,"Senior")</f>
        <v>Senior</v>
      </c>
      <c r="E3395" s="1" t="s">
        <v>13</v>
      </c>
      <c r="F3395" s="1">
        <v>1825000</v>
      </c>
      <c r="G3395" s="1">
        <v>15</v>
      </c>
      <c r="H3395" s="1" t="str" cm="1">
        <f t="array" ref="H3395">_xlfn.IFS( OR(G3395=" ",NOT(ISNUMBER(G3395))),"Unknown",G3395&lt;=33,"Low Spender",G3395&lt;=66,"Medium Spender",TRUE, "High Spender")</f>
        <v>Low Spender</v>
      </c>
      <c r="I3395" s="1">
        <v>18</v>
      </c>
      <c r="J3395" s="1">
        <v>11700</v>
      </c>
      <c r="K3395" s="1">
        <v>284</v>
      </c>
      <c r="L3395" s="1" t="s">
        <v>35</v>
      </c>
      <c r="N3395" s="1" t="str">
        <f t="shared" si="106"/>
        <v>Lower</v>
      </c>
      <c r="O3395" s="1" t="str">
        <f t="shared" si="107"/>
        <v>Senior | Low Spender | Lower</v>
      </c>
    </row>
    <row r="3396" spans="1:15" x14ac:dyDescent="0.25">
      <c r="A3396" s="1" t="s">
        <v>3426</v>
      </c>
      <c r="B3396" s="1">
        <v>22</v>
      </c>
      <c r="C3396" s="1" t="str" cm="1">
        <f t="array" ref="C3396">_xlfn.IFS(OR(B3396=" ", B3396="NA",NOT(ISNUMBER(B3396))), "Unknown",B3396&lt;18,"Underage",B3396&lt;=24,"Young Adult",B3396&lt;=34,"Early Career",B3396&lt;=44,"Mid Career",B3396&lt;=54,"Mature",B3396&lt;=65,"Pre-Senior",B3396&gt;65,"Senior")</f>
        <v>Young Adult</v>
      </c>
      <c r="D3396" s="1" t="s">
        <v>18</v>
      </c>
      <c r="E3396" s="1" t="s">
        <v>23</v>
      </c>
      <c r="F3396" s="1">
        <v>1250000</v>
      </c>
      <c r="G3396" s="1">
        <v>99</v>
      </c>
      <c r="H3396" s="1" t="str" cm="1">
        <f t="array" ref="H3396">_xlfn.IFS( OR(G3396=" ",NOT(ISNUMBER(G3396))),"Unknown",G3396&lt;=33,"Low Spender",G3396&lt;=66,"Medium Spender",TRUE, "High Spender")</f>
        <v>High Spender</v>
      </c>
      <c r="I3396" s="1">
        <v>18</v>
      </c>
      <c r="J3396" s="1">
        <v>7000</v>
      </c>
      <c r="K3396" s="1">
        <v>38</v>
      </c>
      <c r="L3396" s="1" t="s">
        <v>20</v>
      </c>
      <c r="M3396" s="1" t="s">
        <v>21</v>
      </c>
      <c r="N3396" s="1" t="str">
        <f t="shared" si="106"/>
        <v>Higher</v>
      </c>
      <c r="O3396" s="1" t="str">
        <f t="shared" si="107"/>
        <v>Young Adult | High Spender | Higher</v>
      </c>
    </row>
    <row r="3397" spans="1:15" x14ac:dyDescent="0.25">
      <c r="A3397" s="1" t="s">
        <v>3427</v>
      </c>
      <c r="B3397" s="1">
        <v>46</v>
      </c>
      <c r="C3397" s="1" t="str" cm="1">
        <f t="array" ref="C3397">_xlfn.IFS(OR(B3397=" ", B3397="NA",NOT(ISNUMBER(B3397))), "Unknown",B3397&lt;18,"Underage",B3397&lt;=24,"Young Adult",B3397&lt;=34,"Early Career",B3397&lt;=44,"Mid Career",B3397&lt;=54,"Mature",B3397&lt;=65,"Pre-Senior",B3397&gt;65,"Senior")</f>
        <v>Mature</v>
      </c>
      <c r="E3397" s="1" t="s">
        <v>49</v>
      </c>
      <c r="F3397" s="1">
        <v>600000</v>
      </c>
      <c r="G3397" s="1">
        <v>6</v>
      </c>
      <c r="H3397" s="1" t="str" cm="1">
        <f t="array" ref="H3397">_xlfn.IFS( OR(G3397=" ",NOT(ISNUMBER(G3397))),"Unknown",G3397&lt;=33,"Low Spender",G3397&lt;=66,"Medium Spender",TRUE, "High Spender")</f>
        <v>Low Spender</v>
      </c>
      <c r="I3397" s="1">
        <v>77</v>
      </c>
      <c r="J3397" s="1">
        <v>5700</v>
      </c>
      <c r="K3397" s="1">
        <v>284</v>
      </c>
      <c r="M3397" s="1" t="s">
        <v>21</v>
      </c>
      <c r="N3397" s="1" t="str">
        <f t="shared" si="106"/>
        <v>Lower</v>
      </c>
      <c r="O3397" s="1" t="str">
        <f t="shared" si="107"/>
        <v>Mature | Low Spender | Lower</v>
      </c>
    </row>
    <row r="3398" spans="1:15" x14ac:dyDescent="0.25">
      <c r="A3398" s="1" t="s">
        <v>3428</v>
      </c>
      <c r="B3398" s="1">
        <v>54</v>
      </c>
      <c r="C3398" s="1" t="str" cm="1">
        <f t="array" ref="C3398">_xlfn.IFS(OR(B3398=" ", B3398="NA",NOT(ISNUMBER(B3398))), "Unknown",B3398&lt;18,"Underage",B3398&lt;=24,"Young Adult",B3398&lt;=34,"Early Career",B3398&lt;=44,"Mid Career",B3398&lt;=54,"Mature",B3398&lt;=65,"Pre-Senior",B3398&gt;65,"Senior")</f>
        <v>Mature</v>
      </c>
      <c r="D3398" s="1" t="s">
        <v>12</v>
      </c>
      <c r="E3398" s="1" t="s">
        <v>58</v>
      </c>
      <c r="F3398" s="1">
        <v>1725000</v>
      </c>
      <c r="G3398" s="1">
        <v>94</v>
      </c>
      <c r="H3398" s="1" t="str" cm="1">
        <f t="array" ref="H3398">_xlfn.IFS( OR(G3398=" ",NOT(ISNUMBER(G3398))),"Unknown",G3398&lt;=33,"Low Spender",G3398&lt;=66,"Medium Spender",TRUE, "High Spender")</f>
        <v>High Spender</v>
      </c>
      <c r="I3398" s="1">
        <v>62</v>
      </c>
      <c r="J3398" s="1">
        <v>6900</v>
      </c>
      <c r="K3398" s="1">
        <v>32</v>
      </c>
      <c r="L3398" s="1" t="s">
        <v>20</v>
      </c>
      <c r="M3398" s="1" t="s">
        <v>32</v>
      </c>
      <c r="N3398" s="1" t="str">
        <f t="shared" si="106"/>
        <v>Lower</v>
      </c>
      <c r="O3398" s="1" t="str">
        <f t="shared" si="107"/>
        <v>Mature | High Spender | Lower</v>
      </c>
    </row>
    <row r="3399" spans="1:15" x14ac:dyDescent="0.25">
      <c r="A3399" s="1" t="s">
        <v>3429</v>
      </c>
      <c r="B3399" s="1">
        <v>37</v>
      </c>
      <c r="C3399" s="1" t="str" cm="1">
        <f t="array" ref="C3399">_xlfn.IFS(OR(B3399=" ", B3399="NA",NOT(ISNUMBER(B3399))), "Unknown",B3399&lt;18,"Underage",B3399&lt;=24,"Young Adult",B3399&lt;=34,"Early Career",B3399&lt;=44,"Mid Career",B3399&lt;=54,"Mature",B3399&lt;=65,"Pre-Senior",B3399&gt;65,"Senior")</f>
        <v>Mid Career</v>
      </c>
      <c r="D3399" s="1" t="s">
        <v>18</v>
      </c>
      <c r="E3399" s="1" t="s">
        <v>13</v>
      </c>
      <c r="F3399" s="1">
        <v>1775000</v>
      </c>
      <c r="G3399" s="1">
        <v>63</v>
      </c>
      <c r="H3399" s="1" t="str" cm="1">
        <f t="array" ref="H3399">_xlfn.IFS( OR(G3399=" ",NOT(ISNUMBER(G3399))),"Unknown",G3399&lt;=33,"Low Spender",G3399&lt;=66,"Medium Spender",TRUE, "High Spender")</f>
        <v>Medium Spender</v>
      </c>
      <c r="I3399" s="1">
        <v>14</v>
      </c>
      <c r="J3399" s="1">
        <v>5100</v>
      </c>
      <c r="K3399" s="1">
        <v>243</v>
      </c>
      <c r="L3399" s="1" t="s">
        <v>35</v>
      </c>
      <c r="N3399" s="1" t="str">
        <f t="shared" si="106"/>
        <v>Higher</v>
      </c>
      <c r="O3399" s="1" t="str">
        <f t="shared" si="107"/>
        <v>Mid Career | Medium Spender | Higher</v>
      </c>
    </row>
    <row r="3400" spans="1:15" x14ac:dyDescent="0.25">
      <c r="A3400" s="1" t="s">
        <v>3430</v>
      </c>
      <c r="B3400" s="1">
        <v>66</v>
      </c>
      <c r="C3400" s="1" t="str" cm="1">
        <f t="array" ref="C3400">_xlfn.IFS(OR(B3400=" ", B3400="NA",NOT(ISNUMBER(B3400))), "Unknown",B3400&lt;18,"Underage",B3400&lt;=24,"Young Adult",B3400&lt;=34,"Early Career",B3400&lt;=44,"Mid Career",B3400&lt;=54,"Mature",B3400&lt;=65,"Pre-Senior",B3400&gt;65,"Senior")</f>
        <v>Senior</v>
      </c>
      <c r="D3400" s="1" t="s">
        <v>18</v>
      </c>
      <c r="E3400" s="1" t="s">
        <v>19</v>
      </c>
      <c r="F3400" s="1">
        <v>1775000</v>
      </c>
      <c r="G3400" s="1">
        <v>8</v>
      </c>
      <c r="H3400" s="1" t="str" cm="1">
        <f t="array" ref="H3400">_xlfn.IFS( OR(G3400=" ",NOT(ISNUMBER(G3400))),"Unknown",G3400&lt;=33,"Low Spender",G3400&lt;=66,"Medium Spender",TRUE, "High Spender")</f>
        <v>Low Spender</v>
      </c>
      <c r="I3400" s="1">
        <v>11</v>
      </c>
      <c r="K3400" s="1">
        <v>41</v>
      </c>
      <c r="N3400" s="1" t="str">
        <f t="shared" si="106"/>
        <v>Higher</v>
      </c>
      <c r="O3400" s="1" t="str">
        <f t="shared" si="107"/>
        <v>Senior | Low Spender | Higher</v>
      </c>
    </row>
    <row r="3401" spans="1:15" x14ac:dyDescent="0.25">
      <c r="A3401" s="1" t="s">
        <v>3431</v>
      </c>
      <c r="B3401" s="1">
        <v>38</v>
      </c>
      <c r="C3401" s="1" t="str" cm="1">
        <f t="array" ref="C3401">_xlfn.IFS(OR(B3401=" ", B3401="NA",NOT(ISNUMBER(B3401))), "Unknown",B3401&lt;18,"Underage",B3401&lt;=24,"Young Adult",B3401&lt;=34,"Early Career",B3401&lt;=44,"Mid Career",B3401&lt;=54,"Mature",B3401&lt;=65,"Pre-Senior",B3401&gt;65,"Senior")</f>
        <v>Mid Career</v>
      </c>
      <c r="D3401" s="1" t="s">
        <v>12</v>
      </c>
      <c r="G3401" s="1">
        <v>95</v>
      </c>
      <c r="H3401" s="1" t="str" cm="1">
        <f t="array" ref="H3401">_xlfn.IFS( OR(G3401=" ",NOT(ISNUMBER(G3401))),"Unknown",G3401&lt;=33,"Low Spender",G3401&lt;=66,"Medium Spender",TRUE, "High Spender")</f>
        <v>High Spender</v>
      </c>
      <c r="I3401" s="1">
        <v>17</v>
      </c>
      <c r="J3401" s="1">
        <v>5300</v>
      </c>
      <c r="K3401" s="1">
        <v>292</v>
      </c>
      <c r="L3401" s="1" t="s">
        <v>35</v>
      </c>
      <c r="N3401" s="1" t="str">
        <f t="shared" si="106"/>
        <v>Lower</v>
      </c>
      <c r="O3401" s="1" t="str">
        <f t="shared" si="107"/>
        <v>Mid Career | High Spender | Lower</v>
      </c>
    </row>
    <row r="3402" spans="1:15" x14ac:dyDescent="0.25">
      <c r="A3402" s="1" t="s">
        <v>3432</v>
      </c>
      <c r="B3402" s="1">
        <v>27</v>
      </c>
      <c r="C3402" s="1" t="str" cm="1">
        <f t="array" ref="C3402">_xlfn.IFS(OR(B3402=" ", B3402="NA",NOT(ISNUMBER(B3402))), "Unknown",B3402&lt;18,"Underage",B3402&lt;=24,"Young Adult",B3402&lt;=34,"Early Career",B3402&lt;=44,"Mid Career",B3402&lt;=54,"Mature",B3402&lt;=65,"Pre-Senior",B3402&gt;65,"Senior")</f>
        <v>Early Career</v>
      </c>
      <c r="D3402" s="1" t="s">
        <v>12</v>
      </c>
      <c r="E3402" s="1" t="s">
        <v>58</v>
      </c>
      <c r="F3402" s="1">
        <v>1250000</v>
      </c>
      <c r="G3402" s="1">
        <v>32</v>
      </c>
      <c r="H3402" s="1" t="str" cm="1">
        <f t="array" ref="H3402">_xlfn.IFS( OR(G3402=" ",NOT(ISNUMBER(G3402))),"Unknown",G3402&lt;=33,"Low Spender",G3402&lt;=66,"Medium Spender",TRUE, "High Spender")</f>
        <v>Low Spender</v>
      </c>
      <c r="I3402" s="1">
        <v>51</v>
      </c>
      <c r="J3402" s="1">
        <v>6100</v>
      </c>
      <c r="K3402" s="1">
        <v>103</v>
      </c>
      <c r="N3402" s="1" t="str">
        <f t="shared" si="106"/>
        <v>Lower</v>
      </c>
      <c r="O3402" s="1" t="str">
        <f t="shared" si="107"/>
        <v>Early Career | Low Spender | Lower</v>
      </c>
    </row>
    <row r="3403" spans="1:15" x14ac:dyDescent="0.25">
      <c r="A3403" s="1" t="s">
        <v>3433</v>
      </c>
      <c r="B3403" s="1">
        <v>22</v>
      </c>
      <c r="C3403" s="1" t="str" cm="1">
        <f t="array" ref="C3403">_xlfn.IFS(OR(B3403=" ", B3403="NA",NOT(ISNUMBER(B3403))), "Unknown",B3403&lt;18,"Underage",B3403&lt;=24,"Young Adult",B3403&lt;=34,"Early Career",B3403&lt;=44,"Mid Career",B3403&lt;=54,"Mature",B3403&lt;=65,"Pre-Senior",B3403&gt;65,"Senior")</f>
        <v>Young Adult</v>
      </c>
      <c r="D3403" s="1" t="s">
        <v>12</v>
      </c>
      <c r="E3403" s="1" t="s">
        <v>15</v>
      </c>
      <c r="F3403" s="1">
        <v>1975000</v>
      </c>
      <c r="G3403" s="1">
        <v>45</v>
      </c>
      <c r="H3403" s="1" t="str" cm="1">
        <f t="array" ref="H3403">_xlfn.IFS( OR(G3403=" ",NOT(ISNUMBER(G3403))),"Unknown",G3403&lt;=33,"Low Spender",G3403&lt;=66,"Medium Spender",TRUE, "High Spender")</f>
        <v>Medium Spender</v>
      </c>
      <c r="I3403" s="1">
        <v>14</v>
      </c>
      <c r="J3403" s="1">
        <v>11300</v>
      </c>
      <c r="K3403" s="1">
        <v>292</v>
      </c>
      <c r="L3403" s="1" t="s">
        <v>16</v>
      </c>
      <c r="M3403" s="1" t="s">
        <v>30</v>
      </c>
      <c r="N3403" s="1" t="str">
        <f t="shared" si="106"/>
        <v>Lower</v>
      </c>
      <c r="O3403" s="1" t="str">
        <f t="shared" si="107"/>
        <v>Young Adult | Medium Spender | Lower</v>
      </c>
    </row>
    <row r="3404" spans="1:15" x14ac:dyDescent="0.25">
      <c r="A3404" s="1" t="s">
        <v>3434</v>
      </c>
      <c r="B3404" s="1">
        <v>53</v>
      </c>
      <c r="C3404" s="1" t="str" cm="1">
        <f t="array" ref="C3404">_xlfn.IFS(OR(B3404=" ", B3404="NA",NOT(ISNUMBER(B3404))), "Unknown",B3404&lt;18,"Underage",B3404&lt;=24,"Young Adult",B3404&lt;=34,"Early Career",B3404&lt;=44,"Mid Career",B3404&lt;=54,"Mature",B3404&lt;=65,"Pre-Senior",B3404&gt;65,"Senior")</f>
        <v>Mature</v>
      </c>
      <c r="D3404" s="1" t="s">
        <v>29</v>
      </c>
      <c r="E3404" s="1" t="s">
        <v>19</v>
      </c>
      <c r="F3404" s="1">
        <v>1800000</v>
      </c>
      <c r="G3404" s="1">
        <v>52</v>
      </c>
      <c r="H3404" s="1" t="str" cm="1">
        <f t="array" ref="H3404">_xlfn.IFS( OR(G3404=" ",NOT(ISNUMBER(G3404))),"Unknown",G3404&lt;=33,"Low Spender",G3404&lt;=66,"Medium Spender",TRUE, "High Spender")</f>
        <v>Medium Spender</v>
      </c>
      <c r="I3404" s="1">
        <v>57</v>
      </c>
      <c r="J3404" s="1">
        <v>800</v>
      </c>
      <c r="K3404" s="1">
        <v>107</v>
      </c>
      <c r="M3404" s="1" t="s">
        <v>41</v>
      </c>
      <c r="N3404" s="1" t="str">
        <f t="shared" si="106"/>
        <v>Higher</v>
      </c>
      <c r="O3404" s="1" t="str">
        <f t="shared" si="107"/>
        <v>Mature | Medium Spender | Higher</v>
      </c>
    </row>
    <row r="3405" spans="1:15" x14ac:dyDescent="0.25">
      <c r="A3405" s="1" t="s">
        <v>3435</v>
      </c>
      <c r="B3405" s="1">
        <v>23</v>
      </c>
      <c r="C3405" s="1" t="str" cm="1">
        <f t="array" ref="C3405">_xlfn.IFS(OR(B3405=" ", B3405="NA",NOT(ISNUMBER(B3405))), "Unknown",B3405&lt;18,"Underage",B3405&lt;=24,"Young Adult",B3405&lt;=34,"Early Career",B3405&lt;=44,"Mid Career",B3405&lt;=54,"Mature",B3405&lt;=65,"Pre-Senior",B3405&gt;65,"Senior")</f>
        <v>Young Adult</v>
      </c>
      <c r="E3405" s="1" t="s">
        <v>34</v>
      </c>
      <c r="F3405" s="1">
        <v>1850000</v>
      </c>
      <c r="G3405" s="1">
        <v>79</v>
      </c>
      <c r="H3405" s="1" t="str" cm="1">
        <f t="array" ref="H3405">_xlfn.IFS( OR(G3405=" ",NOT(ISNUMBER(G3405))),"Unknown",G3405&lt;=33,"Low Spender",G3405&lt;=66,"Medium Spender",TRUE, "High Spender")</f>
        <v>High Spender</v>
      </c>
      <c r="I3405" s="1">
        <v>6</v>
      </c>
      <c r="J3405" s="1">
        <v>9200</v>
      </c>
      <c r="K3405" s="1">
        <v>246</v>
      </c>
      <c r="M3405" s="1" t="s">
        <v>21</v>
      </c>
      <c r="N3405" s="1" t="str">
        <f t="shared" si="106"/>
        <v>Lower</v>
      </c>
      <c r="O3405" s="1" t="str">
        <f t="shared" si="107"/>
        <v>Young Adult | High Spender | Lower</v>
      </c>
    </row>
    <row r="3406" spans="1:15" x14ac:dyDescent="0.25">
      <c r="A3406" s="1" t="s">
        <v>3436</v>
      </c>
      <c r="B3406" s="1">
        <v>43</v>
      </c>
      <c r="C3406" s="1" t="str" cm="1">
        <f t="array" ref="C3406">_xlfn.IFS(OR(B3406=" ", B3406="NA",NOT(ISNUMBER(B3406))), "Unknown",B3406&lt;18,"Underage",B3406&lt;=24,"Young Adult",B3406&lt;=34,"Early Career",B3406&lt;=44,"Mid Career",B3406&lt;=54,"Mature",B3406&lt;=65,"Pre-Senior",B3406&gt;65,"Senior")</f>
        <v>Mid Career</v>
      </c>
      <c r="D3406" s="1" t="s">
        <v>18</v>
      </c>
      <c r="E3406" s="1" t="s">
        <v>27</v>
      </c>
      <c r="F3406" s="1">
        <v>200000</v>
      </c>
      <c r="G3406" s="1">
        <v>82</v>
      </c>
      <c r="H3406" s="1" t="str" cm="1">
        <f t="array" ref="H3406">_xlfn.IFS( OR(G3406=" ",NOT(ISNUMBER(G3406))),"Unknown",G3406&lt;=33,"Low Spender",G3406&lt;=66,"Medium Spender",TRUE, "High Spender")</f>
        <v>High Spender</v>
      </c>
      <c r="I3406" s="1">
        <v>57</v>
      </c>
      <c r="J3406" s="1">
        <v>11000</v>
      </c>
      <c r="K3406" s="1">
        <v>87</v>
      </c>
      <c r="L3406" s="1" t="s">
        <v>35</v>
      </c>
      <c r="M3406" s="1" t="s">
        <v>41</v>
      </c>
      <c r="N3406" s="1" t="str">
        <f t="shared" si="106"/>
        <v>Higher</v>
      </c>
      <c r="O3406" s="1" t="str">
        <f t="shared" si="107"/>
        <v>Mid Career | High Spender | Higher</v>
      </c>
    </row>
    <row r="3407" spans="1:15" x14ac:dyDescent="0.25">
      <c r="A3407" s="1" t="s">
        <v>3437</v>
      </c>
      <c r="B3407" s="1">
        <v>21</v>
      </c>
      <c r="C3407" s="1" t="str" cm="1">
        <f t="array" ref="C3407">_xlfn.IFS(OR(B3407=" ", B3407="NA",NOT(ISNUMBER(B3407))), "Unknown",B3407&lt;18,"Underage",B3407&lt;=24,"Young Adult",B3407&lt;=34,"Early Career",B3407&lt;=44,"Mid Career",B3407&lt;=54,"Mature",B3407&lt;=65,"Pre-Senior",B3407&gt;65,"Senior")</f>
        <v>Young Adult</v>
      </c>
      <c r="E3407" s="1" t="s">
        <v>34</v>
      </c>
      <c r="F3407" s="1">
        <v>1075000</v>
      </c>
      <c r="G3407" s="1">
        <v>13</v>
      </c>
      <c r="H3407" s="1" t="str" cm="1">
        <f t="array" ref="H3407">_xlfn.IFS( OR(G3407=" ",NOT(ISNUMBER(G3407))),"Unknown",G3407&lt;=33,"Low Spender",G3407&lt;=66,"Medium Spender",TRUE, "High Spender")</f>
        <v>Low Spender</v>
      </c>
      <c r="I3407" s="1">
        <v>4</v>
      </c>
      <c r="J3407" s="1">
        <v>5300</v>
      </c>
      <c r="K3407" s="1">
        <v>66</v>
      </c>
      <c r="L3407" s="1" t="s">
        <v>37</v>
      </c>
      <c r="M3407" s="1" t="s">
        <v>41</v>
      </c>
      <c r="N3407" s="1" t="str">
        <f t="shared" si="106"/>
        <v>Lower</v>
      </c>
      <c r="O3407" s="1" t="str">
        <f t="shared" si="107"/>
        <v>Young Adult | Low Spender | Lower</v>
      </c>
    </row>
    <row r="3408" spans="1:15" x14ac:dyDescent="0.25">
      <c r="A3408" s="1" t="s">
        <v>3438</v>
      </c>
      <c r="B3408" s="1">
        <v>56</v>
      </c>
      <c r="C3408" s="1" t="str" cm="1">
        <f t="array" ref="C3408">_xlfn.IFS(OR(B3408=" ", B3408="NA",NOT(ISNUMBER(B3408))), "Unknown",B3408&lt;18,"Underage",B3408&lt;=24,"Young Adult",B3408&lt;=34,"Early Career",B3408&lt;=44,"Mid Career",B3408&lt;=54,"Mature",B3408&lt;=65,"Pre-Senior",B3408&gt;65,"Senior")</f>
        <v>Pre-Senior</v>
      </c>
      <c r="F3408" s="1" t="s">
        <v>25</v>
      </c>
      <c r="G3408" s="1">
        <v>24</v>
      </c>
      <c r="H3408" s="1" t="str" cm="1">
        <f t="array" ref="H3408">_xlfn.IFS( OR(G3408=" ",NOT(ISNUMBER(G3408))),"Unknown",G3408&lt;=33,"Low Spender",G3408&lt;=66,"Medium Spender",TRUE, "High Spender")</f>
        <v>Low Spender</v>
      </c>
      <c r="I3408" s="1">
        <v>11</v>
      </c>
      <c r="J3408" s="1">
        <v>4000</v>
      </c>
      <c r="K3408" s="1">
        <v>138</v>
      </c>
      <c r="M3408" s="1" t="s">
        <v>30</v>
      </c>
      <c r="N3408" s="1" t="str">
        <f t="shared" si="106"/>
        <v>Lower</v>
      </c>
      <c r="O3408" s="1" t="str">
        <f t="shared" si="107"/>
        <v>Pre-Senior | Low Spender | Lower</v>
      </c>
    </row>
    <row r="3409" spans="1:15" x14ac:dyDescent="0.25">
      <c r="A3409" s="1" t="s">
        <v>3439</v>
      </c>
      <c r="B3409" s="1">
        <v>56</v>
      </c>
      <c r="C3409" s="1" t="str" cm="1">
        <f t="array" ref="C3409">_xlfn.IFS(OR(B3409=" ", B3409="NA",NOT(ISNUMBER(B3409))), "Unknown",B3409&lt;18,"Underage",B3409&lt;=24,"Young Adult",B3409&lt;=34,"Early Career",B3409&lt;=44,"Mid Career",B3409&lt;=54,"Mature",B3409&lt;=65,"Pre-Senior",B3409&gt;65,"Senior")</f>
        <v>Pre-Senior</v>
      </c>
      <c r="D3409" s="1" t="s">
        <v>18</v>
      </c>
      <c r="F3409" s="1">
        <v>1175000</v>
      </c>
      <c r="G3409" s="1">
        <v>40</v>
      </c>
      <c r="H3409" s="1" t="str" cm="1">
        <f t="array" ref="H3409">_xlfn.IFS( OR(G3409=" ",NOT(ISNUMBER(G3409))),"Unknown",G3409&lt;=33,"Low Spender",G3409&lt;=66,"Medium Spender",TRUE, "High Spender")</f>
        <v>Medium Spender</v>
      </c>
      <c r="I3409" s="1">
        <v>74</v>
      </c>
      <c r="J3409" s="1">
        <v>1300</v>
      </c>
      <c r="K3409" s="1">
        <v>326</v>
      </c>
      <c r="L3409" s="1" t="s">
        <v>16</v>
      </c>
      <c r="M3409" s="1" t="s">
        <v>21</v>
      </c>
      <c r="N3409" s="1" t="str">
        <f t="shared" si="106"/>
        <v>Higher</v>
      </c>
      <c r="O3409" s="1" t="str">
        <f t="shared" si="107"/>
        <v>Pre-Senior | Medium Spender | Higher</v>
      </c>
    </row>
    <row r="3410" spans="1:15" x14ac:dyDescent="0.25">
      <c r="A3410" s="1" t="s">
        <v>3440</v>
      </c>
      <c r="B3410" s="1">
        <v>67</v>
      </c>
      <c r="C3410" s="1" t="str" cm="1">
        <f t="array" ref="C3410">_xlfn.IFS(OR(B3410=" ", B3410="NA",NOT(ISNUMBER(B3410))), "Unknown",B3410&lt;18,"Underage",B3410&lt;=24,"Young Adult",B3410&lt;=34,"Early Career",B3410&lt;=44,"Mid Career",B3410&lt;=54,"Mature",B3410&lt;=65,"Pre-Senior",B3410&gt;65,"Senior")</f>
        <v>Senior</v>
      </c>
      <c r="D3410" s="1" t="s">
        <v>29</v>
      </c>
      <c r="E3410" s="1" t="s">
        <v>15</v>
      </c>
      <c r="F3410" s="1">
        <v>1125000</v>
      </c>
      <c r="G3410" s="1">
        <v>14</v>
      </c>
      <c r="H3410" s="1" t="str" cm="1">
        <f t="array" ref="H3410">_xlfn.IFS( OR(G3410=" ",NOT(ISNUMBER(G3410))),"Unknown",G3410&lt;=33,"Low Spender",G3410&lt;=66,"Medium Spender",TRUE, "High Spender")</f>
        <v>Low Spender</v>
      </c>
      <c r="I3410" s="1">
        <v>11</v>
      </c>
      <c r="J3410" s="1">
        <v>5400</v>
      </c>
      <c r="K3410" s="1">
        <v>200</v>
      </c>
      <c r="L3410" s="1" t="s">
        <v>20</v>
      </c>
      <c r="M3410" s="1" t="s">
        <v>32</v>
      </c>
      <c r="N3410" s="1" t="str">
        <f t="shared" si="106"/>
        <v>Higher</v>
      </c>
      <c r="O3410" s="1" t="str">
        <f t="shared" si="107"/>
        <v>Senior | Low Spender | Higher</v>
      </c>
    </row>
    <row r="3411" spans="1:15" x14ac:dyDescent="0.25">
      <c r="A3411" s="1" t="s">
        <v>3441</v>
      </c>
      <c r="B3411" s="1">
        <v>52</v>
      </c>
      <c r="C3411" s="1" t="str" cm="1">
        <f t="array" ref="C3411">_xlfn.IFS(OR(B3411=" ", B3411="NA",NOT(ISNUMBER(B3411))), "Unknown",B3411&lt;18,"Underage",B3411&lt;=24,"Young Adult",B3411&lt;=34,"Early Career",B3411&lt;=44,"Mid Career",B3411&lt;=54,"Mature",B3411&lt;=65,"Pre-Senior",B3411&gt;65,"Senior")</f>
        <v>Mature</v>
      </c>
      <c r="D3411" s="1" t="s">
        <v>12</v>
      </c>
      <c r="E3411" s="1" t="s">
        <v>15</v>
      </c>
      <c r="F3411" s="1">
        <v>1375000</v>
      </c>
      <c r="G3411" s="1">
        <v>92</v>
      </c>
      <c r="H3411" s="1" t="str" cm="1">
        <f t="array" ref="H3411">_xlfn.IFS( OR(G3411=" ",NOT(ISNUMBER(G3411))),"Unknown",G3411&lt;=33,"Low Spender",G3411&lt;=66,"Medium Spender",TRUE, "High Spender")</f>
        <v>High Spender</v>
      </c>
      <c r="I3411" s="1">
        <v>79</v>
      </c>
      <c r="J3411" s="1">
        <v>9500</v>
      </c>
      <c r="K3411" s="1">
        <v>335</v>
      </c>
      <c r="L3411" s="1" t="s">
        <v>16</v>
      </c>
      <c r="N3411" s="1" t="str">
        <f t="shared" si="106"/>
        <v>Lower</v>
      </c>
      <c r="O3411" s="1" t="str">
        <f t="shared" si="107"/>
        <v>Mature | High Spender | Lower</v>
      </c>
    </row>
    <row r="3412" spans="1:15" x14ac:dyDescent="0.25">
      <c r="A3412" s="1" t="s">
        <v>3442</v>
      </c>
      <c r="B3412" s="1">
        <v>18</v>
      </c>
      <c r="C3412" s="1" t="str" cm="1">
        <f t="array" ref="C3412">_xlfn.IFS(OR(B3412=" ", B3412="NA",NOT(ISNUMBER(B3412))), "Unknown",B3412&lt;18,"Underage",B3412&lt;=24,"Young Adult",B3412&lt;=34,"Early Career",B3412&lt;=44,"Mid Career",B3412&lt;=54,"Mature",B3412&lt;=65,"Pre-Senior",B3412&gt;65,"Senior")</f>
        <v>Young Adult</v>
      </c>
      <c r="D3412" s="1" t="s">
        <v>18</v>
      </c>
      <c r="E3412" s="1" t="s">
        <v>27</v>
      </c>
      <c r="F3412" s="1">
        <v>1000000</v>
      </c>
      <c r="G3412" s="1">
        <v>75</v>
      </c>
      <c r="H3412" s="1" t="str" cm="1">
        <f t="array" ref="H3412">_xlfn.IFS( OR(G3412=" ",NOT(ISNUMBER(G3412))),"Unknown",G3412&lt;=33,"Low Spender",G3412&lt;=66,"Medium Spender",TRUE, "High Spender")</f>
        <v>High Spender</v>
      </c>
      <c r="I3412" s="1">
        <v>8</v>
      </c>
      <c r="J3412" s="1">
        <v>2200</v>
      </c>
      <c r="K3412" s="1">
        <v>93</v>
      </c>
      <c r="L3412" s="1" t="s">
        <v>16</v>
      </c>
      <c r="N3412" s="1" t="str">
        <f t="shared" si="106"/>
        <v>Higher</v>
      </c>
      <c r="O3412" s="1" t="str">
        <f t="shared" si="107"/>
        <v>Young Adult | High Spender | Higher</v>
      </c>
    </row>
    <row r="3413" spans="1:15" x14ac:dyDescent="0.25">
      <c r="A3413" s="1" t="s">
        <v>3443</v>
      </c>
      <c r="B3413" s="1">
        <v>41</v>
      </c>
      <c r="C3413" s="1" t="str" cm="1">
        <f t="array" ref="C3413">_xlfn.IFS(OR(B3413=" ", B3413="NA",NOT(ISNUMBER(B3413))), "Unknown",B3413&lt;18,"Underage",B3413&lt;=24,"Young Adult",B3413&lt;=34,"Early Career",B3413&lt;=44,"Mid Career",B3413&lt;=54,"Mature",B3413&lt;=65,"Pre-Senior",B3413&gt;65,"Senior")</f>
        <v>Mid Career</v>
      </c>
      <c r="D3413" s="1" t="s">
        <v>12</v>
      </c>
      <c r="E3413" s="1" t="s">
        <v>13</v>
      </c>
      <c r="F3413" s="1">
        <v>725000</v>
      </c>
      <c r="G3413" s="1">
        <v>70</v>
      </c>
      <c r="H3413" s="1" t="str" cm="1">
        <f t="array" ref="H3413">_xlfn.IFS( OR(G3413=" ",NOT(ISNUMBER(G3413))),"Unknown",G3413&lt;=33,"Low Spender",G3413&lt;=66,"Medium Spender",TRUE, "High Spender")</f>
        <v>High Spender</v>
      </c>
      <c r="I3413" s="1">
        <v>59</v>
      </c>
      <c r="J3413" s="1">
        <v>1200</v>
      </c>
      <c r="K3413" s="1">
        <v>348</v>
      </c>
      <c r="L3413" s="1" t="s">
        <v>20</v>
      </c>
      <c r="M3413" s="1" t="s">
        <v>41</v>
      </c>
      <c r="N3413" s="1" t="str">
        <f t="shared" si="106"/>
        <v>Lower</v>
      </c>
      <c r="O3413" s="1" t="str">
        <f t="shared" si="107"/>
        <v>Mid Career | High Spender | Lower</v>
      </c>
    </row>
    <row r="3414" spans="1:15" x14ac:dyDescent="0.25">
      <c r="A3414" s="1" t="s">
        <v>3444</v>
      </c>
      <c r="B3414" s="1">
        <v>53</v>
      </c>
      <c r="C3414" s="1" t="str" cm="1">
        <f t="array" ref="C3414">_xlfn.IFS(OR(B3414=" ", B3414="NA",NOT(ISNUMBER(B3414))), "Unknown",B3414&lt;18,"Underage",B3414&lt;=24,"Young Adult",B3414&lt;=34,"Early Career",B3414&lt;=44,"Mid Career",B3414&lt;=54,"Mature",B3414&lt;=65,"Pre-Senior",B3414&gt;65,"Senior")</f>
        <v>Mature</v>
      </c>
      <c r="D3414" s="1" t="s">
        <v>12</v>
      </c>
      <c r="E3414" s="1" t="s">
        <v>27</v>
      </c>
      <c r="F3414" s="1">
        <v>550000</v>
      </c>
      <c r="G3414" s="1">
        <v>62</v>
      </c>
      <c r="H3414" s="1" t="str" cm="1">
        <f t="array" ref="H3414">_xlfn.IFS( OR(G3414=" ",NOT(ISNUMBER(G3414))),"Unknown",G3414&lt;=33,"Low Spender",G3414&lt;=66,"Medium Spender",TRUE, "High Spender")</f>
        <v>Medium Spender</v>
      </c>
      <c r="I3414" s="1">
        <v>21</v>
      </c>
      <c r="J3414" s="1">
        <v>2800</v>
      </c>
      <c r="K3414" s="1">
        <v>278</v>
      </c>
      <c r="M3414" s="1" t="s">
        <v>30</v>
      </c>
      <c r="N3414" s="1" t="str">
        <f t="shared" si="106"/>
        <v>Lower</v>
      </c>
      <c r="O3414" s="1" t="str">
        <f t="shared" si="107"/>
        <v>Mature | Medium Spender | Lower</v>
      </c>
    </row>
    <row r="3415" spans="1:15" x14ac:dyDescent="0.25">
      <c r="A3415" s="1" t="s">
        <v>3445</v>
      </c>
      <c r="B3415" s="1">
        <v>23</v>
      </c>
      <c r="C3415" s="1" t="str" cm="1">
        <f t="array" ref="C3415">_xlfn.IFS(OR(B3415=" ", B3415="NA",NOT(ISNUMBER(B3415))), "Unknown",B3415&lt;18,"Underage",B3415&lt;=24,"Young Adult",B3415&lt;=34,"Early Career",B3415&lt;=44,"Mid Career",B3415&lt;=54,"Mature",B3415&lt;=65,"Pre-Senior",B3415&gt;65,"Senior")</f>
        <v>Young Adult</v>
      </c>
      <c r="D3415" s="1" t="s">
        <v>29</v>
      </c>
      <c r="F3415" s="1">
        <v>1125000</v>
      </c>
      <c r="G3415" s="1">
        <v>89</v>
      </c>
      <c r="H3415" s="1" t="str" cm="1">
        <f t="array" ref="H3415">_xlfn.IFS( OR(G3415=" ",NOT(ISNUMBER(G3415))),"Unknown",G3415&lt;=33,"Low Spender",G3415&lt;=66,"Medium Spender",TRUE, "High Spender")</f>
        <v>High Spender</v>
      </c>
      <c r="I3415" s="1">
        <v>65</v>
      </c>
      <c r="J3415" s="1">
        <v>5000</v>
      </c>
      <c r="K3415" s="1">
        <v>20</v>
      </c>
      <c r="L3415" s="1" t="s">
        <v>16</v>
      </c>
      <c r="M3415" s="1" t="s">
        <v>30</v>
      </c>
      <c r="N3415" s="1" t="str">
        <f t="shared" si="106"/>
        <v>Higher</v>
      </c>
      <c r="O3415" s="1" t="str">
        <f t="shared" si="107"/>
        <v>Young Adult | High Spender | Higher</v>
      </c>
    </row>
    <row r="3416" spans="1:15" x14ac:dyDescent="0.25">
      <c r="A3416" s="1" t="s">
        <v>3446</v>
      </c>
      <c r="B3416" s="1">
        <v>58</v>
      </c>
      <c r="C3416" s="1" t="str" cm="1">
        <f t="array" ref="C3416">_xlfn.IFS(OR(B3416=" ", B3416="NA",NOT(ISNUMBER(B3416))), "Unknown",B3416&lt;18,"Underage",B3416&lt;=24,"Young Adult",B3416&lt;=34,"Early Career",B3416&lt;=44,"Mid Career",B3416&lt;=54,"Mature",B3416&lt;=65,"Pre-Senior",B3416&gt;65,"Senior")</f>
        <v>Pre-Senior</v>
      </c>
      <c r="E3416" s="1" t="s">
        <v>34</v>
      </c>
      <c r="F3416" s="1">
        <v>1975000</v>
      </c>
      <c r="G3416" s="1">
        <v>61</v>
      </c>
      <c r="H3416" s="1" t="str" cm="1">
        <f t="array" ref="H3416">_xlfn.IFS( OR(G3416=" ",NOT(ISNUMBER(G3416))),"Unknown",G3416&lt;=33,"Low Spender",G3416&lt;=66,"Medium Spender",TRUE, "High Spender")</f>
        <v>Medium Spender</v>
      </c>
      <c r="I3416" s="1">
        <v>24</v>
      </c>
      <c r="J3416" s="1">
        <v>9300</v>
      </c>
      <c r="K3416" s="1">
        <v>289</v>
      </c>
      <c r="N3416" s="1" t="str">
        <f t="shared" si="106"/>
        <v>Lower</v>
      </c>
      <c r="O3416" s="1" t="str">
        <f t="shared" si="107"/>
        <v>Pre-Senior | Medium Spender | Lower</v>
      </c>
    </row>
    <row r="3417" spans="1:15" x14ac:dyDescent="0.25">
      <c r="A3417" s="1" t="s">
        <v>3447</v>
      </c>
      <c r="C3417" s="1" t="str" cm="1">
        <f t="array" ref="C3417">_xlfn.IFS(OR(B3417=" ", B3417="NA",NOT(ISNUMBER(B3417))), "Unknown",B3417&lt;18,"Underage",B3417&lt;=24,"Young Adult",B3417&lt;=34,"Early Career",B3417&lt;=44,"Mid Career",B3417&lt;=54,"Mature",B3417&lt;=65,"Pre-Senior",B3417&gt;65,"Senior")</f>
        <v>Unknown</v>
      </c>
      <c r="D3417" s="1" t="s">
        <v>18</v>
      </c>
      <c r="E3417" s="1" t="s">
        <v>15</v>
      </c>
      <c r="F3417" s="1">
        <v>1775000</v>
      </c>
      <c r="G3417" s="1">
        <v>1</v>
      </c>
      <c r="H3417" s="1" t="str" cm="1">
        <f t="array" ref="H3417">_xlfn.IFS( OR(G3417=" ",NOT(ISNUMBER(G3417))),"Unknown",G3417&lt;=33,"Low Spender",G3417&lt;=66,"Medium Spender",TRUE, "High Spender")</f>
        <v>Low Spender</v>
      </c>
      <c r="I3417" s="1">
        <v>30</v>
      </c>
      <c r="J3417" s="1">
        <v>11600</v>
      </c>
      <c r="K3417" s="1">
        <v>90</v>
      </c>
      <c r="L3417" s="1" t="s">
        <v>16</v>
      </c>
      <c r="N3417" s="1" t="str">
        <f t="shared" si="106"/>
        <v>Higher</v>
      </c>
      <c r="O3417" s="1" t="str">
        <f t="shared" si="107"/>
        <v>Unknown | Low Spender | Higher</v>
      </c>
    </row>
    <row r="3418" spans="1:15" x14ac:dyDescent="0.25">
      <c r="A3418" s="1" t="s">
        <v>3448</v>
      </c>
      <c r="B3418" s="1">
        <v>63</v>
      </c>
      <c r="C3418" s="1" t="str" cm="1">
        <f t="array" ref="C3418">_xlfn.IFS(OR(B3418=" ", B3418="NA",NOT(ISNUMBER(B3418))), "Unknown",B3418&lt;18,"Underage",B3418&lt;=24,"Young Adult",B3418&lt;=34,"Early Career",B3418&lt;=44,"Mid Career",B3418&lt;=54,"Mature",B3418&lt;=65,"Pre-Senior",B3418&gt;65,"Senior")</f>
        <v>Pre-Senior</v>
      </c>
      <c r="D3418" s="1" t="s">
        <v>12</v>
      </c>
      <c r="E3418" s="1" t="s">
        <v>34</v>
      </c>
      <c r="F3418" s="1">
        <v>1225000</v>
      </c>
      <c r="G3418" s="1">
        <v>89</v>
      </c>
      <c r="H3418" s="1" t="str" cm="1">
        <f t="array" ref="H3418">_xlfn.IFS( OR(G3418=" ",NOT(ISNUMBER(G3418))),"Unknown",G3418&lt;=33,"Low Spender",G3418&lt;=66,"Medium Spender",TRUE, "High Spender")</f>
        <v>High Spender</v>
      </c>
      <c r="I3418" s="1">
        <v>57</v>
      </c>
      <c r="J3418" s="1">
        <v>1600</v>
      </c>
      <c r="K3418" s="1">
        <v>50</v>
      </c>
      <c r="L3418" s="1" t="s">
        <v>37</v>
      </c>
      <c r="M3418" s="1" t="s">
        <v>21</v>
      </c>
      <c r="N3418" s="1" t="str">
        <f t="shared" si="106"/>
        <v>Lower</v>
      </c>
      <c r="O3418" s="1" t="str">
        <f t="shared" si="107"/>
        <v>Pre-Senior | High Spender | Lower</v>
      </c>
    </row>
    <row r="3419" spans="1:15" x14ac:dyDescent="0.25">
      <c r="A3419" s="1" t="s">
        <v>3449</v>
      </c>
      <c r="B3419" s="1">
        <v>61</v>
      </c>
      <c r="C3419" s="1" t="str" cm="1">
        <f t="array" ref="C3419">_xlfn.IFS(OR(B3419=" ", B3419="NA",NOT(ISNUMBER(B3419))), "Unknown",B3419&lt;18,"Underage",B3419&lt;=24,"Young Adult",B3419&lt;=34,"Early Career",B3419&lt;=44,"Mid Career",B3419&lt;=54,"Mature",B3419&lt;=65,"Pre-Senior",B3419&gt;65,"Senior")</f>
        <v>Pre-Senior</v>
      </c>
      <c r="D3419" s="1" t="s">
        <v>18</v>
      </c>
      <c r="E3419" s="1" t="s">
        <v>19</v>
      </c>
      <c r="F3419" s="1">
        <v>700000</v>
      </c>
      <c r="G3419" s="1">
        <v>66</v>
      </c>
      <c r="H3419" s="1" t="str" cm="1">
        <f t="array" ref="H3419">_xlfn.IFS( OR(G3419=" ",NOT(ISNUMBER(G3419))),"Unknown",G3419&lt;=33,"Low Spender",G3419&lt;=66,"Medium Spender",TRUE, "High Spender")</f>
        <v>Medium Spender</v>
      </c>
      <c r="J3419" s="1">
        <v>10200</v>
      </c>
      <c r="K3419" s="1">
        <v>10</v>
      </c>
      <c r="M3419" s="1" t="s">
        <v>41</v>
      </c>
      <c r="N3419" s="1" t="str">
        <f t="shared" si="106"/>
        <v>Higher</v>
      </c>
      <c r="O3419" s="1" t="str">
        <f t="shared" si="107"/>
        <v>Pre-Senior | Medium Spender | Higher</v>
      </c>
    </row>
    <row r="3420" spans="1:15" x14ac:dyDescent="0.25">
      <c r="A3420" s="1" t="s">
        <v>3450</v>
      </c>
      <c r="B3420" s="1">
        <v>48</v>
      </c>
      <c r="C3420" s="1" t="str" cm="1">
        <f t="array" ref="C3420">_xlfn.IFS(OR(B3420=" ", B3420="NA",NOT(ISNUMBER(B3420))), "Unknown",B3420&lt;18,"Underage",B3420&lt;=24,"Young Adult",B3420&lt;=34,"Early Career",B3420&lt;=44,"Mid Career",B3420&lt;=54,"Mature",B3420&lt;=65,"Pre-Senior",B3420&gt;65,"Senior")</f>
        <v>Mature</v>
      </c>
      <c r="D3420" s="1" t="s">
        <v>29</v>
      </c>
      <c r="F3420" s="1">
        <v>275000</v>
      </c>
      <c r="G3420" s="1">
        <v>32</v>
      </c>
      <c r="H3420" s="1" t="str" cm="1">
        <f t="array" ref="H3420">_xlfn.IFS( OR(G3420=" ",NOT(ISNUMBER(G3420))),"Unknown",G3420&lt;=33,"Low Spender",G3420&lt;=66,"Medium Spender",TRUE, "High Spender")</f>
        <v>Low Spender</v>
      </c>
      <c r="I3420" s="1">
        <v>73</v>
      </c>
      <c r="J3420" s="1">
        <v>6100</v>
      </c>
      <c r="K3420" s="1">
        <v>79</v>
      </c>
      <c r="L3420" s="1" t="s">
        <v>37</v>
      </c>
      <c r="M3420" s="1" t="s">
        <v>41</v>
      </c>
      <c r="N3420" s="1" t="str">
        <f t="shared" si="106"/>
        <v>Higher</v>
      </c>
      <c r="O3420" s="1" t="str">
        <f t="shared" si="107"/>
        <v>Mature | Low Spender | Higher</v>
      </c>
    </row>
    <row r="3421" spans="1:15" x14ac:dyDescent="0.25">
      <c r="A3421" s="1" t="s">
        <v>3451</v>
      </c>
      <c r="B3421" s="1">
        <v>37</v>
      </c>
      <c r="C3421" s="1" t="str" cm="1">
        <f t="array" ref="C3421">_xlfn.IFS(OR(B3421=" ", B3421="NA",NOT(ISNUMBER(B3421))), "Unknown",B3421&lt;18,"Underage",B3421&lt;=24,"Young Adult",B3421&lt;=34,"Early Career",B3421&lt;=44,"Mid Career",B3421&lt;=54,"Mature",B3421&lt;=65,"Pre-Senior",B3421&gt;65,"Senior")</f>
        <v>Mid Career</v>
      </c>
      <c r="E3421" s="1" t="s">
        <v>49</v>
      </c>
      <c r="F3421" s="1">
        <v>1775000</v>
      </c>
      <c r="G3421" s="1">
        <v>13</v>
      </c>
      <c r="H3421" s="1" t="str" cm="1">
        <f t="array" ref="H3421">_xlfn.IFS( OR(G3421=" ",NOT(ISNUMBER(G3421))),"Unknown",G3421&lt;=33,"Low Spender",G3421&lt;=66,"Medium Spender",TRUE, "High Spender")</f>
        <v>Low Spender</v>
      </c>
      <c r="I3421" s="1">
        <v>17</v>
      </c>
      <c r="J3421" s="1">
        <v>1400</v>
      </c>
      <c r="K3421" s="1">
        <v>37</v>
      </c>
      <c r="N3421" s="1" t="str">
        <f t="shared" si="106"/>
        <v>Lower</v>
      </c>
      <c r="O3421" s="1" t="str">
        <f t="shared" si="107"/>
        <v>Mid Career | Low Spender | Lower</v>
      </c>
    </row>
    <row r="3422" spans="1:15" x14ac:dyDescent="0.25">
      <c r="A3422" s="1" t="s">
        <v>3452</v>
      </c>
      <c r="B3422" s="1">
        <v>41</v>
      </c>
      <c r="C3422" s="1" t="str" cm="1">
        <f t="array" ref="C3422">_xlfn.IFS(OR(B3422=" ", B3422="NA",NOT(ISNUMBER(B3422))), "Unknown",B3422&lt;18,"Underage",B3422&lt;=24,"Young Adult",B3422&lt;=34,"Early Career",B3422&lt;=44,"Mid Career",B3422&lt;=54,"Mature",B3422&lt;=65,"Pre-Senior",B3422&gt;65,"Senior")</f>
        <v>Mid Career</v>
      </c>
      <c r="F3422" s="1">
        <v>650000</v>
      </c>
      <c r="G3422" s="1">
        <v>33</v>
      </c>
      <c r="H3422" s="1" t="str" cm="1">
        <f t="array" ref="H3422">_xlfn.IFS( OR(G3422=" ",NOT(ISNUMBER(G3422))),"Unknown",G3422&lt;=33,"Low Spender",G3422&lt;=66,"Medium Spender",TRUE, "High Spender")</f>
        <v>Low Spender</v>
      </c>
      <c r="I3422" s="1">
        <v>59</v>
      </c>
      <c r="J3422" s="1">
        <v>11800</v>
      </c>
      <c r="K3422" s="1">
        <v>59</v>
      </c>
      <c r="L3422" s="1" t="s">
        <v>35</v>
      </c>
      <c r="N3422" s="1" t="str">
        <f t="shared" si="106"/>
        <v>Lower</v>
      </c>
      <c r="O3422" s="1" t="str">
        <f t="shared" si="107"/>
        <v>Mid Career | Low Spender | Lower</v>
      </c>
    </row>
    <row r="3423" spans="1:15" x14ac:dyDescent="0.25">
      <c r="A3423" s="1" t="s">
        <v>3453</v>
      </c>
      <c r="B3423" s="1">
        <v>42</v>
      </c>
      <c r="C3423" s="1" t="str" cm="1">
        <f t="array" ref="C3423">_xlfn.IFS(OR(B3423=" ", B3423="NA",NOT(ISNUMBER(B3423))), "Unknown",B3423&lt;18,"Underage",B3423&lt;=24,"Young Adult",B3423&lt;=34,"Early Career",B3423&lt;=44,"Mid Career",B3423&lt;=54,"Mature",B3423&lt;=65,"Pre-Senior",B3423&gt;65,"Senior")</f>
        <v>Mid Career</v>
      </c>
      <c r="D3423" s="1" t="s">
        <v>18</v>
      </c>
      <c r="E3423" s="1" t="s">
        <v>49</v>
      </c>
      <c r="F3423" s="1">
        <v>1000000</v>
      </c>
      <c r="G3423" s="1">
        <v>32</v>
      </c>
      <c r="H3423" s="1" t="str" cm="1">
        <f t="array" ref="H3423">_xlfn.IFS( OR(G3423=" ",NOT(ISNUMBER(G3423))),"Unknown",G3423&lt;=33,"Low Spender",G3423&lt;=66,"Medium Spender",TRUE, "High Spender")</f>
        <v>Low Spender</v>
      </c>
      <c r="I3423" s="1">
        <v>31</v>
      </c>
      <c r="J3423" s="1">
        <v>2500</v>
      </c>
      <c r="K3423" s="1">
        <v>88</v>
      </c>
      <c r="L3423" s="1" t="s">
        <v>20</v>
      </c>
      <c r="M3423" s="1" t="s">
        <v>32</v>
      </c>
      <c r="N3423" s="1" t="str">
        <f t="shared" si="106"/>
        <v>Higher</v>
      </c>
      <c r="O3423" s="1" t="str">
        <f t="shared" si="107"/>
        <v>Mid Career | Low Spender | Higher</v>
      </c>
    </row>
    <row r="3424" spans="1:15" x14ac:dyDescent="0.25">
      <c r="A3424" s="1" t="s">
        <v>3454</v>
      </c>
      <c r="B3424" s="1">
        <v>53</v>
      </c>
      <c r="C3424" s="1" t="str" cm="1">
        <f t="array" ref="C3424">_xlfn.IFS(OR(B3424=" ", B3424="NA",NOT(ISNUMBER(B3424))), "Unknown",B3424&lt;18,"Underage",B3424&lt;=24,"Young Adult",B3424&lt;=34,"Early Career",B3424&lt;=44,"Mid Career",B3424&lt;=54,"Mature",B3424&lt;=65,"Pre-Senior",B3424&gt;65,"Senior")</f>
        <v>Mature</v>
      </c>
      <c r="D3424" s="1" t="s">
        <v>18</v>
      </c>
      <c r="F3424" s="1">
        <v>850000</v>
      </c>
      <c r="G3424" s="1">
        <v>56</v>
      </c>
      <c r="H3424" s="1" t="str" cm="1">
        <f t="array" ref="H3424">_xlfn.IFS( OR(G3424=" ",NOT(ISNUMBER(G3424))),"Unknown",G3424&lt;=33,"Low Spender",G3424&lt;=66,"Medium Spender",TRUE, "High Spender")</f>
        <v>Medium Spender</v>
      </c>
      <c r="I3424" s="1">
        <v>64</v>
      </c>
      <c r="J3424" s="1">
        <v>8700</v>
      </c>
      <c r="K3424" s="1">
        <v>104</v>
      </c>
      <c r="M3424" s="1" t="s">
        <v>41</v>
      </c>
      <c r="N3424" s="1" t="str">
        <f t="shared" si="106"/>
        <v>Higher</v>
      </c>
      <c r="O3424" s="1" t="str">
        <f t="shared" si="107"/>
        <v>Mature | Medium Spender | Higher</v>
      </c>
    </row>
    <row r="3425" spans="1:15" x14ac:dyDescent="0.25">
      <c r="A3425" s="1" t="s">
        <v>3455</v>
      </c>
      <c r="B3425" s="1">
        <v>38</v>
      </c>
      <c r="C3425" s="1" t="str" cm="1">
        <f t="array" ref="C3425">_xlfn.IFS(OR(B3425=" ", B3425="NA",NOT(ISNUMBER(B3425))), "Unknown",B3425&lt;18,"Underage",B3425&lt;=24,"Young Adult",B3425&lt;=34,"Early Career",B3425&lt;=44,"Mid Career",B3425&lt;=54,"Mature",B3425&lt;=65,"Pre-Senior",B3425&gt;65,"Senior")</f>
        <v>Mid Career</v>
      </c>
      <c r="E3425" s="1" t="s">
        <v>23</v>
      </c>
      <c r="F3425" s="1">
        <v>300000</v>
      </c>
      <c r="G3425" s="1">
        <v>24</v>
      </c>
      <c r="H3425" s="1" t="str" cm="1">
        <f t="array" ref="H3425">_xlfn.IFS( OR(G3425=" ",NOT(ISNUMBER(G3425))),"Unknown",G3425&lt;=33,"Low Spender",G3425&lt;=66,"Medium Spender",TRUE, "High Spender")</f>
        <v>Low Spender</v>
      </c>
      <c r="I3425" s="1">
        <v>48</v>
      </c>
      <c r="J3425" s="1">
        <v>7400</v>
      </c>
      <c r="K3425" s="1">
        <v>319</v>
      </c>
      <c r="M3425" s="1" t="s">
        <v>30</v>
      </c>
      <c r="N3425" s="1" t="str">
        <f t="shared" si="106"/>
        <v>Lower</v>
      </c>
      <c r="O3425" s="1" t="str">
        <f t="shared" si="107"/>
        <v>Mid Career | Low Spender | Lower</v>
      </c>
    </row>
    <row r="3426" spans="1:15" x14ac:dyDescent="0.25">
      <c r="A3426" s="1" t="s">
        <v>3456</v>
      </c>
      <c r="B3426" s="1">
        <v>47</v>
      </c>
      <c r="C3426" s="1" t="str" cm="1">
        <f t="array" ref="C3426">_xlfn.IFS(OR(B3426=" ", B3426="NA",NOT(ISNUMBER(B3426))), "Unknown",B3426&lt;18,"Underage",B3426&lt;=24,"Young Adult",B3426&lt;=34,"Early Career",B3426&lt;=44,"Mid Career",B3426&lt;=54,"Mature",B3426&lt;=65,"Pre-Senior",B3426&gt;65,"Senior")</f>
        <v>Mature</v>
      </c>
      <c r="D3426" s="1" t="s">
        <v>18</v>
      </c>
      <c r="F3426" s="1">
        <v>1450000</v>
      </c>
      <c r="G3426" s="1">
        <v>91</v>
      </c>
      <c r="H3426" s="1" t="str" cm="1">
        <f t="array" ref="H3426">_xlfn.IFS( OR(G3426=" ",NOT(ISNUMBER(G3426))),"Unknown",G3426&lt;=33,"Low Spender",G3426&lt;=66,"Medium Spender",TRUE, "High Spender")</f>
        <v>High Spender</v>
      </c>
      <c r="I3426" s="1">
        <v>23</v>
      </c>
      <c r="J3426" s="1">
        <v>4100</v>
      </c>
      <c r="K3426" s="1">
        <v>277</v>
      </c>
      <c r="N3426" s="1" t="str">
        <f t="shared" si="106"/>
        <v>Higher</v>
      </c>
      <c r="O3426" s="1" t="str">
        <f t="shared" si="107"/>
        <v>Mature | High Spender | Higher</v>
      </c>
    </row>
    <row r="3427" spans="1:15" x14ac:dyDescent="0.25">
      <c r="A3427" s="1" t="s">
        <v>3457</v>
      </c>
      <c r="B3427" s="1">
        <v>41</v>
      </c>
      <c r="C3427" s="1" t="str" cm="1">
        <f t="array" ref="C3427">_xlfn.IFS(OR(B3427=" ", B3427="NA",NOT(ISNUMBER(B3427))), "Unknown",B3427&lt;18,"Underage",B3427&lt;=24,"Young Adult",B3427&lt;=34,"Early Career",B3427&lt;=44,"Mid Career",B3427&lt;=54,"Mature",B3427&lt;=65,"Pre-Senior",B3427&gt;65,"Senior")</f>
        <v>Mid Career</v>
      </c>
      <c r="D3427" s="1" t="s">
        <v>12</v>
      </c>
      <c r="E3427" s="1" t="s">
        <v>19</v>
      </c>
      <c r="F3427" s="1">
        <v>1050000</v>
      </c>
      <c r="G3427" s="1">
        <v>4</v>
      </c>
      <c r="H3427" s="1" t="str" cm="1">
        <f t="array" ref="H3427">_xlfn.IFS( OR(G3427=" ",NOT(ISNUMBER(G3427))),"Unknown",G3427&lt;=33,"Low Spender",G3427&lt;=66,"Medium Spender",TRUE, "High Spender")</f>
        <v>Low Spender</v>
      </c>
      <c r="I3427" s="1">
        <v>70</v>
      </c>
      <c r="J3427" s="1">
        <v>1100</v>
      </c>
      <c r="K3427" s="1">
        <v>104</v>
      </c>
      <c r="N3427" s="1" t="str">
        <f t="shared" si="106"/>
        <v>Lower</v>
      </c>
      <c r="O3427" s="1" t="str">
        <f t="shared" si="107"/>
        <v>Mid Career | Low Spender | Lower</v>
      </c>
    </row>
    <row r="3428" spans="1:15" x14ac:dyDescent="0.25">
      <c r="A3428" s="1" t="s">
        <v>3458</v>
      </c>
      <c r="B3428" s="1">
        <v>61</v>
      </c>
      <c r="C3428" s="1" t="str" cm="1">
        <f t="array" ref="C3428">_xlfn.IFS(OR(B3428=" ", B3428="NA",NOT(ISNUMBER(B3428))), "Unknown",B3428&lt;18,"Underage",B3428&lt;=24,"Young Adult",B3428&lt;=34,"Early Career",B3428&lt;=44,"Mid Career",B3428&lt;=54,"Mature",B3428&lt;=65,"Pre-Senior",B3428&gt;65,"Senior")</f>
        <v>Pre-Senior</v>
      </c>
      <c r="F3428" s="1">
        <v>700000</v>
      </c>
      <c r="G3428" s="1">
        <v>88</v>
      </c>
      <c r="H3428" s="1" t="str" cm="1">
        <f t="array" ref="H3428">_xlfn.IFS( OR(G3428=" ",NOT(ISNUMBER(G3428))),"Unknown",G3428&lt;=33,"Low Spender",G3428&lt;=66,"Medium Spender",TRUE, "High Spender")</f>
        <v>High Spender</v>
      </c>
      <c r="I3428" s="1">
        <v>30</v>
      </c>
      <c r="J3428" s="1">
        <v>9000</v>
      </c>
      <c r="K3428" s="1">
        <v>254</v>
      </c>
      <c r="L3428" s="1" t="s">
        <v>35</v>
      </c>
      <c r="M3428" s="1" t="s">
        <v>41</v>
      </c>
      <c r="N3428" s="1" t="str">
        <f t="shared" si="106"/>
        <v>Lower</v>
      </c>
      <c r="O3428" s="1" t="str">
        <f t="shared" si="107"/>
        <v>Pre-Senior | High Spender | Lower</v>
      </c>
    </row>
    <row r="3429" spans="1:15" x14ac:dyDescent="0.25">
      <c r="A3429" s="1" t="s">
        <v>3459</v>
      </c>
      <c r="B3429" s="1">
        <v>59</v>
      </c>
      <c r="C3429" s="1" t="str" cm="1">
        <f t="array" ref="C3429">_xlfn.IFS(OR(B3429=" ", B3429="NA",NOT(ISNUMBER(B3429))), "Unknown",B3429&lt;18,"Underage",B3429&lt;=24,"Young Adult",B3429&lt;=34,"Early Career",B3429&lt;=44,"Mid Career",B3429&lt;=54,"Mature",B3429&lt;=65,"Pre-Senior",B3429&gt;65,"Senior")</f>
        <v>Pre-Senior</v>
      </c>
      <c r="D3429" s="1" t="s">
        <v>18</v>
      </c>
      <c r="E3429" s="1" t="s">
        <v>13</v>
      </c>
      <c r="F3429" s="1">
        <v>325000</v>
      </c>
      <c r="G3429" s="1">
        <v>23</v>
      </c>
      <c r="H3429" s="1" t="str" cm="1">
        <f t="array" ref="H3429">_xlfn.IFS( OR(G3429=" ",NOT(ISNUMBER(G3429))),"Unknown",G3429&lt;=33,"Low Spender",G3429&lt;=66,"Medium Spender",TRUE, "High Spender")</f>
        <v>Low Spender</v>
      </c>
      <c r="I3429" s="1">
        <v>55</v>
      </c>
      <c r="J3429" s="1">
        <v>9700</v>
      </c>
      <c r="K3429" s="1">
        <v>230</v>
      </c>
      <c r="M3429" s="1" t="s">
        <v>21</v>
      </c>
      <c r="N3429" s="1" t="str">
        <f t="shared" si="106"/>
        <v>Higher</v>
      </c>
      <c r="O3429" s="1" t="str">
        <f t="shared" si="107"/>
        <v>Pre-Senior | Low Spender | Higher</v>
      </c>
    </row>
    <row r="3430" spans="1:15" x14ac:dyDescent="0.25">
      <c r="A3430" s="1" t="s">
        <v>3460</v>
      </c>
      <c r="B3430" s="1">
        <v>47</v>
      </c>
      <c r="C3430" s="1" t="str" cm="1">
        <f t="array" ref="C3430">_xlfn.IFS(OR(B3430=" ", B3430="NA",NOT(ISNUMBER(B3430))), "Unknown",B3430&lt;18,"Underage",B3430&lt;=24,"Young Adult",B3430&lt;=34,"Early Career",B3430&lt;=44,"Mid Career",B3430&lt;=54,"Mature",B3430&lt;=65,"Pre-Senior",B3430&gt;65,"Senior")</f>
        <v>Mature</v>
      </c>
      <c r="G3430" s="1">
        <v>29</v>
      </c>
      <c r="H3430" s="1" t="str" cm="1">
        <f t="array" ref="H3430">_xlfn.IFS( OR(G3430=" ",NOT(ISNUMBER(G3430))),"Unknown",G3430&lt;=33,"Low Spender",G3430&lt;=66,"Medium Spender",TRUE, "High Spender")</f>
        <v>Low Spender</v>
      </c>
      <c r="I3430" s="1">
        <v>7</v>
      </c>
      <c r="J3430" s="1">
        <v>2700</v>
      </c>
      <c r="K3430" s="1">
        <v>335</v>
      </c>
      <c r="N3430" s="1" t="str">
        <f t="shared" si="106"/>
        <v>Lower</v>
      </c>
      <c r="O3430" s="1" t="str">
        <f t="shared" si="107"/>
        <v>Mature | Low Spender | Lower</v>
      </c>
    </row>
    <row r="3431" spans="1:15" x14ac:dyDescent="0.25">
      <c r="A3431" s="1" t="s">
        <v>3461</v>
      </c>
      <c r="B3431" s="1">
        <v>39</v>
      </c>
      <c r="C3431" s="1" t="str" cm="1">
        <f t="array" ref="C3431">_xlfn.IFS(OR(B3431=" ", B3431="NA",NOT(ISNUMBER(B3431))), "Unknown",B3431&lt;18,"Underage",B3431&lt;=24,"Young Adult",B3431&lt;=34,"Early Career",B3431&lt;=44,"Mid Career",B3431&lt;=54,"Mature",B3431&lt;=65,"Pre-Senior",B3431&gt;65,"Senior")</f>
        <v>Mid Career</v>
      </c>
      <c r="D3431" s="1" t="s">
        <v>12</v>
      </c>
      <c r="E3431" s="1" t="s">
        <v>49</v>
      </c>
      <c r="F3431" s="1">
        <v>1325000</v>
      </c>
      <c r="G3431" s="1">
        <v>98</v>
      </c>
      <c r="H3431" s="1" t="str" cm="1">
        <f t="array" ref="H3431">_xlfn.IFS( OR(G3431=" ",NOT(ISNUMBER(G3431))),"Unknown",G3431&lt;=33,"Low Spender",G3431&lt;=66,"Medium Spender",TRUE, "High Spender")</f>
        <v>High Spender</v>
      </c>
      <c r="I3431" s="1">
        <v>75</v>
      </c>
      <c r="J3431" s="1">
        <v>1900</v>
      </c>
      <c r="K3431" s="1">
        <v>37</v>
      </c>
      <c r="L3431" s="1" t="s">
        <v>37</v>
      </c>
      <c r="M3431" s="1" t="s">
        <v>30</v>
      </c>
      <c r="N3431" s="1" t="str">
        <f t="shared" si="106"/>
        <v>Lower</v>
      </c>
      <c r="O3431" s="1" t="str">
        <f t="shared" si="107"/>
        <v>Mid Career | High Spender | Lower</v>
      </c>
    </row>
    <row r="3432" spans="1:15" x14ac:dyDescent="0.25">
      <c r="A3432" s="1" t="s">
        <v>3462</v>
      </c>
      <c r="B3432" s="1">
        <v>45</v>
      </c>
      <c r="C3432" s="1" t="str" cm="1">
        <f t="array" ref="C3432">_xlfn.IFS(OR(B3432=" ", B3432="NA",NOT(ISNUMBER(B3432))), "Unknown",B3432&lt;18,"Underage",B3432&lt;=24,"Young Adult",B3432&lt;=34,"Early Career",B3432&lt;=44,"Mid Career",B3432&lt;=54,"Mature",B3432&lt;=65,"Pre-Senior",B3432&gt;65,"Senior")</f>
        <v>Mature</v>
      </c>
      <c r="D3432" s="1" t="s">
        <v>29</v>
      </c>
      <c r="F3432" s="1">
        <v>375000</v>
      </c>
      <c r="G3432" s="1">
        <v>21</v>
      </c>
      <c r="H3432" s="1" t="str" cm="1">
        <f t="array" ref="H3432">_xlfn.IFS( OR(G3432=" ",NOT(ISNUMBER(G3432))),"Unknown",G3432&lt;=33,"Low Spender",G3432&lt;=66,"Medium Spender",TRUE, "High Spender")</f>
        <v>Low Spender</v>
      </c>
      <c r="I3432" s="1">
        <v>12</v>
      </c>
      <c r="J3432" s="1">
        <v>4400</v>
      </c>
      <c r="K3432" s="1">
        <v>301</v>
      </c>
      <c r="M3432" s="1" t="s">
        <v>21</v>
      </c>
      <c r="N3432" s="1" t="str">
        <f t="shared" si="106"/>
        <v>Higher</v>
      </c>
      <c r="O3432" s="1" t="str">
        <f t="shared" si="107"/>
        <v>Mature | Low Spender | Higher</v>
      </c>
    </row>
    <row r="3433" spans="1:15" x14ac:dyDescent="0.25">
      <c r="A3433" s="1" t="s">
        <v>3463</v>
      </c>
      <c r="B3433" s="1">
        <v>24</v>
      </c>
      <c r="C3433" s="1" t="str" cm="1">
        <f t="array" ref="C3433">_xlfn.IFS(OR(B3433=" ", B3433="NA",NOT(ISNUMBER(B3433))), "Unknown",B3433&lt;18,"Underage",B3433&lt;=24,"Young Adult",B3433&lt;=34,"Early Career",B3433&lt;=44,"Mid Career",B3433&lt;=54,"Mature",B3433&lt;=65,"Pre-Senior",B3433&gt;65,"Senior")</f>
        <v>Young Adult</v>
      </c>
      <c r="E3433" s="1" t="s">
        <v>13</v>
      </c>
      <c r="F3433" s="1">
        <v>725000</v>
      </c>
      <c r="G3433" s="1">
        <v>30</v>
      </c>
      <c r="H3433" s="1" t="str" cm="1">
        <f t="array" ref="H3433">_xlfn.IFS( OR(G3433=" ",NOT(ISNUMBER(G3433))),"Unknown",G3433&lt;=33,"Low Spender",G3433&lt;=66,"Medium Spender",TRUE, "High Spender")</f>
        <v>Low Spender</v>
      </c>
      <c r="I3433" s="1">
        <v>60</v>
      </c>
      <c r="J3433" s="1">
        <v>3100</v>
      </c>
      <c r="K3433" s="1">
        <v>142</v>
      </c>
      <c r="N3433" s="1" t="str">
        <f t="shared" si="106"/>
        <v>Lower</v>
      </c>
      <c r="O3433" s="1" t="str">
        <f t="shared" si="107"/>
        <v>Young Adult | Low Spender | Lower</v>
      </c>
    </row>
    <row r="3434" spans="1:15" x14ac:dyDescent="0.25">
      <c r="A3434" s="1" t="s">
        <v>3464</v>
      </c>
      <c r="B3434" s="1">
        <v>52</v>
      </c>
      <c r="C3434" s="1" t="str" cm="1">
        <f t="array" ref="C3434">_xlfn.IFS(OR(B3434=" ", B3434="NA",NOT(ISNUMBER(B3434))), "Unknown",B3434&lt;18,"Underage",B3434&lt;=24,"Young Adult",B3434&lt;=34,"Early Career",B3434&lt;=44,"Mid Career",B3434&lt;=54,"Mature",B3434&lt;=65,"Pre-Senior",B3434&gt;65,"Senior")</f>
        <v>Mature</v>
      </c>
      <c r="D3434" s="1" t="s">
        <v>18</v>
      </c>
      <c r="F3434" s="1">
        <v>1300000</v>
      </c>
      <c r="G3434" s="1">
        <v>90</v>
      </c>
      <c r="H3434" s="1" t="str" cm="1">
        <f t="array" ref="H3434">_xlfn.IFS( OR(G3434=" ",NOT(ISNUMBER(G3434))),"Unknown",G3434&lt;=33,"Low Spender",G3434&lt;=66,"Medium Spender",TRUE, "High Spender")</f>
        <v>High Spender</v>
      </c>
      <c r="I3434" s="1">
        <v>52</v>
      </c>
      <c r="J3434" s="1">
        <v>6200</v>
      </c>
      <c r="K3434" s="1">
        <v>43</v>
      </c>
      <c r="L3434" s="1" t="s">
        <v>35</v>
      </c>
      <c r="N3434" s="1" t="str">
        <f t="shared" si="106"/>
        <v>Higher</v>
      </c>
      <c r="O3434" s="1" t="str">
        <f t="shared" si="107"/>
        <v>Mature | High Spender | Higher</v>
      </c>
    </row>
    <row r="3435" spans="1:15" x14ac:dyDescent="0.25">
      <c r="A3435" s="1" t="s">
        <v>3465</v>
      </c>
      <c r="B3435" s="1" t="s">
        <v>73</v>
      </c>
      <c r="C3435" s="1" t="str" cm="1">
        <f t="array" ref="C3435">_xlfn.IFS(OR(B3435=" ", B3435="NA",NOT(ISNUMBER(B3435))), "Unknown",B3435&lt;18,"Underage",B3435&lt;=24,"Young Adult",B3435&lt;=34,"Early Career",B3435&lt;=44,"Mid Career",B3435&lt;=54,"Mature",B3435&lt;=65,"Pre-Senior",B3435&gt;65,"Senior")</f>
        <v>Unknown</v>
      </c>
      <c r="D3435" s="1" t="s">
        <v>12</v>
      </c>
      <c r="F3435" s="1">
        <v>1450000</v>
      </c>
      <c r="G3435" s="1">
        <v>20</v>
      </c>
      <c r="H3435" s="1" t="str" cm="1">
        <f t="array" ref="H3435">_xlfn.IFS( OR(G3435=" ",NOT(ISNUMBER(G3435))),"Unknown",G3435&lt;=33,"Low Spender",G3435&lt;=66,"Medium Spender",TRUE, "High Spender")</f>
        <v>Low Spender</v>
      </c>
      <c r="I3435" s="1">
        <v>27</v>
      </c>
      <c r="J3435" s="1">
        <v>6900</v>
      </c>
      <c r="K3435" s="1">
        <v>116</v>
      </c>
      <c r="L3435" s="1" t="s">
        <v>35</v>
      </c>
      <c r="M3435" s="1" t="s">
        <v>41</v>
      </c>
      <c r="N3435" s="1" t="str">
        <f t="shared" si="106"/>
        <v>Lower</v>
      </c>
      <c r="O3435" s="1" t="str">
        <f t="shared" si="107"/>
        <v>Unknown | Low Spender | Lower</v>
      </c>
    </row>
    <row r="3436" spans="1:15" x14ac:dyDescent="0.25">
      <c r="A3436" s="1" t="s">
        <v>3466</v>
      </c>
      <c r="B3436" s="1">
        <v>45</v>
      </c>
      <c r="C3436" s="1" t="str" cm="1">
        <f t="array" ref="C3436">_xlfn.IFS(OR(B3436=" ", B3436="NA",NOT(ISNUMBER(B3436))), "Unknown",B3436&lt;18,"Underage",B3436&lt;=24,"Young Adult",B3436&lt;=34,"Early Career",B3436&lt;=44,"Mid Career",B3436&lt;=54,"Mature",B3436&lt;=65,"Pre-Senior",B3436&gt;65,"Senior")</f>
        <v>Mature</v>
      </c>
      <c r="D3436" s="1" t="s">
        <v>29</v>
      </c>
      <c r="E3436" s="1" t="s">
        <v>58</v>
      </c>
      <c r="F3436" s="1">
        <v>1100000</v>
      </c>
      <c r="G3436" s="1">
        <v>16</v>
      </c>
      <c r="H3436" s="1" t="str" cm="1">
        <f t="array" ref="H3436">_xlfn.IFS( OR(G3436=" ",NOT(ISNUMBER(G3436))),"Unknown",G3436&lt;=33,"Low Spender",G3436&lt;=66,"Medium Spender",TRUE, "High Spender")</f>
        <v>Low Spender</v>
      </c>
      <c r="I3436" s="1">
        <v>12</v>
      </c>
      <c r="J3436" s="1">
        <v>8700</v>
      </c>
      <c r="K3436" s="1">
        <v>341</v>
      </c>
      <c r="L3436" s="1" t="s">
        <v>16</v>
      </c>
      <c r="M3436" s="1" t="s">
        <v>21</v>
      </c>
      <c r="N3436" s="1" t="str">
        <f t="shared" si="106"/>
        <v>Higher</v>
      </c>
      <c r="O3436" s="1" t="str">
        <f t="shared" si="107"/>
        <v>Mature | Low Spender | Higher</v>
      </c>
    </row>
    <row r="3437" spans="1:15" x14ac:dyDescent="0.25">
      <c r="A3437" s="1" t="s">
        <v>3467</v>
      </c>
      <c r="B3437" s="1">
        <v>31</v>
      </c>
      <c r="C3437" s="1" t="str" cm="1">
        <f t="array" ref="C3437">_xlfn.IFS(OR(B3437=" ", B3437="NA",NOT(ISNUMBER(B3437))), "Unknown",B3437&lt;18,"Underage",B3437&lt;=24,"Young Adult",B3437&lt;=34,"Early Career",B3437&lt;=44,"Mid Career",B3437&lt;=54,"Mature",B3437&lt;=65,"Pre-Senior",B3437&gt;65,"Senior")</f>
        <v>Early Career</v>
      </c>
      <c r="F3437" s="1">
        <v>1800000</v>
      </c>
      <c r="G3437" s="1">
        <v>67</v>
      </c>
      <c r="H3437" s="1" t="str" cm="1">
        <f t="array" ref="H3437">_xlfn.IFS( OR(G3437=" ",NOT(ISNUMBER(G3437))),"Unknown",G3437&lt;=33,"Low Spender",G3437&lt;=66,"Medium Spender",TRUE, "High Spender")</f>
        <v>High Spender</v>
      </c>
      <c r="I3437" s="1">
        <v>13</v>
      </c>
      <c r="J3437" s="1">
        <v>5900</v>
      </c>
      <c r="K3437" s="1">
        <v>84</v>
      </c>
      <c r="N3437" s="1" t="str">
        <f t="shared" si="106"/>
        <v>Lower</v>
      </c>
      <c r="O3437" s="1" t="str">
        <f t="shared" si="107"/>
        <v>Early Career | High Spender | Lower</v>
      </c>
    </row>
    <row r="3438" spans="1:15" x14ac:dyDescent="0.25">
      <c r="A3438" s="1" t="s">
        <v>3468</v>
      </c>
      <c r="B3438" s="1">
        <v>27</v>
      </c>
      <c r="C3438" s="1" t="str" cm="1">
        <f t="array" ref="C3438">_xlfn.IFS(OR(B3438=" ", B3438="NA",NOT(ISNUMBER(B3438))), "Unknown",B3438&lt;18,"Underage",B3438&lt;=24,"Young Adult",B3438&lt;=34,"Early Career",B3438&lt;=44,"Mid Career",B3438&lt;=54,"Mature",B3438&lt;=65,"Pre-Senior",B3438&gt;65,"Senior")</f>
        <v>Early Career</v>
      </c>
      <c r="E3438" s="1" t="s">
        <v>23</v>
      </c>
      <c r="F3438" s="1">
        <v>1775000</v>
      </c>
      <c r="G3438" s="1">
        <v>49</v>
      </c>
      <c r="H3438" s="1" t="str" cm="1">
        <f t="array" ref="H3438">_xlfn.IFS( OR(G3438=" ",NOT(ISNUMBER(G3438))),"Unknown",G3438&lt;=33,"Low Spender",G3438&lt;=66,"Medium Spender",TRUE, "High Spender")</f>
        <v>Medium Spender</v>
      </c>
      <c r="I3438" s="1">
        <v>72</v>
      </c>
      <c r="J3438" s="1">
        <v>7400</v>
      </c>
      <c r="K3438" s="1">
        <v>259</v>
      </c>
      <c r="N3438" s="1" t="str">
        <f t="shared" si="106"/>
        <v>Lower</v>
      </c>
      <c r="O3438" s="1" t="str">
        <f t="shared" si="107"/>
        <v>Early Career | Medium Spender | Lower</v>
      </c>
    </row>
    <row r="3439" spans="1:15" x14ac:dyDescent="0.25">
      <c r="A3439" s="1" t="s">
        <v>3469</v>
      </c>
      <c r="B3439" s="1">
        <v>33</v>
      </c>
      <c r="C3439" s="1" t="str" cm="1">
        <f t="array" ref="C3439">_xlfn.IFS(OR(B3439=" ", B3439="NA",NOT(ISNUMBER(B3439))), "Unknown",B3439&lt;18,"Underage",B3439&lt;=24,"Young Adult",B3439&lt;=34,"Early Career",B3439&lt;=44,"Mid Career",B3439&lt;=54,"Mature",B3439&lt;=65,"Pre-Senior",B3439&gt;65,"Senior")</f>
        <v>Early Career</v>
      </c>
      <c r="D3439" s="1" t="s">
        <v>12</v>
      </c>
      <c r="E3439" s="1" t="s">
        <v>23</v>
      </c>
      <c r="F3439" s="1">
        <v>275000</v>
      </c>
      <c r="H3439" s="1" t="str" cm="1">
        <f t="array" ref="H3439">_xlfn.IFS( OR(G3439=" ",NOT(ISNUMBER(G3439))),"Unknown",G3439&lt;=33,"Low Spender",G3439&lt;=66,"Medium Spender",TRUE, "High Spender")</f>
        <v>Unknown</v>
      </c>
      <c r="J3439" s="1">
        <v>1600</v>
      </c>
      <c r="K3439" s="1">
        <v>360</v>
      </c>
      <c r="M3439" s="1" t="s">
        <v>30</v>
      </c>
      <c r="N3439" s="1" t="str">
        <f t="shared" si="106"/>
        <v>Lower</v>
      </c>
      <c r="O3439" s="1" t="str">
        <f t="shared" si="107"/>
        <v>Early Career | Unknown | Lower</v>
      </c>
    </row>
    <row r="3440" spans="1:15" x14ac:dyDescent="0.25">
      <c r="A3440" s="1" t="s">
        <v>3470</v>
      </c>
      <c r="B3440" s="1">
        <v>33</v>
      </c>
      <c r="C3440" s="1" t="str" cm="1">
        <f t="array" ref="C3440">_xlfn.IFS(OR(B3440=" ", B3440="NA",NOT(ISNUMBER(B3440))), "Unknown",B3440&lt;18,"Underage",B3440&lt;=24,"Young Adult",B3440&lt;=34,"Early Career",B3440&lt;=44,"Mid Career",B3440&lt;=54,"Mature",B3440&lt;=65,"Pre-Senior",B3440&gt;65,"Senior")</f>
        <v>Early Career</v>
      </c>
      <c r="D3440" s="1" t="s">
        <v>18</v>
      </c>
      <c r="E3440" s="1" t="s">
        <v>15</v>
      </c>
      <c r="F3440" s="1">
        <v>650000</v>
      </c>
      <c r="G3440" s="1">
        <v>58</v>
      </c>
      <c r="H3440" s="1" t="str" cm="1">
        <f t="array" ref="H3440">_xlfn.IFS( OR(G3440=" ",NOT(ISNUMBER(G3440))),"Unknown",G3440&lt;=33,"Low Spender",G3440&lt;=66,"Medium Spender",TRUE, "High Spender")</f>
        <v>Medium Spender</v>
      </c>
      <c r="I3440" s="1">
        <v>62</v>
      </c>
      <c r="J3440" s="1">
        <v>4100</v>
      </c>
      <c r="K3440" s="1">
        <v>87</v>
      </c>
      <c r="M3440" s="1" t="s">
        <v>21</v>
      </c>
      <c r="N3440" s="1" t="str">
        <f t="shared" si="106"/>
        <v>Higher</v>
      </c>
      <c r="O3440" s="1" t="str">
        <f t="shared" si="107"/>
        <v>Early Career | Medium Spender | Higher</v>
      </c>
    </row>
    <row r="3441" spans="1:15" x14ac:dyDescent="0.25">
      <c r="A3441" s="1" t="s">
        <v>3471</v>
      </c>
      <c r="C3441" s="1" t="str" cm="1">
        <f t="array" ref="C3441">_xlfn.IFS(OR(B3441=" ", B3441="NA",NOT(ISNUMBER(B3441))), "Unknown",B3441&lt;18,"Underage",B3441&lt;=24,"Young Adult",B3441&lt;=34,"Early Career",B3441&lt;=44,"Mid Career",B3441&lt;=54,"Mature",B3441&lt;=65,"Pre-Senior",B3441&gt;65,"Senior")</f>
        <v>Unknown</v>
      </c>
      <c r="E3441" s="1" t="s">
        <v>23</v>
      </c>
      <c r="F3441" s="1">
        <v>1950000</v>
      </c>
      <c r="G3441" s="1">
        <v>44</v>
      </c>
      <c r="H3441" s="1" t="str" cm="1">
        <f t="array" ref="H3441">_xlfn.IFS( OR(G3441=" ",NOT(ISNUMBER(G3441))),"Unknown",G3441&lt;=33,"Low Spender",G3441&lt;=66,"Medium Spender",TRUE, "High Spender")</f>
        <v>Medium Spender</v>
      </c>
      <c r="I3441" s="1">
        <v>29</v>
      </c>
      <c r="J3441" s="1">
        <v>1800</v>
      </c>
      <c r="K3441" s="1">
        <v>343</v>
      </c>
      <c r="L3441" s="1" t="s">
        <v>37</v>
      </c>
      <c r="N3441" s="1" t="str">
        <f t="shared" si="106"/>
        <v>Lower</v>
      </c>
      <c r="O3441" s="1" t="str">
        <f t="shared" si="107"/>
        <v>Unknown | Medium Spender | Lower</v>
      </c>
    </row>
    <row r="3442" spans="1:15" x14ac:dyDescent="0.25">
      <c r="A3442" s="1" t="s">
        <v>3472</v>
      </c>
      <c r="B3442" s="1">
        <v>48</v>
      </c>
      <c r="C3442" s="1" t="str" cm="1">
        <f t="array" ref="C3442">_xlfn.IFS(OR(B3442=" ", B3442="NA",NOT(ISNUMBER(B3442))), "Unknown",B3442&lt;18,"Underage",B3442&lt;=24,"Young Adult",B3442&lt;=34,"Early Career",B3442&lt;=44,"Mid Career",B3442&lt;=54,"Mature",B3442&lt;=65,"Pre-Senior",B3442&gt;65,"Senior")</f>
        <v>Mature</v>
      </c>
      <c r="D3442" s="1" t="s">
        <v>18</v>
      </c>
      <c r="F3442" s="1">
        <v>1975000</v>
      </c>
      <c r="G3442" s="1">
        <v>25</v>
      </c>
      <c r="H3442" s="1" t="str" cm="1">
        <f t="array" ref="H3442">_xlfn.IFS( OR(G3442=" ",NOT(ISNUMBER(G3442))),"Unknown",G3442&lt;=33,"Low Spender",G3442&lt;=66,"Medium Spender",TRUE, "High Spender")</f>
        <v>Low Spender</v>
      </c>
      <c r="I3442" s="1">
        <v>35</v>
      </c>
      <c r="J3442" s="1">
        <v>2000</v>
      </c>
      <c r="K3442" s="1">
        <v>347</v>
      </c>
      <c r="M3442" s="1" t="s">
        <v>41</v>
      </c>
      <c r="N3442" s="1" t="str">
        <f t="shared" si="106"/>
        <v>Higher</v>
      </c>
      <c r="O3442" s="1" t="str">
        <f t="shared" si="107"/>
        <v>Mature | Low Spender | Higher</v>
      </c>
    </row>
    <row r="3443" spans="1:15" x14ac:dyDescent="0.25">
      <c r="A3443" s="1" t="s">
        <v>3473</v>
      </c>
      <c r="B3443" s="1">
        <v>59</v>
      </c>
      <c r="C3443" s="1" t="str" cm="1">
        <f t="array" ref="C3443">_xlfn.IFS(OR(B3443=" ", B3443="NA",NOT(ISNUMBER(B3443))), "Unknown",B3443&lt;18,"Underage",B3443&lt;=24,"Young Adult",B3443&lt;=34,"Early Career",B3443&lt;=44,"Mid Career",B3443&lt;=54,"Mature",B3443&lt;=65,"Pre-Senior",B3443&gt;65,"Senior")</f>
        <v>Pre-Senior</v>
      </c>
      <c r="D3443" s="1" t="s">
        <v>18</v>
      </c>
      <c r="F3443" s="1">
        <v>1025000</v>
      </c>
      <c r="G3443" s="1">
        <v>23</v>
      </c>
      <c r="H3443" s="1" t="str" cm="1">
        <f t="array" ref="H3443">_xlfn.IFS( OR(G3443=" ",NOT(ISNUMBER(G3443))),"Unknown",G3443&lt;=33,"Low Spender",G3443&lt;=66,"Medium Spender",TRUE, "High Spender")</f>
        <v>Low Spender</v>
      </c>
      <c r="I3443" s="1">
        <v>60</v>
      </c>
      <c r="J3443" s="1">
        <v>9700</v>
      </c>
      <c r="K3443" s="1">
        <v>291</v>
      </c>
      <c r="M3443" s="1" t="s">
        <v>32</v>
      </c>
      <c r="N3443" s="1" t="str">
        <f t="shared" si="106"/>
        <v>Higher</v>
      </c>
      <c r="O3443" s="1" t="str">
        <f t="shared" si="107"/>
        <v>Pre-Senior | Low Spender | Higher</v>
      </c>
    </row>
    <row r="3444" spans="1:15" x14ac:dyDescent="0.25">
      <c r="A3444" s="1" t="s">
        <v>3474</v>
      </c>
      <c r="B3444" s="1">
        <v>42</v>
      </c>
      <c r="C3444" s="1" t="str" cm="1">
        <f t="array" ref="C3444">_xlfn.IFS(OR(B3444=" ", B3444="NA",NOT(ISNUMBER(B3444))), "Unknown",B3444&lt;18,"Underage",B3444&lt;=24,"Young Adult",B3444&lt;=34,"Early Career",B3444&lt;=44,"Mid Career",B3444&lt;=54,"Mature",B3444&lt;=65,"Pre-Senior",B3444&gt;65,"Senior")</f>
        <v>Mid Career</v>
      </c>
      <c r="E3444" s="1" t="s">
        <v>58</v>
      </c>
      <c r="F3444" s="1">
        <v>200000</v>
      </c>
      <c r="G3444" s="1">
        <v>59</v>
      </c>
      <c r="H3444" s="1" t="str" cm="1">
        <f t="array" ref="H3444">_xlfn.IFS( OR(G3444=" ",NOT(ISNUMBER(G3444))),"Unknown",G3444&lt;=33,"Low Spender",G3444&lt;=66,"Medium Spender",TRUE, "High Spender")</f>
        <v>Medium Spender</v>
      </c>
      <c r="I3444" s="1">
        <v>29</v>
      </c>
      <c r="J3444" s="1">
        <v>7700</v>
      </c>
      <c r="K3444" s="1">
        <v>96</v>
      </c>
      <c r="L3444" s="1" t="s">
        <v>37</v>
      </c>
      <c r="N3444" s="1" t="str">
        <f t="shared" si="106"/>
        <v>Lower</v>
      </c>
      <c r="O3444" s="1" t="str">
        <f t="shared" si="107"/>
        <v>Mid Career | Medium Spender | Lower</v>
      </c>
    </row>
    <row r="3445" spans="1:15" x14ac:dyDescent="0.25">
      <c r="A3445" s="1" t="s">
        <v>3475</v>
      </c>
      <c r="B3445" s="1">
        <v>30</v>
      </c>
      <c r="C3445" s="1" t="str" cm="1">
        <f t="array" ref="C3445">_xlfn.IFS(OR(B3445=" ", B3445="NA",NOT(ISNUMBER(B3445))), "Unknown",B3445&lt;18,"Underage",B3445&lt;=24,"Young Adult",B3445&lt;=34,"Early Career",B3445&lt;=44,"Mid Career",B3445&lt;=54,"Mature",B3445&lt;=65,"Pre-Senior",B3445&gt;65,"Senior")</f>
        <v>Early Career</v>
      </c>
      <c r="D3445" s="1" t="s">
        <v>18</v>
      </c>
      <c r="E3445" s="1" t="s">
        <v>23</v>
      </c>
      <c r="F3445" s="1">
        <v>1175000</v>
      </c>
      <c r="G3445" s="1">
        <v>1</v>
      </c>
      <c r="H3445" s="1" t="str" cm="1">
        <f t="array" ref="H3445">_xlfn.IFS( OR(G3445=" ",NOT(ISNUMBER(G3445))),"Unknown",G3445&lt;=33,"Low Spender",G3445&lt;=66,"Medium Spender",TRUE, "High Spender")</f>
        <v>Low Spender</v>
      </c>
      <c r="I3445" s="1">
        <v>31</v>
      </c>
      <c r="J3445" s="1">
        <v>10400</v>
      </c>
      <c r="K3445" s="1">
        <v>255</v>
      </c>
      <c r="L3445" s="1" t="s">
        <v>16</v>
      </c>
      <c r="M3445" s="1" t="s">
        <v>32</v>
      </c>
      <c r="N3445" s="1" t="str">
        <f t="shared" si="106"/>
        <v>Higher</v>
      </c>
      <c r="O3445" s="1" t="str">
        <f t="shared" si="107"/>
        <v>Early Career | Low Spender | Higher</v>
      </c>
    </row>
    <row r="3446" spans="1:15" x14ac:dyDescent="0.25">
      <c r="A3446" s="1" t="s">
        <v>3476</v>
      </c>
      <c r="B3446" s="1">
        <v>23</v>
      </c>
      <c r="C3446" s="1" t="str" cm="1">
        <f t="array" ref="C3446">_xlfn.IFS(OR(B3446=" ", B3446="NA",NOT(ISNUMBER(B3446))), "Unknown",B3446&lt;18,"Underage",B3446&lt;=24,"Young Adult",B3446&lt;=34,"Early Career",B3446&lt;=44,"Mid Career",B3446&lt;=54,"Mature",B3446&lt;=65,"Pre-Senior",B3446&gt;65,"Senior")</f>
        <v>Young Adult</v>
      </c>
      <c r="D3446" s="1" t="s">
        <v>29</v>
      </c>
      <c r="E3446" s="1" t="s">
        <v>34</v>
      </c>
      <c r="F3446" s="1">
        <v>1250000</v>
      </c>
      <c r="G3446" s="1">
        <v>97</v>
      </c>
      <c r="H3446" s="1" t="str" cm="1">
        <f t="array" ref="H3446">_xlfn.IFS( OR(G3446=" ",NOT(ISNUMBER(G3446))),"Unknown",G3446&lt;=33,"Low Spender",G3446&lt;=66,"Medium Spender",TRUE, "High Spender")</f>
        <v>High Spender</v>
      </c>
      <c r="I3446" s="1">
        <v>77</v>
      </c>
      <c r="J3446" s="1">
        <v>2200</v>
      </c>
      <c r="K3446" s="1">
        <v>342</v>
      </c>
      <c r="N3446" s="1" t="str">
        <f t="shared" si="106"/>
        <v>Higher</v>
      </c>
      <c r="O3446" s="1" t="str">
        <f t="shared" si="107"/>
        <v>Young Adult | High Spender | Higher</v>
      </c>
    </row>
    <row r="3447" spans="1:15" x14ac:dyDescent="0.25">
      <c r="A3447" s="1" t="s">
        <v>3477</v>
      </c>
      <c r="B3447" s="1">
        <v>61</v>
      </c>
      <c r="C3447" s="1" t="str" cm="1">
        <f t="array" ref="C3447">_xlfn.IFS(OR(B3447=" ", B3447="NA",NOT(ISNUMBER(B3447))), "Unknown",B3447&lt;18,"Underage",B3447&lt;=24,"Young Adult",B3447&lt;=34,"Early Career",B3447&lt;=44,"Mid Career",B3447&lt;=54,"Mature",B3447&lt;=65,"Pre-Senior",B3447&gt;65,"Senior")</f>
        <v>Pre-Senior</v>
      </c>
      <c r="F3447" s="1">
        <v>1225000</v>
      </c>
      <c r="G3447" s="1">
        <v>15</v>
      </c>
      <c r="H3447" s="1" t="str" cm="1">
        <f t="array" ref="H3447">_xlfn.IFS( OR(G3447=" ",NOT(ISNUMBER(G3447))),"Unknown",G3447&lt;=33,"Low Spender",G3447&lt;=66,"Medium Spender",TRUE, "High Spender")</f>
        <v>Low Spender</v>
      </c>
      <c r="I3447" s="1">
        <v>76</v>
      </c>
      <c r="J3447" s="1">
        <v>11900</v>
      </c>
      <c r="K3447" s="1">
        <v>136</v>
      </c>
      <c r="L3447" s="1" t="s">
        <v>20</v>
      </c>
      <c r="N3447" s="1" t="str">
        <f t="shared" si="106"/>
        <v>Lower</v>
      </c>
      <c r="O3447" s="1" t="str">
        <f t="shared" si="107"/>
        <v>Pre-Senior | Low Spender | Lower</v>
      </c>
    </row>
    <row r="3448" spans="1:15" x14ac:dyDescent="0.25">
      <c r="A3448" s="1" t="s">
        <v>3478</v>
      </c>
      <c r="B3448" s="1">
        <v>26</v>
      </c>
      <c r="C3448" s="1" t="str" cm="1">
        <f t="array" ref="C3448">_xlfn.IFS(OR(B3448=" ", B3448="NA",NOT(ISNUMBER(B3448))), "Unknown",B3448&lt;18,"Underage",B3448&lt;=24,"Young Adult",B3448&lt;=34,"Early Career",B3448&lt;=44,"Mid Career",B3448&lt;=54,"Mature",B3448&lt;=65,"Pre-Senior",B3448&gt;65,"Senior")</f>
        <v>Early Career</v>
      </c>
      <c r="D3448" s="1" t="s">
        <v>29</v>
      </c>
      <c r="E3448" s="1" t="s">
        <v>19</v>
      </c>
      <c r="F3448" s="1">
        <v>950000</v>
      </c>
      <c r="G3448" s="1">
        <v>81</v>
      </c>
      <c r="H3448" s="1" t="str" cm="1">
        <f t="array" ref="H3448">_xlfn.IFS( OR(G3448=" ",NOT(ISNUMBER(G3448))),"Unknown",G3448&lt;=33,"Low Spender",G3448&lt;=66,"Medium Spender",TRUE, "High Spender")</f>
        <v>High Spender</v>
      </c>
      <c r="I3448" s="1">
        <v>61</v>
      </c>
      <c r="J3448" s="1">
        <v>4800</v>
      </c>
      <c r="K3448" s="1">
        <v>248</v>
      </c>
      <c r="M3448" s="1" t="s">
        <v>41</v>
      </c>
      <c r="N3448" s="1" t="str">
        <f t="shared" si="106"/>
        <v>Higher</v>
      </c>
      <c r="O3448" s="1" t="str">
        <f t="shared" si="107"/>
        <v>Early Career | High Spender | Higher</v>
      </c>
    </row>
    <row r="3449" spans="1:15" x14ac:dyDescent="0.25">
      <c r="A3449" s="1" t="s">
        <v>3479</v>
      </c>
      <c r="B3449" s="1">
        <v>62</v>
      </c>
      <c r="C3449" s="1" t="str" cm="1">
        <f t="array" ref="C3449">_xlfn.IFS(OR(B3449=" ", B3449="NA",NOT(ISNUMBER(B3449))), "Unknown",B3449&lt;18,"Underage",B3449&lt;=24,"Young Adult",B3449&lt;=34,"Early Career",B3449&lt;=44,"Mid Career",B3449&lt;=54,"Mature",B3449&lt;=65,"Pre-Senior",B3449&gt;65,"Senior")</f>
        <v>Pre-Senior</v>
      </c>
      <c r="D3449" s="1" t="s">
        <v>29</v>
      </c>
      <c r="E3449" s="1" t="s">
        <v>19</v>
      </c>
      <c r="F3449" s="1">
        <v>1625000</v>
      </c>
      <c r="G3449" s="1">
        <v>98</v>
      </c>
      <c r="H3449" s="1" t="str" cm="1">
        <f t="array" ref="H3449">_xlfn.IFS( OR(G3449=" ",NOT(ISNUMBER(G3449))),"Unknown",G3449&lt;=33,"Low Spender",G3449&lt;=66,"Medium Spender",TRUE, "High Spender")</f>
        <v>High Spender</v>
      </c>
      <c r="I3449" s="1">
        <v>2</v>
      </c>
      <c r="J3449" s="1">
        <v>11900</v>
      </c>
      <c r="K3449" s="1">
        <v>92</v>
      </c>
      <c r="M3449" s="1" t="s">
        <v>41</v>
      </c>
      <c r="N3449" s="1" t="str">
        <f t="shared" si="106"/>
        <v>Higher</v>
      </c>
      <c r="O3449" s="1" t="str">
        <f t="shared" si="107"/>
        <v>Pre-Senior | High Spender | Higher</v>
      </c>
    </row>
    <row r="3450" spans="1:15" x14ac:dyDescent="0.25">
      <c r="A3450" s="1" t="s">
        <v>3480</v>
      </c>
      <c r="B3450" s="1">
        <v>53</v>
      </c>
      <c r="C3450" s="1" t="str" cm="1">
        <f t="array" ref="C3450">_xlfn.IFS(OR(B3450=" ", B3450="NA",NOT(ISNUMBER(B3450))), "Unknown",B3450&lt;18,"Underage",B3450&lt;=24,"Young Adult",B3450&lt;=34,"Early Career",B3450&lt;=44,"Mid Career",B3450&lt;=54,"Mature",B3450&lt;=65,"Pre-Senior",B3450&gt;65,"Senior")</f>
        <v>Mature</v>
      </c>
      <c r="E3450" s="1" t="s">
        <v>49</v>
      </c>
      <c r="F3450" s="1">
        <v>1875000</v>
      </c>
      <c r="G3450" s="1">
        <v>81</v>
      </c>
      <c r="H3450" s="1" t="str" cm="1">
        <f t="array" ref="H3450">_xlfn.IFS( OR(G3450=" ",NOT(ISNUMBER(G3450))),"Unknown",G3450&lt;=33,"Low Spender",G3450&lt;=66,"Medium Spender",TRUE, "High Spender")</f>
        <v>High Spender</v>
      </c>
      <c r="I3450" s="1">
        <v>33</v>
      </c>
      <c r="J3450" s="1">
        <v>4700</v>
      </c>
      <c r="K3450" s="1">
        <v>247</v>
      </c>
      <c r="L3450" s="1" t="s">
        <v>35</v>
      </c>
      <c r="M3450" s="1" t="s">
        <v>41</v>
      </c>
      <c r="N3450" s="1" t="str">
        <f t="shared" si="106"/>
        <v>Lower</v>
      </c>
      <c r="O3450" s="1" t="str">
        <f t="shared" si="107"/>
        <v>Mature | High Spender | Lower</v>
      </c>
    </row>
    <row r="3451" spans="1:15" x14ac:dyDescent="0.25">
      <c r="A3451" s="1" t="s">
        <v>3481</v>
      </c>
      <c r="B3451" s="1">
        <v>60</v>
      </c>
      <c r="C3451" s="1" t="str" cm="1">
        <f t="array" ref="C3451">_xlfn.IFS(OR(B3451=" ", B3451="NA",NOT(ISNUMBER(B3451))), "Unknown",B3451&lt;18,"Underage",B3451&lt;=24,"Young Adult",B3451&lt;=34,"Early Career",B3451&lt;=44,"Mid Career",B3451&lt;=54,"Mature",B3451&lt;=65,"Pre-Senior",B3451&gt;65,"Senior")</f>
        <v>Pre-Senior</v>
      </c>
      <c r="E3451" s="1" t="s">
        <v>58</v>
      </c>
      <c r="F3451" s="1" t="s">
        <v>25</v>
      </c>
      <c r="G3451" s="1">
        <v>52</v>
      </c>
      <c r="H3451" s="1" t="str" cm="1">
        <f t="array" ref="H3451">_xlfn.IFS( OR(G3451=" ",NOT(ISNUMBER(G3451))),"Unknown",G3451&lt;=33,"Low Spender",G3451&lt;=66,"Medium Spender",TRUE, "High Spender")</f>
        <v>Medium Spender</v>
      </c>
      <c r="I3451" s="1">
        <v>72</v>
      </c>
      <c r="J3451" s="1">
        <v>600</v>
      </c>
      <c r="K3451" s="1">
        <v>258</v>
      </c>
      <c r="M3451" s="1" t="s">
        <v>41</v>
      </c>
      <c r="N3451" s="1" t="str">
        <f t="shared" si="106"/>
        <v>Lower</v>
      </c>
      <c r="O3451" s="1" t="str">
        <f t="shared" si="107"/>
        <v>Pre-Senior | Medium Spender | Lower</v>
      </c>
    </row>
    <row r="3452" spans="1:15" x14ac:dyDescent="0.25">
      <c r="A3452" s="1" t="s">
        <v>3482</v>
      </c>
      <c r="B3452" s="1">
        <v>37</v>
      </c>
      <c r="C3452" s="1" t="str" cm="1">
        <f t="array" ref="C3452">_xlfn.IFS(OR(B3452=" ", B3452="NA",NOT(ISNUMBER(B3452))), "Unknown",B3452&lt;18,"Underage",B3452&lt;=24,"Young Adult",B3452&lt;=34,"Early Career",B3452&lt;=44,"Mid Career",B3452&lt;=54,"Mature",B3452&lt;=65,"Pre-Senior",B3452&gt;65,"Senior")</f>
        <v>Mid Career</v>
      </c>
      <c r="D3452" s="1" t="s">
        <v>18</v>
      </c>
      <c r="E3452" s="1" t="s">
        <v>13</v>
      </c>
      <c r="F3452" s="1">
        <v>775000</v>
      </c>
      <c r="G3452" s="1">
        <v>58</v>
      </c>
      <c r="H3452" s="1" t="str" cm="1">
        <f t="array" ref="H3452">_xlfn.IFS( OR(G3452=" ",NOT(ISNUMBER(G3452))),"Unknown",G3452&lt;=33,"Low Spender",G3452&lt;=66,"Medium Spender",TRUE, "High Spender")</f>
        <v>Medium Spender</v>
      </c>
      <c r="I3452" s="1">
        <v>62</v>
      </c>
      <c r="J3452" s="1">
        <v>8600</v>
      </c>
      <c r="K3452" s="1">
        <v>187</v>
      </c>
      <c r="L3452" s="1" t="s">
        <v>35</v>
      </c>
      <c r="M3452" s="1" t="s">
        <v>21</v>
      </c>
      <c r="N3452" s="1" t="str">
        <f t="shared" si="106"/>
        <v>Higher</v>
      </c>
      <c r="O3452" s="1" t="str">
        <f t="shared" si="107"/>
        <v>Mid Career | Medium Spender | Higher</v>
      </c>
    </row>
    <row r="3453" spans="1:15" x14ac:dyDescent="0.25">
      <c r="A3453" s="1" t="s">
        <v>3483</v>
      </c>
      <c r="B3453" s="1">
        <v>35</v>
      </c>
      <c r="C3453" s="1" t="str" cm="1">
        <f t="array" ref="C3453">_xlfn.IFS(OR(B3453=" ", B3453="NA",NOT(ISNUMBER(B3453))), "Unknown",B3453&lt;18,"Underage",B3453&lt;=24,"Young Adult",B3453&lt;=34,"Early Career",B3453&lt;=44,"Mid Career",B3453&lt;=54,"Mature",B3453&lt;=65,"Pre-Senior",B3453&gt;65,"Senior")</f>
        <v>Mid Career</v>
      </c>
      <c r="E3453" s="1" t="s">
        <v>34</v>
      </c>
      <c r="F3453" s="1">
        <v>650000</v>
      </c>
      <c r="G3453" s="1">
        <v>41</v>
      </c>
      <c r="H3453" s="1" t="str" cm="1">
        <f t="array" ref="H3453">_xlfn.IFS( OR(G3453=" ",NOT(ISNUMBER(G3453))),"Unknown",G3453&lt;=33,"Low Spender",G3453&lt;=66,"Medium Spender",TRUE, "High Spender")</f>
        <v>Medium Spender</v>
      </c>
      <c r="I3453" s="1">
        <v>59</v>
      </c>
      <c r="J3453" s="1">
        <v>9700</v>
      </c>
      <c r="K3453" s="1">
        <v>124</v>
      </c>
      <c r="M3453" s="1" t="s">
        <v>21</v>
      </c>
      <c r="N3453" s="1" t="str">
        <f t="shared" si="106"/>
        <v>Lower</v>
      </c>
      <c r="O3453" s="1" t="str">
        <f t="shared" si="107"/>
        <v>Mid Career | Medium Spender | Lower</v>
      </c>
    </row>
    <row r="3454" spans="1:15" x14ac:dyDescent="0.25">
      <c r="A3454" s="1" t="s">
        <v>3484</v>
      </c>
      <c r="B3454" s="1">
        <v>60</v>
      </c>
      <c r="C3454" s="1" t="str" cm="1">
        <f t="array" ref="C3454">_xlfn.IFS(OR(B3454=" ", B3454="NA",NOT(ISNUMBER(B3454))), "Unknown",B3454&lt;18,"Underage",B3454&lt;=24,"Young Adult",B3454&lt;=34,"Early Career",B3454&lt;=44,"Mid Career",B3454&lt;=54,"Mature",B3454&lt;=65,"Pre-Senior",B3454&gt;65,"Senior")</f>
        <v>Pre-Senior</v>
      </c>
      <c r="F3454" s="1">
        <v>175000</v>
      </c>
      <c r="G3454" s="1">
        <v>44</v>
      </c>
      <c r="H3454" s="1" t="str" cm="1">
        <f t="array" ref="H3454">_xlfn.IFS( OR(G3454=" ",NOT(ISNUMBER(G3454))),"Unknown",G3454&lt;=33,"Low Spender",G3454&lt;=66,"Medium Spender",TRUE, "High Spender")</f>
        <v>Medium Spender</v>
      </c>
      <c r="I3454" s="1">
        <v>40</v>
      </c>
      <c r="J3454" s="1">
        <v>2200</v>
      </c>
      <c r="K3454" s="1">
        <v>260</v>
      </c>
      <c r="L3454" s="1" t="s">
        <v>37</v>
      </c>
      <c r="N3454" s="1" t="str">
        <f t="shared" si="106"/>
        <v>Lower</v>
      </c>
      <c r="O3454" s="1" t="str">
        <f t="shared" si="107"/>
        <v>Pre-Senior | Medium Spender | Lower</v>
      </c>
    </row>
    <row r="3455" spans="1:15" x14ac:dyDescent="0.25">
      <c r="A3455" s="1" t="s">
        <v>3485</v>
      </c>
      <c r="B3455" s="1">
        <v>38</v>
      </c>
      <c r="C3455" s="1" t="str" cm="1">
        <f t="array" ref="C3455">_xlfn.IFS(OR(B3455=" ", B3455="NA",NOT(ISNUMBER(B3455))), "Unknown",B3455&lt;18,"Underage",B3455&lt;=24,"Young Adult",B3455&lt;=34,"Early Career",B3455&lt;=44,"Mid Career",B3455&lt;=54,"Mature",B3455&lt;=65,"Pre-Senior",B3455&gt;65,"Senior")</f>
        <v>Mid Career</v>
      </c>
      <c r="D3455" s="1" t="s">
        <v>29</v>
      </c>
      <c r="F3455" s="1">
        <v>1300000</v>
      </c>
      <c r="G3455" s="1">
        <v>4</v>
      </c>
      <c r="H3455" s="1" t="str" cm="1">
        <f t="array" ref="H3455">_xlfn.IFS( OR(G3455=" ",NOT(ISNUMBER(G3455))),"Unknown",G3455&lt;=33,"Low Spender",G3455&lt;=66,"Medium Spender",TRUE, "High Spender")</f>
        <v>Low Spender</v>
      </c>
      <c r="I3455" s="1">
        <v>49</v>
      </c>
      <c r="J3455" s="1">
        <v>1300</v>
      </c>
      <c r="K3455" s="1">
        <v>169</v>
      </c>
      <c r="L3455" s="1" t="s">
        <v>35</v>
      </c>
      <c r="M3455" s="1" t="s">
        <v>21</v>
      </c>
      <c r="N3455" s="1" t="str">
        <f t="shared" si="106"/>
        <v>Higher</v>
      </c>
      <c r="O3455" s="1" t="str">
        <f t="shared" si="107"/>
        <v>Mid Career | Low Spender | Higher</v>
      </c>
    </row>
    <row r="3456" spans="1:15" x14ac:dyDescent="0.25">
      <c r="A3456" s="1" t="s">
        <v>3486</v>
      </c>
      <c r="B3456" s="1">
        <v>21</v>
      </c>
      <c r="C3456" s="1" t="str" cm="1">
        <f t="array" ref="C3456">_xlfn.IFS(OR(B3456=" ", B3456="NA",NOT(ISNUMBER(B3456))), "Unknown",B3456&lt;18,"Underage",B3456&lt;=24,"Young Adult",B3456&lt;=34,"Early Career",B3456&lt;=44,"Mid Career",B3456&lt;=54,"Mature",B3456&lt;=65,"Pre-Senior",B3456&gt;65,"Senior")</f>
        <v>Young Adult</v>
      </c>
      <c r="D3456" s="1" t="s">
        <v>18</v>
      </c>
      <c r="E3456" s="1" t="s">
        <v>27</v>
      </c>
      <c r="F3456" s="1">
        <v>875000</v>
      </c>
      <c r="G3456" s="1">
        <v>77</v>
      </c>
      <c r="H3456" s="1" t="str" cm="1">
        <f t="array" ref="H3456">_xlfn.IFS( OR(G3456=" ",NOT(ISNUMBER(G3456))),"Unknown",G3456&lt;=33,"Low Spender",G3456&lt;=66,"Medium Spender",TRUE, "High Spender")</f>
        <v>High Spender</v>
      </c>
      <c r="I3456" s="1">
        <v>32</v>
      </c>
      <c r="J3456" s="1">
        <v>11600</v>
      </c>
      <c r="N3456" s="1" t="str">
        <f t="shared" si="106"/>
        <v>Higher</v>
      </c>
      <c r="O3456" s="1" t="str">
        <f t="shared" si="107"/>
        <v>Young Adult | High Spender | Higher</v>
      </c>
    </row>
    <row r="3457" spans="1:15" x14ac:dyDescent="0.25">
      <c r="A3457" s="1" t="s">
        <v>3487</v>
      </c>
      <c r="B3457" s="1">
        <v>67</v>
      </c>
      <c r="C3457" s="1" t="str" cm="1">
        <f t="array" ref="C3457">_xlfn.IFS(OR(B3457=" ", B3457="NA",NOT(ISNUMBER(B3457))), "Unknown",B3457&lt;18,"Underage",B3457&lt;=24,"Young Adult",B3457&lt;=34,"Early Career",B3457&lt;=44,"Mid Career",B3457&lt;=54,"Mature",B3457&lt;=65,"Pre-Senior",B3457&gt;65,"Senior")</f>
        <v>Senior</v>
      </c>
      <c r="D3457" s="1" t="s">
        <v>29</v>
      </c>
      <c r="E3457" s="1" t="s">
        <v>27</v>
      </c>
      <c r="F3457" s="1">
        <v>800000</v>
      </c>
      <c r="G3457" s="1">
        <v>68</v>
      </c>
      <c r="H3457" s="1" t="str" cm="1">
        <f t="array" ref="H3457">_xlfn.IFS( OR(G3457=" ",NOT(ISNUMBER(G3457))),"Unknown",G3457&lt;=33,"Low Spender",G3457&lt;=66,"Medium Spender",TRUE, "High Spender")</f>
        <v>High Spender</v>
      </c>
      <c r="I3457" s="1">
        <v>38</v>
      </c>
      <c r="J3457" s="1">
        <v>6700</v>
      </c>
      <c r="K3457" s="1">
        <v>111</v>
      </c>
      <c r="M3457" s="1" t="s">
        <v>21</v>
      </c>
      <c r="N3457" s="1" t="str">
        <f t="shared" si="106"/>
        <v>Higher</v>
      </c>
      <c r="O3457" s="1" t="str">
        <f t="shared" si="107"/>
        <v>Senior | High Spender | Higher</v>
      </c>
    </row>
    <row r="3458" spans="1:15" x14ac:dyDescent="0.25">
      <c r="A3458" s="1" t="s">
        <v>3488</v>
      </c>
      <c r="B3458" s="1">
        <v>50</v>
      </c>
      <c r="C3458" s="1" t="str" cm="1">
        <f t="array" ref="C3458">_xlfn.IFS(OR(B3458=" ", B3458="NA",NOT(ISNUMBER(B3458))), "Unknown",B3458&lt;18,"Underage",B3458&lt;=24,"Young Adult",B3458&lt;=34,"Early Career",B3458&lt;=44,"Mid Career",B3458&lt;=54,"Mature",B3458&lt;=65,"Pre-Senior",B3458&gt;65,"Senior")</f>
        <v>Mature</v>
      </c>
      <c r="D3458" s="1" t="s">
        <v>18</v>
      </c>
      <c r="E3458" s="1" t="s">
        <v>13</v>
      </c>
      <c r="F3458" s="1">
        <v>1900000</v>
      </c>
      <c r="G3458" s="1">
        <v>7</v>
      </c>
      <c r="H3458" s="1" t="str" cm="1">
        <f t="array" ref="H3458">_xlfn.IFS( OR(G3458=" ",NOT(ISNUMBER(G3458))),"Unknown",G3458&lt;=33,"Low Spender",G3458&lt;=66,"Medium Spender",TRUE, "High Spender")</f>
        <v>Low Spender</v>
      </c>
      <c r="I3458" s="1">
        <v>79</v>
      </c>
      <c r="J3458" s="1">
        <v>11000</v>
      </c>
      <c r="K3458" s="1">
        <v>290</v>
      </c>
      <c r="L3458" s="1" t="s">
        <v>35</v>
      </c>
      <c r="M3458" s="1" t="s">
        <v>21</v>
      </c>
      <c r="N3458" s="1" t="str">
        <f t="shared" ref="N3458:N3501" si="108">IF(OR(UPPER(TRIM(D3458))="Male",UPPER(TRIM(D3458))="Female"),"Higher","Lower")</f>
        <v>Higher</v>
      </c>
      <c r="O3458" s="1" t="str">
        <f t="shared" ref="O3458:O3501" si="109">_xlfn.TEXTJOIN(" | ", TRUE, C3458, H3458, N3458)</f>
        <v>Mature | Low Spender | Higher</v>
      </c>
    </row>
    <row r="3459" spans="1:15" x14ac:dyDescent="0.25">
      <c r="A3459" s="1" t="s">
        <v>3489</v>
      </c>
      <c r="B3459" s="1">
        <v>44</v>
      </c>
      <c r="C3459" s="1" t="str" cm="1">
        <f t="array" ref="C3459">_xlfn.IFS(OR(B3459=" ", B3459="NA",NOT(ISNUMBER(B3459))), "Unknown",B3459&lt;18,"Underage",B3459&lt;=24,"Young Adult",B3459&lt;=34,"Early Career",B3459&lt;=44,"Mid Career",B3459&lt;=54,"Mature",B3459&lt;=65,"Pre-Senior",B3459&gt;65,"Senior")</f>
        <v>Mid Career</v>
      </c>
      <c r="D3459" s="1" t="s">
        <v>18</v>
      </c>
      <c r="E3459" s="1" t="s">
        <v>15</v>
      </c>
      <c r="F3459" s="1">
        <v>625000</v>
      </c>
      <c r="G3459" s="1">
        <v>46</v>
      </c>
      <c r="H3459" s="1" t="str" cm="1">
        <f t="array" ref="H3459">_xlfn.IFS( OR(G3459=" ",NOT(ISNUMBER(G3459))),"Unknown",G3459&lt;=33,"Low Spender",G3459&lt;=66,"Medium Spender",TRUE, "High Spender")</f>
        <v>Medium Spender</v>
      </c>
      <c r="I3459" s="1">
        <v>13</v>
      </c>
      <c r="J3459" s="1">
        <v>2000</v>
      </c>
      <c r="K3459" s="1">
        <v>87</v>
      </c>
      <c r="L3459" s="1" t="s">
        <v>16</v>
      </c>
      <c r="M3459" s="1" t="s">
        <v>21</v>
      </c>
      <c r="N3459" s="1" t="str">
        <f t="shared" si="108"/>
        <v>Higher</v>
      </c>
      <c r="O3459" s="1" t="str">
        <f t="shared" si="109"/>
        <v>Mid Career | Medium Spender | Higher</v>
      </c>
    </row>
    <row r="3460" spans="1:15" x14ac:dyDescent="0.25">
      <c r="A3460" s="1" t="s">
        <v>3490</v>
      </c>
      <c r="B3460" s="1">
        <v>24</v>
      </c>
      <c r="C3460" s="1" t="str" cm="1">
        <f t="array" ref="C3460">_xlfn.IFS(OR(B3460=" ", B3460="NA",NOT(ISNUMBER(B3460))), "Unknown",B3460&lt;18,"Underage",B3460&lt;=24,"Young Adult",B3460&lt;=34,"Early Career",B3460&lt;=44,"Mid Career",B3460&lt;=54,"Mature",B3460&lt;=65,"Pre-Senior",B3460&gt;65,"Senior")</f>
        <v>Young Adult</v>
      </c>
      <c r="D3460" s="1" t="s">
        <v>18</v>
      </c>
      <c r="F3460" s="1">
        <v>1375000</v>
      </c>
      <c r="G3460" s="1">
        <v>9</v>
      </c>
      <c r="H3460" s="1" t="str" cm="1">
        <f t="array" ref="H3460">_xlfn.IFS( OR(G3460=" ",NOT(ISNUMBER(G3460))),"Unknown",G3460&lt;=33,"Low Spender",G3460&lt;=66,"Medium Spender",TRUE, "High Spender")</f>
        <v>Low Spender</v>
      </c>
      <c r="I3460" s="1">
        <v>54</v>
      </c>
      <c r="J3460" s="1">
        <v>4100</v>
      </c>
      <c r="K3460" s="1">
        <v>13</v>
      </c>
      <c r="L3460" s="1" t="s">
        <v>16</v>
      </c>
      <c r="M3460" s="1" t="s">
        <v>30</v>
      </c>
      <c r="N3460" s="1" t="str">
        <f t="shared" si="108"/>
        <v>Higher</v>
      </c>
      <c r="O3460" s="1" t="str">
        <f t="shared" si="109"/>
        <v>Young Adult | Low Spender | Higher</v>
      </c>
    </row>
    <row r="3461" spans="1:15" x14ac:dyDescent="0.25">
      <c r="A3461" s="1" t="s">
        <v>3491</v>
      </c>
      <c r="B3461" s="1">
        <v>23</v>
      </c>
      <c r="C3461" s="1" t="str" cm="1">
        <f t="array" ref="C3461">_xlfn.IFS(OR(B3461=" ", B3461="NA",NOT(ISNUMBER(B3461))), "Unknown",B3461&lt;18,"Underage",B3461&lt;=24,"Young Adult",B3461&lt;=34,"Early Career",B3461&lt;=44,"Mid Career",B3461&lt;=54,"Mature",B3461&lt;=65,"Pre-Senior",B3461&gt;65,"Senior")</f>
        <v>Young Adult</v>
      </c>
      <c r="D3461" s="1" t="s">
        <v>12</v>
      </c>
      <c r="E3461" s="1" t="s">
        <v>27</v>
      </c>
      <c r="F3461" s="1">
        <v>700000</v>
      </c>
      <c r="G3461" s="1">
        <v>87</v>
      </c>
      <c r="H3461" s="1" t="str" cm="1">
        <f t="array" ref="H3461">_xlfn.IFS( OR(G3461=" ",NOT(ISNUMBER(G3461))),"Unknown",G3461&lt;=33,"Low Spender",G3461&lt;=66,"Medium Spender",TRUE, "High Spender")</f>
        <v>High Spender</v>
      </c>
      <c r="I3461" s="1">
        <v>76</v>
      </c>
      <c r="J3461" s="1">
        <v>4600</v>
      </c>
      <c r="K3461" s="1">
        <v>263</v>
      </c>
      <c r="L3461" s="1" t="s">
        <v>16</v>
      </c>
      <c r="M3461" s="1" t="s">
        <v>41</v>
      </c>
      <c r="N3461" s="1" t="str">
        <f t="shared" si="108"/>
        <v>Lower</v>
      </c>
      <c r="O3461" s="1" t="str">
        <f t="shared" si="109"/>
        <v>Young Adult | High Spender | Lower</v>
      </c>
    </row>
    <row r="3462" spans="1:15" x14ac:dyDescent="0.25">
      <c r="A3462" s="1" t="s">
        <v>3492</v>
      </c>
      <c r="B3462" s="1">
        <v>32</v>
      </c>
      <c r="C3462" s="1" t="str" cm="1">
        <f t="array" ref="C3462">_xlfn.IFS(OR(B3462=" ", B3462="NA",NOT(ISNUMBER(B3462))), "Unknown",B3462&lt;18,"Underage",B3462&lt;=24,"Young Adult",B3462&lt;=34,"Early Career",B3462&lt;=44,"Mid Career",B3462&lt;=54,"Mature",B3462&lt;=65,"Pre-Senior",B3462&gt;65,"Senior")</f>
        <v>Early Career</v>
      </c>
      <c r="D3462" s="1" t="s">
        <v>18</v>
      </c>
      <c r="E3462" s="1" t="s">
        <v>13</v>
      </c>
      <c r="F3462" s="1">
        <v>450000</v>
      </c>
      <c r="G3462" s="1">
        <v>33</v>
      </c>
      <c r="H3462" s="1" t="str" cm="1">
        <f t="array" ref="H3462">_xlfn.IFS( OR(G3462=" ",NOT(ISNUMBER(G3462))),"Unknown",G3462&lt;=33,"Low Spender",G3462&lt;=66,"Medium Spender",TRUE, "High Spender")</f>
        <v>Low Spender</v>
      </c>
      <c r="I3462" s="1">
        <v>13</v>
      </c>
      <c r="J3462" s="1">
        <v>9900</v>
      </c>
      <c r="K3462" s="1">
        <v>288</v>
      </c>
      <c r="L3462" s="1" t="s">
        <v>35</v>
      </c>
      <c r="M3462" s="1" t="s">
        <v>30</v>
      </c>
      <c r="N3462" s="1" t="str">
        <f t="shared" si="108"/>
        <v>Higher</v>
      </c>
      <c r="O3462" s="1" t="str">
        <f t="shared" si="109"/>
        <v>Early Career | Low Spender | Higher</v>
      </c>
    </row>
    <row r="3463" spans="1:15" x14ac:dyDescent="0.25">
      <c r="A3463" s="1" t="s">
        <v>3493</v>
      </c>
      <c r="B3463" s="1">
        <v>35</v>
      </c>
      <c r="C3463" s="1" t="str" cm="1">
        <f t="array" ref="C3463">_xlfn.IFS(OR(B3463=" ", B3463="NA",NOT(ISNUMBER(B3463))), "Unknown",B3463&lt;18,"Underage",B3463&lt;=24,"Young Adult",B3463&lt;=34,"Early Career",B3463&lt;=44,"Mid Career",B3463&lt;=54,"Mature",B3463&lt;=65,"Pre-Senior",B3463&gt;65,"Senior")</f>
        <v>Mid Career</v>
      </c>
      <c r="E3463" s="1" t="s">
        <v>27</v>
      </c>
      <c r="F3463" s="1">
        <v>225000</v>
      </c>
      <c r="G3463" s="1">
        <v>33</v>
      </c>
      <c r="H3463" s="1" t="str" cm="1">
        <f t="array" ref="H3463">_xlfn.IFS( OR(G3463=" ",NOT(ISNUMBER(G3463))),"Unknown",G3463&lt;=33,"Low Spender",G3463&lt;=66,"Medium Spender",TRUE, "High Spender")</f>
        <v>Low Spender</v>
      </c>
      <c r="I3463" s="1">
        <v>39</v>
      </c>
      <c r="K3463" s="1">
        <v>23</v>
      </c>
      <c r="L3463" s="1" t="s">
        <v>35</v>
      </c>
      <c r="M3463" s="1" t="s">
        <v>21</v>
      </c>
      <c r="N3463" s="1" t="str">
        <f t="shared" si="108"/>
        <v>Lower</v>
      </c>
      <c r="O3463" s="1" t="str">
        <f t="shared" si="109"/>
        <v>Mid Career | Low Spender | Lower</v>
      </c>
    </row>
    <row r="3464" spans="1:15" x14ac:dyDescent="0.25">
      <c r="A3464" s="1" t="s">
        <v>3494</v>
      </c>
      <c r="B3464" s="1">
        <v>49</v>
      </c>
      <c r="C3464" s="1" t="str" cm="1">
        <f t="array" ref="C3464">_xlfn.IFS(OR(B3464=" ", B3464="NA",NOT(ISNUMBER(B3464))), "Unknown",B3464&lt;18,"Underage",B3464&lt;=24,"Young Adult",B3464&lt;=34,"Early Career",B3464&lt;=44,"Mid Career",B3464&lt;=54,"Mature",B3464&lt;=65,"Pre-Senior",B3464&gt;65,"Senior")</f>
        <v>Mature</v>
      </c>
      <c r="E3464" s="1" t="s">
        <v>58</v>
      </c>
      <c r="F3464" s="1">
        <v>475000</v>
      </c>
      <c r="G3464" s="1">
        <v>84</v>
      </c>
      <c r="H3464" s="1" t="str" cm="1">
        <f t="array" ref="H3464">_xlfn.IFS( OR(G3464=" ",NOT(ISNUMBER(G3464))),"Unknown",G3464&lt;=33,"Low Spender",G3464&lt;=66,"Medium Spender",TRUE, "High Spender")</f>
        <v>High Spender</v>
      </c>
      <c r="I3464" s="1">
        <v>23</v>
      </c>
      <c r="J3464" s="1">
        <v>10200</v>
      </c>
      <c r="K3464" s="1">
        <v>200</v>
      </c>
      <c r="M3464" s="1" t="s">
        <v>21</v>
      </c>
      <c r="N3464" s="1" t="str">
        <f t="shared" si="108"/>
        <v>Lower</v>
      </c>
      <c r="O3464" s="1" t="str">
        <f t="shared" si="109"/>
        <v>Mature | High Spender | Lower</v>
      </c>
    </row>
    <row r="3465" spans="1:15" x14ac:dyDescent="0.25">
      <c r="A3465" s="1" t="s">
        <v>3495</v>
      </c>
      <c r="B3465" s="1">
        <v>28</v>
      </c>
      <c r="C3465" s="1" t="str" cm="1">
        <f t="array" ref="C3465">_xlfn.IFS(OR(B3465=" ", B3465="NA",NOT(ISNUMBER(B3465))), "Unknown",B3465&lt;18,"Underage",B3465&lt;=24,"Young Adult",B3465&lt;=34,"Early Career",B3465&lt;=44,"Mid Career",B3465&lt;=54,"Mature",B3465&lt;=65,"Pre-Senior",B3465&gt;65,"Senior")</f>
        <v>Early Career</v>
      </c>
      <c r="D3465" s="1" t="s">
        <v>29</v>
      </c>
      <c r="E3465" s="1" t="s">
        <v>49</v>
      </c>
      <c r="F3465" s="1">
        <v>625000</v>
      </c>
      <c r="G3465" s="1">
        <v>4</v>
      </c>
      <c r="H3465" s="1" t="str" cm="1">
        <f t="array" ref="H3465">_xlfn.IFS( OR(G3465=" ",NOT(ISNUMBER(G3465))),"Unknown",G3465&lt;=33,"Low Spender",G3465&lt;=66,"Medium Spender",TRUE, "High Spender")</f>
        <v>Low Spender</v>
      </c>
      <c r="I3465" s="1">
        <v>14</v>
      </c>
      <c r="J3465" s="1">
        <v>2000</v>
      </c>
      <c r="K3465" s="1">
        <v>242</v>
      </c>
      <c r="M3465" s="1" t="s">
        <v>30</v>
      </c>
      <c r="N3465" s="1" t="str">
        <f t="shared" si="108"/>
        <v>Higher</v>
      </c>
      <c r="O3465" s="1" t="str">
        <f t="shared" si="109"/>
        <v>Early Career | Low Spender | Higher</v>
      </c>
    </row>
    <row r="3466" spans="1:15" x14ac:dyDescent="0.25">
      <c r="A3466" s="1" t="s">
        <v>3496</v>
      </c>
      <c r="B3466" s="1">
        <v>37</v>
      </c>
      <c r="C3466" s="1" t="str" cm="1">
        <f t="array" ref="C3466">_xlfn.IFS(OR(B3466=" ", B3466="NA",NOT(ISNUMBER(B3466))), "Unknown",B3466&lt;18,"Underage",B3466&lt;=24,"Young Adult",B3466&lt;=34,"Early Career",B3466&lt;=44,"Mid Career",B3466&lt;=54,"Mature",B3466&lt;=65,"Pre-Senior",B3466&gt;65,"Senior")</f>
        <v>Mid Career</v>
      </c>
      <c r="D3466" s="1" t="s">
        <v>12</v>
      </c>
      <c r="E3466" s="1" t="s">
        <v>15</v>
      </c>
      <c r="F3466" s="1">
        <v>450000</v>
      </c>
      <c r="G3466" s="1">
        <v>65</v>
      </c>
      <c r="H3466" s="1" t="str" cm="1">
        <f t="array" ref="H3466">_xlfn.IFS( OR(G3466=" ",NOT(ISNUMBER(G3466))),"Unknown",G3466&lt;=33,"Low Spender",G3466&lt;=66,"Medium Spender",TRUE, "High Spender")</f>
        <v>Medium Spender</v>
      </c>
      <c r="I3466" s="1">
        <v>17</v>
      </c>
      <c r="J3466" s="1">
        <v>4900</v>
      </c>
      <c r="K3466" s="1">
        <v>239</v>
      </c>
      <c r="N3466" s="1" t="str">
        <f t="shared" si="108"/>
        <v>Lower</v>
      </c>
      <c r="O3466" s="1" t="str">
        <f t="shared" si="109"/>
        <v>Mid Career | Medium Spender | Lower</v>
      </c>
    </row>
    <row r="3467" spans="1:15" x14ac:dyDescent="0.25">
      <c r="A3467" s="1" t="s">
        <v>3497</v>
      </c>
      <c r="B3467" s="1">
        <v>41</v>
      </c>
      <c r="C3467" s="1" t="str" cm="1">
        <f t="array" ref="C3467">_xlfn.IFS(OR(B3467=" ", B3467="NA",NOT(ISNUMBER(B3467))), "Unknown",B3467&lt;18,"Underage",B3467&lt;=24,"Young Adult",B3467&lt;=34,"Early Career",B3467&lt;=44,"Mid Career",B3467&lt;=54,"Mature",B3467&lt;=65,"Pre-Senior",B3467&gt;65,"Senior")</f>
        <v>Mid Career</v>
      </c>
      <c r="E3467" s="1" t="s">
        <v>58</v>
      </c>
      <c r="F3467" s="1">
        <v>200000</v>
      </c>
      <c r="G3467" s="1">
        <v>34</v>
      </c>
      <c r="H3467" s="1" t="str" cm="1">
        <f t="array" ref="H3467">_xlfn.IFS( OR(G3467=" ",NOT(ISNUMBER(G3467))),"Unknown",G3467&lt;=33,"Low Spender",G3467&lt;=66,"Medium Spender",TRUE, "High Spender")</f>
        <v>Medium Spender</v>
      </c>
      <c r="I3467" s="1">
        <v>24</v>
      </c>
      <c r="J3467" s="1">
        <v>3300</v>
      </c>
      <c r="K3467" s="1">
        <v>303</v>
      </c>
      <c r="L3467" s="1" t="s">
        <v>37</v>
      </c>
      <c r="N3467" s="1" t="str">
        <f t="shared" si="108"/>
        <v>Lower</v>
      </c>
      <c r="O3467" s="1" t="str">
        <f t="shared" si="109"/>
        <v>Mid Career | Medium Spender | Lower</v>
      </c>
    </row>
    <row r="3468" spans="1:15" x14ac:dyDescent="0.25">
      <c r="A3468" s="1" t="s">
        <v>3498</v>
      </c>
      <c r="B3468" s="1">
        <v>32</v>
      </c>
      <c r="C3468" s="1" t="str" cm="1">
        <f t="array" ref="C3468">_xlfn.IFS(OR(B3468=" ", B3468="NA",NOT(ISNUMBER(B3468))), "Unknown",B3468&lt;18,"Underage",B3468&lt;=24,"Young Adult",B3468&lt;=34,"Early Career",B3468&lt;=44,"Mid Career",B3468&lt;=54,"Mature",B3468&lt;=65,"Pre-Senior",B3468&gt;65,"Senior")</f>
        <v>Early Career</v>
      </c>
      <c r="D3468" s="1" t="s">
        <v>18</v>
      </c>
      <c r="F3468" s="1">
        <v>1300000</v>
      </c>
      <c r="G3468" s="1">
        <v>91</v>
      </c>
      <c r="H3468" s="1" t="str" cm="1">
        <f t="array" ref="H3468">_xlfn.IFS( OR(G3468=" ",NOT(ISNUMBER(G3468))),"Unknown",G3468&lt;=33,"Low Spender",G3468&lt;=66,"Medium Spender",TRUE, "High Spender")</f>
        <v>High Spender</v>
      </c>
      <c r="I3468" s="1">
        <v>58</v>
      </c>
      <c r="J3468" s="1">
        <v>10100</v>
      </c>
      <c r="K3468" s="1">
        <v>165</v>
      </c>
      <c r="L3468" s="1" t="s">
        <v>35</v>
      </c>
      <c r="M3468" s="1" t="s">
        <v>41</v>
      </c>
      <c r="N3468" s="1" t="str">
        <f t="shared" si="108"/>
        <v>Higher</v>
      </c>
      <c r="O3468" s="1" t="str">
        <f t="shared" si="109"/>
        <v>Early Career | High Spender | Higher</v>
      </c>
    </row>
    <row r="3469" spans="1:15" x14ac:dyDescent="0.25">
      <c r="A3469" s="1" t="s">
        <v>3499</v>
      </c>
      <c r="B3469" s="1">
        <v>65</v>
      </c>
      <c r="C3469" s="1" t="str" cm="1">
        <f t="array" ref="C3469">_xlfn.IFS(OR(B3469=" ", B3469="NA",NOT(ISNUMBER(B3469))), "Unknown",B3469&lt;18,"Underage",B3469&lt;=24,"Young Adult",B3469&lt;=34,"Early Career",B3469&lt;=44,"Mid Career",B3469&lt;=54,"Mature",B3469&lt;=65,"Pre-Senior",B3469&gt;65,"Senior")</f>
        <v>Pre-Senior</v>
      </c>
      <c r="D3469" s="1" t="s">
        <v>18</v>
      </c>
      <c r="E3469" s="1" t="s">
        <v>13</v>
      </c>
      <c r="F3469" s="1">
        <v>200000</v>
      </c>
      <c r="G3469" s="1">
        <v>85</v>
      </c>
      <c r="H3469" s="1" t="str" cm="1">
        <f t="array" ref="H3469">_xlfn.IFS( OR(G3469=" ",NOT(ISNUMBER(G3469))),"Unknown",G3469&lt;=33,"Low Spender",G3469&lt;=66,"Medium Spender",TRUE, "High Spender")</f>
        <v>High Spender</v>
      </c>
      <c r="I3469" s="1">
        <v>63</v>
      </c>
      <c r="J3469" s="1">
        <v>4100</v>
      </c>
      <c r="K3469" s="1">
        <v>226</v>
      </c>
      <c r="N3469" s="1" t="str">
        <f t="shared" si="108"/>
        <v>Higher</v>
      </c>
      <c r="O3469" s="1" t="str">
        <f t="shared" si="109"/>
        <v>Pre-Senior | High Spender | Higher</v>
      </c>
    </row>
    <row r="3470" spans="1:15" x14ac:dyDescent="0.25">
      <c r="A3470" s="1" t="s">
        <v>3500</v>
      </c>
      <c r="B3470" s="1">
        <v>24</v>
      </c>
      <c r="C3470" s="1" t="str" cm="1">
        <f t="array" ref="C3470">_xlfn.IFS(OR(B3470=" ", B3470="NA",NOT(ISNUMBER(B3470))), "Unknown",B3470&lt;18,"Underage",B3470&lt;=24,"Young Adult",B3470&lt;=34,"Early Career",B3470&lt;=44,"Mid Career",B3470&lt;=54,"Mature",B3470&lt;=65,"Pre-Senior",B3470&gt;65,"Senior")</f>
        <v>Young Adult</v>
      </c>
      <c r="D3470" s="1" t="s">
        <v>12</v>
      </c>
      <c r="E3470" s="1" t="s">
        <v>34</v>
      </c>
      <c r="F3470" s="1">
        <v>150000</v>
      </c>
      <c r="G3470" s="1">
        <v>88</v>
      </c>
      <c r="H3470" s="1" t="str" cm="1">
        <f t="array" ref="H3470">_xlfn.IFS( OR(G3470=" ",NOT(ISNUMBER(G3470))),"Unknown",G3470&lt;=33,"Low Spender",G3470&lt;=66,"Medium Spender",TRUE, "High Spender")</f>
        <v>High Spender</v>
      </c>
      <c r="I3470" s="1">
        <v>34</v>
      </c>
      <c r="J3470" s="1">
        <v>4000</v>
      </c>
      <c r="K3470" s="1">
        <v>176</v>
      </c>
      <c r="N3470" s="1" t="str">
        <f t="shared" si="108"/>
        <v>Lower</v>
      </c>
      <c r="O3470" s="1" t="str">
        <f t="shared" si="109"/>
        <v>Young Adult | High Spender | Lower</v>
      </c>
    </row>
    <row r="3471" spans="1:15" x14ac:dyDescent="0.25">
      <c r="A3471" s="1" t="s">
        <v>3501</v>
      </c>
      <c r="B3471" s="1">
        <v>38</v>
      </c>
      <c r="C3471" s="1" t="str" cm="1">
        <f t="array" ref="C3471">_xlfn.IFS(OR(B3471=" ", B3471="NA",NOT(ISNUMBER(B3471))), "Unknown",B3471&lt;18,"Underage",B3471&lt;=24,"Young Adult",B3471&lt;=34,"Early Career",B3471&lt;=44,"Mid Career",B3471&lt;=54,"Mature",B3471&lt;=65,"Pre-Senior",B3471&gt;65,"Senior")</f>
        <v>Mid Career</v>
      </c>
      <c r="D3471" s="1" t="s">
        <v>18</v>
      </c>
      <c r="F3471" s="1">
        <v>725000</v>
      </c>
      <c r="G3471" s="1">
        <v>79</v>
      </c>
      <c r="H3471" s="1" t="str" cm="1">
        <f t="array" ref="H3471">_xlfn.IFS( OR(G3471=" ",NOT(ISNUMBER(G3471))),"Unknown",G3471&lt;=33,"Low Spender",G3471&lt;=66,"Medium Spender",TRUE, "High Spender")</f>
        <v>High Spender</v>
      </c>
      <c r="I3471" s="1">
        <v>51</v>
      </c>
      <c r="J3471" s="1">
        <v>8100</v>
      </c>
      <c r="K3471" s="1">
        <v>29</v>
      </c>
      <c r="L3471" s="1" t="s">
        <v>16</v>
      </c>
      <c r="M3471" s="1" t="s">
        <v>41</v>
      </c>
      <c r="N3471" s="1" t="str">
        <f t="shared" si="108"/>
        <v>Higher</v>
      </c>
      <c r="O3471" s="1" t="str">
        <f t="shared" si="109"/>
        <v>Mid Career | High Spender | Higher</v>
      </c>
    </row>
    <row r="3472" spans="1:15" x14ac:dyDescent="0.25">
      <c r="A3472" s="1" t="s">
        <v>3502</v>
      </c>
      <c r="B3472" s="1">
        <v>59</v>
      </c>
      <c r="C3472" s="1" t="str" cm="1">
        <f t="array" ref="C3472">_xlfn.IFS(OR(B3472=" ", B3472="NA",NOT(ISNUMBER(B3472))), "Unknown",B3472&lt;18,"Underage",B3472&lt;=24,"Young Adult",B3472&lt;=34,"Early Career",B3472&lt;=44,"Mid Career",B3472&lt;=54,"Mature",B3472&lt;=65,"Pre-Senior",B3472&gt;65,"Senior")</f>
        <v>Pre-Senior</v>
      </c>
      <c r="D3472" s="1" t="s">
        <v>18</v>
      </c>
      <c r="F3472" s="1">
        <v>1000000</v>
      </c>
      <c r="G3472" s="1">
        <v>99</v>
      </c>
      <c r="H3472" s="1" t="str" cm="1">
        <f t="array" ref="H3472">_xlfn.IFS( OR(G3472=" ",NOT(ISNUMBER(G3472))),"Unknown",G3472&lt;=33,"Low Spender",G3472&lt;=66,"Medium Spender",TRUE, "High Spender")</f>
        <v>High Spender</v>
      </c>
      <c r="I3472" s="1">
        <v>10</v>
      </c>
      <c r="J3472" s="1">
        <v>4900</v>
      </c>
      <c r="K3472" s="1">
        <v>165</v>
      </c>
      <c r="L3472" s="1" t="s">
        <v>16</v>
      </c>
      <c r="M3472" s="1" t="s">
        <v>32</v>
      </c>
      <c r="N3472" s="1" t="str">
        <f t="shared" si="108"/>
        <v>Higher</v>
      </c>
      <c r="O3472" s="1" t="str">
        <f t="shared" si="109"/>
        <v>Pre-Senior | High Spender | Higher</v>
      </c>
    </row>
    <row r="3473" spans="1:15" x14ac:dyDescent="0.25">
      <c r="A3473" s="1" t="s">
        <v>3503</v>
      </c>
      <c r="B3473" s="1">
        <v>43</v>
      </c>
      <c r="C3473" s="1" t="str" cm="1">
        <f t="array" ref="C3473">_xlfn.IFS(OR(B3473=" ", B3473="NA",NOT(ISNUMBER(B3473))), "Unknown",B3473&lt;18,"Underage",B3473&lt;=24,"Young Adult",B3473&lt;=34,"Early Career",B3473&lt;=44,"Mid Career",B3473&lt;=54,"Mature",B3473&lt;=65,"Pre-Senior",B3473&gt;65,"Senior")</f>
        <v>Mid Career</v>
      </c>
      <c r="D3473" s="1" t="s">
        <v>12</v>
      </c>
      <c r="E3473" s="1" t="s">
        <v>23</v>
      </c>
      <c r="F3473" s="1">
        <v>475000</v>
      </c>
      <c r="G3473" s="1">
        <v>64</v>
      </c>
      <c r="H3473" s="1" t="str" cm="1">
        <f t="array" ref="H3473">_xlfn.IFS( OR(G3473=" ",NOT(ISNUMBER(G3473))),"Unknown",G3473&lt;=33,"Low Spender",G3473&lt;=66,"Medium Spender",TRUE, "High Spender")</f>
        <v>Medium Spender</v>
      </c>
      <c r="I3473" s="1">
        <v>72</v>
      </c>
      <c r="J3473" s="1">
        <v>7200</v>
      </c>
      <c r="K3473" s="1">
        <v>23</v>
      </c>
      <c r="L3473" s="1" t="s">
        <v>16</v>
      </c>
      <c r="M3473" s="1" t="s">
        <v>41</v>
      </c>
      <c r="N3473" s="1" t="str">
        <f t="shared" si="108"/>
        <v>Lower</v>
      </c>
      <c r="O3473" s="1" t="str">
        <f t="shared" si="109"/>
        <v>Mid Career | Medium Spender | Lower</v>
      </c>
    </row>
    <row r="3474" spans="1:15" x14ac:dyDescent="0.25">
      <c r="A3474" s="1" t="s">
        <v>3504</v>
      </c>
      <c r="B3474" s="1">
        <v>61</v>
      </c>
      <c r="C3474" s="1" t="str" cm="1">
        <f t="array" ref="C3474">_xlfn.IFS(OR(B3474=" ", B3474="NA",NOT(ISNUMBER(B3474))), "Unknown",B3474&lt;18,"Underage",B3474&lt;=24,"Young Adult",B3474&lt;=34,"Early Career",B3474&lt;=44,"Mid Career",B3474&lt;=54,"Mature",B3474&lt;=65,"Pre-Senior",B3474&gt;65,"Senior")</f>
        <v>Pre-Senior</v>
      </c>
      <c r="D3474" s="1" t="s">
        <v>18</v>
      </c>
      <c r="E3474" s="1" t="s">
        <v>34</v>
      </c>
      <c r="F3474" s="1">
        <v>1800000</v>
      </c>
      <c r="G3474" s="1">
        <v>25</v>
      </c>
      <c r="H3474" s="1" t="str" cm="1">
        <f t="array" ref="H3474">_xlfn.IFS( OR(G3474=" ",NOT(ISNUMBER(G3474))),"Unknown",G3474&lt;=33,"Low Spender",G3474&lt;=66,"Medium Spender",TRUE, "High Spender")</f>
        <v>Low Spender</v>
      </c>
      <c r="I3474" s="1">
        <v>21</v>
      </c>
      <c r="J3474" s="1">
        <v>1000</v>
      </c>
      <c r="K3474" s="1">
        <v>294</v>
      </c>
      <c r="L3474" s="1" t="s">
        <v>20</v>
      </c>
      <c r="N3474" s="1" t="str">
        <f t="shared" si="108"/>
        <v>Higher</v>
      </c>
      <c r="O3474" s="1" t="str">
        <f t="shared" si="109"/>
        <v>Pre-Senior | Low Spender | Higher</v>
      </c>
    </row>
    <row r="3475" spans="1:15" x14ac:dyDescent="0.25">
      <c r="A3475" s="1" t="s">
        <v>3505</v>
      </c>
      <c r="B3475" s="1">
        <v>31</v>
      </c>
      <c r="C3475" s="1" t="str" cm="1">
        <f t="array" ref="C3475">_xlfn.IFS(OR(B3475=" ", B3475="NA",NOT(ISNUMBER(B3475))), "Unknown",B3475&lt;18,"Underage",B3475&lt;=24,"Young Adult",B3475&lt;=34,"Early Career",B3475&lt;=44,"Mid Career",B3475&lt;=54,"Mature",B3475&lt;=65,"Pre-Senior",B3475&gt;65,"Senior")</f>
        <v>Early Career</v>
      </c>
      <c r="D3475" s="1" t="s">
        <v>29</v>
      </c>
      <c r="E3475" s="1" t="s">
        <v>19</v>
      </c>
      <c r="F3475" s="1">
        <v>450000</v>
      </c>
      <c r="G3475" s="1">
        <v>55</v>
      </c>
      <c r="H3475" s="1" t="str" cm="1">
        <f t="array" ref="H3475">_xlfn.IFS( OR(G3475=" ",NOT(ISNUMBER(G3475))),"Unknown",G3475&lt;=33,"Low Spender",G3475&lt;=66,"Medium Spender",TRUE, "High Spender")</f>
        <v>Medium Spender</v>
      </c>
      <c r="I3475" s="1">
        <v>37</v>
      </c>
      <c r="J3475" s="1">
        <v>10600</v>
      </c>
      <c r="K3475" s="1">
        <v>44</v>
      </c>
      <c r="M3475" s="1" t="s">
        <v>41</v>
      </c>
      <c r="N3475" s="1" t="str">
        <f t="shared" si="108"/>
        <v>Higher</v>
      </c>
      <c r="O3475" s="1" t="str">
        <f t="shared" si="109"/>
        <v>Early Career | Medium Spender | Higher</v>
      </c>
    </row>
    <row r="3476" spans="1:15" x14ac:dyDescent="0.25">
      <c r="A3476" s="1" t="s">
        <v>3506</v>
      </c>
      <c r="B3476" s="1">
        <v>54</v>
      </c>
      <c r="C3476" s="1" t="str" cm="1">
        <f t="array" ref="C3476">_xlfn.IFS(OR(B3476=" ", B3476="NA",NOT(ISNUMBER(B3476))), "Unknown",B3476&lt;18,"Underage",B3476&lt;=24,"Young Adult",B3476&lt;=34,"Early Career",B3476&lt;=44,"Mid Career",B3476&lt;=54,"Mature",B3476&lt;=65,"Pre-Senior",B3476&gt;65,"Senior")</f>
        <v>Mature</v>
      </c>
      <c r="D3476" s="1" t="s">
        <v>18</v>
      </c>
      <c r="E3476" s="1" t="s">
        <v>23</v>
      </c>
      <c r="F3476" s="1">
        <v>1300000</v>
      </c>
      <c r="G3476" s="1">
        <v>9</v>
      </c>
      <c r="H3476" s="1" t="str" cm="1">
        <f t="array" ref="H3476">_xlfn.IFS( OR(G3476=" ",NOT(ISNUMBER(G3476))),"Unknown",G3476&lt;=33,"Low Spender",G3476&lt;=66,"Medium Spender",TRUE, "High Spender")</f>
        <v>Low Spender</v>
      </c>
      <c r="I3476" s="1">
        <v>7</v>
      </c>
      <c r="J3476" s="1">
        <v>8800</v>
      </c>
      <c r="K3476" s="1">
        <v>261</v>
      </c>
      <c r="L3476" s="1" t="s">
        <v>16</v>
      </c>
      <c r="M3476" s="1" t="s">
        <v>32</v>
      </c>
      <c r="N3476" s="1" t="str">
        <f t="shared" si="108"/>
        <v>Higher</v>
      </c>
      <c r="O3476" s="1" t="str">
        <f t="shared" si="109"/>
        <v>Mature | Low Spender | Higher</v>
      </c>
    </row>
    <row r="3477" spans="1:15" x14ac:dyDescent="0.25">
      <c r="A3477" s="1" t="s">
        <v>3507</v>
      </c>
      <c r="B3477" s="1">
        <v>38</v>
      </c>
      <c r="C3477" s="1" t="str" cm="1">
        <f t="array" ref="C3477">_xlfn.IFS(OR(B3477=" ", B3477="NA",NOT(ISNUMBER(B3477))), "Unknown",B3477&lt;18,"Underage",B3477&lt;=24,"Young Adult",B3477&lt;=34,"Early Career",B3477&lt;=44,"Mid Career",B3477&lt;=54,"Mature",B3477&lt;=65,"Pre-Senior",B3477&gt;65,"Senior")</f>
        <v>Mid Career</v>
      </c>
      <c r="E3477" s="1" t="s">
        <v>13</v>
      </c>
      <c r="F3477" s="1">
        <v>1375000</v>
      </c>
      <c r="G3477" s="1">
        <v>17</v>
      </c>
      <c r="H3477" s="1" t="str" cm="1">
        <f t="array" ref="H3477">_xlfn.IFS( OR(G3477=" ",NOT(ISNUMBER(G3477))),"Unknown",G3477&lt;=33,"Low Spender",G3477&lt;=66,"Medium Spender",TRUE, "High Spender")</f>
        <v>Low Spender</v>
      </c>
      <c r="I3477" s="1">
        <v>13</v>
      </c>
      <c r="J3477" s="1">
        <v>6700</v>
      </c>
      <c r="K3477" s="1">
        <v>180</v>
      </c>
      <c r="L3477" s="1" t="s">
        <v>16</v>
      </c>
      <c r="M3477" s="1" t="s">
        <v>32</v>
      </c>
      <c r="N3477" s="1" t="str">
        <f t="shared" si="108"/>
        <v>Lower</v>
      </c>
      <c r="O3477" s="1" t="str">
        <f t="shared" si="109"/>
        <v>Mid Career | Low Spender | Lower</v>
      </c>
    </row>
    <row r="3478" spans="1:15" x14ac:dyDescent="0.25">
      <c r="A3478" s="1" t="s">
        <v>3508</v>
      </c>
      <c r="B3478" s="1">
        <v>35</v>
      </c>
      <c r="C3478" s="1" t="str" cm="1">
        <f t="array" ref="C3478">_xlfn.IFS(OR(B3478=" ", B3478="NA",NOT(ISNUMBER(B3478))), "Unknown",B3478&lt;18,"Underage",B3478&lt;=24,"Young Adult",B3478&lt;=34,"Early Career",B3478&lt;=44,"Mid Career",B3478&lt;=54,"Mature",B3478&lt;=65,"Pre-Senior",B3478&gt;65,"Senior")</f>
        <v>Mid Career</v>
      </c>
      <c r="E3478" s="1" t="s">
        <v>19</v>
      </c>
      <c r="F3478" s="1">
        <v>775000</v>
      </c>
      <c r="G3478" s="1">
        <v>21</v>
      </c>
      <c r="H3478" s="1" t="str" cm="1">
        <f t="array" ref="H3478">_xlfn.IFS( OR(G3478=" ",NOT(ISNUMBER(G3478))),"Unknown",G3478&lt;=33,"Low Spender",G3478&lt;=66,"Medium Spender",TRUE, "High Spender")</f>
        <v>Low Spender</v>
      </c>
      <c r="J3478" s="1">
        <v>1500</v>
      </c>
      <c r="K3478" s="1">
        <v>296</v>
      </c>
      <c r="L3478" s="1" t="s">
        <v>35</v>
      </c>
      <c r="M3478" s="1" t="s">
        <v>21</v>
      </c>
      <c r="N3478" s="1" t="str">
        <f t="shared" si="108"/>
        <v>Lower</v>
      </c>
      <c r="O3478" s="1" t="str">
        <f t="shared" si="109"/>
        <v>Mid Career | Low Spender | Lower</v>
      </c>
    </row>
    <row r="3479" spans="1:15" x14ac:dyDescent="0.25">
      <c r="A3479" s="1" t="s">
        <v>3509</v>
      </c>
      <c r="B3479" s="1">
        <v>22</v>
      </c>
      <c r="C3479" s="1" t="str" cm="1">
        <f t="array" ref="C3479">_xlfn.IFS(OR(B3479=" ", B3479="NA",NOT(ISNUMBER(B3479))), "Unknown",B3479&lt;18,"Underage",B3479&lt;=24,"Young Adult",B3479&lt;=34,"Early Career",B3479&lt;=44,"Mid Career",B3479&lt;=54,"Mature",B3479&lt;=65,"Pre-Senior",B3479&gt;65,"Senior")</f>
        <v>Young Adult</v>
      </c>
      <c r="D3479" s="1" t="s">
        <v>18</v>
      </c>
      <c r="E3479" s="1" t="s">
        <v>27</v>
      </c>
      <c r="F3479" s="1">
        <v>200000</v>
      </c>
      <c r="G3479" s="1">
        <v>60</v>
      </c>
      <c r="H3479" s="1" t="str" cm="1">
        <f t="array" ref="H3479">_xlfn.IFS( OR(G3479=" ",NOT(ISNUMBER(G3479))),"Unknown",G3479&lt;=33,"Low Spender",G3479&lt;=66,"Medium Spender",TRUE, "High Spender")</f>
        <v>Medium Spender</v>
      </c>
      <c r="I3479" s="1">
        <v>30</v>
      </c>
      <c r="J3479" s="1">
        <v>5700</v>
      </c>
      <c r="K3479" s="1">
        <v>139</v>
      </c>
      <c r="M3479" s="1" t="s">
        <v>32</v>
      </c>
      <c r="N3479" s="1" t="str">
        <f t="shared" si="108"/>
        <v>Higher</v>
      </c>
      <c r="O3479" s="1" t="str">
        <f t="shared" si="109"/>
        <v>Young Adult | Medium Spender | Higher</v>
      </c>
    </row>
    <row r="3480" spans="1:15" x14ac:dyDescent="0.25">
      <c r="A3480" s="1" t="s">
        <v>3510</v>
      </c>
      <c r="B3480" s="1">
        <v>20</v>
      </c>
      <c r="C3480" s="1" t="str" cm="1">
        <f t="array" ref="C3480">_xlfn.IFS(OR(B3480=" ", B3480="NA",NOT(ISNUMBER(B3480))), "Unknown",B3480&lt;18,"Underage",B3480&lt;=24,"Young Adult",B3480&lt;=34,"Early Career",B3480&lt;=44,"Mid Career",B3480&lt;=54,"Mature",B3480&lt;=65,"Pre-Senior",B3480&gt;65,"Senior")</f>
        <v>Young Adult</v>
      </c>
      <c r="D3480" s="1" t="s">
        <v>29</v>
      </c>
      <c r="E3480" s="1" t="s">
        <v>27</v>
      </c>
      <c r="F3480" s="1">
        <v>1400000</v>
      </c>
      <c r="G3480" s="1">
        <v>13</v>
      </c>
      <c r="H3480" s="1" t="str" cm="1">
        <f t="array" ref="H3480">_xlfn.IFS( OR(G3480=" ",NOT(ISNUMBER(G3480))),"Unknown",G3480&lt;=33,"Low Spender",G3480&lt;=66,"Medium Spender",TRUE, "High Spender")</f>
        <v>Low Spender</v>
      </c>
      <c r="I3480" s="1">
        <v>31</v>
      </c>
      <c r="J3480" s="1">
        <v>9000</v>
      </c>
      <c r="K3480" s="1">
        <v>334</v>
      </c>
      <c r="L3480" s="1" t="s">
        <v>16</v>
      </c>
      <c r="M3480" s="1" t="s">
        <v>30</v>
      </c>
      <c r="N3480" s="1" t="str">
        <f t="shared" si="108"/>
        <v>Higher</v>
      </c>
      <c r="O3480" s="1" t="str">
        <f t="shared" si="109"/>
        <v>Young Adult | Low Spender | Higher</v>
      </c>
    </row>
    <row r="3481" spans="1:15" x14ac:dyDescent="0.25">
      <c r="A3481" s="1" t="s">
        <v>3511</v>
      </c>
      <c r="B3481" s="1">
        <v>40</v>
      </c>
      <c r="C3481" s="1" t="str" cm="1">
        <f t="array" ref="C3481">_xlfn.IFS(OR(B3481=" ", B3481="NA",NOT(ISNUMBER(B3481))), "Unknown",B3481&lt;18,"Underage",B3481&lt;=24,"Young Adult",B3481&lt;=34,"Early Career",B3481&lt;=44,"Mid Career",B3481&lt;=54,"Mature",B3481&lt;=65,"Pre-Senior",B3481&gt;65,"Senior")</f>
        <v>Mid Career</v>
      </c>
      <c r="D3481" s="1" t="s">
        <v>18</v>
      </c>
      <c r="F3481" s="1">
        <v>1125000</v>
      </c>
      <c r="G3481" s="1">
        <v>3</v>
      </c>
      <c r="H3481" s="1" t="str" cm="1">
        <f t="array" ref="H3481">_xlfn.IFS( OR(G3481=" ",NOT(ISNUMBER(G3481))),"Unknown",G3481&lt;=33,"Low Spender",G3481&lt;=66,"Medium Spender",TRUE, "High Spender")</f>
        <v>Low Spender</v>
      </c>
      <c r="I3481" s="1">
        <v>5</v>
      </c>
      <c r="J3481" s="1">
        <v>8700</v>
      </c>
      <c r="K3481" s="1">
        <v>248</v>
      </c>
      <c r="L3481" s="1" t="s">
        <v>35</v>
      </c>
      <c r="N3481" s="1" t="str">
        <f t="shared" si="108"/>
        <v>Higher</v>
      </c>
      <c r="O3481" s="1" t="str">
        <f t="shared" si="109"/>
        <v>Mid Career | Low Spender | Higher</v>
      </c>
    </row>
    <row r="3482" spans="1:15" x14ac:dyDescent="0.25">
      <c r="A3482" s="1" t="s">
        <v>3512</v>
      </c>
      <c r="B3482" s="1">
        <v>43</v>
      </c>
      <c r="C3482" s="1" t="str" cm="1">
        <f t="array" ref="C3482">_xlfn.IFS(OR(B3482=" ", B3482="NA",NOT(ISNUMBER(B3482))), "Unknown",B3482&lt;18,"Underage",B3482&lt;=24,"Young Adult",B3482&lt;=34,"Early Career",B3482&lt;=44,"Mid Career",B3482&lt;=54,"Mature",B3482&lt;=65,"Pre-Senior",B3482&gt;65,"Senior")</f>
        <v>Mid Career</v>
      </c>
      <c r="E3482" s="1" t="s">
        <v>23</v>
      </c>
      <c r="F3482" s="1">
        <v>1825000</v>
      </c>
      <c r="G3482" s="1">
        <v>68</v>
      </c>
      <c r="H3482" s="1" t="str" cm="1">
        <f t="array" ref="H3482">_xlfn.IFS( OR(G3482=" ",NOT(ISNUMBER(G3482))),"Unknown",G3482&lt;=33,"Low Spender",G3482&lt;=66,"Medium Spender",TRUE, "High Spender")</f>
        <v>High Spender</v>
      </c>
      <c r="I3482" s="1">
        <v>32</v>
      </c>
      <c r="J3482" s="1">
        <v>11100</v>
      </c>
      <c r="K3482" s="1">
        <v>241</v>
      </c>
      <c r="L3482" s="1" t="s">
        <v>37</v>
      </c>
      <c r="M3482" s="1" t="s">
        <v>30</v>
      </c>
      <c r="N3482" s="1" t="str">
        <f t="shared" si="108"/>
        <v>Lower</v>
      </c>
      <c r="O3482" s="1" t="str">
        <f t="shared" si="109"/>
        <v>Mid Career | High Spender | Lower</v>
      </c>
    </row>
    <row r="3483" spans="1:15" x14ac:dyDescent="0.25">
      <c r="A3483" s="1" t="s">
        <v>3513</v>
      </c>
      <c r="B3483" s="1">
        <v>54</v>
      </c>
      <c r="C3483" s="1" t="str" cm="1">
        <f t="array" ref="C3483">_xlfn.IFS(OR(B3483=" ", B3483="NA",NOT(ISNUMBER(B3483))), "Unknown",B3483&lt;18,"Underage",B3483&lt;=24,"Young Adult",B3483&lt;=34,"Early Career",B3483&lt;=44,"Mid Career",B3483&lt;=54,"Mature",B3483&lt;=65,"Pre-Senior",B3483&gt;65,"Senior")</f>
        <v>Mature</v>
      </c>
      <c r="F3483" s="1">
        <v>1025000</v>
      </c>
      <c r="G3483" s="1">
        <v>4</v>
      </c>
      <c r="H3483" s="1" t="str" cm="1">
        <f t="array" ref="H3483">_xlfn.IFS( OR(G3483=" ",NOT(ISNUMBER(G3483))),"Unknown",G3483&lt;=33,"Low Spender",G3483&lt;=66,"Medium Spender",TRUE, "High Spender")</f>
        <v>Low Spender</v>
      </c>
      <c r="I3483" s="1">
        <v>16</v>
      </c>
      <c r="J3483" s="1">
        <v>4500</v>
      </c>
      <c r="K3483" s="1">
        <v>106</v>
      </c>
      <c r="L3483" s="1" t="s">
        <v>16</v>
      </c>
      <c r="N3483" s="1" t="str">
        <f t="shared" si="108"/>
        <v>Lower</v>
      </c>
      <c r="O3483" s="1" t="str">
        <f t="shared" si="109"/>
        <v>Mature | Low Spender | Lower</v>
      </c>
    </row>
    <row r="3484" spans="1:15" x14ac:dyDescent="0.25">
      <c r="A3484" s="1" t="s">
        <v>3514</v>
      </c>
      <c r="B3484" s="1">
        <v>41</v>
      </c>
      <c r="C3484" s="1" t="str" cm="1">
        <f t="array" ref="C3484">_xlfn.IFS(OR(B3484=" ", B3484="NA",NOT(ISNUMBER(B3484))), "Unknown",B3484&lt;18,"Underage",B3484&lt;=24,"Young Adult",B3484&lt;=34,"Early Career",B3484&lt;=44,"Mid Career",B3484&lt;=54,"Mature",B3484&lt;=65,"Pre-Senior",B3484&gt;65,"Senior")</f>
        <v>Mid Career</v>
      </c>
      <c r="D3484" s="1" t="s">
        <v>29</v>
      </c>
      <c r="E3484" s="1" t="s">
        <v>34</v>
      </c>
      <c r="F3484" s="1">
        <v>1400000</v>
      </c>
      <c r="G3484" s="1">
        <v>92</v>
      </c>
      <c r="H3484" s="1" t="str" cm="1">
        <f t="array" ref="H3484">_xlfn.IFS( OR(G3484=" ",NOT(ISNUMBER(G3484))),"Unknown",G3484&lt;=33,"Low Spender",G3484&lt;=66,"Medium Spender",TRUE, "High Spender")</f>
        <v>High Spender</v>
      </c>
      <c r="I3484" s="1">
        <v>73</v>
      </c>
      <c r="J3484" s="1">
        <v>600</v>
      </c>
      <c r="K3484" s="1">
        <v>173</v>
      </c>
      <c r="M3484" s="1" t="s">
        <v>30</v>
      </c>
      <c r="N3484" s="1" t="str">
        <f t="shared" si="108"/>
        <v>Higher</v>
      </c>
      <c r="O3484" s="1" t="str">
        <f t="shared" si="109"/>
        <v>Mid Career | High Spender | Higher</v>
      </c>
    </row>
    <row r="3485" spans="1:15" x14ac:dyDescent="0.25">
      <c r="A3485" s="1" t="s">
        <v>3515</v>
      </c>
      <c r="B3485" s="1">
        <v>66</v>
      </c>
      <c r="C3485" s="1" t="str" cm="1">
        <f t="array" ref="C3485">_xlfn.IFS(OR(B3485=" ", B3485="NA",NOT(ISNUMBER(B3485))), "Unknown",B3485&lt;18,"Underage",B3485&lt;=24,"Young Adult",B3485&lt;=34,"Early Career",B3485&lt;=44,"Mid Career",B3485&lt;=54,"Mature",B3485&lt;=65,"Pre-Senior",B3485&gt;65,"Senior")</f>
        <v>Senior</v>
      </c>
      <c r="D3485" s="1" t="s">
        <v>29</v>
      </c>
      <c r="E3485" s="1" t="s">
        <v>19</v>
      </c>
      <c r="F3485" s="1">
        <v>150000</v>
      </c>
      <c r="G3485" s="1">
        <v>7</v>
      </c>
      <c r="H3485" s="1" t="str" cm="1">
        <f t="array" ref="H3485">_xlfn.IFS( OR(G3485=" ",NOT(ISNUMBER(G3485))),"Unknown",G3485&lt;=33,"Low Spender",G3485&lt;=66,"Medium Spender",TRUE, "High Spender")</f>
        <v>Low Spender</v>
      </c>
      <c r="I3485" s="1">
        <v>22</v>
      </c>
      <c r="J3485" s="1">
        <v>7300</v>
      </c>
      <c r="K3485" s="1">
        <v>49</v>
      </c>
      <c r="L3485" s="1" t="s">
        <v>35</v>
      </c>
      <c r="N3485" s="1" t="str">
        <f t="shared" si="108"/>
        <v>Higher</v>
      </c>
      <c r="O3485" s="1" t="str">
        <f t="shared" si="109"/>
        <v>Senior | Low Spender | Higher</v>
      </c>
    </row>
    <row r="3486" spans="1:15" x14ac:dyDescent="0.25">
      <c r="A3486" s="1" t="s">
        <v>3516</v>
      </c>
      <c r="B3486" s="1">
        <v>36</v>
      </c>
      <c r="C3486" s="1" t="str" cm="1">
        <f t="array" ref="C3486">_xlfn.IFS(OR(B3486=" ", B3486="NA",NOT(ISNUMBER(B3486))), "Unknown",B3486&lt;18,"Underage",B3486&lt;=24,"Young Adult",B3486&lt;=34,"Early Career",B3486&lt;=44,"Mid Career",B3486&lt;=54,"Mature",B3486&lt;=65,"Pre-Senior",B3486&gt;65,"Senior")</f>
        <v>Mid Career</v>
      </c>
      <c r="D3486" s="1" t="s">
        <v>12</v>
      </c>
      <c r="E3486" s="1" t="s">
        <v>34</v>
      </c>
      <c r="F3486" s="1">
        <v>950000</v>
      </c>
      <c r="G3486" s="1">
        <v>26</v>
      </c>
      <c r="H3486" s="1" t="str" cm="1">
        <f t="array" ref="H3486">_xlfn.IFS( OR(G3486=" ",NOT(ISNUMBER(G3486))),"Unknown",G3486&lt;=33,"Low Spender",G3486&lt;=66,"Medium Spender",TRUE, "High Spender")</f>
        <v>Low Spender</v>
      </c>
      <c r="I3486" s="1">
        <v>64</v>
      </c>
      <c r="J3486" s="1">
        <v>6200</v>
      </c>
      <c r="K3486" s="1">
        <v>123</v>
      </c>
      <c r="N3486" s="1" t="str">
        <f t="shared" si="108"/>
        <v>Lower</v>
      </c>
      <c r="O3486" s="1" t="str">
        <f t="shared" si="109"/>
        <v>Mid Career | Low Spender | Lower</v>
      </c>
    </row>
    <row r="3487" spans="1:15" x14ac:dyDescent="0.25">
      <c r="A3487" s="1" t="s">
        <v>3517</v>
      </c>
      <c r="B3487" s="1">
        <v>68</v>
      </c>
      <c r="C3487" s="1" t="str" cm="1">
        <f t="array" ref="C3487">_xlfn.IFS(OR(B3487=" ", B3487="NA",NOT(ISNUMBER(B3487))), "Unknown",B3487&lt;18,"Underage",B3487&lt;=24,"Young Adult",B3487&lt;=34,"Early Career",B3487&lt;=44,"Mid Career",B3487&lt;=54,"Mature",B3487&lt;=65,"Pre-Senior",B3487&gt;65,"Senior")</f>
        <v>Senior</v>
      </c>
      <c r="D3487" s="1" t="s">
        <v>12</v>
      </c>
      <c r="E3487" s="1" t="s">
        <v>23</v>
      </c>
      <c r="F3487" s="1">
        <v>300000</v>
      </c>
      <c r="G3487" s="1">
        <v>75</v>
      </c>
      <c r="H3487" s="1" t="str" cm="1">
        <f t="array" ref="H3487">_xlfn.IFS( OR(G3487=" ",NOT(ISNUMBER(G3487))),"Unknown",G3487&lt;=33,"Low Spender",G3487&lt;=66,"Medium Spender",TRUE, "High Spender")</f>
        <v>High Spender</v>
      </c>
      <c r="I3487" s="1">
        <v>44</v>
      </c>
      <c r="J3487" s="1">
        <v>1400</v>
      </c>
      <c r="K3487" s="1">
        <v>35</v>
      </c>
      <c r="L3487" s="1" t="s">
        <v>16</v>
      </c>
      <c r="M3487" s="1" t="s">
        <v>30</v>
      </c>
      <c r="N3487" s="1" t="str">
        <f t="shared" si="108"/>
        <v>Lower</v>
      </c>
      <c r="O3487" s="1" t="str">
        <f t="shared" si="109"/>
        <v>Senior | High Spender | Lower</v>
      </c>
    </row>
    <row r="3488" spans="1:15" x14ac:dyDescent="0.25">
      <c r="A3488" s="1" t="s">
        <v>3518</v>
      </c>
      <c r="B3488" s="1">
        <v>42</v>
      </c>
      <c r="C3488" s="1" t="str" cm="1">
        <f t="array" ref="C3488">_xlfn.IFS(OR(B3488=" ", B3488="NA",NOT(ISNUMBER(B3488))), "Unknown",B3488&lt;18,"Underage",B3488&lt;=24,"Young Adult",B3488&lt;=34,"Early Career",B3488&lt;=44,"Mid Career",B3488&lt;=54,"Mature",B3488&lt;=65,"Pre-Senior",B3488&gt;65,"Senior")</f>
        <v>Mid Career</v>
      </c>
      <c r="F3488" s="1">
        <v>1425000</v>
      </c>
      <c r="G3488" s="1">
        <v>24</v>
      </c>
      <c r="H3488" s="1" t="str" cm="1">
        <f t="array" ref="H3488">_xlfn.IFS( OR(G3488=" ",NOT(ISNUMBER(G3488))),"Unknown",G3488&lt;=33,"Low Spender",G3488&lt;=66,"Medium Spender",TRUE, "High Spender")</f>
        <v>Low Spender</v>
      </c>
      <c r="I3488" s="1">
        <v>40</v>
      </c>
      <c r="J3488" s="1">
        <v>6100</v>
      </c>
      <c r="K3488" s="1">
        <v>106</v>
      </c>
      <c r="L3488" s="1" t="s">
        <v>37</v>
      </c>
      <c r="M3488" s="1" t="s">
        <v>30</v>
      </c>
      <c r="N3488" s="1" t="str">
        <f t="shared" si="108"/>
        <v>Lower</v>
      </c>
      <c r="O3488" s="1" t="str">
        <f t="shared" si="109"/>
        <v>Mid Career | Low Spender | Lower</v>
      </c>
    </row>
    <row r="3489" spans="1:15" x14ac:dyDescent="0.25">
      <c r="A3489" s="1" t="s">
        <v>3519</v>
      </c>
      <c r="B3489" s="1">
        <v>38</v>
      </c>
      <c r="C3489" s="1" t="str" cm="1">
        <f t="array" ref="C3489">_xlfn.IFS(OR(B3489=" ", B3489="NA",NOT(ISNUMBER(B3489))), "Unknown",B3489&lt;18,"Underage",B3489&lt;=24,"Young Adult",B3489&lt;=34,"Early Career",B3489&lt;=44,"Mid Career",B3489&lt;=54,"Mature",B3489&lt;=65,"Pre-Senior",B3489&gt;65,"Senior")</f>
        <v>Mid Career</v>
      </c>
      <c r="D3489" s="1" t="s">
        <v>29</v>
      </c>
      <c r="E3489" s="1" t="s">
        <v>58</v>
      </c>
      <c r="F3489" s="1">
        <v>400000</v>
      </c>
      <c r="G3489" s="1">
        <v>10</v>
      </c>
      <c r="H3489" s="1" t="str" cm="1">
        <f t="array" ref="H3489">_xlfn.IFS( OR(G3489=" ",NOT(ISNUMBER(G3489))),"Unknown",G3489&lt;=33,"Low Spender",G3489&lt;=66,"Medium Spender",TRUE, "High Spender")</f>
        <v>Low Spender</v>
      </c>
      <c r="I3489" s="1">
        <v>37</v>
      </c>
      <c r="J3489" s="1">
        <v>7900</v>
      </c>
      <c r="K3489" s="1">
        <v>328</v>
      </c>
      <c r="L3489" s="1" t="s">
        <v>16</v>
      </c>
      <c r="N3489" s="1" t="str">
        <f t="shared" si="108"/>
        <v>Higher</v>
      </c>
      <c r="O3489" s="1" t="str">
        <f t="shared" si="109"/>
        <v>Mid Career | Low Spender | Higher</v>
      </c>
    </row>
    <row r="3490" spans="1:15" x14ac:dyDescent="0.25">
      <c r="A3490" s="1" t="s">
        <v>3520</v>
      </c>
      <c r="B3490" s="1">
        <v>29</v>
      </c>
      <c r="C3490" s="1" t="str" cm="1">
        <f t="array" ref="C3490">_xlfn.IFS(OR(B3490=" ", B3490="NA",NOT(ISNUMBER(B3490))), "Unknown",B3490&lt;18,"Underage",B3490&lt;=24,"Young Adult",B3490&lt;=34,"Early Career",B3490&lt;=44,"Mid Career",B3490&lt;=54,"Mature",B3490&lt;=65,"Pre-Senior",B3490&gt;65,"Senior")</f>
        <v>Early Career</v>
      </c>
      <c r="E3490" s="1" t="s">
        <v>27</v>
      </c>
      <c r="F3490" s="1">
        <v>800000</v>
      </c>
      <c r="H3490" s="1" t="str" cm="1">
        <f t="array" ref="H3490">_xlfn.IFS( OR(G3490=" ",NOT(ISNUMBER(G3490))),"Unknown",G3490&lt;=33,"Low Spender",G3490&lt;=66,"Medium Spender",TRUE, "High Spender")</f>
        <v>Unknown</v>
      </c>
      <c r="I3490" s="1">
        <v>78</v>
      </c>
      <c r="J3490" s="1">
        <v>5600</v>
      </c>
      <c r="K3490" s="1">
        <v>196</v>
      </c>
      <c r="L3490" s="1" t="s">
        <v>35</v>
      </c>
      <c r="M3490" s="1" t="s">
        <v>30</v>
      </c>
      <c r="N3490" s="1" t="str">
        <f t="shared" si="108"/>
        <v>Lower</v>
      </c>
      <c r="O3490" s="1" t="str">
        <f t="shared" si="109"/>
        <v>Early Career | Unknown | Lower</v>
      </c>
    </row>
    <row r="3491" spans="1:15" x14ac:dyDescent="0.25">
      <c r="A3491" s="1" t="s">
        <v>3521</v>
      </c>
      <c r="B3491" s="1">
        <v>58</v>
      </c>
      <c r="C3491" s="1" t="str" cm="1">
        <f t="array" ref="C3491">_xlfn.IFS(OR(B3491=" ", B3491="NA",NOT(ISNUMBER(B3491))), "Unknown",B3491&lt;18,"Underage",B3491&lt;=24,"Young Adult",B3491&lt;=34,"Early Career",B3491&lt;=44,"Mid Career",B3491&lt;=54,"Mature",B3491&lt;=65,"Pre-Senior",B3491&gt;65,"Senior")</f>
        <v>Pre-Senior</v>
      </c>
      <c r="D3491" s="1" t="s">
        <v>12</v>
      </c>
      <c r="E3491" s="1" t="s">
        <v>19</v>
      </c>
      <c r="F3491" s="1">
        <v>475000</v>
      </c>
      <c r="G3491" s="1">
        <v>13</v>
      </c>
      <c r="H3491" s="1" t="str" cm="1">
        <f t="array" ref="H3491">_xlfn.IFS( OR(G3491=" ",NOT(ISNUMBER(G3491))),"Unknown",G3491&lt;=33,"Low Spender",G3491&lt;=66,"Medium Spender",TRUE, "High Spender")</f>
        <v>Low Spender</v>
      </c>
      <c r="I3491" s="1">
        <v>16</v>
      </c>
      <c r="J3491" s="1">
        <v>4600</v>
      </c>
      <c r="K3491" s="1">
        <v>109</v>
      </c>
      <c r="L3491" s="1" t="s">
        <v>37</v>
      </c>
      <c r="M3491" s="1" t="s">
        <v>32</v>
      </c>
      <c r="N3491" s="1" t="str">
        <f t="shared" si="108"/>
        <v>Lower</v>
      </c>
      <c r="O3491" s="1" t="str">
        <f t="shared" si="109"/>
        <v>Pre-Senior | Low Spender | Lower</v>
      </c>
    </row>
    <row r="3492" spans="1:15" x14ac:dyDescent="0.25">
      <c r="A3492" s="1" t="s">
        <v>3522</v>
      </c>
      <c r="B3492" s="1">
        <v>50</v>
      </c>
      <c r="C3492" s="1" t="str" cm="1">
        <f t="array" ref="C3492">_xlfn.IFS(OR(B3492=" ", B3492="NA",NOT(ISNUMBER(B3492))), "Unknown",B3492&lt;18,"Underage",B3492&lt;=24,"Young Adult",B3492&lt;=34,"Early Career",B3492&lt;=44,"Mid Career",B3492&lt;=54,"Mature",B3492&lt;=65,"Pre-Senior",B3492&gt;65,"Senior")</f>
        <v>Mature</v>
      </c>
      <c r="D3492" s="1" t="s">
        <v>18</v>
      </c>
      <c r="E3492" s="1" t="s">
        <v>19</v>
      </c>
      <c r="F3492" s="1">
        <v>1275000</v>
      </c>
      <c r="G3492" s="1">
        <v>44</v>
      </c>
      <c r="H3492" s="1" t="str" cm="1">
        <f t="array" ref="H3492">_xlfn.IFS( OR(G3492=" ",NOT(ISNUMBER(G3492))),"Unknown",G3492&lt;=33,"Low Spender",G3492&lt;=66,"Medium Spender",TRUE, "High Spender")</f>
        <v>Medium Spender</v>
      </c>
      <c r="I3492" s="1">
        <v>43</v>
      </c>
      <c r="J3492" s="1">
        <v>1800</v>
      </c>
      <c r="K3492" s="1">
        <v>125</v>
      </c>
      <c r="L3492" s="1" t="s">
        <v>37</v>
      </c>
      <c r="N3492" s="1" t="str">
        <f t="shared" si="108"/>
        <v>Higher</v>
      </c>
      <c r="O3492" s="1" t="str">
        <f t="shared" si="109"/>
        <v>Mature | Medium Spender | Higher</v>
      </c>
    </row>
    <row r="3493" spans="1:15" x14ac:dyDescent="0.25">
      <c r="A3493" s="1" t="s">
        <v>3523</v>
      </c>
      <c r="B3493" s="1">
        <v>67</v>
      </c>
      <c r="C3493" s="1" t="str" cm="1">
        <f t="array" ref="C3493">_xlfn.IFS(OR(B3493=" ", B3493="NA",NOT(ISNUMBER(B3493))), "Unknown",B3493&lt;18,"Underage",B3493&lt;=24,"Young Adult",B3493&lt;=34,"Early Career",B3493&lt;=44,"Mid Career",B3493&lt;=54,"Mature",B3493&lt;=65,"Pre-Senior",B3493&gt;65,"Senior")</f>
        <v>Senior</v>
      </c>
      <c r="D3493" s="1" t="s">
        <v>29</v>
      </c>
      <c r="E3493" s="1" t="s">
        <v>13</v>
      </c>
      <c r="G3493" s="1">
        <v>39</v>
      </c>
      <c r="H3493" s="1" t="str" cm="1">
        <f t="array" ref="H3493">_xlfn.IFS( OR(G3493=" ",NOT(ISNUMBER(G3493))),"Unknown",G3493&lt;=33,"Low Spender",G3493&lt;=66,"Medium Spender",TRUE, "High Spender")</f>
        <v>Medium Spender</v>
      </c>
      <c r="I3493" s="1">
        <v>63</v>
      </c>
      <c r="J3493" s="1">
        <v>800</v>
      </c>
      <c r="K3493" s="1">
        <v>327</v>
      </c>
      <c r="L3493" s="1" t="s">
        <v>37</v>
      </c>
      <c r="N3493" s="1" t="str">
        <f t="shared" si="108"/>
        <v>Higher</v>
      </c>
      <c r="O3493" s="1" t="str">
        <f t="shared" si="109"/>
        <v>Senior | Medium Spender | Higher</v>
      </c>
    </row>
    <row r="3494" spans="1:15" x14ac:dyDescent="0.25">
      <c r="A3494" s="1" t="s">
        <v>3524</v>
      </c>
      <c r="C3494" s="1" t="str" cm="1">
        <f t="array" ref="C3494">_xlfn.IFS(OR(B3494=" ", B3494="NA",NOT(ISNUMBER(B3494))), "Unknown",B3494&lt;18,"Underage",B3494&lt;=24,"Young Adult",B3494&lt;=34,"Early Career",B3494&lt;=44,"Mid Career",B3494&lt;=54,"Mature",B3494&lt;=65,"Pre-Senior",B3494&gt;65,"Senior")</f>
        <v>Unknown</v>
      </c>
      <c r="D3494" s="1" t="s">
        <v>18</v>
      </c>
      <c r="E3494" s="1" t="s">
        <v>19</v>
      </c>
      <c r="F3494" s="1">
        <v>375000</v>
      </c>
      <c r="G3494" s="1">
        <v>19</v>
      </c>
      <c r="H3494" s="1" t="str" cm="1">
        <f t="array" ref="H3494">_xlfn.IFS( OR(G3494=" ",NOT(ISNUMBER(G3494))),"Unknown",G3494&lt;=33,"Low Spender",G3494&lt;=66,"Medium Spender",TRUE, "High Spender")</f>
        <v>Low Spender</v>
      </c>
      <c r="I3494" s="1">
        <v>15</v>
      </c>
      <c r="J3494" s="1">
        <v>1600</v>
      </c>
      <c r="K3494" s="1">
        <v>295</v>
      </c>
      <c r="L3494" s="1" t="s">
        <v>20</v>
      </c>
      <c r="N3494" s="1" t="str">
        <f t="shared" si="108"/>
        <v>Higher</v>
      </c>
      <c r="O3494" s="1" t="str">
        <f t="shared" si="109"/>
        <v>Unknown | Low Spender | Higher</v>
      </c>
    </row>
    <row r="3495" spans="1:15" x14ac:dyDescent="0.25">
      <c r="A3495" s="1" t="s">
        <v>3525</v>
      </c>
      <c r="B3495" s="1">
        <v>21</v>
      </c>
      <c r="C3495" s="1" t="str" cm="1">
        <f t="array" ref="C3495">_xlfn.IFS(OR(B3495=" ", B3495="NA",NOT(ISNUMBER(B3495))), "Unknown",B3495&lt;18,"Underage",B3495&lt;=24,"Young Adult",B3495&lt;=34,"Early Career",B3495&lt;=44,"Mid Career",B3495&lt;=54,"Mature",B3495&lt;=65,"Pre-Senior",B3495&gt;65,"Senior")</f>
        <v>Young Adult</v>
      </c>
      <c r="D3495" s="1" t="s">
        <v>18</v>
      </c>
      <c r="E3495" s="1" t="s">
        <v>23</v>
      </c>
      <c r="F3495" s="1">
        <v>725000</v>
      </c>
      <c r="G3495" s="1">
        <v>51</v>
      </c>
      <c r="H3495" s="1" t="str" cm="1">
        <f t="array" ref="H3495">_xlfn.IFS( OR(G3495=" ",NOT(ISNUMBER(G3495))),"Unknown",G3495&lt;=33,"Low Spender",G3495&lt;=66,"Medium Spender",TRUE, "High Spender")</f>
        <v>Medium Spender</v>
      </c>
      <c r="I3495" s="1">
        <v>44</v>
      </c>
      <c r="J3495" s="1">
        <v>11700</v>
      </c>
      <c r="K3495" s="1">
        <v>347</v>
      </c>
      <c r="L3495" s="1" t="s">
        <v>35</v>
      </c>
      <c r="M3495" s="1" t="s">
        <v>30</v>
      </c>
      <c r="N3495" s="1" t="str">
        <f t="shared" si="108"/>
        <v>Higher</v>
      </c>
      <c r="O3495" s="1" t="str">
        <f t="shared" si="109"/>
        <v>Young Adult | Medium Spender | Higher</v>
      </c>
    </row>
    <row r="3496" spans="1:15" x14ac:dyDescent="0.25">
      <c r="A3496" s="1" t="s">
        <v>3526</v>
      </c>
      <c r="B3496" s="1">
        <v>59</v>
      </c>
      <c r="C3496" s="1" t="str" cm="1">
        <f t="array" ref="C3496">_xlfn.IFS(OR(B3496=" ", B3496="NA",NOT(ISNUMBER(B3496))), "Unknown",B3496&lt;18,"Underage",B3496&lt;=24,"Young Adult",B3496&lt;=34,"Early Career",B3496&lt;=44,"Mid Career",B3496&lt;=54,"Mature",B3496&lt;=65,"Pre-Senior",B3496&gt;65,"Senior")</f>
        <v>Pre-Senior</v>
      </c>
      <c r="D3496" s="1" t="s">
        <v>18</v>
      </c>
      <c r="E3496" s="1" t="s">
        <v>19</v>
      </c>
      <c r="F3496" s="1">
        <v>1650000</v>
      </c>
      <c r="G3496" s="1">
        <v>19</v>
      </c>
      <c r="H3496" s="1" t="str" cm="1">
        <f t="array" ref="H3496">_xlfn.IFS( OR(G3496=" ",NOT(ISNUMBER(G3496))),"Unknown",G3496&lt;=33,"Low Spender",G3496&lt;=66,"Medium Spender",TRUE, "High Spender")</f>
        <v>Low Spender</v>
      </c>
      <c r="I3496" s="1">
        <v>9</v>
      </c>
      <c r="J3496" s="1">
        <v>11400</v>
      </c>
      <c r="K3496" s="1">
        <v>37</v>
      </c>
      <c r="L3496" s="1" t="s">
        <v>20</v>
      </c>
      <c r="M3496" s="1" t="s">
        <v>32</v>
      </c>
      <c r="N3496" s="1" t="str">
        <f t="shared" si="108"/>
        <v>Higher</v>
      </c>
      <c r="O3496" s="1" t="str">
        <f t="shared" si="109"/>
        <v>Pre-Senior | Low Spender | Higher</v>
      </c>
    </row>
    <row r="3497" spans="1:15" x14ac:dyDescent="0.25">
      <c r="A3497" s="1" t="s">
        <v>3527</v>
      </c>
      <c r="B3497" s="1">
        <v>24</v>
      </c>
      <c r="C3497" s="1" t="str" cm="1">
        <f t="array" ref="C3497">_xlfn.IFS(OR(B3497=" ", B3497="NA",NOT(ISNUMBER(B3497))), "Unknown",B3497&lt;18,"Underage",B3497&lt;=24,"Young Adult",B3497&lt;=34,"Early Career",B3497&lt;=44,"Mid Career",B3497&lt;=54,"Mature",B3497&lt;=65,"Pre-Senior",B3497&gt;65,"Senior")</f>
        <v>Young Adult</v>
      </c>
      <c r="D3497" s="1" t="s">
        <v>18</v>
      </c>
      <c r="E3497" s="1" t="s">
        <v>19</v>
      </c>
      <c r="F3497" s="1">
        <v>575000</v>
      </c>
      <c r="G3497" s="1">
        <v>76</v>
      </c>
      <c r="H3497" s="1" t="str" cm="1">
        <f t="array" ref="H3497">_xlfn.IFS( OR(G3497=" ",NOT(ISNUMBER(G3497))),"Unknown",G3497&lt;=33,"Low Spender",G3497&lt;=66,"Medium Spender",TRUE, "High Spender")</f>
        <v>High Spender</v>
      </c>
      <c r="I3497" s="1">
        <v>65</v>
      </c>
      <c r="J3497" s="1">
        <v>6000</v>
      </c>
      <c r="K3497" s="1">
        <v>188</v>
      </c>
      <c r="N3497" s="1" t="str">
        <f t="shared" si="108"/>
        <v>Higher</v>
      </c>
      <c r="O3497" s="1" t="str">
        <f t="shared" si="109"/>
        <v>Young Adult | High Spender | Higher</v>
      </c>
    </row>
    <row r="3498" spans="1:15" x14ac:dyDescent="0.25">
      <c r="A3498" s="1" t="s">
        <v>3528</v>
      </c>
      <c r="B3498" s="1">
        <v>39</v>
      </c>
      <c r="C3498" s="1" t="str" cm="1">
        <f t="array" ref="C3498">_xlfn.IFS(OR(B3498=" ", B3498="NA",NOT(ISNUMBER(B3498))), "Unknown",B3498&lt;18,"Underage",B3498&lt;=24,"Young Adult",B3498&lt;=34,"Early Career",B3498&lt;=44,"Mid Career",B3498&lt;=54,"Mature",B3498&lt;=65,"Pre-Senior",B3498&gt;65,"Senior")</f>
        <v>Mid Career</v>
      </c>
      <c r="D3498" s="1" t="s">
        <v>18</v>
      </c>
      <c r="E3498" s="1" t="s">
        <v>34</v>
      </c>
      <c r="F3498" s="1">
        <v>350000</v>
      </c>
      <c r="G3498" s="1">
        <v>52</v>
      </c>
      <c r="H3498" s="1" t="str" cm="1">
        <f t="array" ref="H3498">_xlfn.IFS( OR(G3498=" ",NOT(ISNUMBER(G3498))),"Unknown",G3498&lt;=33,"Low Spender",G3498&lt;=66,"Medium Spender",TRUE, "High Spender")</f>
        <v>Medium Spender</v>
      </c>
      <c r="I3498" s="1">
        <v>44</v>
      </c>
      <c r="J3498" s="1">
        <v>3300</v>
      </c>
      <c r="K3498" s="1">
        <v>337</v>
      </c>
      <c r="L3498" s="1" t="s">
        <v>37</v>
      </c>
      <c r="M3498" s="1" t="s">
        <v>41</v>
      </c>
      <c r="N3498" s="1" t="str">
        <f t="shared" si="108"/>
        <v>Higher</v>
      </c>
      <c r="O3498" s="1" t="str">
        <f t="shared" si="109"/>
        <v>Mid Career | Medium Spender | Higher</v>
      </c>
    </row>
    <row r="3499" spans="1:15" x14ac:dyDescent="0.25">
      <c r="A3499" s="1" t="s">
        <v>3529</v>
      </c>
      <c r="B3499" s="1" t="s">
        <v>73</v>
      </c>
      <c r="C3499" s="1" t="str" cm="1">
        <f t="array" ref="C3499">_xlfn.IFS(OR(B3499=" ", B3499="NA",NOT(ISNUMBER(B3499))), "Unknown",B3499&lt;18,"Underage",B3499&lt;=24,"Young Adult",B3499&lt;=34,"Early Career",B3499&lt;=44,"Mid Career",B3499&lt;=54,"Mature",B3499&lt;=65,"Pre-Senior",B3499&gt;65,"Senior")</f>
        <v>Unknown</v>
      </c>
      <c r="D3499" s="1" t="s">
        <v>29</v>
      </c>
      <c r="F3499" s="1">
        <v>550000</v>
      </c>
      <c r="G3499" s="1">
        <v>86</v>
      </c>
      <c r="H3499" s="1" t="str" cm="1">
        <f t="array" ref="H3499">_xlfn.IFS( OR(G3499=" ",NOT(ISNUMBER(G3499))),"Unknown",G3499&lt;=33,"Low Spender",G3499&lt;=66,"Medium Spender",TRUE, "High Spender")</f>
        <v>High Spender</v>
      </c>
      <c r="I3499" s="1">
        <v>20</v>
      </c>
      <c r="J3499" s="1">
        <v>10200</v>
      </c>
      <c r="K3499" s="1">
        <v>23</v>
      </c>
      <c r="L3499" s="1" t="s">
        <v>20</v>
      </c>
      <c r="N3499" s="1" t="str">
        <f t="shared" si="108"/>
        <v>Higher</v>
      </c>
      <c r="O3499" s="1" t="str">
        <f t="shared" si="109"/>
        <v>Unknown | High Spender | Higher</v>
      </c>
    </row>
    <row r="3500" spans="1:15" x14ac:dyDescent="0.25">
      <c r="A3500" s="1" t="s">
        <v>3530</v>
      </c>
      <c r="B3500" s="1">
        <v>50</v>
      </c>
      <c r="C3500" s="1" t="str" cm="1">
        <f t="array" ref="C3500">_xlfn.IFS(OR(B3500=" ", B3500="NA",NOT(ISNUMBER(B3500))), "Unknown",B3500&lt;18,"Underage",B3500&lt;=24,"Young Adult",B3500&lt;=34,"Early Career",B3500&lt;=44,"Mid Career",B3500&lt;=54,"Mature",B3500&lt;=65,"Pre-Senior",B3500&gt;65,"Senior")</f>
        <v>Mature</v>
      </c>
      <c r="E3500" s="1" t="s">
        <v>49</v>
      </c>
      <c r="F3500" s="1">
        <v>1575000</v>
      </c>
      <c r="G3500" s="1">
        <v>47</v>
      </c>
      <c r="H3500" s="1" t="str" cm="1">
        <f t="array" ref="H3500">_xlfn.IFS( OR(G3500=" ",NOT(ISNUMBER(G3500))),"Unknown",G3500&lt;=33,"Low Spender",G3500&lt;=66,"Medium Spender",TRUE, "High Spender")</f>
        <v>Medium Spender</v>
      </c>
      <c r="I3500" s="1">
        <v>70</v>
      </c>
      <c r="J3500" s="1">
        <v>10300</v>
      </c>
      <c r="K3500" s="1">
        <v>261</v>
      </c>
      <c r="L3500" s="1" t="s">
        <v>16</v>
      </c>
      <c r="M3500" s="1" t="s">
        <v>21</v>
      </c>
      <c r="N3500" s="1" t="str">
        <f t="shared" si="108"/>
        <v>Lower</v>
      </c>
      <c r="O3500" s="1" t="str">
        <f t="shared" si="109"/>
        <v>Mature | Medium Spender | Lower</v>
      </c>
    </row>
    <row r="3501" spans="1:15" x14ac:dyDescent="0.25">
      <c r="A3501" s="1" t="s">
        <v>3531</v>
      </c>
      <c r="B3501" s="1">
        <v>34</v>
      </c>
      <c r="C3501" s="1" t="str" cm="1">
        <f t="array" ref="C3501">_xlfn.IFS(OR(B3501=" ", B3501="NA",NOT(ISNUMBER(B3501))), "Unknown",B3501&lt;18,"Underage",B3501&lt;=24,"Young Adult",B3501&lt;=34,"Early Career",B3501&lt;=44,"Mid Career",B3501&lt;=54,"Mature",B3501&lt;=65,"Pre-Senior",B3501&gt;65,"Senior")</f>
        <v>Early Career</v>
      </c>
      <c r="E3501" s="1" t="s">
        <v>19</v>
      </c>
      <c r="F3501" s="1">
        <v>450000</v>
      </c>
      <c r="H3501" s="1" t="str" cm="1">
        <f t="array" ref="H3501">_xlfn.IFS( OR(G3501=" ",NOT(ISNUMBER(G3501))),"Unknown",G3501&lt;=33,"Low Spender",G3501&lt;=66,"Medium Spender",TRUE, "High Spender")</f>
        <v>Unknown</v>
      </c>
      <c r="I3501" s="1">
        <v>74</v>
      </c>
      <c r="J3501" s="1">
        <v>4300</v>
      </c>
      <c r="K3501" s="1">
        <v>194</v>
      </c>
      <c r="L3501" s="1" t="s">
        <v>20</v>
      </c>
      <c r="M3501" s="1" t="s">
        <v>41</v>
      </c>
      <c r="N3501" s="1" t="str">
        <f t="shared" si="108"/>
        <v>Lower</v>
      </c>
      <c r="O3501" s="1" t="str">
        <f t="shared" si="109"/>
        <v>Early Career | Unknown | Lower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6237-DC02-42F2-B4F9-91C9869D64E2}">
  <dimension ref="B3:G12"/>
  <sheetViews>
    <sheetView workbookViewId="0">
      <selection activeCell="C6" sqref="C6"/>
    </sheetView>
  </sheetViews>
  <sheetFormatPr defaultRowHeight="15" x14ac:dyDescent="0.25"/>
  <cols>
    <col min="2" max="2" width="20.28515625" bestFit="1" customWidth="1"/>
    <col min="3" max="3" width="16.28515625" bestFit="1" customWidth="1"/>
    <col min="4" max="4" width="12.42578125" bestFit="1" customWidth="1"/>
    <col min="5" max="5" width="16.5703125" bestFit="1" customWidth="1"/>
    <col min="6" max="6" width="9.5703125" bestFit="1" customWidth="1"/>
    <col min="7" max="7" width="11.28515625" bestFit="1" customWidth="1"/>
  </cols>
  <sheetData>
    <row r="3" spans="2:7" x14ac:dyDescent="0.25">
      <c r="B3" s="2" t="s">
        <v>3543</v>
      </c>
      <c r="C3" s="2" t="s">
        <v>3544</v>
      </c>
    </row>
    <row r="4" spans="2:7" x14ac:dyDescent="0.25">
      <c r="B4" s="2" t="s">
        <v>3535</v>
      </c>
      <c r="C4" t="s">
        <v>3545</v>
      </c>
      <c r="D4" t="s">
        <v>3546</v>
      </c>
      <c r="E4" t="s">
        <v>3547</v>
      </c>
      <c r="F4" t="s">
        <v>12</v>
      </c>
      <c r="G4" t="s">
        <v>3542</v>
      </c>
    </row>
    <row r="5" spans="2:7" x14ac:dyDescent="0.25">
      <c r="B5" s="3" t="s">
        <v>3536</v>
      </c>
      <c r="C5">
        <v>187</v>
      </c>
      <c r="D5">
        <v>212</v>
      </c>
      <c r="E5">
        <v>214</v>
      </c>
      <c r="F5">
        <v>9</v>
      </c>
      <c r="G5">
        <v>622</v>
      </c>
    </row>
    <row r="6" spans="2:7" x14ac:dyDescent="0.25">
      <c r="B6" s="3" t="s">
        <v>3537</v>
      </c>
      <c r="C6">
        <v>226</v>
      </c>
      <c r="D6">
        <v>234</v>
      </c>
      <c r="E6">
        <v>212</v>
      </c>
      <c r="F6">
        <v>8</v>
      </c>
      <c r="G6">
        <v>680</v>
      </c>
    </row>
    <row r="7" spans="2:7" x14ac:dyDescent="0.25">
      <c r="B7" s="3" t="s">
        <v>3538</v>
      </c>
      <c r="C7">
        <v>224</v>
      </c>
      <c r="D7">
        <v>217</v>
      </c>
      <c r="E7">
        <v>196</v>
      </c>
      <c r="F7">
        <v>10</v>
      </c>
      <c r="G7">
        <v>647</v>
      </c>
    </row>
    <row r="8" spans="2:7" x14ac:dyDescent="0.25">
      <c r="B8" s="3" t="s">
        <v>3539</v>
      </c>
      <c r="C8">
        <v>213</v>
      </c>
      <c r="D8">
        <v>209</v>
      </c>
      <c r="E8">
        <v>222</v>
      </c>
      <c r="F8">
        <v>10</v>
      </c>
      <c r="G8">
        <v>654</v>
      </c>
    </row>
    <row r="9" spans="2:7" x14ac:dyDescent="0.25">
      <c r="B9" s="3" t="s">
        <v>3540</v>
      </c>
      <c r="C9">
        <v>87</v>
      </c>
      <c r="D9">
        <v>86</v>
      </c>
      <c r="E9">
        <v>87</v>
      </c>
      <c r="F9">
        <v>6</v>
      </c>
      <c r="G9">
        <v>266</v>
      </c>
    </row>
    <row r="10" spans="2:7" x14ac:dyDescent="0.25">
      <c r="B10" s="3" t="s">
        <v>12</v>
      </c>
      <c r="C10">
        <v>59</v>
      </c>
      <c r="D10">
        <v>63</v>
      </c>
      <c r="E10">
        <v>73</v>
      </c>
      <c r="F10">
        <v>3</v>
      </c>
      <c r="G10">
        <v>198</v>
      </c>
    </row>
    <row r="11" spans="2:7" x14ac:dyDescent="0.25">
      <c r="B11" s="3" t="s">
        <v>3541</v>
      </c>
      <c r="C11">
        <v>154</v>
      </c>
      <c r="D11">
        <v>133</v>
      </c>
      <c r="E11">
        <v>138</v>
      </c>
      <c r="F11">
        <v>8</v>
      </c>
      <c r="G11">
        <v>433</v>
      </c>
    </row>
    <row r="12" spans="2:7" x14ac:dyDescent="0.25">
      <c r="B12" s="3" t="s">
        <v>3542</v>
      </c>
      <c r="C12">
        <v>1150</v>
      </c>
      <c r="D12">
        <v>1154</v>
      </c>
      <c r="E12">
        <v>1142</v>
      </c>
      <c r="F12">
        <v>54</v>
      </c>
      <c r="G12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customer_segmentation_Project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Arshad Mohammadi</cp:lastModifiedBy>
  <dcterms:created xsi:type="dcterms:W3CDTF">2026-02-05T20:55:42Z</dcterms:created>
  <dcterms:modified xsi:type="dcterms:W3CDTF">2026-02-10T19:18:19Z</dcterms:modified>
</cp:coreProperties>
</file>